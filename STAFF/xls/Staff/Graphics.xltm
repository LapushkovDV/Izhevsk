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G:\Galaxy\SRC\910\EXE_COGNAS\XLS_ЭМ\Staff\"/>
    </mc:Choice>
  </mc:AlternateContent>
  <bookViews>
    <workbookView xWindow="0" yWindow="0" windowWidth="21570" windowHeight="10215" firstSheet="1" activeTab="3"/>
  </bookViews>
  <sheets>
    <sheet name="Модуль1" sheetId="2" state="veryHidden" r:id=""/>
    <sheet name="Gal_TblSheet" sheetId="5" r:id="rId1"/>
    <sheet name="Gal_VarSheet" sheetId="4" r:id="rId2"/>
    <sheet name="Отчет" sheetId="3" r:id="rId3"/>
    <sheet name="Лист1" sheetId="1" r:id="rId4"/>
  </sheets>
  <functionGroups builtInGroupCount="18"/>
  <definedNames>
    <definedName name="GalDBTbl_tblGraphics" localSheetId="1">Gal_TblSheet!$A$1:$OU$3</definedName>
    <definedName name="GalDBTblFld_day1Res" localSheetId="1">Gal_TblSheet!$P$2:$P$3</definedName>
    <definedName name="GalDBTblFld_day2Res" localSheetId="1">Gal_TblSheet!$Q$2:$Q$3</definedName>
    <definedName name="GalDBTblFld_day3Res" localSheetId="1">Gal_TblSheet!$R$2:$R$3</definedName>
    <definedName name="GalDBTblFld_day4Res" localSheetId="1">Gal_TblSheet!$S$2:$S$3</definedName>
    <definedName name="GalDBTblFld_day5Res" localSheetId="1">Gal_TblSheet!$T$2:$T$3</definedName>
    <definedName name="GalDBTblFld_day6Res" localSheetId="1">Gal_TblSheet!$U$2:$U$3</definedName>
    <definedName name="GalDBTblFld_day7Res" localSheetId="1">Gal_TblSheet!$V$2:$V$3</definedName>
    <definedName name="GalDBTblFld_M1_Arr1N" localSheetId="1">Gal_TblSheet!$AC$2:$BG$3</definedName>
    <definedName name="GalDBTblFld_M10_Arr1N" localSheetId="1">Gal_TblSheet!$LE$2:$MI$3</definedName>
    <definedName name="GalDBTblFld_M10D1" localSheetId="1">Gal_TblSheet!$LE$2:$LE$3</definedName>
    <definedName name="GalDBTblFld_M10D10" localSheetId="1">Gal_TblSheet!$LN$2:$LN$3</definedName>
    <definedName name="GalDBTblFld_M10D11" localSheetId="1">Gal_TblSheet!$LO$2:$LO$3</definedName>
    <definedName name="GalDBTblFld_M10D12" localSheetId="1">Gal_TblSheet!$LP$2:$LP$3</definedName>
    <definedName name="GalDBTblFld_M10D13" localSheetId="1">Gal_TblSheet!$LQ$2:$LQ$3</definedName>
    <definedName name="GalDBTblFld_M10D14" localSheetId="1">Gal_TblSheet!$LR$2:$LR$3</definedName>
    <definedName name="GalDBTblFld_M10D15" localSheetId="1">Gal_TblSheet!$LS$2:$LS$3</definedName>
    <definedName name="GalDBTblFld_M10D16" localSheetId="1">Gal_TblSheet!$LT$2:$LT$3</definedName>
    <definedName name="GalDBTblFld_M10D17" localSheetId="1">Gal_TblSheet!$LU$2:$LU$3</definedName>
    <definedName name="GalDBTblFld_M10D18" localSheetId="1">Gal_TblSheet!$LV$2:$LV$3</definedName>
    <definedName name="GalDBTblFld_M10D19" localSheetId="1">Gal_TblSheet!$LW$2:$LW$3</definedName>
    <definedName name="GalDBTblFld_M10D2" localSheetId="1">Gal_TblSheet!$LF$2:$LF$3</definedName>
    <definedName name="GalDBTblFld_M10D20" localSheetId="1">Gal_TblSheet!$LX$2:$LX$3</definedName>
    <definedName name="GalDBTblFld_M10D21" localSheetId="1">Gal_TblSheet!$LY$2:$LY$3</definedName>
    <definedName name="GalDBTblFld_M10D22" localSheetId="1">Gal_TblSheet!$LZ$2:$LZ$3</definedName>
    <definedName name="GalDBTblFld_M10D23" localSheetId="1">Gal_TblSheet!$MA$2:$MA$3</definedName>
    <definedName name="GalDBTblFld_M10D24" localSheetId="1">Gal_TblSheet!$MB$2:$MB$3</definedName>
    <definedName name="GalDBTblFld_M10D25" localSheetId="1">Gal_TblSheet!$MC$2:$MC$3</definedName>
    <definedName name="GalDBTblFld_M10D26" localSheetId="1">Gal_TblSheet!$MD$2:$MD$3</definedName>
    <definedName name="GalDBTblFld_M10D27" localSheetId="1">Gal_TblSheet!$ME$2:$ME$3</definedName>
    <definedName name="GalDBTblFld_M10D28" localSheetId="1">Gal_TblSheet!$MF$2:$MF$3</definedName>
    <definedName name="GalDBTblFld_M10D29" localSheetId="1">Gal_TblSheet!$MG$2:$MG$3</definedName>
    <definedName name="GalDBTblFld_M10D3" localSheetId="1">Gal_TblSheet!$LG$2:$LG$3</definedName>
    <definedName name="GalDBTblFld_M10D30" localSheetId="1">Gal_TblSheet!$MH$2:$MH$3</definedName>
    <definedName name="GalDBTblFld_M10D31" localSheetId="1">Gal_TblSheet!$MI$2:$MI$3</definedName>
    <definedName name="GalDBTblFld_M10D4" localSheetId="1">Gal_TblSheet!$LH$2:$LH$3</definedName>
    <definedName name="GalDBTblFld_M10D5" localSheetId="1">Gal_TblSheet!$LI$2:$LI$3</definedName>
    <definedName name="GalDBTblFld_M10D6" localSheetId="1">Gal_TblSheet!$LJ$2:$LJ$3</definedName>
    <definedName name="GalDBTblFld_M10D7" localSheetId="1">Gal_TblSheet!$LK$2:$LK$3</definedName>
    <definedName name="GalDBTblFld_M10D8" localSheetId="1">Gal_TblSheet!$LL$2:$LL$3</definedName>
    <definedName name="GalDBTblFld_M10D9" localSheetId="1">Gal_TblSheet!$LM$2:$LM$3</definedName>
    <definedName name="GalDBTblFld_M10Visible" localSheetId="1">Gal_TblSheet!$LD$2:$LD$3</definedName>
    <definedName name="GalDBTblFld_M11_Arr1N" localSheetId="1">Gal_TblSheet!$MK$2:$NO$3</definedName>
    <definedName name="GalDBTblFld_M11D1" localSheetId="1">Gal_TblSheet!$MK$2:$MK$3</definedName>
    <definedName name="GalDBTblFld_M11D10" localSheetId="1">Gal_TblSheet!$MT$2:$MT$3</definedName>
    <definedName name="GalDBTblFld_M11D11" localSheetId="1">Gal_TblSheet!$MU$2:$MU$3</definedName>
    <definedName name="GalDBTblFld_M11D12" localSheetId="1">Gal_TblSheet!$MV$2:$MV$3</definedName>
    <definedName name="GalDBTblFld_M11D13" localSheetId="1">Gal_TblSheet!$MW$2:$MW$3</definedName>
    <definedName name="GalDBTblFld_M11D14" localSheetId="1">Gal_TblSheet!$MX$2:$MX$3</definedName>
    <definedName name="GalDBTblFld_M11D15" localSheetId="1">Gal_TblSheet!$MY$2:$MY$3</definedName>
    <definedName name="GalDBTblFld_M11D16" localSheetId="1">Gal_TblSheet!$MZ$2:$MZ$3</definedName>
    <definedName name="GalDBTblFld_M11D17" localSheetId="1">Gal_TblSheet!$NA$2:$NA$3</definedName>
    <definedName name="GalDBTblFld_M11D18" localSheetId="1">Gal_TblSheet!$NB$2:$NB$3</definedName>
    <definedName name="GalDBTblFld_M11D19" localSheetId="1">Gal_TblSheet!$NC$2:$NC$3</definedName>
    <definedName name="GalDBTblFld_M11D2" localSheetId="1">Gal_TblSheet!$ML$2:$ML$3</definedName>
    <definedName name="GalDBTblFld_M11D20" localSheetId="1">Gal_TblSheet!$ND$2:$ND$3</definedName>
    <definedName name="GalDBTblFld_M11D21" localSheetId="1">Gal_TblSheet!$NE$2:$NE$3</definedName>
    <definedName name="GalDBTblFld_M11D22" localSheetId="1">Gal_TblSheet!$NF$2:$NF$3</definedName>
    <definedName name="GalDBTblFld_M11D23" localSheetId="1">Gal_TblSheet!$NG$2:$NG$3</definedName>
    <definedName name="GalDBTblFld_M11D24" localSheetId="1">Gal_TblSheet!$NH$2:$NH$3</definedName>
    <definedName name="GalDBTblFld_M11D25" localSheetId="1">Gal_TblSheet!$NI$2:$NI$3</definedName>
    <definedName name="GalDBTblFld_M11D26" localSheetId="1">Gal_TblSheet!$NJ$2:$NJ$3</definedName>
    <definedName name="GalDBTblFld_M11D27" localSheetId="1">Gal_TblSheet!$NK$2:$NK$3</definedName>
    <definedName name="GalDBTblFld_M11D28" localSheetId="1">Gal_TblSheet!$NL$2:$NL$3</definedName>
    <definedName name="GalDBTblFld_M11D29" localSheetId="1">Gal_TblSheet!$NM$2:$NM$3</definedName>
    <definedName name="GalDBTblFld_M11D3" localSheetId="1">Gal_TblSheet!$MM$2:$MM$3</definedName>
    <definedName name="GalDBTblFld_M11D30" localSheetId="1">Gal_TblSheet!$NN$2:$NN$3</definedName>
    <definedName name="GalDBTblFld_M11D31" localSheetId="1">Gal_TblSheet!$NO$2:$NO$3</definedName>
    <definedName name="GalDBTblFld_M11D4" localSheetId="1">Gal_TblSheet!$MN$2:$MN$3</definedName>
    <definedName name="GalDBTblFld_M11D5" localSheetId="1">Gal_TblSheet!$MO$2:$MO$3</definedName>
    <definedName name="GalDBTblFld_M11D6" localSheetId="1">Gal_TblSheet!$MP$2:$MP$3</definedName>
    <definedName name="GalDBTblFld_M11D7" localSheetId="1">Gal_TblSheet!$MQ$2:$MQ$3</definedName>
    <definedName name="GalDBTblFld_M11D8" localSheetId="1">Gal_TblSheet!$MR$2:$MR$3</definedName>
    <definedName name="GalDBTblFld_M11D9" localSheetId="1">Gal_TblSheet!$MS$2:$MS$3</definedName>
    <definedName name="GalDBTblFld_M11Visible" localSheetId="1">Gal_TblSheet!$MJ$2:$MJ$3</definedName>
    <definedName name="GalDBTblFld_M12_Arr1N" localSheetId="1">Gal_TblSheet!$NQ$2:$OU$3</definedName>
    <definedName name="GalDBTblFld_M12D1" localSheetId="1">Gal_TblSheet!$NQ$2:$NQ$3</definedName>
    <definedName name="GalDBTblFld_M12D10" localSheetId="1">Gal_TblSheet!$NZ$2:$NZ$3</definedName>
    <definedName name="GalDBTblFld_M12D11" localSheetId="1">Gal_TblSheet!$OA$2:$OA$3</definedName>
    <definedName name="GalDBTblFld_M12D12" localSheetId="1">Gal_TblSheet!$OB$2:$OB$3</definedName>
    <definedName name="GalDBTblFld_M12D13" localSheetId="1">Gal_TblSheet!$OC$2:$OC$3</definedName>
    <definedName name="GalDBTblFld_M12D14" localSheetId="1">Gal_TblSheet!$OD$2:$OD$3</definedName>
    <definedName name="GalDBTblFld_M12D15" localSheetId="1">Gal_TblSheet!$OE$2:$OE$3</definedName>
    <definedName name="GalDBTblFld_M12D16" localSheetId="1">Gal_TblSheet!$OF$2:$OF$3</definedName>
    <definedName name="GalDBTblFld_M12D17" localSheetId="1">Gal_TblSheet!$OG$2:$OG$3</definedName>
    <definedName name="GalDBTblFld_M12D18" localSheetId="1">Gal_TblSheet!$OH$2:$OH$3</definedName>
    <definedName name="GalDBTblFld_M12D19" localSheetId="1">Gal_TblSheet!$OI$2:$OI$3</definedName>
    <definedName name="GalDBTblFld_M12D2" localSheetId="1">Gal_TblSheet!$NR$2:$NR$3</definedName>
    <definedName name="GalDBTblFld_M12D20" localSheetId="1">Gal_TblSheet!$OJ$2:$OJ$3</definedName>
    <definedName name="GalDBTblFld_M12D21" localSheetId="1">Gal_TblSheet!$OK$2:$OK$3</definedName>
    <definedName name="GalDBTblFld_M12D22" localSheetId="1">Gal_TblSheet!$OL$2:$OL$3</definedName>
    <definedName name="GalDBTblFld_M12D23" localSheetId="1">Gal_TblSheet!$OM$2:$OM$3</definedName>
    <definedName name="GalDBTblFld_M12D24" localSheetId="1">Gal_TblSheet!$ON$2:$ON$3</definedName>
    <definedName name="GalDBTblFld_M12D25" localSheetId="1">Gal_TblSheet!$OO$2:$OO$3</definedName>
    <definedName name="GalDBTblFld_M12D26" localSheetId="1">Gal_TblSheet!$OP$2:$OP$3</definedName>
    <definedName name="GalDBTblFld_M12D27" localSheetId="1">Gal_TblSheet!$OQ$2:$OQ$3</definedName>
    <definedName name="GalDBTblFld_M12D28" localSheetId="1">Gal_TblSheet!$OR$2:$OR$3</definedName>
    <definedName name="GalDBTblFld_M12D29" localSheetId="1">Gal_TblSheet!$OS$2:$OS$3</definedName>
    <definedName name="GalDBTblFld_M12D3" localSheetId="1">Gal_TblSheet!$NS$2:$NS$3</definedName>
    <definedName name="GalDBTblFld_M12D30" localSheetId="1">Gal_TblSheet!$OT$2:$OT$3</definedName>
    <definedName name="GalDBTblFld_M12D31" localSheetId="1">Gal_TblSheet!$OU$2:$OU$3</definedName>
    <definedName name="GalDBTblFld_M12D4" localSheetId="1">Gal_TblSheet!$NT$2:$NT$3</definedName>
    <definedName name="GalDBTblFld_M12D5" localSheetId="1">Gal_TblSheet!$NU$2:$NU$3</definedName>
    <definedName name="GalDBTblFld_M12D6" localSheetId="1">Gal_TblSheet!$NV$2:$NV$3</definedName>
    <definedName name="GalDBTblFld_M12D7" localSheetId="1">Gal_TblSheet!$NW$2:$NW$3</definedName>
    <definedName name="GalDBTblFld_M12D8" localSheetId="1">Gal_TblSheet!$NX$2:$NX$3</definedName>
    <definedName name="GalDBTblFld_M12D9" localSheetId="1">Gal_TblSheet!$NY$2:$NY$3</definedName>
    <definedName name="GalDBTblFld_M12Visible" localSheetId="1">Gal_TblSheet!$NP$2:$NP$3</definedName>
    <definedName name="GalDBTblFld_M1D1" localSheetId="1">Gal_TblSheet!$AC$2:$AC$3</definedName>
    <definedName name="GalDBTblFld_M1D10" localSheetId="1">Gal_TblSheet!$AL$2:$AL$3</definedName>
    <definedName name="GalDBTblFld_M1D11" localSheetId="1">Gal_TblSheet!$AM$2:$AM$3</definedName>
    <definedName name="GalDBTblFld_M1D12" localSheetId="1">Gal_TblSheet!$AN$2:$AN$3</definedName>
    <definedName name="GalDBTblFld_M1D13" localSheetId="1">Gal_TblSheet!$AO$2:$AO$3</definedName>
    <definedName name="GalDBTblFld_M1D14" localSheetId="1">Gal_TblSheet!$AP$2:$AP$3</definedName>
    <definedName name="GalDBTblFld_M1D15" localSheetId="1">Gal_TblSheet!$AQ$2:$AQ$3</definedName>
    <definedName name="GalDBTblFld_M1D16" localSheetId="1">Gal_TblSheet!$AR$2:$AR$3</definedName>
    <definedName name="GalDBTblFld_M1D17" localSheetId="1">Gal_TblSheet!$AS$2:$AS$3</definedName>
    <definedName name="GalDBTblFld_M1D18" localSheetId="1">Gal_TblSheet!$AT$2:$AT$3</definedName>
    <definedName name="GalDBTblFld_M1D19" localSheetId="1">Gal_TblSheet!$AU$2:$AU$3</definedName>
    <definedName name="GalDBTblFld_M1D2" localSheetId="1">Gal_TblSheet!$AD$2:$AD$3</definedName>
    <definedName name="GalDBTblFld_M1D20" localSheetId="1">Gal_TblSheet!$AV$2:$AV$3</definedName>
    <definedName name="GalDBTblFld_M1D21" localSheetId="1">Gal_TblSheet!$AW$2:$AW$3</definedName>
    <definedName name="GalDBTblFld_M1D22" localSheetId="1">Gal_TblSheet!$AX$2:$AX$3</definedName>
    <definedName name="GalDBTblFld_M1D23" localSheetId="1">Gal_TblSheet!$AY$2:$AY$3</definedName>
    <definedName name="GalDBTblFld_M1D24" localSheetId="1">Gal_TblSheet!$AZ$2:$AZ$3</definedName>
    <definedName name="GalDBTblFld_M1D25" localSheetId="1">Gal_TblSheet!$BA$2:$BA$3</definedName>
    <definedName name="GalDBTblFld_M1D26" localSheetId="1">Gal_TblSheet!$BB$2:$BB$3</definedName>
    <definedName name="GalDBTblFld_M1D27" localSheetId="1">Gal_TblSheet!$BC$2:$BC$3</definedName>
    <definedName name="GalDBTblFld_M1D28" localSheetId="1">Gal_TblSheet!$BD$2:$BD$3</definedName>
    <definedName name="GalDBTblFld_M1D29" localSheetId="1">Gal_TblSheet!$BE$2:$BE$3</definedName>
    <definedName name="GalDBTblFld_M1D3" localSheetId="1">Gal_TblSheet!$AE$2:$AE$3</definedName>
    <definedName name="GalDBTblFld_M1D30" localSheetId="1">Gal_TblSheet!$BF$2:$BF$3</definedName>
    <definedName name="GalDBTblFld_M1D31" localSheetId="1">Gal_TblSheet!$BG$2:$BG$3</definedName>
    <definedName name="GalDBTblFld_M1D4" localSheetId="1">Gal_TblSheet!$AF$2:$AF$3</definedName>
    <definedName name="GalDBTblFld_M1D5" localSheetId="1">Gal_TblSheet!$AG$2:$AG$3</definedName>
    <definedName name="GalDBTblFld_M1D6" localSheetId="1">Gal_TblSheet!$AH$2:$AH$3</definedName>
    <definedName name="GalDBTblFld_M1D7" localSheetId="1">Gal_TblSheet!$AI$2:$AI$3</definedName>
    <definedName name="GalDBTblFld_M1D8" localSheetId="1">Gal_TblSheet!$AJ$2:$AJ$3</definedName>
    <definedName name="GalDBTblFld_M1D9" localSheetId="1">Gal_TblSheet!$AK$2:$AK$3</definedName>
    <definedName name="GalDBTblFld_M1Visible" localSheetId="1">Gal_TblSheet!$AB$2:$AB$3</definedName>
    <definedName name="GalDBTblFld_M2_Arr1N" localSheetId="1">Gal_TblSheet!$BI$2:$CM$3</definedName>
    <definedName name="GalDBTblFld_M2D1" localSheetId="1">Gal_TblSheet!$BI$2:$BI$3</definedName>
    <definedName name="GalDBTblFld_M2D10" localSheetId="1">Gal_TblSheet!$BR$2:$BR$3</definedName>
    <definedName name="GalDBTblFld_M2D11" localSheetId="1">Gal_TblSheet!$BS$2:$BS$3</definedName>
    <definedName name="GalDBTblFld_M2D12" localSheetId="1">Gal_TblSheet!$BT$2:$BT$3</definedName>
    <definedName name="GalDBTblFld_M2D13" localSheetId="1">Gal_TblSheet!$BU$2:$BU$3</definedName>
    <definedName name="GalDBTblFld_M2D14" localSheetId="1">Gal_TblSheet!$BV$2:$BV$3</definedName>
    <definedName name="GalDBTblFld_M2D15" localSheetId="1">Gal_TblSheet!$BW$2:$BW$3</definedName>
    <definedName name="GalDBTblFld_M2D16" localSheetId="1">Gal_TblSheet!$BX$2:$BX$3</definedName>
    <definedName name="GalDBTblFld_M2D17" localSheetId="1">Gal_TblSheet!$BY$2:$BY$3</definedName>
    <definedName name="GalDBTblFld_M2D18" localSheetId="1">Gal_TblSheet!$BZ$2:$BZ$3</definedName>
    <definedName name="GalDBTblFld_M2D19" localSheetId="1">Gal_TblSheet!$CA$2:$CA$3</definedName>
    <definedName name="GalDBTblFld_M2D2" localSheetId="1">Gal_TblSheet!$BJ$2:$BJ$3</definedName>
    <definedName name="GalDBTblFld_M2D20" localSheetId="1">Gal_TblSheet!$CB$2:$CB$3</definedName>
    <definedName name="GalDBTblFld_M2D21" localSheetId="1">Gal_TblSheet!$CC$2:$CC$3</definedName>
    <definedName name="GalDBTblFld_M2D22" localSheetId="1">Gal_TblSheet!$CD$2:$CD$3</definedName>
    <definedName name="GalDBTblFld_M2D23" localSheetId="1">Gal_TblSheet!$CE$2:$CE$3</definedName>
    <definedName name="GalDBTblFld_M2D24" localSheetId="1">Gal_TblSheet!$CF$2:$CF$3</definedName>
    <definedName name="GalDBTblFld_M2D25" localSheetId="1">Gal_TblSheet!$CG$2:$CG$3</definedName>
    <definedName name="GalDBTblFld_M2D26" localSheetId="1">Gal_TblSheet!$CH$2:$CH$3</definedName>
    <definedName name="GalDBTblFld_M2D27" localSheetId="1">Gal_TblSheet!$CI$2:$CI$3</definedName>
    <definedName name="GalDBTblFld_M2D28" localSheetId="1">Gal_TblSheet!$CJ$2:$CJ$3</definedName>
    <definedName name="GalDBTblFld_M2D29" localSheetId="1">Gal_TblSheet!$CK$2:$CK$3</definedName>
    <definedName name="GalDBTblFld_M2D3" localSheetId="1">Gal_TblSheet!$BK$2:$BK$3</definedName>
    <definedName name="GalDBTblFld_M2D30" localSheetId="1">Gal_TblSheet!$CL$2:$CL$3</definedName>
    <definedName name="GalDBTblFld_M2D31" localSheetId="1">Gal_TblSheet!$CM$2:$CM$3</definedName>
    <definedName name="GalDBTblFld_M2D4" localSheetId="1">Gal_TblSheet!$BL$2:$BL$3</definedName>
    <definedName name="GalDBTblFld_M2D5" localSheetId="1">Gal_TblSheet!$BM$2:$BM$3</definedName>
    <definedName name="GalDBTblFld_M2D6" localSheetId="1">Gal_TblSheet!$BN$2:$BN$3</definedName>
    <definedName name="GalDBTblFld_M2D7" localSheetId="1">Gal_TblSheet!$BO$2:$BO$3</definedName>
    <definedName name="GalDBTblFld_M2D8" localSheetId="1">Gal_TblSheet!$BP$2:$BP$3</definedName>
    <definedName name="GalDBTblFld_M2D9" localSheetId="1">Gal_TblSheet!$BQ$2:$BQ$3</definedName>
    <definedName name="GalDBTblFld_M2Visible" localSheetId="1">Gal_TblSheet!$BH$2:$BH$3</definedName>
    <definedName name="GalDBTblFld_M3_Arr1N" localSheetId="1">Gal_TblSheet!$CO$2:$DS$3</definedName>
    <definedName name="GalDBTblFld_M3D1" localSheetId="1">Gal_TblSheet!$CO$2:$CO$3</definedName>
    <definedName name="GalDBTblFld_M3D10" localSheetId="1">Gal_TblSheet!$CX$2:$CX$3</definedName>
    <definedName name="GalDBTblFld_M3D11" localSheetId="1">Gal_TblSheet!$CY$2:$CY$3</definedName>
    <definedName name="GalDBTblFld_M3D12" localSheetId="1">Gal_TblSheet!$CZ$2:$CZ$3</definedName>
    <definedName name="GalDBTblFld_M3D13" localSheetId="1">Gal_TblSheet!$DA$2:$DA$3</definedName>
    <definedName name="GalDBTblFld_M3D14" localSheetId="1">Gal_TblSheet!$DB$2:$DB$3</definedName>
    <definedName name="GalDBTblFld_M3D15" localSheetId="1">Gal_TblSheet!$DC$2:$DC$3</definedName>
    <definedName name="GalDBTblFld_M3D16" localSheetId="1">Gal_TblSheet!$DD$2:$DD$3</definedName>
    <definedName name="GalDBTblFld_M3D17" localSheetId="1">Gal_TblSheet!$DE$2:$DE$3</definedName>
    <definedName name="GalDBTblFld_M3D18" localSheetId="1">Gal_TblSheet!$DF$2:$DF$3</definedName>
    <definedName name="GalDBTblFld_M3D19" localSheetId="1">Gal_TblSheet!$DG$2:$DG$3</definedName>
    <definedName name="GalDBTblFld_M3D2" localSheetId="1">Gal_TblSheet!$CP$2:$CP$3</definedName>
    <definedName name="GalDBTblFld_M3D20" localSheetId="1">Gal_TblSheet!$DH$2:$DH$3</definedName>
    <definedName name="GalDBTblFld_M3D21" localSheetId="1">Gal_TblSheet!$DI$2:$DI$3</definedName>
    <definedName name="GalDBTblFld_M3D22" localSheetId="1">Gal_TblSheet!$DJ$2:$DJ$3</definedName>
    <definedName name="GalDBTblFld_M3D23" localSheetId="1">Gal_TblSheet!$DK$2:$DK$3</definedName>
    <definedName name="GalDBTblFld_M3D24" localSheetId="1">Gal_TblSheet!$DL$2:$DL$3</definedName>
    <definedName name="GalDBTblFld_M3D25" localSheetId="1">Gal_TblSheet!$DM$2:$DM$3</definedName>
    <definedName name="GalDBTblFld_M3D26" localSheetId="1">Gal_TblSheet!$DN$2:$DN$3</definedName>
    <definedName name="GalDBTblFld_M3D27" localSheetId="1">Gal_TblSheet!$DO$2:$DO$3</definedName>
    <definedName name="GalDBTblFld_M3D28" localSheetId="1">Gal_TblSheet!$DP$2:$DP$3</definedName>
    <definedName name="GalDBTblFld_M3D29" localSheetId="1">Gal_TblSheet!$DQ$2:$DQ$3</definedName>
    <definedName name="GalDBTblFld_M3D3" localSheetId="1">Gal_TblSheet!$CQ$2:$CQ$3</definedName>
    <definedName name="GalDBTblFld_M3D30" localSheetId="1">Gal_TblSheet!$DR$2:$DR$3</definedName>
    <definedName name="GalDBTblFld_M3D31" localSheetId="1">Gal_TblSheet!$DS$2:$DS$3</definedName>
    <definedName name="GalDBTblFld_M3D4" localSheetId="1">Gal_TblSheet!$CR$2:$CR$3</definedName>
    <definedName name="GalDBTblFld_M3D5" localSheetId="1">Gal_TblSheet!$CS$2:$CS$3</definedName>
    <definedName name="GalDBTblFld_M3D6" localSheetId="1">Gal_TblSheet!$CT$2:$CT$3</definedName>
    <definedName name="GalDBTblFld_M3D7" localSheetId="1">Gal_TblSheet!$CU$2:$CU$3</definedName>
    <definedName name="GalDBTblFld_M3D8" localSheetId="1">Gal_TblSheet!$CV$2:$CV$3</definedName>
    <definedName name="GalDBTblFld_M3D9" localSheetId="1">Gal_TblSheet!$CW$2:$CW$3</definedName>
    <definedName name="GalDBTblFld_M3Visible" localSheetId="1">Gal_TblSheet!$CN$2:$CN$3</definedName>
    <definedName name="GalDBTblFld_M4_Arr1N" localSheetId="1">Gal_TblSheet!$DU$2:$EY$3</definedName>
    <definedName name="GalDBTblFld_M4D1" localSheetId="1">Gal_TblSheet!$DU$2:$DU$3</definedName>
    <definedName name="GalDBTblFld_M4D10" localSheetId="1">Gal_TblSheet!$ED$2:$ED$3</definedName>
    <definedName name="GalDBTblFld_M4D11" localSheetId="1">Gal_TblSheet!$EE$2:$EE$3</definedName>
    <definedName name="GalDBTblFld_M4D12" localSheetId="1">Gal_TblSheet!$EF$2:$EF$3</definedName>
    <definedName name="GalDBTblFld_M4D13" localSheetId="1">Gal_TblSheet!$EG$2:$EG$3</definedName>
    <definedName name="GalDBTblFld_M4D14" localSheetId="1">Gal_TblSheet!$EH$2:$EH$3</definedName>
    <definedName name="GalDBTblFld_M4D15" localSheetId="1">Gal_TblSheet!$EI$2:$EI$3</definedName>
    <definedName name="GalDBTblFld_M4D16" localSheetId="1">Gal_TblSheet!$EJ$2:$EJ$3</definedName>
    <definedName name="GalDBTblFld_M4D17" localSheetId="1">Gal_TblSheet!$EK$2:$EK$3</definedName>
    <definedName name="GalDBTblFld_M4D18" localSheetId="1">Gal_TblSheet!$EL$2:$EL$3</definedName>
    <definedName name="GalDBTblFld_M4D19" localSheetId="1">Gal_TblSheet!$EM$2:$EM$3</definedName>
    <definedName name="GalDBTblFld_M4D2" localSheetId="1">Gal_TblSheet!$DV$2:$DV$3</definedName>
    <definedName name="GalDBTblFld_M4D20" localSheetId="1">Gal_TblSheet!$EN$2:$EN$3</definedName>
    <definedName name="GalDBTblFld_M4D21" localSheetId="1">Gal_TblSheet!$EO$2:$EO$3</definedName>
    <definedName name="GalDBTblFld_M4D22" localSheetId="1">Gal_TblSheet!$EP$2:$EP$3</definedName>
    <definedName name="GalDBTblFld_M4D23" localSheetId="1">Gal_TblSheet!$EQ$2:$EQ$3</definedName>
    <definedName name="GalDBTblFld_M4D24" localSheetId="1">Gal_TblSheet!$ER$2:$ER$3</definedName>
    <definedName name="GalDBTblFld_M4D25" localSheetId="1">Gal_TblSheet!$ES$2:$ES$3</definedName>
    <definedName name="GalDBTblFld_M4D26" localSheetId="1">Gal_TblSheet!$ET$2:$ET$3</definedName>
    <definedName name="GalDBTblFld_M4D27" localSheetId="1">Gal_TblSheet!$EU$2:$EU$3</definedName>
    <definedName name="GalDBTblFld_M4D28" localSheetId="1">Gal_TblSheet!$EV$2:$EV$3</definedName>
    <definedName name="GalDBTblFld_M4D29" localSheetId="1">Gal_TblSheet!$EW$2:$EW$3</definedName>
    <definedName name="GalDBTblFld_M4D3" localSheetId="1">Gal_TblSheet!$DW$2:$DW$3</definedName>
    <definedName name="GalDBTblFld_M4D30" localSheetId="1">Gal_TblSheet!$EX$2:$EX$3</definedName>
    <definedName name="GalDBTblFld_M4D31" localSheetId="1">Gal_TblSheet!$EY$2:$EY$3</definedName>
    <definedName name="GalDBTblFld_M4D4" localSheetId="1">Gal_TblSheet!$DX$2:$DX$3</definedName>
    <definedName name="GalDBTblFld_M4D5" localSheetId="1">Gal_TblSheet!$DY$2:$DY$3</definedName>
    <definedName name="GalDBTblFld_M4D6" localSheetId="1">Gal_TblSheet!$DZ$2:$DZ$3</definedName>
    <definedName name="GalDBTblFld_M4D7" localSheetId="1">Gal_TblSheet!$EA$2:$EA$3</definedName>
    <definedName name="GalDBTblFld_M4D8" localSheetId="1">Gal_TblSheet!$EB$2:$EB$3</definedName>
    <definedName name="GalDBTblFld_M4D9" localSheetId="1">Gal_TblSheet!$EC$2:$EC$3</definedName>
    <definedName name="GalDBTblFld_M4Visible" localSheetId="1">Gal_TblSheet!$DT$2:$DT$3</definedName>
    <definedName name="GalDBTblFld_M5_Arr1N" localSheetId="1">Gal_TblSheet!$FA$2:$GE$3</definedName>
    <definedName name="GalDBTblFld_M5D1" localSheetId="1">Gal_TblSheet!$FA$2:$FA$3</definedName>
    <definedName name="GalDBTblFld_M5D10" localSheetId="1">Gal_TblSheet!$FJ$2:$FJ$3</definedName>
    <definedName name="GalDBTblFld_M5D11" localSheetId="1">Gal_TblSheet!$FK$2:$FK$3</definedName>
    <definedName name="GalDBTblFld_M5D12" localSheetId="1">Gal_TblSheet!$FL$2:$FL$3</definedName>
    <definedName name="GalDBTblFld_M5D13" localSheetId="1">Gal_TblSheet!$FM$2:$FM$3</definedName>
    <definedName name="GalDBTblFld_M5D14" localSheetId="1">Gal_TblSheet!$FN$2:$FN$3</definedName>
    <definedName name="GalDBTblFld_M5D15" localSheetId="1">Gal_TblSheet!$FO$2:$FO$3</definedName>
    <definedName name="GalDBTblFld_M5D16" localSheetId="1">Gal_TblSheet!$FP$2:$FP$3</definedName>
    <definedName name="GalDBTblFld_M5D17" localSheetId="1">Gal_TblSheet!$FQ$2:$FQ$3</definedName>
    <definedName name="GalDBTblFld_M5D18" localSheetId="1">Gal_TblSheet!$FR$2:$FR$3</definedName>
    <definedName name="GalDBTblFld_M5D19" localSheetId="1">Gal_TblSheet!$FS$2:$FS$3</definedName>
    <definedName name="GalDBTblFld_M5D2" localSheetId="1">Gal_TblSheet!$FB$2:$FB$3</definedName>
    <definedName name="GalDBTblFld_M5D20" localSheetId="1">Gal_TblSheet!$FT$2:$FT$3</definedName>
    <definedName name="GalDBTblFld_M5D21" localSheetId="1">Gal_TblSheet!$FU$2:$FU$3</definedName>
    <definedName name="GalDBTblFld_M5D22" localSheetId="1">Gal_TblSheet!$FV$2:$FV$3</definedName>
    <definedName name="GalDBTblFld_M5D23" localSheetId="1">Gal_TblSheet!$FW$2:$FW$3</definedName>
    <definedName name="GalDBTblFld_M5D24" localSheetId="1">Gal_TblSheet!$FX$2:$FX$3</definedName>
    <definedName name="GalDBTblFld_M5D25" localSheetId="1">Gal_TblSheet!$FY$2:$FY$3</definedName>
    <definedName name="GalDBTblFld_M5D26" localSheetId="1">Gal_TblSheet!$FZ$2:$FZ$3</definedName>
    <definedName name="GalDBTblFld_M5D27" localSheetId="1">Gal_TblSheet!$GA$2:$GA$3</definedName>
    <definedName name="GalDBTblFld_M5D28" localSheetId="1">Gal_TblSheet!$GB$2:$GB$3</definedName>
    <definedName name="GalDBTblFld_M5D29" localSheetId="1">Gal_TblSheet!$GC$2:$GC$3</definedName>
    <definedName name="GalDBTblFld_M5D3" localSheetId="1">Gal_TblSheet!$FC$2:$FC$3</definedName>
    <definedName name="GalDBTblFld_M5D30" localSheetId="1">Gal_TblSheet!$GD$2:$GD$3</definedName>
    <definedName name="GalDBTblFld_M5D31" localSheetId="1">Gal_TblSheet!$GE$2:$GE$3</definedName>
    <definedName name="GalDBTblFld_M5D4" localSheetId="1">Gal_TblSheet!$FD$2:$FD$3</definedName>
    <definedName name="GalDBTblFld_M5D5" localSheetId="1">Gal_TblSheet!$FE$2:$FE$3</definedName>
    <definedName name="GalDBTblFld_M5D6" localSheetId="1">Gal_TblSheet!$FF$2:$FF$3</definedName>
    <definedName name="GalDBTblFld_M5D7" localSheetId="1">Gal_TblSheet!$FG$2:$FG$3</definedName>
    <definedName name="GalDBTblFld_M5D8" localSheetId="1">Gal_TblSheet!$FH$2:$FH$3</definedName>
    <definedName name="GalDBTblFld_M5D9" localSheetId="1">Gal_TblSheet!$FI$2:$FI$3</definedName>
    <definedName name="GalDBTblFld_M5Visible" localSheetId="1">Gal_TblSheet!$EZ$2:$EZ$3</definedName>
    <definedName name="GalDBTblFld_M6_Arr1N" localSheetId="1">Gal_TblSheet!$GG$2:$HK$3</definedName>
    <definedName name="GalDBTblFld_M6D1" localSheetId="1">Gal_TblSheet!$GG$2:$GG$3</definedName>
    <definedName name="GalDBTblFld_M6D10" localSheetId="1">Gal_TblSheet!$GP$2:$GP$3</definedName>
    <definedName name="GalDBTblFld_M6D11" localSheetId="1">Gal_TblSheet!$GQ$2:$GQ$3</definedName>
    <definedName name="GalDBTblFld_M6D12" localSheetId="1">Gal_TblSheet!$GR$2:$GR$3</definedName>
    <definedName name="GalDBTblFld_M6D13" localSheetId="1">Gal_TblSheet!$GS$2:$GS$3</definedName>
    <definedName name="GalDBTblFld_M6D14" localSheetId="1">Gal_TblSheet!$GT$2:$GT$3</definedName>
    <definedName name="GalDBTblFld_M6D15" localSheetId="1">Gal_TblSheet!$GU$2:$GU$3</definedName>
    <definedName name="GalDBTblFld_M6D16" localSheetId="1">Gal_TblSheet!$GV$2:$GV$3</definedName>
    <definedName name="GalDBTblFld_M6D17" localSheetId="1">Gal_TblSheet!$GW$2:$GW$3</definedName>
    <definedName name="GalDBTblFld_M6D18" localSheetId="1">Gal_TblSheet!$GX$2:$GX$3</definedName>
    <definedName name="GalDBTblFld_M6D19" localSheetId="1">Gal_TblSheet!$GY$2:$GY$3</definedName>
    <definedName name="GalDBTblFld_M6D2" localSheetId="1">Gal_TblSheet!$GH$2:$GH$3</definedName>
    <definedName name="GalDBTblFld_M6D20" localSheetId="1">Gal_TblSheet!$GZ$2:$GZ$3</definedName>
    <definedName name="GalDBTblFld_M6D21" localSheetId="1">Gal_TblSheet!$HA$2:$HA$3</definedName>
    <definedName name="GalDBTblFld_M6D22" localSheetId="1">Gal_TblSheet!$HB$2:$HB$3</definedName>
    <definedName name="GalDBTblFld_M6D23" localSheetId="1">Gal_TblSheet!$HC$2:$HC$3</definedName>
    <definedName name="GalDBTblFld_M6D24" localSheetId="1">Gal_TblSheet!$HD$2:$HD$3</definedName>
    <definedName name="GalDBTblFld_M6D25" localSheetId="1">Gal_TblSheet!$HE$2:$HE$3</definedName>
    <definedName name="GalDBTblFld_M6D26" localSheetId="1">Gal_TblSheet!$HF$2:$HF$3</definedName>
    <definedName name="GalDBTblFld_M6D27" localSheetId="1">Gal_TblSheet!$HG$2:$HG$3</definedName>
    <definedName name="GalDBTblFld_M6D28" localSheetId="1">Gal_TblSheet!$HH$2:$HH$3</definedName>
    <definedName name="GalDBTblFld_M6D29" localSheetId="1">Gal_TblSheet!$HI$2:$HI$3</definedName>
    <definedName name="GalDBTblFld_M6D3" localSheetId="1">Gal_TblSheet!$GI$2:$GI$3</definedName>
    <definedName name="GalDBTblFld_M6D30" localSheetId="1">Gal_TblSheet!$HJ$2:$HJ$3</definedName>
    <definedName name="GalDBTblFld_M6D31" localSheetId="1">Gal_TblSheet!$HK$2:$HK$3</definedName>
    <definedName name="GalDBTblFld_M6D4" localSheetId="1">Gal_TblSheet!$GJ$2:$GJ$3</definedName>
    <definedName name="GalDBTblFld_M6D5" localSheetId="1">Gal_TblSheet!$GK$2:$GK$3</definedName>
    <definedName name="GalDBTblFld_M6D6" localSheetId="1">Gal_TblSheet!$GL$2:$GL$3</definedName>
    <definedName name="GalDBTblFld_M6D7" localSheetId="1">Gal_TblSheet!$GM$2:$GM$3</definedName>
    <definedName name="GalDBTblFld_M6D8" localSheetId="1">Gal_TblSheet!$GN$2:$GN$3</definedName>
    <definedName name="GalDBTblFld_M6D9" localSheetId="1">Gal_TblSheet!$GO$2:$GO$3</definedName>
    <definedName name="GalDBTblFld_M6Visible" localSheetId="1">Gal_TblSheet!$GF$2:$GF$3</definedName>
    <definedName name="GalDBTblFld_M7_Arr1N" localSheetId="1">Gal_TblSheet!$HM$2:$IQ$3</definedName>
    <definedName name="GalDBTblFld_M7D1" localSheetId="1">Gal_TblSheet!$HM$2:$HM$3</definedName>
    <definedName name="GalDBTblFld_M7D10" localSheetId="1">Gal_TblSheet!$HV$2:$HV$3</definedName>
    <definedName name="GalDBTblFld_M7D11" localSheetId="1">Gal_TblSheet!$HW$2:$HW$3</definedName>
    <definedName name="GalDBTblFld_M7D12" localSheetId="1">Gal_TblSheet!$HX$2:$HX$3</definedName>
    <definedName name="GalDBTblFld_M7D13" localSheetId="1">Gal_TblSheet!$HY$2:$HY$3</definedName>
    <definedName name="GalDBTblFld_M7D14" localSheetId="1">Gal_TblSheet!$HZ$2:$HZ$3</definedName>
    <definedName name="GalDBTblFld_M7D15" localSheetId="1">Gal_TblSheet!$IA$2:$IA$3</definedName>
    <definedName name="GalDBTblFld_M7D16" localSheetId="1">Gal_TblSheet!$IB$2:$IB$3</definedName>
    <definedName name="GalDBTblFld_M7D17" localSheetId="1">Gal_TblSheet!$IC$2:$IC$3</definedName>
    <definedName name="GalDBTblFld_M7D18" localSheetId="1">Gal_TblSheet!$ID$2:$ID$3</definedName>
    <definedName name="GalDBTblFld_M7D19" localSheetId="1">Gal_TblSheet!$IE$2:$IE$3</definedName>
    <definedName name="GalDBTblFld_M7D2" localSheetId="1">Gal_TblSheet!$HN$2:$HN$3</definedName>
    <definedName name="GalDBTblFld_M7D20" localSheetId="1">Gal_TblSheet!$IF$2:$IF$3</definedName>
    <definedName name="GalDBTblFld_M7D21" localSheetId="1">Gal_TblSheet!$IG$2:$IG$3</definedName>
    <definedName name="GalDBTblFld_M7D22" localSheetId="1">Gal_TblSheet!$IH$2:$IH$3</definedName>
    <definedName name="GalDBTblFld_M7D23" localSheetId="1">Gal_TblSheet!$II$2:$II$3</definedName>
    <definedName name="GalDBTblFld_M7D24" localSheetId="1">Gal_TblSheet!$IJ$2:$IJ$3</definedName>
    <definedName name="GalDBTblFld_M7D25" localSheetId="1">Gal_TblSheet!$IK$2:$IK$3</definedName>
    <definedName name="GalDBTblFld_M7D26" localSheetId="1">Gal_TblSheet!$IL$2:$IL$3</definedName>
    <definedName name="GalDBTblFld_M7D27" localSheetId="1">Gal_TblSheet!$IM$2:$IM$3</definedName>
    <definedName name="GalDBTblFld_M7D28" localSheetId="1">Gal_TblSheet!$IN$2:$IN$3</definedName>
    <definedName name="GalDBTblFld_M7D29" localSheetId="1">Gal_TblSheet!$IO$2:$IO$3</definedName>
    <definedName name="GalDBTblFld_M7D3" localSheetId="1">Gal_TblSheet!$HO$2:$HO$3</definedName>
    <definedName name="GalDBTblFld_M7D30" localSheetId="1">Gal_TblSheet!$IP$2:$IP$3</definedName>
    <definedName name="GalDBTblFld_M7D31" localSheetId="1">Gal_TblSheet!$IQ$2:$IQ$3</definedName>
    <definedName name="GalDBTblFld_M7D4" localSheetId="1">Gal_TblSheet!$HP$2:$HP$3</definedName>
    <definedName name="GalDBTblFld_M7D5" localSheetId="1">Gal_TblSheet!$HQ$2:$HQ$3</definedName>
    <definedName name="GalDBTblFld_M7D6" localSheetId="1">Gal_TblSheet!$HR$2:$HR$3</definedName>
    <definedName name="GalDBTblFld_M7D7" localSheetId="1">Gal_TblSheet!$HS$2:$HS$3</definedName>
    <definedName name="GalDBTblFld_M7D8" localSheetId="1">Gal_TblSheet!$HT$2:$HT$3</definedName>
    <definedName name="GalDBTblFld_M7D9" localSheetId="1">Gal_TblSheet!$HU$2:$HU$3</definedName>
    <definedName name="GalDBTblFld_M7Visible" localSheetId="1">Gal_TblSheet!$HL$2:$HL$3</definedName>
    <definedName name="GalDBTblFld_M8_Arr1N" localSheetId="1">Gal_TblSheet!$IS$2:$JW$3</definedName>
    <definedName name="GalDBTblFld_M8D1" localSheetId="1">Gal_TblSheet!$IS$2:$IS$3</definedName>
    <definedName name="GalDBTblFld_M8D10" localSheetId="1">Gal_TblSheet!$JB$2:$JB$3</definedName>
    <definedName name="GalDBTblFld_M8D11" localSheetId="1">Gal_TblSheet!$JC$2:$JC$3</definedName>
    <definedName name="GalDBTblFld_M8D12" localSheetId="1">Gal_TblSheet!$JD$2:$JD$3</definedName>
    <definedName name="GalDBTblFld_M8D13" localSheetId="1">Gal_TblSheet!$JE$2:$JE$3</definedName>
    <definedName name="GalDBTblFld_M8D14" localSheetId="1">Gal_TblSheet!$JF$2:$JF$3</definedName>
    <definedName name="GalDBTblFld_M8D15" localSheetId="1">Gal_TblSheet!$JG$2:$JG$3</definedName>
    <definedName name="GalDBTblFld_M8D16" localSheetId="1">Gal_TblSheet!$JH$2:$JH$3</definedName>
    <definedName name="GalDBTblFld_M8D17" localSheetId="1">Gal_TblSheet!$JI$2:$JI$3</definedName>
    <definedName name="GalDBTblFld_M8D18" localSheetId="1">Gal_TblSheet!$JJ$2:$JJ$3</definedName>
    <definedName name="GalDBTblFld_M8D19" localSheetId="1">Gal_TblSheet!$JK$2:$JK$3</definedName>
    <definedName name="GalDBTblFld_M8D2" localSheetId="1">Gal_TblSheet!$IT$2:$IT$3</definedName>
    <definedName name="GalDBTblFld_M8D20" localSheetId="1">Gal_TblSheet!$JL$2:$JL$3</definedName>
    <definedName name="GalDBTblFld_M8D21" localSheetId="1">Gal_TblSheet!$JM$2:$JM$3</definedName>
    <definedName name="GalDBTblFld_M8D22" localSheetId="1">Gal_TblSheet!$JN$2:$JN$3</definedName>
    <definedName name="GalDBTblFld_M8D23" localSheetId="1">Gal_TblSheet!$JO$2:$JO$3</definedName>
    <definedName name="GalDBTblFld_M8D24" localSheetId="1">Gal_TblSheet!$JP$2:$JP$3</definedName>
    <definedName name="GalDBTblFld_M8D25" localSheetId="1">Gal_TblSheet!$JQ$2:$JQ$3</definedName>
    <definedName name="GalDBTblFld_M8D26" localSheetId="1">Gal_TblSheet!$JR$2:$JR$3</definedName>
    <definedName name="GalDBTblFld_M8D27" localSheetId="1">Gal_TblSheet!$JS$2:$JS$3</definedName>
    <definedName name="GalDBTblFld_M8D28" localSheetId="1">Gal_TblSheet!$JT$2:$JT$3</definedName>
    <definedName name="GalDBTblFld_M8D29" localSheetId="1">Gal_TblSheet!$JU$2:$JU$3</definedName>
    <definedName name="GalDBTblFld_M8D3" localSheetId="1">Gal_TblSheet!$IU$2:$IU$3</definedName>
    <definedName name="GalDBTblFld_M8D30" localSheetId="1">Gal_TblSheet!$JV$2:$JV$3</definedName>
    <definedName name="GalDBTblFld_M8D31" localSheetId="1">Gal_TblSheet!$JW$2:$JW$3</definedName>
    <definedName name="GalDBTblFld_M8D4" localSheetId="1">Gal_TblSheet!$IV$2:$IV$3</definedName>
    <definedName name="GalDBTblFld_M8D5" localSheetId="1">Gal_TblSheet!$IW$2:$IW$3</definedName>
    <definedName name="GalDBTblFld_M8D6" localSheetId="1">Gal_TblSheet!$IX$2:$IX$3</definedName>
    <definedName name="GalDBTblFld_M8D7" localSheetId="1">Gal_TblSheet!$IY$2:$IY$3</definedName>
    <definedName name="GalDBTblFld_M8D8" localSheetId="1">Gal_TblSheet!$IZ$2:$IZ$3</definedName>
    <definedName name="GalDBTblFld_M8D9" localSheetId="1">Gal_TblSheet!$JA$2:$JA$3</definedName>
    <definedName name="GalDBTblFld_M8Visible" localSheetId="1">Gal_TblSheet!$IR$2:$IR$3</definedName>
    <definedName name="GalDBTblFld_M9_Arr1N" localSheetId="1">Gal_TblSheet!$JY$2:$LC$3</definedName>
    <definedName name="GalDBTblFld_M9D1" localSheetId="1">Gal_TblSheet!$JY$2:$JY$3</definedName>
    <definedName name="GalDBTblFld_M9D10" localSheetId="1">Gal_TblSheet!$KH$2:$KH$3</definedName>
    <definedName name="GalDBTblFld_M9D11" localSheetId="1">Gal_TblSheet!$KI$2:$KI$3</definedName>
    <definedName name="GalDBTblFld_M9D12" localSheetId="1">Gal_TblSheet!$KJ$2:$KJ$3</definedName>
    <definedName name="GalDBTblFld_M9D13" localSheetId="1">Gal_TblSheet!$KK$2:$KK$3</definedName>
    <definedName name="GalDBTblFld_M9D14" localSheetId="1">Gal_TblSheet!$KL$2:$KL$3</definedName>
    <definedName name="GalDBTblFld_M9D15" localSheetId="1">Gal_TblSheet!$KM$2:$KM$3</definedName>
    <definedName name="GalDBTblFld_M9D16" localSheetId="1">Gal_TblSheet!$KN$2:$KN$3</definedName>
    <definedName name="GalDBTblFld_M9D17" localSheetId="1">Gal_TblSheet!$KO$2:$KO$3</definedName>
    <definedName name="GalDBTblFld_M9D18" localSheetId="1">Gal_TblSheet!$KP$2:$KP$3</definedName>
    <definedName name="GalDBTblFld_M9D19" localSheetId="1">Gal_TblSheet!$KQ$2:$KQ$3</definedName>
    <definedName name="GalDBTblFld_M9D2" localSheetId="1">Gal_TblSheet!$JZ$2:$JZ$3</definedName>
    <definedName name="GalDBTblFld_M9D20" localSheetId="1">Gal_TblSheet!$KR$2:$KR$3</definedName>
    <definedName name="GalDBTblFld_M9D21" localSheetId="1">Gal_TblSheet!$KS$2:$KS$3</definedName>
    <definedName name="GalDBTblFld_M9D22" localSheetId="1">Gal_TblSheet!$KT$2:$KT$3</definedName>
    <definedName name="GalDBTblFld_M9D23" localSheetId="1">Gal_TblSheet!$KU$2:$KU$3</definedName>
    <definedName name="GalDBTblFld_M9D24" localSheetId="1">Gal_TblSheet!$KV$2:$KV$3</definedName>
    <definedName name="GalDBTblFld_M9D25" localSheetId="1">Gal_TblSheet!$KW$2:$KW$3</definedName>
    <definedName name="GalDBTblFld_M9D26" localSheetId="1">Gal_TblSheet!$KX$2:$KX$3</definedName>
    <definedName name="GalDBTblFld_M9D27" localSheetId="1">Gal_TblSheet!$KY$2:$KY$3</definedName>
    <definedName name="GalDBTblFld_M9D28" localSheetId="1">Gal_TblSheet!$KZ$2:$KZ$3</definedName>
    <definedName name="GalDBTblFld_M9D29" localSheetId="1">Gal_TblSheet!$LA$2:$LA$3</definedName>
    <definedName name="GalDBTblFld_M9D3" localSheetId="1">Gal_TblSheet!$KA$2:$KA$3</definedName>
    <definedName name="GalDBTblFld_M9D30" localSheetId="1">Gal_TblSheet!$LB$2:$LB$3</definedName>
    <definedName name="GalDBTblFld_M9D31" localSheetId="1">Gal_TblSheet!$LC$2:$LC$3</definedName>
    <definedName name="GalDBTblFld_M9D4" localSheetId="1">Gal_TblSheet!$KB$2:$KB$3</definedName>
    <definedName name="GalDBTblFld_M9D5" localSheetId="1">Gal_TblSheet!$KC$2:$KC$3</definedName>
    <definedName name="GalDBTblFld_M9D6" localSheetId="1">Gal_TblSheet!$KD$2:$KD$3</definedName>
    <definedName name="GalDBTblFld_M9D7" localSheetId="1">Gal_TblSheet!$KE$2:$KE$3</definedName>
    <definedName name="GalDBTblFld_M9D8" localSheetId="1">Gal_TblSheet!$KF$2:$KF$3</definedName>
    <definedName name="GalDBTblFld_M9D9" localSheetId="1">Gal_TblSheet!$KG$2:$KG$3</definedName>
    <definedName name="GalDBTblFld_M9Visible" localSheetId="1">Gal_TblSheet!$JX$2:$JX$3</definedName>
    <definedName name="GalDBTblFld_NameGrafic" localSheetId="1">Gal_TblSheet!$A$2:$A$3</definedName>
    <definedName name="GalDBTblFld_PersonCex" localSheetId="1">Gal_TblSheet!$D$2:$D$3</definedName>
    <definedName name="GalDBTblFld_PersonDol" localSheetId="1">Gal_TblSheet!$C$2:$C$3</definedName>
    <definedName name="GalDBTblFld_PersonName" localSheetId="1">Gal_TblSheet!$B$2:$B$3</definedName>
    <definedName name="GalDBTblFld_Podpis1Dol" localSheetId="1">Gal_TblSheet!$M$2:$M$3</definedName>
    <definedName name="GalDBTblFld_Podpis1FIO" localSheetId="1">Gal_TblSheet!$L$2:$L$3</definedName>
    <definedName name="GalDBTblFld_Podpis2Dol" localSheetId="1">Gal_TblSheet!$O$2:$O$3</definedName>
    <definedName name="GalDBTblFld_Podpis2FIO" localSheetId="1">Gal_TblSheet!$N$2:$N$3</definedName>
    <definedName name="GalDBTblFld_Q1V" localSheetId="1">Gal_TblSheet!$X$2:$X$3</definedName>
    <definedName name="GalDBTblFld_Q2V" localSheetId="1">Gal_TblSheet!$Y$2:$Y$3</definedName>
    <definedName name="GalDBTblFld_Q3V" localSheetId="1">Gal_TblSheet!$Z$2:$Z$3</definedName>
    <definedName name="GalDBTblFld_Q4V" localSheetId="1">Gal_TblSheet!$AA$2:$AA$3</definedName>
    <definedName name="GalDBTblFld_Sogl2Dol" localSheetId="1">Gal_TblSheet!$I$2:$I$3</definedName>
    <definedName name="GalDBTblFld_Sogl2FIO" localSheetId="1">Gal_TblSheet!$H$2:$H$3</definedName>
    <definedName name="GalDBTblFld_SoglDol" localSheetId="1">Gal_TblSheet!$G$2:$G$3</definedName>
    <definedName name="GalDBTblFld_SoglFIO" localSheetId="1">Gal_TblSheet!$F$2:$F$3</definedName>
    <definedName name="GalDBTblFld_UtvrDol" localSheetId="1">Gal_TblSheet!$K$2:$K$3</definedName>
    <definedName name="GalDBTblFld_UtvrFIO" localSheetId="1">Gal_TblSheet!$J$2:$J$3</definedName>
    <definedName name="GalDBTblFld_WeekHour" localSheetId="1">Gal_TblSheet!$W$2:$W$3</definedName>
    <definedName name="GalDBTblFld_wYear" localSheetId="1">Gal_TblSheet!$E$2:$E$3</definedName>
    <definedName name="GalDBVar_CFH" localSheetId="2">Gal_VarSheet!$C$2</definedName>
    <definedName name="GalRepTbl_tblGraphics" localSheetId="3">Отчет!$B$1:$AM$49</definedName>
    <definedName name="GalRepTblFld_day1Res" localSheetId="3">Отчет!$H$2</definedName>
    <definedName name="GalRepTblFld_day2Res" localSheetId="3">Отчет!$I$2</definedName>
    <definedName name="GalRepTblFld_day3Res" localSheetId="3">Отчет!$J$2</definedName>
    <definedName name="GalRepTblFld_day4Res" localSheetId="3">Отчет!$K$2</definedName>
    <definedName name="GalRepTblFld_day5Res" localSheetId="3">Отчет!$L$2</definedName>
    <definedName name="GalRepTblFld_day6Res" localSheetId="3">Отчет!$M$2</definedName>
    <definedName name="GalRepTblFld_day7Res" localSheetId="3">Отчет!$N$2</definedName>
    <definedName name="GalRepTblFld_M10D1" localSheetId="3">Отчет!$I$38</definedName>
    <definedName name="GalRepTblFld_M10D10" localSheetId="3">Отчет!$R$38</definedName>
    <definedName name="GalRepTblFld_M10D11" localSheetId="3">Отчет!$S$38</definedName>
    <definedName name="GalRepTblFld_M10D12" localSheetId="3">Отчет!$T$38</definedName>
    <definedName name="GalRepTblFld_M10D13" localSheetId="3">Отчет!$U$38</definedName>
    <definedName name="GalRepTblFld_M10D14" localSheetId="3">Отчет!$V$38</definedName>
    <definedName name="GalRepTblFld_M10D15" localSheetId="3">Отчет!$W$38</definedName>
    <definedName name="GalRepTblFld_M10D16" localSheetId="3">Отчет!$X$38</definedName>
    <definedName name="GalRepTblFld_M10D17" localSheetId="3">Отчет!$Y$38</definedName>
    <definedName name="GalRepTblFld_M10D18" localSheetId="3">Отчет!$Z$38</definedName>
    <definedName name="GalRepTblFld_M10D19" localSheetId="3">Отчет!$AA$38</definedName>
    <definedName name="GalRepTblFld_M10D2" localSheetId="3">Отчет!$J$38</definedName>
    <definedName name="GalRepTblFld_M10D20" localSheetId="3">Отчет!$AB$38</definedName>
    <definedName name="GalRepTblFld_M10D21" localSheetId="3">Отчет!$AC$38</definedName>
    <definedName name="GalRepTblFld_M10D22" localSheetId="3">Отчет!$AD$38</definedName>
    <definedName name="GalRepTblFld_M10D23" localSheetId="3">Отчет!$AE$38</definedName>
    <definedName name="GalRepTblFld_M10D24" localSheetId="3">Отчет!$AF$38</definedName>
    <definedName name="GalRepTblFld_M10D25" localSheetId="3">Отчет!$AG$38</definedName>
    <definedName name="GalRepTblFld_M10D26" localSheetId="3">Отчет!$AH$38</definedName>
    <definedName name="GalRepTblFld_M10D27" localSheetId="3">Отчет!$AI$38</definedName>
    <definedName name="GalRepTblFld_M10D28" localSheetId="3">Отчет!$AJ$38</definedName>
    <definedName name="GalRepTblFld_M10D29" localSheetId="3">Отчет!$AK$38</definedName>
    <definedName name="GalRepTblFld_M10D3" localSheetId="3">Отчет!$K$38</definedName>
    <definedName name="GalRepTblFld_M10D30" localSheetId="3">Отчет!$AL$38</definedName>
    <definedName name="GalRepTblFld_M10D31" localSheetId="3">Отчет!$AM$38</definedName>
    <definedName name="GalRepTblFld_M10D4" localSheetId="3">Отчет!$L$38</definedName>
    <definedName name="GalRepTblFld_M10D5" localSheetId="3">Отчет!$M$38</definedName>
    <definedName name="GalRepTblFld_M10D6" localSheetId="3">Отчет!$N$38</definedName>
    <definedName name="GalRepTblFld_M10D7" localSheetId="3">Отчет!$O$38</definedName>
    <definedName name="GalRepTblFld_M10D8" localSheetId="3">Отчет!$P$38</definedName>
    <definedName name="GalRepTblFld_M10D9" localSheetId="3">Отчет!$Q$38</definedName>
    <definedName name="GalRepTblFld_M10Visible" localSheetId="3">Отчет!$B$38</definedName>
    <definedName name="GalRepTblFld_M11D1" localSheetId="3">Отчет!$I$40</definedName>
    <definedName name="GalRepTblFld_M11D10" localSheetId="3">Отчет!$R$40</definedName>
    <definedName name="GalRepTblFld_M11D11" localSheetId="3">Отчет!$S$40</definedName>
    <definedName name="GalRepTblFld_M11D12" localSheetId="3">Отчет!$T$40</definedName>
    <definedName name="GalRepTblFld_M11D13" localSheetId="3">Отчет!$U$40</definedName>
    <definedName name="GalRepTblFld_M11D14" localSheetId="3">Отчет!$V$40</definedName>
    <definedName name="GalRepTblFld_M11D15" localSheetId="3">Отчет!$W$40</definedName>
    <definedName name="GalRepTblFld_M11D16" localSheetId="3">Отчет!$X$40</definedName>
    <definedName name="GalRepTblFld_M11D17" localSheetId="3">Отчет!$Y$40</definedName>
    <definedName name="GalRepTblFld_M11D18" localSheetId="3">Отчет!$Z$40</definedName>
    <definedName name="GalRepTblFld_M11D19" localSheetId="3">Отчет!$AA$40</definedName>
    <definedName name="GalRepTblFld_M11D2" localSheetId="3">Отчет!$J$40</definedName>
    <definedName name="GalRepTblFld_M11D20" localSheetId="3">Отчет!$AB$40</definedName>
    <definedName name="GalRepTblFld_M11D21" localSheetId="3">Отчет!$AC$40</definedName>
    <definedName name="GalRepTblFld_M11D22" localSheetId="3">Отчет!$AD$40</definedName>
    <definedName name="GalRepTblFld_M11D23" localSheetId="3">Отчет!$AE$40</definedName>
    <definedName name="GalRepTblFld_M11D24" localSheetId="3">Отчет!$AF$40</definedName>
    <definedName name="GalRepTblFld_M11D25" localSheetId="3">Отчет!$AG$40</definedName>
    <definedName name="GalRepTblFld_M11D26" localSheetId="3">Отчет!$AH$40</definedName>
    <definedName name="GalRepTblFld_M11D27" localSheetId="3">Отчет!$AI$40</definedName>
    <definedName name="GalRepTblFld_M11D28" localSheetId="3">Отчет!$AJ$40</definedName>
    <definedName name="GalRepTblFld_M11D29" localSheetId="3">Отчет!$AK$40</definedName>
    <definedName name="GalRepTblFld_M11D3" localSheetId="3">Отчет!$K$40</definedName>
    <definedName name="GalRepTblFld_M11D30" localSheetId="3">Отчет!$AL$40</definedName>
    <definedName name="GalRepTblFld_M11D31" localSheetId="3">Отчет!$AM$40</definedName>
    <definedName name="GalRepTblFld_M11D4" localSheetId="3">Отчет!$L$40</definedName>
    <definedName name="GalRepTblFld_M11D5" localSheetId="3">Отчет!$M$40</definedName>
    <definedName name="GalRepTblFld_M11D6" localSheetId="3">Отчет!$N$40</definedName>
    <definedName name="GalRepTblFld_M11D7" localSheetId="3">Отчет!$O$40</definedName>
    <definedName name="GalRepTblFld_M11D8" localSheetId="3">Отчет!$P$40</definedName>
    <definedName name="GalRepTblFld_M11D9" localSheetId="3">Отчет!$Q$40</definedName>
    <definedName name="GalRepTblFld_M11Visible" localSheetId="3">Отчет!$B$40</definedName>
    <definedName name="GalRepTblFld_M12D1" localSheetId="3">Отчет!$I$42</definedName>
    <definedName name="GalRepTblFld_M12D10" localSheetId="3">Отчет!$R$42</definedName>
    <definedName name="GalRepTblFld_M12D11" localSheetId="3">Отчет!$S$42</definedName>
    <definedName name="GalRepTblFld_M12D12" localSheetId="3">Отчет!$T$42</definedName>
    <definedName name="GalRepTblFld_M12D13" localSheetId="3">Отчет!$U$42</definedName>
    <definedName name="GalRepTblFld_M12D14" localSheetId="3">Отчет!$V$42</definedName>
    <definedName name="GalRepTblFld_M12D15" localSheetId="3">Отчет!$W$42</definedName>
    <definedName name="GalRepTblFld_M12D16" localSheetId="3">Отчет!$X$42</definedName>
    <definedName name="GalRepTblFld_M12D17" localSheetId="3">Отчет!$Y$42</definedName>
    <definedName name="GalRepTblFld_M12D18" localSheetId="3">Отчет!$Z$42</definedName>
    <definedName name="GalRepTblFld_M12D19" localSheetId="3">Отчет!$AA$42</definedName>
    <definedName name="GalRepTblFld_M12D2" localSheetId="3">Отчет!$J$42</definedName>
    <definedName name="GalRepTblFld_M12D20" localSheetId="3">Отчет!$AB$42</definedName>
    <definedName name="GalRepTblFld_M12D21" localSheetId="3">Отчет!$AC$42</definedName>
    <definedName name="GalRepTblFld_M12D22" localSheetId="3">Отчет!$AD$42</definedName>
    <definedName name="GalRepTblFld_M12D23" localSheetId="3">Отчет!$AE$42</definedName>
    <definedName name="GalRepTblFld_M12D24" localSheetId="3">Отчет!$AF$42</definedName>
    <definedName name="GalRepTblFld_M12D25" localSheetId="3">Отчет!$AG$42</definedName>
    <definedName name="GalRepTblFld_M12D26" localSheetId="3">Отчет!$AH$42</definedName>
    <definedName name="GalRepTblFld_M12D27" localSheetId="3">Отчет!$AI$42</definedName>
    <definedName name="GalRepTblFld_M12D28" localSheetId="3">Отчет!$AJ$42</definedName>
    <definedName name="GalRepTblFld_M12D29" localSheetId="3">Отчет!$AK$42</definedName>
    <definedName name="GalRepTblFld_M12D3" localSheetId="3">Отчет!$K$42</definedName>
    <definedName name="GalRepTblFld_M12D30" localSheetId="3">Отчет!$AL$42</definedName>
    <definedName name="GalRepTblFld_M12D31" localSheetId="3">Отчет!$AM$42</definedName>
    <definedName name="GalRepTblFld_M12D4" localSheetId="3">Отчет!$L$42</definedName>
    <definedName name="GalRepTblFld_M12D5" localSheetId="3">Отчет!$M$42</definedName>
    <definedName name="GalRepTblFld_M12D6" localSheetId="3">Отчет!$N$42</definedName>
    <definedName name="GalRepTblFld_M12D7" localSheetId="3">Отчет!$O$42</definedName>
    <definedName name="GalRepTblFld_M12D8" localSheetId="3">Отчет!$P$42</definedName>
    <definedName name="GalRepTblFld_M12D9" localSheetId="3">Отчет!$Q$42</definedName>
    <definedName name="GalRepTblFld_M12Visible" localSheetId="3">Отчет!$B$42</definedName>
    <definedName name="GalRepTblFld_M1D1" localSheetId="3">Отчет!$I$11</definedName>
    <definedName name="GalRepTblFld_M1D10" localSheetId="3">Отчет!$R$11</definedName>
    <definedName name="GalRepTblFld_M1D11" localSheetId="3">Отчет!$S$11</definedName>
    <definedName name="GalRepTblFld_M1D12" localSheetId="3">Отчет!$T$11</definedName>
    <definedName name="GalRepTblFld_M1D13" localSheetId="3">Отчет!$U$11</definedName>
    <definedName name="GalRepTblFld_M1D14" localSheetId="3">Отчет!$V$11</definedName>
    <definedName name="GalRepTblFld_M1D15" localSheetId="3">Отчет!$W$11</definedName>
    <definedName name="GalRepTblFld_M1D16" localSheetId="3">Отчет!$X$11</definedName>
    <definedName name="GalRepTblFld_M1D17" localSheetId="3">Отчет!$Y$11</definedName>
    <definedName name="GalRepTblFld_M1D18" localSheetId="3">Отчет!$Z$11</definedName>
    <definedName name="GalRepTblFld_M1D19" localSheetId="3">Отчет!$AA$11</definedName>
    <definedName name="GalRepTblFld_M1D2" localSheetId="3">Отчет!$J$11</definedName>
    <definedName name="GalRepTblFld_M1D20" localSheetId="3">Отчет!$AB$11</definedName>
    <definedName name="GalRepTblFld_M1D21" localSheetId="3">Отчет!$AC$11</definedName>
    <definedName name="GalRepTblFld_M1D22" localSheetId="3">Отчет!$AD$11</definedName>
    <definedName name="GalRepTblFld_M1D23" localSheetId="3">Отчет!$AE$11</definedName>
    <definedName name="GalRepTblFld_M1D24" localSheetId="3">Отчет!$AF$11</definedName>
    <definedName name="GalRepTblFld_M1D25" localSheetId="3">Отчет!$AG$11</definedName>
    <definedName name="GalRepTblFld_M1D26" localSheetId="3">Отчет!$AH$11</definedName>
    <definedName name="GalRepTblFld_M1D27" localSheetId="3">Отчет!$AI$11</definedName>
    <definedName name="GalRepTblFld_M1D28" localSheetId="3">Отчет!$AJ$11</definedName>
    <definedName name="GalRepTblFld_M1D29" localSheetId="3">Отчет!$AK$11</definedName>
    <definedName name="GalRepTblFld_M1D3" localSheetId="3">Отчет!$K$11</definedName>
    <definedName name="GalRepTblFld_M1D30" localSheetId="3">Отчет!$AL$11</definedName>
    <definedName name="GalRepTblFld_M1D31" localSheetId="3">Отчет!$AM$11</definedName>
    <definedName name="GalRepTblFld_M1D4" localSheetId="3">Отчет!$L$11</definedName>
    <definedName name="GalRepTblFld_M1D5" localSheetId="3">Отчет!$M$11</definedName>
    <definedName name="GalRepTblFld_M1D6" localSheetId="3">Отчет!$N$11</definedName>
    <definedName name="GalRepTblFld_M1D7" localSheetId="3">Отчет!$O$11</definedName>
    <definedName name="GalRepTblFld_M1D8" localSheetId="3">Отчет!$P$11</definedName>
    <definedName name="GalRepTblFld_M1D9" localSheetId="3">Отчет!$Q$11</definedName>
    <definedName name="GalRepTblFld_M1Visible" localSheetId="3">Отчет!$B$11</definedName>
    <definedName name="GalRepTblFld_M2D1" localSheetId="3">Отчет!$I$13</definedName>
    <definedName name="GalRepTblFld_M2D10" localSheetId="3">Отчет!$R$13</definedName>
    <definedName name="GalRepTblFld_M2D11" localSheetId="3">Отчет!$S$13</definedName>
    <definedName name="GalRepTblFld_M2D12" localSheetId="3">Отчет!$T$13</definedName>
    <definedName name="GalRepTblFld_M2D13" localSheetId="3">Отчет!$U$13</definedName>
    <definedName name="GalRepTblFld_M2D14" localSheetId="3">Отчет!$V$13</definedName>
    <definedName name="GalRepTblFld_M2D15" localSheetId="3">Отчет!$W$13</definedName>
    <definedName name="GalRepTblFld_M2D16" localSheetId="3">Отчет!$X$13</definedName>
    <definedName name="GalRepTblFld_M2D17" localSheetId="3">Отчет!$Y$13</definedName>
    <definedName name="GalRepTblFld_M2D18" localSheetId="3">Отчет!$Z$13</definedName>
    <definedName name="GalRepTblFld_M2D19" localSheetId="3">Отчет!$AA$13</definedName>
    <definedName name="GalRepTblFld_M2D2" localSheetId="3">Отчет!$J$13</definedName>
    <definedName name="GalRepTblFld_M2D20" localSheetId="3">Отчет!$AB$13</definedName>
    <definedName name="GalRepTblFld_M2D21" localSheetId="3">Отчет!$AC$13</definedName>
    <definedName name="GalRepTblFld_M2D22" localSheetId="3">Отчет!$AD$13</definedName>
    <definedName name="GalRepTblFld_M2D23" localSheetId="3">Отчет!$AE$13</definedName>
    <definedName name="GalRepTblFld_M2D24" localSheetId="3">Отчет!$AF$13</definedName>
    <definedName name="GalRepTblFld_M2D25" localSheetId="3">Отчет!$AG$13</definedName>
    <definedName name="GalRepTblFld_M2D26" localSheetId="3">Отчет!$AH$13</definedName>
    <definedName name="GalRepTblFld_M2D27" localSheetId="3">Отчет!$AI$13</definedName>
    <definedName name="GalRepTblFld_M2D28" localSheetId="3">Отчет!$AJ$13</definedName>
    <definedName name="GalRepTblFld_M2D29" localSheetId="3">Отчет!$AK$13</definedName>
    <definedName name="GalRepTblFld_M2D3" localSheetId="3">Отчет!$K$13</definedName>
    <definedName name="GalRepTblFld_M2D30" localSheetId="3">Отчет!$AL$13</definedName>
    <definedName name="GalRepTblFld_M2D31" localSheetId="3">Отчет!$AM$13</definedName>
    <definedName name="GalRepTblFld_M2D4" localSheetId="3">Отчет!$L$13</definedName>
    <definedName name="GalRepTblFld_M2D5" localSheetId="3">Отчет!$M$13</definedName>
    <definedName name="GalRepTblFld_M2D6" localSheetId="3">Отчет!$N$13</definedName>
    <definedName name="GalRepTblFld_M2D7" localSheetId="3">Отчет!$O$13</definedName>
    <definedName name="GalRepTblFld_M2D8" localSheetId="3">Отчет!$P$13</definedName>
    <definedName name="GalRepTblFld_M2D9" localSheetId="3">Отчет!$Q$13</definedName>
    <definedName name="GalRepTblFld_M2Visible" localSheetId="3">Отчет!$B$13</definedName>
    <definedName name="GalRepTblFld_M3D1" localSheetId="3">Отчет!$I$15</definedName>
    <definedName name="GalRepTblFld_M3D10" localSheetId="3">Отчет!$R$15</definedName>
    <definedName name="GalRepTblFld_M3D11" localSheetId="3">Отчет!$S$15</definedName>
    <definedName name="GalRepTblFld_M3D12" localSheetId="3">Отчет!$T$15</definedName>
    <definedName name="GalRepTblFld_M3D13" localSheetId="3">Отчет!$U$15</definedName>
    <definedName name="GalRepTblFld_M3D14" localSheetId="3">Отчет!$V$15</definedName>
    <definedName name="GalRepTblFld_M3D15" localSheetId="3">Отчет!$W$15</definedName>
    <definedName name="GalRepTblFld_M3D16" localSheetId="3">Отчет!$X$15</definedName>
    <definedName name="GalRepTblFld_M3D17" localSheetId="3">Отчет!$Y$15</definedName>
    <definedName name="GalRepTblFld_M3D18" localSheetId="3">Отчет!$Z$15</definedName>
    <definedName name="GalRepTblFld_M3D19" localSheetId="3">Отчет!$AA$15</definedName>
    <definedName name="GalRepTblFld_M3D2" localSheetId="3">Отчет!$J$15</definedName>
    <definedName name="GalRepTblFld_M3D20" localSheetId="3">Отчет!$AB$15</definedName>
    <definedName name="GalRepTblFld_M3D21" localSheetId="3">Отчет!$AC$15</definedName>
    <definedName name="GalRepTblFld_M3D22" localSheetId="3">Отчет!$AD$15</definedName>
    <definedName name="GalRepTblFld_M3D23" localSheetId="3">Отчет!$AE$15</definedName>
    <definedName name="GalRepTblFld_M3D24" localSheetId="3">Отчет!$AF$15</definedName>
    <definedName name="GalRepTblFld_M3D25" localSheetId="3">Отчет!$AG$15</definedName>
    <definedName name="GalRepTblFld_M3D26" localSheetId="3">Отчет!$AH$15</definedName>
    <definedName name="GalRepTblFld_M3D27" localSheetId="3">Отчет!$AI$15</definedName>
    <definedName name="GalRepTblFld_M3D28" localSheetId="3">Отчет!$AJ$15</definedName>
    <definedName name="GalRepTblFld_M3D29" localSheetId="3">Отчет!$AK$15</definedName>
    <definedName name="GalRepTblFld_M3D3" localSheetId="3">Отчет!$K$15</definedName>
    <definedName name="GalRepTblFld_M3D30" localSheetId="3">Отчет!$AL$15</definedName>
    <definedName name="GalRepTblFld_M3D31" localSheetId="3">Отчет!$AM$15</definedName>
    <definedName name="GalRepTblFld_M3D4" localSheetId="3">Отчет!$L$15</definedName>
    <definedName name="GalRepTblFld_M3D5" localSheetId="3">Отчет!$M$15</definedName>
    <definedName name="GalRepTblFld_M3D6" localSheetId="3">Отчет!$N$15</definedName>
    <definedName name="GalRepTblFld_M3D7" localSheetId="3">Отчет!$O$15</definedName>
    <definedName name="GalRepTblFld_M3D8" localSheetId="3">Отчет!$P$15</definedName>
    <definedName name="GalRepTblFld_M3D9" localSheetId="3">Отчет!$Q$15</definedName>
    <definedName name="GalRepTblFld_M3Visible" localSheetId="3">Отчет!$B$15</definedName>
    <definedName name="GalRepTblFld_M4D1" localSheetId="3">Отчет!$I$20</definedName>
    <definedName name="GalRepTblFld_M4D10" localSheetId="3">Отчет!$R$20</definedName>
    <definedName name="GalRepTblFld_M4D11" localSheetId="3">Отчет!$S$20</definedName>
    <definedName name="GalRepTblFld_M4D12" localSheetId="3">Отчет!$T$20</definedName>
    <definedName name="GalRepTblFld_M4D13" localSheetId="3">Отчет!$U$20</definedName>
    <definedName name="GalRepTblFld_M4D14" localSheetId="3">Отчет!$V$20</definedName>
    <definedName name="GalRepTblFld_M4D15" localSheetId="3">Отчет!$W$20</definedName>
    <definedName name="GalRepTblFld_M4D16" localSheetId="3">Отчет!$X$20</definedName>
    <definedName name="GalRepTblFld_M4D17" localSheetId="3">Отчет!$Y$20</definedName>
    <definedName name="GalRepTblFld_M4D18" localSheetId="3">Отчет!$Z$20</definedName>
    <definedName name="GalRepTblFld_M4D19" localSheetId="3">Отчет!$AA$20</definedName>
    <definedName name="GalRepTblFld_M4D2" localSheetId="3">Отчет!$J$20</definedName>
    <definedName name="GalRepTblFld_M4D20" localSheetId="3">Отчет!$AB$20</definedName>
    <definedName name="GalRepTblFld_M4D21" localSheetId="3">Отчет!$AC$20</definedName>
    <definedName name="GalRepTblFld_M4D22" localSheetId="3">Отчет!$AD$20</definedName>
    <definedName name="GalRepTblFld_M4D23" localSheetId="3">Отчет!$AE$20</definedName>
    <definedName name="GalRepTblFld_M4D24" localSheetId="3">Отчет!$AF$20</definedName>
    <definedName name="GalRepTblFld_M4D25" localSheetId="3">Отчет!$AG$20</definedName>
    <definedName name="GalRepTblFld_M4D26" localSheetId="3">Отчет!$AH$20</definedName>
    <definedName name="GalRepTblFld_M4D27" localSheetId="3">Отчет!$AI$20</definedName>
    <definedName name="GalRepTblFld_M4D28" localSheetId="3">Отчет!$AJ$20</definedName>
    <definedName name="GalRepTblFld_M4D29" localSheetId="3">Отчет!$AK$20</definedName>
    <definedName name="GalRepTblFld_M4D3" localSheetId="3">Отчет!$K$20</definedName>
    <definedName name="GalRepTblFld_M4D30" localSheetId="3">Отчет!$AL$20</definedName>
    <definedName name="GalRepTblFld_M4D31" localSheetId="3">Отчет!$AM$20</definedName>
    <definedName name="GalRepTblFld_M4D4" localSheetId="3">Отчет!$L$20</definedName>
    <definedName name="GalRepTblFld_M4D5" localSheetId="3">Отчет!$M$20</definedName>
    <definedName name="GalRepTblFld_M4D6" localSheetId="3">Отчет!$N$20</definedName>
    <definedName name="GalRepTblFld_M4D7" localSheetId="3">Отчет!$O$20</definedName>
    <definedName name="GalRepTblFld_M4D8" localSheetId="3">Отчет!$P$20</definedName>
    <definedName name="GalRepTblFld_M4D9" localSheetId="3">Отчет!$Q$20</definedName>
    <definedName name="GalRepTblFld_M4Visible" localSheetId="3">Отчет!$B$20</definedName>
    <definedName name="GalRepTblFld_M5D1" localSheetId="3">Отчет!$I$22</definedName>
    <definedName name="GalRepTblFld_M5D10" localSheetId="3">Отчет!$R$22</definedName>
    <definedName name="GalRepTblFld_M5D11" localSheetId="3">Отчет!$S$22</definedName>
    <definedName name="GalRepTblFld_M5D12" localSheetId="3">Отчет!$T$22</definedName>
    <definedName name="GalRepTblFld_M5D13" localSheetId="3">Отчет!$U$22</definedName>
    <definedName name="GalRepTblFld_M5D14" localSheetId="3">Отчет!$V$22</definedName>
    <definedName name="GalRepTblFld_M5D15" localSheetId="3">Отчет!$W$22</definedName>
    <definedName name="GalRepTblFld_M5D16" localSheetId="3">Отчет!$X$22</definedName>
    <definedName name="GalRepTblFld_M5D17" localSheetId="3">Отчет!$Y$22</definedName>
    <definedName name="GalRepTblFld_M5D18" localSheetId="3">Отчет!$Z$22</definedName>
    <definedName name="GalRepTblFld_M5D19" localSheetId="3">Отчет!$AA$22</definedName>
    <definedName name="GalRepTblFld_M5D2" localSheetId="3">Отчет!$J$22</definedName>
    <definedName name="GalRepTblFld_M5D20" localSheetId="3">Отчет!$AB$22</definedName>
    <definedName name="GalRepTblFld_M5D21" localSheetId="3">Отчет!$AC$22</definedName>
    <definedName name="GalRepTblFld_M5D22" localSheetId="3">Отчет!$AD$22</definedName>
    <definedName name="GalRepTblFld_M5D23" localSheetId="3">Отчет!$AE$22</definedName>
    <definedName name="GalRepTblFld_M5D24" localSheetId="3">Отчет!$AF$22</definedName>
    <definedName name="GalRepTblFld_M5D25" localSheetId="3">Отчет!$AG$22</definedName>
    <definedName name="GalRepTblFld_M5D26" localSheetId="3">Отчет!$AH$22</definedName>
    <definedName name="GalRepTblFld_M5D27" localSheetId="3">Отчет!$AI$22</definedName>
    <definedName name="GalRepTblFld_M5D28" localSheetId="3">Отчет!$AJ$22</definedName>
    <definedName name="GalRepTblFld_M5D29" localSheetId="3">Отчет!$AK$22</definedName>
    <definedName name="GalRepTblFld_M5D3" localSheetId="3">Отчет!$K$22</definedName>
    <definedName name="GalRepTblFld_M5D30" localSheetId="3">Отчет!$AL$22</definedName>
    <definedName name="GalRepTblFld_M5D31" localSheetId="3">Отчет!$AM$22</definedName>
    <definedName name="GalRepTblFld_M5D4" localSheetId="3">Отчет!$L$22</definedName>
    <definedName name="GalRepTblFld_M5D5" localSheetId="3">Отчет!$M$22</definedName>
    <definedName name="GalRepTblFld_M5D6" localSheetId="3">Отчет!$N$22</definedName>
    <definedName name="GalRepTblFld_M5D7" localSheetId="3">Отчет!$O$22</definedName>
    <definedName name="GalRepTblFld_M5D8" localSheetId="3">Отчет!$P$22</definedName>
    <definedName name="GalRepTblFld_M5D9" localSheetId="3">Отчет!$Q$22</definedName>
    <definedName name="GalRepTblFld_M5Visible" localSheetId="3">Отчет!$B$22</definedName>
    <definedName name="GalRepTblFld_M6D1" localSheetId="3">Отчет!$I$24</definedName>
    <definedName name="GalRepTblFld_M6D10" localSheetId="3">Отчет!$R$24</definedName>
    <definedName name="GalRepTblFld_M6D11" localSheetId="3">Отчет!$S$24</definedName>
    <definedName name="GalRepTblFld_M6D12" localSheetId="3">Отчет!$T$24</definedName>
    <definedName name="GalRepTblFld_M6D13" localSheetId="3">Отчет!$U$24</definedName>
    <definedName name="GalRepTblFld_M6D14" localSheetId="3">Отчет!$V$24</definedName>
    <definedName name="GalRepTblFld_M6D15" localSheetId="3">Отчет!$W$24</definedName>
    <definedName name="GalRepTblFld_M6D16" localSheetId="3">Отчет!$X$24</definedName>
    <definedName name="GalRepTblFld_M6D17" localSheetId="3">Отчет!$Y$24</definedName>
    <definedName name="GalRepTblFld_M6D18" localSheetId="3">Отчет!$Z$24</definedName>
    <definedName name="GalRepTblFld_M6D19" localSheetId="3">Отчет!$AA$24</definedName>
    <definedName name="GalRepTblFld_M6D2" localSheetId="3">Отчет!$J$24</definedName>
    <definedName name="GalRepTblFld_M6D20" localSheetId="3">Отчет!$AB$24</definedName>
    <definedName name="GalRepTblFld_M6D21" localSheetId="3">Отчет!$AC$24</definedName>
    <definedName name="GalRepTblFld_M6D22" localSheetId="3">Отчет!$AD$24</definedName>
    <definedName name="GalRepTblFld_M6D23" localSheetId="3">Отчет!$AE$24</definedName>
    <definedName name="GalRepTblFld_M6D24" localSheetId="3">Отчет!$AF$24</definedName>
    <definedName name="GalRepTblFld_M6D25" localSheetId="3">Отчет!$AG$24</definedName>
    <definedName name="GalRepTblFld_M6D26" localSheetId="3">Отчет!$AH$24</definedName>
    <definedName name="GalRepTblFld_M6D27" localSheetId="3">Отчет!$AI$24</definedName>
    <definedName name="GalRepTblFld_M6D28" localSheetId="3">Отчет!$AJ$24</definedName>
    <definedName name="GalRepTblFld_M6D29" localSheetId="3">Отчет!$AK$24</definedName>
    <definedName name="GalRepTblFld_M6D3" localSheetId="3">Отчет!$K$24</definedName>
    <definedName name="GalRepTblFld_M6D30" localSheetId="3">Отчет!$AL$24</definedName>
    <definedName name="GalRepTblFld_M6D31" localSheetId="3">Отчет!$AM$24</definedName>
    <definedName name="GalRepTblFld_M6D4" localSheetId="3">Отчет!$L$24</definedName>
    <definedName name="GalRepTblFld_M6D5" localSheetId="3">Отчет!$M$24</definedName>
    <definedName name="GalRepTblFld_M6D6" localSheetId="3">Отчет!$N$24</definedName>
    <definedName name="GalRepTblFld_M6D7" localSheetId="3">Отчет!$O$24</definedName>
    <definedName name="GalRepTblFld_M6D8" localSheetId="3">Отчет!$P$24</definedName>
    <definedName name="GalRepTblFld_M6D9" localSheetId="3">Отчет!$Q$24</definedName>
    <definedName name="GalRepTblFld_M6Visible" localSheetId="3">Отчет!$B$24</definedName>
    <definedName name="GalRepTblFld_M7D1" localSheetId="3">Отчет!$I$29</definedName>
    <definedName name="GalRepTblFld_M7D10" localSheetId="3">Отчет!$R$29</definedName>
    <definedName name="GalRepTblFld_M7D11" localSheetId="3">Отчет!$S$29</definedName>
    <definedName name="GalRepTblFld_M7D12" localSheetId="3">Отчет!$T$29</definedName>
    <definedName name="GalRepTblFld_M7D13" localSheetId="3">Отчет!$U$29</definedName>
    <definedName name="GalRepTblFld_M7D14" localSheetId="3">Отчет!$V$29</definedName>
    <definedName name="GalRepTblFld_M7D15" localSheetId="3">Отчет!$W$29</definedName>
    <definedName name="GalRepTblFld_M7D16" localSheetId="3">Отчет!$X$29</definedName>
    <definedName name="GalRepTblFld_M7D17" localSheetId="3">Отчет!$Y$29</definedName>
    <definedName name="GalRepTblFld_M7D18" localSheetId="3">Отчет!$Z$29</definedName>
    <definedName name="GalRepTblFld_M7D19" localSheetId="3">Отчет!$AA$29</definedName>
    <definedName name="GalRepTblFld_M7D2" localSheetId="3">Отчет!$J$29</definedName>
    <definedName name="GalRepTblFld_M7D20" localSheetId="3">Отчет!$AB$29</definedName>
    <definedName name="GalRepTblFld_M7D21" localSheetId="3">Отчет!$AC$29</definedName>
    <definedName name="GalRepTblFld_M7D22" localSheetId="3">Отчет!$AD$29</definedName>
    <definedName name="GalRepTblFld_M7D23" localSheetId="3">Отчет!$AE$29</definedName>
    <definedName name="GalRepTblFld_M7D24" localSheetId="3">Отчет!$AF$29</definedName>
    <definedName name="GalRepTblFld_M7D25" localSheetId="3">Отчет!$AG$29</definedName>
    <definedName name="GalRepTblFld_M7D26" localSheetId="3">Отчет!$AH$29</definedName>
    <definedName name="GalRepTblFld_M7D27" localSheetId="3">Отчет!$AI$29</definedName>
    <definedName name="GalRepTblFld_M7D28" localSheetId="3">Отчет!$AJ$29</definedName>
    <definedName name="GalRepTblFld_M7D29" localSheetId="3">Отчет!$AK$29</definedName>
    <definedName name="GalRepTblFld_M7D3" localSheetId="3">Отчет!$K$29</definedName>
    <definedName name="GalRepTblFld_M7D30" localSheetId="3">Отчет!$AL$29</definedName>
    <definedName name="GalRepTblFld_M7D31" localSheetId="3">Отчет!$AM$29</definedName>
    <definedName name="GalRepTblFld_M7D4" localSheetId="3">Отчет!$L$29</definedName>
    <definedName name="GalRepTblFld_M7D5" localSheetId="3">Отчет!$M$29</definedName>
    <definedName name="GalRepTblFld_M7D6" localSheetId="3">Отчет!$N$29</definedName>
    <definedName name="GalRepTblFld_M7D7" localSheetId="3">Отчет!$O$29</definedName>
    <definedName name="GalRepTblFld_M7D8" localSheetId="3">Отчет!$P$29</definedName>
    <definedName name="GalRepTblFld_M7D9" localSheetId="3">Отчет!$Q$29</definedName>
    <definedName name="GalRepTblFld_M7Visible" localSheetId="3">Отчет!$B$29</definedName>
    <definedName name="GalRepTblFld_M8D1" localSheetId="3">Отчет!$I$31</definedName>
    <definedName name="GalRepTblFld_M8D10" localSheetId="3">Отчет!$R$31</definedName>
    <definedName name="GalRepTblFld_M8D11" localSheetId="3">Отчет!$S$31</definedName>
    <definedName name="GalRepTblFld_M8D12" localSheetId="3">Отчет!$T$31</definedName>
    <definedName name="GalRepTblFld_M8D13" localSheetId="3">Отчет!$U$31</definedName>
    <definedName name="GalRepTblFld_M8D14" localSheetId="3">Отчет!$V$31</definedName>
    <definedName name="GalRepTblFld_M8D15" localSheetId="3">Отчет!$W$31</definedName>
    <definedName name="GalRepTblFld_M8D16" localSheetId="3">Отчет!$X$31</definedName>
    <definedName name="GalRepTblFld_M8D17" localSheetId="3">Отчет!$Y$31</definedName>
    <definedName name="GalRepTblFld_M8D18" localSheetId="3">Отчет!$Z$31</definedName>
    <definedName name="GalRepTblFld_M8D19" localSheetId="3">Отчет!$AA$31</definedName>
    <definedName name="GalRepTblFld_M8D2" localSheetId="3">Отчет!$J$31</definedName>
    <definedName name="GalRepTblFld_M8D20" localSheetId="3">Отчет!$AB$31</definedName>
    <definedName name="GalRepTblFld_M8D21" localSheetId="3">Отчет!$AC$31</definedName>
    <definedName name="GalRepTblFld_M8D22" localSheetId="3">Отчет!$AD$31</definedName>
    <definedName name="GalRepTblFld_M8D23" localSheetId="3">Отчет!$AE$31</definedName>
    <definedName name="GalRepTblFld_M8D24" localSheetId="3">Отчет!$AF$31</definedName>
    <definedName name="GalRepTblFld_M8D25" localSheetId="3">Отчет!$AG$31</definedName>
    <definedName name="GalRepTblFld_M8D26" localSheetId="3">Отчет!$AH$31</definedName>
    <definedName name="GalRepTblFld_M8D27" localSheetId="3">Отчет!$AI$31</definedName>
    <definedName name="GalRepTblFld_M8D28" localSheetId="3">Отчет!$AJ$31</definedName>
    <definedName name="GalRepTblFld_M8D29" localSheetId="3">Отчет!$AK$31</definedName>
    <definedName name="GalRepTblFld_M8D3" localSheetId="3">Отчет!$K$31</definedName>
    <definedName name="GalRepTblFld_M8D30" localSheetId="3">Отчет!$AL$31</definedName>
    <definedName name="GalRepTblFld_M8D31" localSheetId="3">Отчет!$AM$31</definedName>
    <definedName name="GalRepTblFld_M8D4" localSheetId="3">Отчет!$L$31</definedName>
    <definedName name="GalRepTblFld_M8D5" localSheetId="3">Отчет!$M$31</definedName>
    <definedName name="GalRepTblFld_M8D6" localSheetId="3">Отчет!$N$31</definedName>
    <definedName name="GalRepTblFld_M8D7" localSheetId="3">Отчет!$O$31</definedName>
    <definedName name="GalRepTblFld_M8D8" localSheetId="3">Отчет!$P$31</definedName>
    <definedName name="GalRepTblFld_M8D9" localSheetId="3">Отчет!$Q$31</definedName>
    <definedName name="GalRepTblFld_M8Visible" localSheetId="3">Отчет!$B$31</definedName>
    <definedName name="GalRepTblFld_M9D1" localSheetId="3">Отчет!$I$33</definedName>
    <definedName name="GalRepTblFld_M9D10" localSheetId="3">Отчет!$R$33</definedName>
    <definedName name="GalRepTblFld_M9D11" localSheetId="3">Отчет!$S$33</definedName>
    <definedName name="GalRepTblFld_M9D12" localSheetId="3">Отчет!$T$33</definedName>
    <definedName name="GalRepTblFld_M9D13" localSheetId="3">Отчет!$U$33</definedName>
    <definedName name="GalRepTblFld_M9D14" localSheetId="3">Отчет!$V$33</definedName>
    <definedName name="GalRepTblFld_M9D15" localSheetId="3">Отчет!$W$33</definedName>
    <definedName name="GalRepTblFld_M9D16" localSheetId="3">Отчет!$X$33</definedName>
    <definedName name="GalRepTblFld_M9D17" localSheetId="3">Отчет!$Y$33</definedName>
    <definedName name="GalRepTblFld_M9D18" localSheetId="3">Отчет!$Z$33</definedName>
    <definedName name="GalRepTblFld_M9D19" localSheetId="3">Отчет!$AA$33</definedName>
    <definedName name="GalRepTblFld_M9D2" localSheetId="3">Отчет!$J$33</definedName>
    <definedName name="GalRepTblFld_M9D20" localSheetId="3">Отчет!$AB$33</definedName>
    <definedName name="GalRepTblFld_M9D21" localSheetId="3">Отчет!$AC$33</definedName>
    <definedName name="GalRepTblFld_M9D22" localSheetId="3">Отчет!$AD$33</definedName>
    <definedName name="GalRepTblFld_M9D23" localSheetId="3">Отчет!$AE$33</definedName>
    <definedName name="GalRepTblFld_M9D24" localSheetId="3">Отчет!$AF$33</definedName>
    <definedName name="GalRepTblFld_M9D25" localSheetId="3">Отчет!$AG$33</definedName>
    <definedName name="GalRepTblFld_M9D26" localSheetId="3">Отчет!$AH$33</definedName>
    <definedName name="GalRepTblFld_M9D27" localSheetId="3">Отчет!$AI$33</definedName>
    <definedName name="GalRepTblFld_M9D28" localSheetId="3">Отчет!$AJ$33</definedName>
    <definedName name="GalRepTblFld_M9D29" localSheetId="3">Отчет!$AK$33</definedName>
    <definedName name="GalRepTblFld_M9D3" localSheetId="3">Отчет!$K$33</definedName>
    <definedName name="GalRepTblFld_M9D30" localSheetId="3">Отчет!$AL$33</definedName>
    <definedName name="GalRepTblFld_M9D31" localSheetId="3">Отчет!$AM$33</definedName>
    <definedName name="GalRepTblFld_M9D4" localSheetId="3">Отчет!$L$33</definedName>
    <definedName name="GalRepTblFld_M9D5" localSheetId="3">Отчет!$M$33</definedName>
    <definedName name="GalRepTblFld_M9D6" localSheetId="3">Отчет!$N$33</definedName>
    <definedName name="GalRepTblFld_M9D7" localSheetId="3">Отчет!$O$33</definedName>
    <definedName name="GalRepTblFld_M9D8" localSheetId="3">Отчет!$P$33</definedName>
    <definedName name="GalRepTblFld_M9D9" localSheetId="3">Отчет!$Q$33</definedName>
    <definedName name="GalRepTblFld_M9Visible" localSheetId="3">Отчет!$B$33</definedName>
    <definedName name="GalRepTblFld_NameGrafic" localSheetId="3">Отчет!$D$2</definedName>
    <definedName name="GalRepTblFld_PersonCex" localSheetId="3">Отчет!$E$2</definedName>
    <definedName name="GalRepTblFld_PersonDol" localSheetId="3">Отчет!$F$2</definedName>
    <definedName name="GalRepTblFld_PersonName" localSheetId="3">Отчет!$G$2</definedName>
    <definedName name="GalRepTblFld_Podpis1Dol" localSheetId="3">Отчет!$AA$44</definedName>
    <definedName name="GalRepTblFld_Podpis1FIO" localSheetId="3">Отчет!$AJ$44</definedName>
    <definedName name="GalRepTblFld_Podpis2Dol" localSheetId="3">Отчет!$AA$45</definedName>
    <definedName name="GalRepTblFld_Podpis2FIO" localSheetId="3">Отчет!$AJ$45</definedName>
    <definedName name="GalRepTblFld_Q1V" localSheetId="3">Отчет!$B$9</definedName>
    <definedName name="GalRepTblFld_Q2V" localSheetId="3">Отчет!$B$18</definedName>
    <definedName name="GalRepTblFld_Q3V" localSheetId="3">Отчет!$B$27</definedName>
    <definedName name="GalRepTblFld_Q4V" localSheetId="3">Отчет!$B$36</definedName>
    <definedName name="GalRepTblFld_Sogl2Dol" localSheetId="3">Отчет!$AA$47</definedName>
    <definedName name="GalRepTblFld_Sogl2FIO" localSheetId="3">Отчет!$AJ$47</definedName>
    <definedName name="GalRepTblFld_SoglDol" localSheetId="3">Отчет!$D$4</definedName>
    <definedName name="GalRepTblFld_SoglFIO" localSheetId="3">Отчет!$E$5</definedName>
    <definedName name="GalRepTblFld_UtvrDol" localSheetId="3">Отчет!$AE$4</definedName>
    <definedName name="GalRepTblFld_UtvrFIO" localSheetId="3">Отчет!$AH$5</definedName>
    <definedName name="GalRepTblFld_WeekHour" localSheetId="3">Отчет!$V$44</definedName>
    <definedName name="GalRepTblFld_wYear" localSheetId="3">Отчет!$C$2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5" i="3" l="1"/>
  <c r="J5" i="3"/>
  <c r="J4" i="3"/>
  <c r="H42" i="3" l="1"/>
  <c r="G42" i="3"/>
  <c r="D42" i="3"/>
  <c r="AM41" i="3"/>
  <c r="AL41" i="3"/>
  <c r="AK41" i="3"/>
  <c r="AJ41" i="3"/>
  <c r="AI41" i="3"/>
  <c r="AH41" i="3"/>
  <c r="AG41" i="3"/>
  <c r="AF41" i="3"/>
  <c r="AE41" i="3"/>
  <c r="AD41" i="3"/>
  <c r="AC41" i="3"/>
  <c r="AB41" i="3"/>
  <c r="AA41" i="3"/>
  <c r="Z41" i="3"/>
  <c r="Y41" i="3"/>
  <c r="X41" i="3"/>
  <c r="W41" i="3"/>
  <c r="V41" i="3"/>
  <c r="U41" i="3"/>
  <c r="T41" i="3"/>
  <c r="S41" i="3"/>
  <c r="R41" i="3"/>
  <c r="Q41" i="3"/>
  <c r="P41" i="3"/>
  <c r="O41" i="3"/>
  <c r="N41" i="3"/>
  <c r="M41" i="3"/>
  <c r="L41" i="3"/>
  <c r="K41" i="3"/>
  <c r="J41" i="3"/>
  <c r="I41" i="3"/>
  <c r="H40" i="3"/>
  <c r="G40" i="3"/>
  <c r="D40" i="3"/>
  <c r="AM39" i="3"/>
  <c r="AL39" i="3"/>
  <c r="AK39" i="3"/>
  <c r="AJ39" i="3"/>
  <c r="AI39" i="3"/>
  <c r="AH39" i="3"/>
  <c r="AG39" i="3"/>
  <c r="AF39" i="3"/>
  <c r="AE39" i="3"/>
  <c r="AD39" i="3"/>
  <c r="AC39" i="3"/>
  <c r="AB39" i="3"/>
  <c r="AA39" i="3"/>
  <c r="Z39" i="3"/>
  <c r="Y39" i="3"/>
  <c r="X39" i="3"/>
  <c r="W39" i="3"/>
  <c r="V39" i="3"/>
  <c r="U39" i="3"/>
  <c r="T39" i="3"/>
  <c r="S39" i="3"/>
  <c r="R39" i="3"/>
  <c r="Q39" i="3"/>
  <c r="P39" i="3"/>
  <c r="O39" i="3"/>
  <c r="N39" i="3"/>
  <c r="M39" i="3"/>
  <c r="L39" i="3"/>
  <c r="K39" i="3"/>
  <c r="J39" i="3"/>
  <c r="I39" i="3"/>
  <c r="H38" i="3"/>
  <c r="G38" i="3"/>
  <c r="D38" i="3"/>
  <c r="AM37" i="3"/>
  <c r="AL37" i="3"/>
  <c r="AK37" i="3"/>
  <c r="AJ37" i="3"/>
  <c r="AI37" i="3"/>
  <c r="AH37" i="3"/>
  <c r="AG37" i="3"/>
  <c r="AF37" i="3"/>
  <c r="AE37" i="3"/>
  <c r="AD37" i="3"/>
  <c r="AC37" i="3"/>
  <c r="AB37" i="3"/>
  <c r="AA37" i="3"/>
  <c r="Z37" i="3"/>
  <c r="Y37" i="3"/>
  <c r="X37" i="3"/>
  <c r="W37" i="3"/>
  <c r="V37" i="3"/>
  <c r="U37" i="3"/>
  <c r="T37" i="3"/>
  <c r="S37" i="3"/>
  <c r="R37" i="3"/>
  <c r="Q37" i="3"/>
  <c r="P37" i="3"/>
  <c r="O37" i="3"/>
  <c r="N37" i="3"/>
  <c r="M37" i="3"/>
  <c r="L37" i="3"/>
  <c r="K37" i="3"/>
  <c r="J37" i="3"/>
  <c r="I37" i="3"/>
  <c r="H33" i="3"/>
  <c r="G33" i="3"/>
  <c r="D33" i="3"/>
  <c r="AM32" i="3"/>
  <c r="AL32" i="3"/>
  <c r="AK32" i="3"/>
  <c r="AJ32" i="3"/>
  <c r="AI32" i="3"/>
  <c r="AH32" i="3"/>
  <c r="AG32" i="3"/>
  <c r="AF32" i="3"/>
  <c r="AE32" i="3"/>
  <c r="AD32" i="3"/>
  <c r="AC32" i="3"/>
  <c r="AB32" i="3"/>
  <c r="AA32" i="3"/>
  <c r="Z32" i="3"/>
  <c r="Y32" i="3"/>
  <c r="X32" i="3"/>
  <c r="W32" i="3"/>
  <c r="V32" i="3"/>
  <c r="U32" i="3"/>
  <c r="T32" i="3"/>
  <c r="S32" i="3"/>
  <c r="R32" i="3"/>
  <c r="Q32" i="3"/>
  <c r="P32" i="3"/>
  <c r="O32" i="3"/>
  <c r="N32" i="3"/>
  <c r="M32" i="3"/>
  <c r="L32" i="3"/>
  <c r="K32" i="3"/>
  <c r="J32" i="3"/>
  <c r="I32" i="3"/>
  <c r="H31" i="3"/>
  <c r="G31" i="3"/>
  <c r="D31" i="3"/>
  <c r="AM30" i="3"/>
  <c r="AL30" i="3"/>
  <c r="AK30" i="3"/>
  <c r="AJ30" i="3"/>
  <c r="AI30" i="3"/>
  <c r="AH30" i="3"/>
  <c r="AG30" i="3"/>
  <c r="AF30" i="3"/>
  <c r="AE30" i="3"/>
  <c r="AD30" i="3"/>
  <c r="AC30" i="3"/>
  <c r="AB30" i="3"/>
  <c r="AA30" i="3"/>
  <c r="Z30" i="3"/>
  <c r="Y30" i="3"/>
  <c r="X30" i="3"/>
  <c r="W30" i="3"/>
  <c r="V30" i="3"/>
  <c r="U30" i="3"/>
  <c r="T30" i="3"/>
  <c r="S30" i="3"/>
  <c r="R30" i="3"/>
  <c r="Q30" i="3"/>
  <c r="P30" i="3"/>
  <c r="O30" i="3"/>
  <c r="N30" i="3"/>
  <c r="M30" i="3"/>
  <c r="L30" i="3"/>
  <c r="K30" i="3"/>
  <c r="J30" i="3"/>
  <c r="I30" i="3"/>
  <c r="H29" i="3"/>
  <c r="G29" i="3"/>
  <c r="D29" i="3"/>
  <c r="AM28" i="3"/>
  <c r="AL28" i="3"/>
  <c r="AK28" i="3"/>
  <c r="AJ28" i="3"/>
  <c r="AI28" i="3"/>
  <c r="AH28" i="3"/>
  <c r="AG28" i="3"/>
  <c r="AF28" i="3"/>
  <c r="AE28" i="3"/>
  <c r="AD28" i="3"/>
  <c r="AC28" i="3"/>
  <c r="AB28" i="3"/>
  <c r="AA28" i="3"/>
  <c r="Z28" i="3"/>
  <c r="Y28" i="3"/>
  <c r="X28" i="3"/>
  <c r="W28" i="3"/>
  <c r="V28" i="3"/>
  <c r="U28" i="3"/>
  <c r="T28" i="3"/>
  <c r="S28" i="3"/>
  <c r="R28" i="3"/>
  <c r="Q28" i="3"/>
  <c r="P28" i="3"/>
  <c r="O28" i="3"/>
  <c r="N28" i="3"/>
  <c r="M28" i="3"/>
  <c r="L28" i="3"/>
  <c r="K28" i="3"/>
  <c r="J28" i="3"/>
  <c r="I28" i="3"/>
  <c r="H24" i="3"/>
  <c r="G24" i="3"/>
  <c r="D24" i="3"/>
  <c r="AM23" i="3"/>
  <c r="AL23" i="3"/>
  <c r="AK23" i="3"/>
  <c r="AJ23" i="3"/>
  <c r="AI23" i="3"/>
  <c r="AH23" i="3"/>
  <c r="AG23" i="3"/>
  <c r="AF23" i="3"/>
  <c r="AE23" i="3"/>
  <c r="AD23" i="3"/>
  <c r="AC23" i="3"/>
  <c r="AB23" i="3"/>
  <c r="AA23" i="3"/>
  <c r="Z23" i="3"/>
  <c r="Y23" i="3"/>
  <c r="X23" i="3"/>
  <c r="W23" i="3"/>
  <c r="V23" i="3"/>
  <c r="U23" i="3"/>
  <c r="T23" i="3"/>
  <c r="S23" i="3"/>
  <c r="R23" i="3"/>
  <c r="Q23" i="3"/>
  <c r="P23" i="3"/>
  <c r="O23" i="3"/>
  <c r="N23" i="3"/>
  <c r="M23" i="3"/>
  <c r="L23" i="3"/>
  <c r="K23" i="3"/>
  <c r="J23" i="3"/>
  <c r="I23" i="3"/>
  <c r="H22" i="3"/>
  <c r="G22" i="3"/>
  <c r="D22" i="3"/>
  <c r="AM21" i="3"/>
  <c r="AL21" i="3"/>
  <c r="AK21" i="3"/>
  <c r="AJ21" i="3"/>
  <c r="AI21" i="3"/>
  <c r="AH21" i="3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0" i="3"/>
  <c r="G20" i="3"/>
  <c r="D20" i="3"/>
  <c r="AM19" i="3"/>
  <c r="AL19" i="3"/>
  <c r="AK19" i="3"/>
  <c r="AJ19" i="3"/>
  <c r="AI19" i="3"/>
  <c r="AH19" i="3"/>
  <c r="AG19" i="3"/>
  <c r="AF19" i="3"/>
  <c r="AE19" i="3"/>
  <c r="AD19" i="3"/>
  <c r="AC19" i="3"/>
  <c r="AB19" i="3"/>
  <c r="AA19" i="3"/>
  <c r="Z19" i="3"/>
  <c r="Y19" i="3"/>
  <c r="X19" i="3"/>
  <c r="W19" i="3"/>
  <c r="V19" i="3"/>
  <c r="U19" i="3"/>
  <c r="T19" i="3"/>
  <c r="S19" i="3"/>
  <c r="R19" i="3"/>
  <c r="Q19" i="3"/>
  <c r="P19" i="3"/>
  <c r="O19" i="3"/>
  <c r="N19" i="3"/>
  <c r="M19" i="3"/>
  <c r="L19" i="3"/>
  <c r="K19" i="3"/>
  <c r="J19" i="3"/>
  <c r="I19" i="3"/>
  <c r="H15" i="3"/>
  <c r="G15" i="3"/>
  <c r="D15" i="3"/>
  <c r="AM14" i="3"/>
  <c r="AL14" i="3"/>
  <c r="AK14" i="3"/>
  <c r="AJ14" i="3"/>
  <c r="AI14" i="3"/>
  <c r="AH14" i="3"/>
  <c r="AG14" i="3"/>
  <c r="AF14" i="3"/>
  <c r="AE14" i="3"/>
  <c r="AD14" i="3"/>
  <c r="AC14" i="3"/>
  <c r="AB14" i="3"/>
  <c r="AA14" i="3"/>
  <c r="Z14" i="3"/>
  <c r="Y14" i="3"/>
  <c r="X14" i="3"/>
  <c r="W14" i="3"/>
  <c r="V14" i="3"/>
  <c r="U14" i="3"/>
  <c r="T14" i="3"/>
  <c r="S14" i="3"/>
  <c r="R14" i="3"/>
  <c r="Q14" i="3"/>
  <c r="P14" i="3"/>
  <c r="O14" i="3"/>
  <c r="N14" i="3"/>
  <c r="M14" i="3"/>
  <c r="L14" i="3"/>
  <c r="K14" i="3"/>
  <c r="J14" i="3"/>
  <c r="I14" i="3"/>
  <c r="H13" i="3"/>
  <c r="G13" i="3"/>
  <c r="D13" i="3"/>
  <c r="AM12" i="3"/>
  <c r="AL12" i="3"/>
  <c r="AK12" i="3"/>
  <c r="AJ12" i="3"/>
  <c r="AI12" i="3"/>
  <c r="AH12" i="3"/>
  <c r="AG12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1" i="3"/>
  <c r="G11" i="3"/>
  <c r="D11" i="3"/>
  <c r="AM10" i="3"/>
  <c r="AL10" i="3"/>
  <c r="AK10" i="3"/>
  <c r="AJ10" i="3"/>
  <c r="AI10" i="3"/>
  <c r="AH10" i="3"/>
  <c r="AG10" i="3"/>
  <c r="AF10" i="3"/>
  <c r="AE10" i="3"/>
  <c r="AD10" i="3"/>
  <c r="AC10" i="3"/>
  <c r="AB10" i="3"/>
  <c r="AA10" i="3"/>
  <c r="Z10" i="3"/>
  <c r="Y10" i="3"/>
  <c r="X10" i="3"/>
  <c r="W10" i="3"/>
  <c r="V10" i="3"/>
  <c r="U10" i="3"/>
  <c r="T10" i="3"/>
  <c r="S10" i="3"/>
  <c r="R10" i="3"/>
  <c r="Q10" i="3"/>
  <c r="P10" i="3"/>
  <c r="O10" i="3"/>
  <c r="N10" i="3"/>
  <c r="M10" i="3"/>
  <c r="L10" i="3"/>
  <c r="K10" i="3"/>
  <c r="J10" i="3"/>
  <c r="I10" i="3"/>
  <c r="H34" i="3" l="1"/>
  <c r="G34" i="3"/>
  <c r="G25" i="3"/>
  <c r="H25" i="3"/>
  <c r="H16" i="3"/>
  <c r="G16" i="3"/>
  <c r="H43" i="3"/>
  <c r="G43" i="3"/>
  <c r="E11" i="3"/>
  <c r="F11" i="3" s="1"/>
  <c r="E22" i="3"/>
  <c r="F22" i="3" s="1"/>
  <c r="E33" i="3"/>
  <c r="F33" i="3" s="1"/>
  <c r="E13" i="3"/>
  <c r="F13" i="3" s="1"/>
  <c r="E24" i="3"/>
  <c r="F24" i="3" s="1"/>
  <c r="E38" i="3"/>
  <c r="F38" i="3" s="1"/>
  <c r="E15" i="3"/>
  <c r="F15" i="3" s="1"/>
  <c r="E29" i="3"/>
  <c r="F29" i="3" s="1"/>
  <c r="E40" i="3"/>
  <c r="F40" i="3" s="1"/>
  <c r="E20" i="3"/>
  <c r="F20" i="3" s="1"/>
  <c r="E31" i="3"/>
  <c r="F31" i="3" s="1"/>
  <c r="E42" i="3"/>
  <c r="F42" i="3" s="1"/>
  <c r="E16" i="3" l="1"/>
  <c r="F34" i="3"/>
  <c r="H44" i="3"/>
  <c r="F16" i="3"/>
  <c r="G44" i="3"/>
  <c r="E25" i="3"/>
  <c r="E43" i="3"/>
  <c r="E34" i="3"/>
  <c r="F43" i="3"/>
  <c r="F25" i="3"/>
  <c r="E44" i="3" l="1"/>
  <c r="F44" i="3"/>
</calcChain>
</file>

<file path=xl/sharedStrings.xml><?xml version="1.0" encoding="utf-8"?>
<sst xmlns="http://schemas.openxmlformats.org/spreadsheetml/2006/main" count="1005" uniqueCount="456">
  <si>
    <t>Переменная</t>
  </si>
  <si>
    <t>Тип</t>
  </si>
  <si>
    <t>Значение</t>
  </si>
  <si>
    <t>CFH</t>
  </si>
  <si>
    <t>String</t>
  </si>
  <si>
    <t>SoglFIO</t>
  </si>
  <si>
    <t>SoglDol</t>
  </si>
  <si>
    <t>UtvrFIO</t>
  </si>
  <si>
    <t>UtvrDol</t>
  </si>
  <si>
    <t>Podpis1FIO</t>
  </si>
  <si>
    <t>Podpis1Dol</t>
  </si>
  <si>
    <t>Podpis2FIO</t>
  </si>
  <si>
    <t>Podpis2Dol</t>
  </si>
  <si>
    <t>NameGrafic</t>
  </si>
  <si>
    <t>PersonName</t>
  </si>
  <si>
    <t>PersonDol</t>
  </si>
  <si>
    <t>PersonCex</t>
  </si>
  <si>
    <t>M1D1</t>
  </si>
  <si>
    <t>M1D2</t>
  </si>
  <si>
    <t>M1D3</t>
  </si>
  <si>
    <t>M1D4</t>
  </si>
  <si>
    <t>M1D5</t>
  </si>
  <si>
    <t>M1D6</t>
  </si>
  <si>
    <t>M1D7</t>
  </si>
  <si>
    <t>M1D8</t>
  </si>
  <si>
    <t>M1D9</t>
  </si>
  <si>
    <t>M1D10</t>
  </si>
  <si>
    <t>M1D11</t>
  </si>
  <si>
    <t>M1D12</t>
  </si>
  <si>
    <t>M1D13</t>
  </si>
  <si>
    <t>M1D14</t>
  </si>
  <si>
    <t>M1D15</t>
  </si>
  <si>
    <t>M1D16</t>
  </si>
  <si>
    <t>M1D17</t>
  </si>
  <si>
    <t>M1D18</t>
  </si>
  <si>
    <t>M1D19</t>
  </si>
  <si>
    <t>M1D20</t>
  </si>
  <si>
    <t>M1D21</t>
  </si>
  <si>
    <t>M1D22</t>
  </si>
  <si>
    <t>M1D23</t>
  </si>
  <si>
    <t>M1D24</t>
  </si>
  <si>
    <t>M1D25</t>
  </si>
  <si>
    <t>M1D26</t>
  </si>
  <si>
    <t>M1D27</t>
  </si>
  <si>
    <t>M1D28</t>
  </si>
  <si>
    <t>M1D29</t>
  </si>
  <si>
    <t>M1D30</t>
  </si>
  <si>
    <t>M1D31</t>
  </si>
  <si>
    <t>M2D1</t>
  </si>
  <si>
    <t>M2D2</t>
  </si>
  <si>
    <t>M2D3</t>
  </si>
  <si>
    <t>M2D4</t>
  </si>
  <si>
    <t>M2D5</t>
  </si>
  <si>
    <t>M2D6</t>
  </si>
  <si>
    <t>M2D7</t>
  </si>
  <si>
    <t>M2D8</t>
  </si>
  <si>
    <t>M2D9</t>
  </si>
  <si>
    <t>M2D10</t>
  </si>
  <si>
    <t>M2D11</t>
  </si>
  <si>
    <t>M2D12</t>
  </si>
  <si>
    <t>M2D13</t>
  </si>
  <si>
    <t>M2D14</t>
  </si>
  <si>
    <t>M2D15</t>
  </si>
  <si>
    <t>M2D16</t>
  </si>
  <si>
    <t>M2D17</t>
  </si>
  <si>
    <t>M2D18</t>
  </si>
  <si>
    <t>M2D19</t>
  </si>
  <si>
    <t>M2D20</t>
  </si>
  <si>
    <t>M2D21</t>
  </si>
  <si>
    <t>M2D22</t>
  </si>
  <si>
    <t>M2D23</t>
  </si>
  <si>
    <t>M2D24</t>
  </si>
  <si>
    <t>M2D25</t>
  </si>
  <si>
    <t>M2D26</t>
  </si>
  <si>
    <t>M2D27</t>
  </si>
  <si>
    <t>M2D28</t>
  </si>
  <si>
    <t>M2D29</t>
  </si>
  <si>
    <t>M2D30</t>
  </si>
  <si>
    <t>M2D31</t>
  </si>
  <si>
    <t>M3D1</t>
  </si>
  <si>
    <t>M3D2</t>
  </si>
  <si>
    <t>M3D3</t>
  </si>
  <si>
    <t>M3D4</t>
  </si>
  <si>
    <t>M3D5</t>
  </si>
  <si>
    <t>M3D6</t>
  </si>
  <si>
    <t>M3D7</t>
  </si>
  <si>
    <t>M3D8</t>
  </si>
  <si>
    <t>M3D9</t>
  </si>
  <si>
    <t>M3D10</t>
  </si>
  <si>
    <t>M3D11</t>
  </si>
  <si>
    <t>M3D12</t>
  </si>
  <si>
    <t>M3D13</t>
  </si>
  <si>
    <t>M3D14</t>
  </si>
  <si>
    <t>M3D15</t>
  </si>
  <si>
    <t>M3D16</t>
  </si>
  <si>
    <t>M3D17</t>
  </si>
  <si>
    <t>M3D18</t>
  </si>
  <si>
    <t>M3D19</t>
  </si>
  <si>
    <t>M3D20</t>
  </si>
  <si>
    <t>M3D21</t>
  </si>
  <si>
    <t>M3D22</t>
  </si>
  <si>
    <t>M3D23</t>
  </si>
  <si>
    <t>M3D24</t>
  </si>
  <si>
    <t>M3D25</t>
  </si>
  <si>
    <t>M3D26</t>
  </si>
  <si>
    <t>M3D27</t>
  </si>
  <si>
    <t>M3D28</t>
  </si>
  <si>
    <t>M3D29</t>
  </si>
  <si>
    <t>M3D30</t>
  </si>
  <si>
    <t>M3D31</t>
  </si>
  <si>
    <t>M4D1</t>
  </si>
  <si>
    <t>M4D2</t>
  </si>
  <si>
    <t>M4D3</t>
  </si>
  <si>
    <t>M4D4</t>
  </si>
  <si>
    <t>M4D5</t>
  </si>
  <si>
    <t>M4D6</t>
  </si>
  <si>
    <t>M4D7</t>
  </si>
  <si>
    <t>M4D8</t>
  </si>
  <si>
    <t>M4D9</t>
  </si>
  <si>
    <t>M4D10</t>
  </si>
  <si>
    <t>M4D11</t>
  </si>
  <si>
    <t>M4D12</t>
  </si>
  <si>
    <t>M4D13</t>
  </si>
  <si>
    <t>M4D14</t>
  </si>
  <si>
    <t>M4D15</t>
  </si>
  <si>
    <t>M4D16</t>
  </si>
  <si>
    <t>M4D17</t>
  </si>
  <si>
    <t>M4D18</t>
  </si>
  <si>
    <t>M4D19</t>
  </si>
  <si>
    <t>M4D20</t>
  </si>
  <si>
    <t>M4D21</t>
  </si>
  <si>
    <t>M4D22</t>
  </si>
  <si>
    <t>M4D23</t>
  </si>
  <si>
    <t>M4D24</t>
  </si>
  <si>
    <t>M4D25</t>
  </si>
  <si>
    <t>M4D26</t>
  </si>
  <si>
    <t>M4D27</t>
  </si>
  <si>
    <t>M4D28</t>
  </si>
  <si>
    <t>M4D29</t>
  </si>
  <si>
    <t>M4D30</t>
  </si>
  <si>
    <t>M4D31</t>
  </si>
  <si>
    <t>M5D1</t>
  </si>
  <si>
    <t>M5D2</t>
  </si>
  <si>
    <t>M5D3</t>
  </si>
  <si>
    <t>M5D4</t>
  </si>
  <si>
    <t>M5D5</t>
  </si>
  <si>
    <t>M5D6</t>
  </si>
  <si>
    <t>M5D7</t>
  </si>
  <si>
    <t>M5D8</t>
  </si>
  <si>
    <t>M5D9</t>
  </si>
  <si>
    <t>M5D10</t>
  </si>
  <si>
    <t>M5D11</t>
  </si>
  <si>
    <t>M5D12</t>
  </si>
  <si>
    <t>M5D13</t>
  </si>
  <si>
    <t>M5D14</t>
  </si>
  <si>
    <t>M5D15</t>
  </si>
  <si>
    <t>M5D16</t>
  </si>
  <si>
    <t>M5D17</t>
  </si>
  <si>
    <t>M5D18</t>
  </si>
  <si>
    <t>M5D19</t>
  </si>
  <si>
    <t>M5D20</t>
  </si>
  <si>
    <t>M5D21</t>
  </si>
  <si>
    <t>M5D22</t>
  </si>
  <si>
    <t>M5D23</t>
  </si>
  <si>
    <t>M5D24</t>
  </si>
  <si>
    <t>M5D25</t>
  </si>
  <si>
    <t>M5D26</t>
  </si>
  <si>
    <t>M5D27</t>
  </si>
  <si>
    <t>M5D28</t>
  </si>
  <si>
    <t>M5D29</t>
  </si>
  <si>
    <t>M5D30</t>
  </si>
  <si>
    <t>M5D31</t>
  </si>
  <si>
    <t>M6D1</t>
  </si>
  <si>
    <t>M6D2</t>
  </si>
  <si>
    <t>M6D3</t>
  </si>
  <si>
    <t>M6D4</t>
  </si>
  <si>
    <t>M6D5</t>
  </si>
  <si>
    <t>M6D6</t>
  </si>
  <si>
    <t>M6D7</t>
  </si>
  <si>
    <t>M6D8</t>
  </si>
  <si>
    <t>M6D9</t>
  </si>
  <si>
    <t>M6D10</t>
  </si>
  <si>
    <t>M6D11</t>
  </si>
  <si>
    <t>M6D12</t>
  </si>
  <si>
    <t>M6D13</t>
  </si>
  <si>
    <t>M6D14</t>
  </si>
  <si>
    <t>M6D15</t>
  </si>
  <si>
    <t>M6D16</t>
  </si>
  <si>
    <t>M6D17</t>
  </si>
  <si>
    <t>M6D18</t>
  </si>
  <si>
    <t>M6D19</t>
  </si>
  <si>
    <t>M6D20</t>
  </si>
  <si>
    <t>M6D21</t>
  </si>
  <si>
    <t>M6D22</t>
  </si>
  <si>
    <t>M6D23</t>
  </si>
  <si>
    <t>M6D24</t>
  </si>
  <si>
    <t>M6D25</t>
  </si>
  <si>
    <t>M6D26</t>
  </si>
  <si>
    <t>M6D27</t>
  </si>
  <si>
    <t>M6D28</t>
  </si>
  <si>
    <t>M6D29</t>
  </si>
  <si>
    <t>M6D30</t>
  </si>
  <si>
    <t>M6D31</t>
  </si>
  <si>
    <t>M7D1</t>
  </si>
  <si>
    <t>M7D2</t>
  </si>
  <si>
    <t>M7D3</t>
  </si>
  <si>
    <t>M7D4</t>
  </si>
  <si>
    <t>M7D5</t>
  </si>
  <si>
    <t>M7D6</t>
  </si>
  <si>
    <t>M7D7</t>
  </si>
  <si>
    <t>M7D8</t>
  </si>
  <si>
    <t>M7D9</t>
  </si>
  <si>
    <t>M7D10</t>
  </si>
  <si>
    <t>M7D11</t>
  </si>
  <si>
    <t>M7D12</t>
  </si>
  <si>
    <t>M7D13</t>
  </si>
  <si>
    <t>M7D14</t>
  </si>
  <si>
    <t>M7D15</t>
  </si>
  <si>
    <t>M7D16</t>
  </si>
  <si>
    <t>M7D17</t>
  </si>
  <si>
    <t>M7D18</t>
  </si>
  <si>
    <t>M7D19</t>
  </si>
  <si>
    <t>M7D20</t>
  </si>
  <si>
    <t>M7D21</t>
  </si>
  <si>
    <t>M7D22</t>
  </si>
  <si>
    <t>M7D23</t>
  </si>
  <si>
    <t>M7D24</t>
  </si>
  <si>
    <t>M7D25</t>
  </si>
  <si>
    <t>M7D26</t>
  </si>
  <si>
    <t>M7D27</t>
  </si>
  <si>
    <t>M7D28</t>
  </si>
  <si>
    <t>M7D29</t>
  </si>
  <si>
    <t>M7D30</t>
  </si>
  <si>
    <t>M7D31</t>
  </si>
  <si>
    <t>M8D1</t>
  </si>
  <si>
    <t>M8D2</t>
  </si>
  <si>
    <t>M8D3</t>
  </si>
  <si>
    <t>M8D4</t>
  </si>
  <si>
    <t>M8D5</t>
  </si>
  <si>
    <t>M8D6</t>
  </si>
  <si>
    <t>M8D7</t>
  </si>
  <si>
    <t>M8D8</t>
  </si>
  <si>
    <t>M8D9</t>
  </si>
  <si>
    <t>M8D10</t>
  </si>
  <si>
    <t>M8D11</t>
  </si>
  <si>
    <t>M8D12</t>
  </si>
  <si>
    <t>M8D13</t>
  </si>
  <si>
    <t>M8D14</t>
  </si>
  <si>
    <t>M8D15</t>
  </si>
  <si>
    <t>M8D16</t>
  </si>
  <si>
    <t>M8D17</t>
  </si>
  <si>
    <t>M8D18</t>
  </si>
  <si>
    <t>M8D19</t>
  </si>
  <si>
    <t>M8D20</t>
  </si>
  <si>
    <t>M8D21</t>
  </si>
  <si>
    <t>M8D22</t>
  </si>
  <si>
    <t>M8D23</t>
  </si>
  <si>
    <t>M8D24</t>
  </si>
  <si>
    <t>M8D25</t>
  </si>
  <si>
    <t>M8D26</t>
  </si>
  <si>
    <t>M8D27</t>
  </si>
  <si>
    <t>M8D28</t>
  </si>
  <si>
    <t>M8D29</t>
  </si>
  <si>
    <t>M8D30</t>
  </si>
  <si>
    <t>M8D31</t>
  </si>
  <si>
    <t>M9D1</t>
  </si>
  <si>
    <t>M9D2</t>
  </si>
  <si>
    <t>M9D3</t>
  </si>
  <si>
    <t>M9D4</t>
  </si>
  <si>
    <t>M9D5</t>
  </si>
  <si>
    <t>M9D6</t>
  </si>
  <si>
    <t>M9D7</t>
  </si>
  <si>
    <t>M9D8</t>
  </si>
  <si>
    <t>M9D9</t>
  </si>
  <si>
    <t>M9D10</t>
  </si>
  <si>
    <t>M9D11</t>
  </si>
  <si>
    <t>M9D12</t>
  </si>
  <si>
    <t>M9D13</t>
  </si>
  <si>
    <t>M9D14</t>
  </si>
  <si>
    <t>M9D15</t>
  </si>
  <si>
    <t>M9D16</t>
  </si>
  <si>
    <t>M9D17</t>
  </si>
  <si>
    <t>M9D18</t>
  </si>
  <si>
    <t>M9D19</t>
  </si>
  <si>
    <t>M9D20</t>
  </si>
  <si>
    <t>M9D21</t>
  </si>
  <si>
    <t>M9D22</t>
  </si>
  <si>
    <t>M9D23</t>
  </si>
  <si>
    <t>M9D24</t>
  </si>
  <si>
    <t>M9D25</t>
  </si>
  <si>
    <t>M9D26</t>
  </si>
  <si>
    <t>M9D27</t>
  </si>
  <si>
    <t>M9D28</t>
  </si>
  <si>
    <t>M9D29</t>
  </si>
  <si>
    <t>M9D30</t>
  </si>
  <si>
    <t>M9D31</t>
  </si>
  <si>
    <t>M10D1</t>
  </si>
  <si>
    <t>M10D2</t>
  </si>
  <si>
    <t>M10D3</t>
  </si>
  <si>
    <t>M10D4</t>
  </si>
  <si>
    <t>M10D5</t>
  </si>
  <si>
    <t>M10D6</t>
  </si>
  <si>
    <t>M10D7</t>
  </si>
  <si>
    <t>M10D8</t>
  </si>
  <si>
    <t>M10D9</t>
  </si>
  <si>
    <t>M10D10</t>
  </si>
  <si>
    <t>M10D11</t>
  </si>
  <si>
    <t>M10D12</t>
  </si>
  <si>
    <t>M10D13</t>
  </si>
  <si>
    <t>M10D14</t>
  </si>
  <si>
    <t>M10D15</t>
  </si>
  <si>
    <t>M10D16</t>
  </si>
  <si>
    <t>M10D17</t>
  </si>
  <si>
    <t>M10D18</t>
  </si>
  <si>
    <t>M10D19</t>
  </si>
  <si>
    <t>M10D20</t>
  </si>
  <si>
    <t>M10D21</t>
  </si>
  <si>
    <t>M10D22</t>
  </si>
  <si>
    <t>M10D23</t>
  </si>
  <si>
    <t>M10D24</t>
  </si>
  <si>
    <t>M10D25</t>
  </si>
  <si>
    <t>M10D26</t>
  </si>
  <si>
    <t>M10D27</t>
  </si>
  <si>
    <t>M10D28</t>
  </si>
  <si>
    <t>M10D29</t>
  </si>
  <si>
    <t>M10D30</t>
  </si>
  <si>
    <t>M10D31</t>
  </si>
  <si>
    <t>M11D1</t>
  </si>
  <si>
    <t>M11D2</t>
  </si>
  <si>
    <t>M11D3</t>
  </si>
  <si>
    <t>M11D4</t>
  </si>
  <si>
    <t>M11D5</t>
  </si>
  <si>
    <t>M11D6</t>
  </si>
  <si>
    <t>M11D7</t>
  </si>
  <si>
    <t>M11D8</t>
  </si>
  <si>
    <t>M11D9</t>
  </si>
  <si>
    <t>M11D10</t>
  </si>
  <si>
    <t>M11D11</t>
  </si>
  <si>
    <t>M11D12</t>
  </si>
  <si>
    <t>M11D13</t>
  </si>
  <si>
    <t>M11D14</t>
  </si>
  <si>
    <t>M11D15</t>
  </si>
  <si>
    <t>M11D16</t>
  </si>
  <si>
    <t>M11D17</t>
  </si>
  <si>
    <t>M11D18</t>
  </si>
  <si>
    <t>M11D19</t>
  </si>
  <si>
    <t>M11D20</t>
  </si>
  <si>
    <t>M11D21</t>
  </si>
  <si>
    <t>M11D22</t>
  </si>
  <si>
    <t>M11D23</t>
  </si>
  <si>
    <t>M11D24</t>
  </si>
  <si>
    <t>M11D25</t>
  </si>
  <si>
    <t>M11D26</t>
  </si>
  <si>
    <t>M11D27</t>
  </si>
  <si>
    <t>M11D28</t>
  </si>
  <si>
    <t>M11D29</t>
  </si>
  <si>
    <t>M11D30</t>
  </si>
  <si>
    <t>M11D31</t>
  </si>
  <si>
    <t>M12D1</t>
  </si>
  <si>
    <t>M12D2</t>
  </si>
  <si>
    <t>M12D3</t>
  </si>
  <si>
    <t>M12D4</t>
  </si>
  <si>
    <t>M12D5</t>
  </si>
  <si>
    <t>M12D6</t>
  </si>
  <si>
    <t>M12D7</t>
  </si>
  <si>
    <t>M12D8</t>
  </si>
  <si>
    <t>M12D9</t>
  </si>
  <si>
    <t>M12D10</t>
  </si>
  <si>
    <t>M12D11</t>
  </si>
  <si>
    <t>M12D12</t>
  </si>
  <si>
    <t>M12D13</t>
  </si>
  <si>
    <t>M12D14</t>
  </si>
  <si>
    <t>M12D15</t>
  </si>
  <si>
    <t>M12D16</t>
  </si>
  <si>
    <t>M12D17</t>
  </si>
  <si>
    <t>M12D18</t>
  </si>
  <si>
    <t>M12D19</t>
  </si>
  <si>
    <t>M12D20</t>
  </si>
  <si>
    <t>M12D21</t>
  </si>
  <si>
    <t>M12D22</t>
  </si>
  <si>
    <t>M12D23</t>
  </si>
  <si>
    <t>M12D24</t>
  </si>
  <si>
    <t>M12D25</t>
  </si>
  <si>
    <t>M12D26</t>
  </si>
  <si>
    <t>M12D27</t>
  </si>
  <si>
    <t>M12D28</t>
  </si>
  <si>
    <t>M12D29</t>
  </si>
  <si>
    <t>M12D30</t>
  </si>
  <si>
    <t>M12D31</t>
  </si>
  <si>
    <t>СОГЛАСОВАННО:</t>
  </si>
  <si>
    <t>Индивидуальный график</t>
  </si>
  <si>
    <t>УТВЕРЖДАЮ:</t>
  </si>
  <si>
    <t>квартал</t>
  </si>
  <si>
    <t>месяц</t>
  </si>
  <si>
    <t>дней всего</t>
  </si>
  <si>
    <t>рабочих</t>
  </si>
  <si>
    <t>выходных</t>
  </si>
  <si>
    <t>раб.часов</t>
  </si>
  <si>
    <t>Числа месяца</t>
  </si>
  <si>
    <t>I</t>
  </si>
  <si>
    <t>Итого квартал</t>
  </si>
  <si>
    <t>II</t>
  </si>
  <si>
    <t>III</t>
  </si>
  <si>
    <t>IV</t>
  </si>
  <si>
    <t>Итого год</t>
  </si>
  <si>
    <t>Общая продолжительность рабочей недели составляет</t>
  </si>
  <si>
    <t>часов</t>
  </si>
  <si>
    <t>wYear</t>
  </si>
  <si>
    <t>Sogl2FIO</t>
  </si>
  <si>
    <t>Sogl2Dol</t>
  </si>
  <si>
    <t>day1Res</t>
  </si>
  <si>
    <t>day2Res</t>
  </si>
  <si>
    <t>day3Res</t>
  </si>
  <si>
    <t>day4Res</t>
  </si>
  <si>
    <t>day5Res</t>
  </si>
  <si>
    <t>day6Res</t>
  </si>
  <si>
    <t>day7Res</t>
  </si>
  <si>
    <t>WeekHour</t>
  </si>
  <si>
    <t>M1Visible</t>
  </si>
  <si>
    <t>M2Visible</t>
  </si>
  <si>
    <t>M3Visible</t>
  </si>
  <si>
    <t>M4Visible</t>
  </si>
  <si>
    <t>M5Visible</t>
  </si>
  <si>
    <t>M6Visible</t>
  </si>
  <si>
    <t>M7Visible</t>
  </si>
  <si>
    <t>M8Visible</t>
  </si>
  <si>
    <t>M9Visible</t>
  </si>
  <si>
    <t>M10Visible</t>
  </si>
  <si>
    <t>M11Visible</t>
  </si>
  <si>
    <t>M12Visible</t>
  </si>
  <si>
    <t>END</t>
  </si>
  <si>
    <t>[17/04/2017  00:41  SUPERVISOR]</t>
  </si>
  <si>
    <t>_5-дневная рабочая неделя 40 часов</t>
  </si>
  <si>
    <t>Бровкина Валентина Юрьевна</t>
  </si>
  <si>
    <t>Офис-менеджер</t>
  </si>
  <si>
    <t>Управление</t>
  </si>
  <si>
    <t>Федоров Д.П.</t>
  </si>
  <si>
    <t>Аккумуляторщик 2 разряда</t>
  </si>
  <si>
    <t>Короленко Н.П.</t>
  </si>
  <si>
    <t>Директор по производству АО "НПО Энергомаш"</t>
  </si>
  <si>
    <t>Авдеев И.С.</t>
  </si>
  <si>
    <t>Директор</t>
  </si>
  <si>
    <t>Васнецова И.С.</t>
  </si>
  <si>
    <t>Главный бухгалтер</t>
  </si>
  <si>
    <t>понедельник, вторник, среда, четверг
08-30 17-30 Обед с 13:00 до 13:45</t>
  </si>
  <si>
    <t>пятница
08-30 16-30 Обед с 13:00 до 14:00</t>
  </si>
  <si>
    <t>суббота, воскресенье
Выходной</t>
  </si>
  <si>
    <t>40.00</t>
  </si>
  <si>
    <t>В</t>
  </si>
  <si>
    <t>Светлов Александр Васильевич</t>
  </si>
  <si>
    <t>Заведующий складом</t>
  </si>
  <si>
    <t>Общий склад</t>
  </si>
  <si>
    <t>Q1V</t>
  </si>
  <si>
    <t>Q2V</t>
  </si>
  <si>
    <t>Q3V</t>
  </si>
  <si>
    <t>Q4V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</si>
</sst>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2" borderId="0" xfId="0" applyFont="1" applyFill="1"/>
    <xf numFmtId="0" fontId="0" fillId="0" borderId="0" xfId="0" quotePrefix="1"/>
    <xf numFmtId="0" fontId="0" fillId="0" borderId="1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/>
    <xf numFmtId="0" fontId="0" fillId="0" borderId="2" xfId="0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textRotation="90"/>
    </xf>
    <xf numFmtId="0" fontId="3" fillId="0" borderId="0" xfId="0" applyFont="1"/>
    <xf numFmtId="0" fontId="0" fillId="0" borderId="0" xfId="0" quotePrefix="1" applyAlignment="1">
      <alignment wrapText="1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 textRotation="90"/>
    </xf>
    <xf numFmtId="0" fontId="3" fillId="0" borderId="0" xfId="0" applyFont="1" applyAlignment="1">
      <alignment horizontal="center"/>
    </xf>
    <xf numFmtId="0" fontId="2" fillId="0" borderId="0" xfId="0" applyFont="1" applyAlignment="1">
      <alignment horizontal="left" vertical="top" wrapText="1"/>
    </xf>
    <xf numFmtId="0" fontId="0" fillId="0" borderId="0" xfId="0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OU3"/>
  <sheetViews>
    <sheetView topLeftCell="O1" workbookViewId="0">
      <selection activeCell="AC8" sqref="AC8"/>
    </sheetView>
  </sheetViews>
  <sheetFormatPr defaultRowHeight="15" x14ac:dyDescent="0.25"/>
  <cols>
    <col min="21" max="21" width="4.42578125" customWidth="1"/>
  </cols>
  <sheetData>
    <row r="1" spans="1:411" x14ac:dyDescent="0.25">
      <c r="A1" s="1" t="s">
        <v>13</v>
      </c>
      <c r="B1" s="1" t="s">
        <v>14</v>
      </c>
      <c r="C1" s="1" t="s">
        <v>15</v>
      </c>
      <c r="D1" s="1" t="s">
        <v>16</v>
      </c>
      <c r="E1" s="1" t="s">
        <v>407</v>
      </c>
      <c r="F1" s="1" t="s">
        <v>5</v>
      </c>
      <c r="G1" s="1" t="s">
        <v>6</v>
      </c>
      <c r="H1" s="1" t="s">
        <v>408</v>
      </c>
      <c r="I1" s="1" t="s">
        <v>409</v>
      </c>
      <c r="J1" s="1" t="s">
        <v>7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410</v>
      </c>
      <c r="Q1" s="1" t="s">
        <v>411</v>
      </c>
      <c r="R1" s="1" t="s">
        <v>412</v>
      </c>
      <c r="S1" s="1" t="s">
        <v>413</v>
      </c>
      <c r="T1" s="1" t="s">
        <v>414</v>
      </c>
      <c r="U1" s="1" t="s">
        <v>415</v>
      </c>
      <c r="V1" s="1" t="s">
        <v>416</v>
      </c>
      <c r="W1" s="1" t="s">
        <v>417</v>
      </c>
      <c r="X1" s="1" t="s">
        <v>452</v>
      </c>
      <c r="Y1" s="1" t="s">
        <v>453</v>
      </c>
      <c r="Z1" s="1" t="s">
        <v>454</v>
      </c>
      <c r="AA1" s="1" t="s">
        <v>455</v>
      </c>
      <c r="AB1" s="1" t="s">
        <v>418</v>
      </c>
      <c r="AC1" s="1" t="s">
        <v>17</v>
      </c>
      <c r="AD1" s="1" t="s">
        <v>18</v>
      </c>
      <c r="AE1" s="1" t="s">
        <v>19</v>
      </c>
      <c r="AF1" s="1" t="s">
        <v>20</v>
      </c>
      <c r="AG1" s="1" t="s">
        <v>21</v>
      </c>
      <c r="AH1" s="1" t="s">
        <v>22</v>
      </c>
      <c r="AI1" s="1" t="s">
        <v>23</v>
      </c>
      <c r="AJ1" s="1" t="s">
        <v>24</v>
      </c>
      <c r="AK1" s="1" t="s">
        <v>25</v>
      </c>
      <c r="AL1" s="1" t="s">
        <v>26</v>
      </c>
      <c r="AM1" s="1" t="s">
        <v>27</v>
      </c>
      <c r="AN1" s="1" t="s">
        <v>28</v>
      </c>
      <c r="AO1" s="1" t="s">
        <v>29</v>
      </c>
      <c r="AP1" s="1" t="s">
        <v>30</v>
      </c>
      <c r="AQ1" s="1" t="s">
        <v>31</v>
      </c>
      <c r="AR1" s="1" t="s">
        <v>32</v>
      </c>
      <c r="AS1" s="1" t="s">
        <v>33</v>
      </c>
      <c r="AT1" s="1" t="s">
        <v>34</v>
      </c>
      <c r="AU1" s="1" t="s">
        <v>35</v>
      </c>
      <c r="AV1" s="1" t="s">
        <v>36</v>
      </c>
      <c r="AW1" s="1" t="s">
        <v>37</v>
      </c>
      <c r="AX1" s="1" t="s">
        <v>38</v>
      </c>
      <c r="AY1" s="1" t="s">
        <v>39</v>
      </c>
      <c r="AZ1" s="1" t="s">
        <v>40</v>
      </c>
      <c r="BA1" s="1" t="s">
        <v>41</v>
      </c>
      <c r="BB1" s="1" t="s">
        <v>42</v>
      </c>
      <c r="BC1" s="1" t="s">
        <v>43</v>
      </c>
      <c r="BD1" s="1" t="s">
        <v>44</v>
      </c>
      <c r="BE1" s="1" t="s">
        <v>45</v>
      </c>
      <c r="BF1" s="1" t="s">
        <v>46</v>
      </c>
      <c r="BG1" s="1" t="s">
        <v>47</v>
      </c>
      <c r="BH1" s="1" t="s">
        <v>419</v>
      </c>
      <c r="BI1" s="1" t="s">
        <v>48</v>
      </c>
      <c r="BJ1" s="1" t="s">
        <v>49</v>
      </c>
      <c r="BK1" s="1" t="s">
        <v>50</v>
      </c>
      <c r="BL1" s="1" t="s">
        <v>51</v>
      </c>
      <c r="BM1" s="1" t="s">
        <v>52</v>
      </c>
      <c r="BN1" s="1" t="s">
        <v>53</v>
      </c>
      <c r="BO1" s="1" t="s">
        <v>54</v>
      </c>
      <c r="BP1" s="1" t="s">
        <v>55</v>
      </c>
      <c r="BQ1" s="1" t="s">
        <v>56</v>
      </c>
      <c r="BR1" s="1" t="s">
        <v>57</v>
      </c>
      <c r="BS1" s="1" t="s">
        <v>58</v>
      </c>
      <c r="BT1" s="1" t="s">
        <v>59</v>
      </c>
      <c r="BU1" s="1" t="s">
        <v>60</v>
      </c>
      <c r="BV1" s="1" t="s">
        <v>61</v>
      </c>
      <c r="BW1" s="1" t="s">
        <v>62</v>
      </c>
      <c r="BX1" s="1" t="s">
        <v>63</v>
      </c>
      <c r="BY1" s="1" t="s">
        <v>64</v>
      </c>
      <c r="BZ1" s="1" t="s">
        <v>65</v>
      </c>
      <c r="CA1" s="1" t="s">
        <v>66</v>
      </c>
      <c r="CB1" s="1" t="s">
        <v>67</v>
      </c>
      <c r="CC1" s="1" t="s">
        <v>68</v>
      </c>
      <c r="CD1" s="1" t="s">
        <v>69</v>
      </c>
      <c r="CE1" s="1" t="s">
        <v>70</v>
      </c>
      <c r="CF1" s="1" t="s">
        <v>71</v>
      </c>
      <c r="CG1" s="1" t="s">
        <v>72</v>
      </c>
      <c r="CH1" s="1" t="s">
        <v>73</v>
      </c>
      <c r="CI1" s="1" t="s">
        <v>74</v>
      </c>
      <c r="CJ1" s="1" t="s">
        <v>75</v>
      </c>
      <c r="CK1" s="1" t="s">
        <v>76</v>
      </c>
      <c r="CL1" s="1" t="s">
        <v>77</v>
      </c>
      <c r="CM1" s="1" t="s">
        <v>78</v>
      </c>
      <c r="CN1" s="1" t="s">
        <v>420</v>
      </c>
      <c r="CO1" s="1" t="s">
        <v>79</v>
      </c>
      <c r="CP1" s="1" t="s">
        <v>80</v>
      </c>
      <c r="CQ1" s="1" t="s">
        <v>81</v>
      </c>
      <c r="CR1" s="1" t="s">
        <v>82</v>
      </c>
      <c r="CS1" s="1" t="s">
        <v>83</v>
      </c>
      <c r="CT1" s="1" t="s">
        <v>84</v>
      </c>
      <c r="CU1" s="1" t="s">
        <v>85</v>
      </c>
      <c r="CV1" s="1" t="s">
        <v>86</v>
      </c>
      <c r="CW1" s="1" t="s">
        <v>87</v>
      </c>
      <c r="CX1" s="1" t="s">
        <v>88</v>
      </c>
      <c r="CY1" s="1" t="s">
        <v>89</v>
      </c>
      <c r="CZ1" s="1" t="s">
        <v>90</v>
      </c>
      <c r="DA1" s="1" t="s">
        <v>91</v>
      </c>
      <c r="DB1" s="1" t="s">
        <v>92</v>
      </c>
      <c r="DC1" s="1" t="s">
        <v>93</v>
      </c>
      <c r="DD1" s="1" t="s">
        <v>94</v>
      </c>
      <c r="DE1" s="1" t="s">
        <v>95</v>
      </c>
      <c r="DF1" s="1" t="s">
        <v>96</v>
      </c>
      <c r="DG1" s="1" t="s">
        <v>97</v>
      </c>
      <c r="DH1" s="1" t="s">
        <v>98</v>
      </c>
      <c r="DI1" s="1" t="s">
        <v>99</v>
      </c>
      <c r="DJ1" s="1" t="s">
        <v>100</v>
      </c>
      <c r="DK1" s="1" t="s">
        <v>101</v>
      </c>
      <c r="DL1" s="1" t="s">
        <v>102</v>
      </c>
      <c r="DM1" s="1" t="s">
        <v>103</v>
      </c>
      <c r="DN1" s="1" t="s">
        <v>104</v>
      </c>
      <c r="DO1" s="1" t="s">
        <v>105</v>
      </c>
      <c r="DP1" s="1" t="s">
        <v>106</v>
      </c>
      <c r="DQ1" s="1" t="s">
        <v>107</v>
      </c>
      <c r="DR1" s="1" t="s">
        <v>108</v>
      </c>
      <c r="DS1" s="1" t="s">
        <v>109</v>
      </c>
      <c r="DT1" s="1" t="s">
        <v>421</v>
      </c>
      <c r="DU1" s="1" t="s">
        <v>110</v>
      </c>
      <c r="DV1" s="1" t="s">
        <v>111</v>
      </c>
      <c r="DW1" s="1" t="s">
        <v>112</v>
      </c>
      <c r="DX1" s="1" t="s">
        <v>113</v>
      </c>
      <c r="DY1" s="1" t="s">
        <v>114</v>
      </c>
      <c r="DZ1" s="1" t="s">
        <v>115</v>
      </c>
      <c r="EA1" s="1" t="s">
        <v>116</v>
      </c>
      <c r="EB1" s="1" t="s">
        <v>117</v>
      </c>
      <c r="EC1" s="1" t="s">
        <v>118</v>
      </c>
      <c r="ED1" s="1" t="s">
        <v>119</v>
      </c>
      <c r="EE1" s="1" t="s">
        <v>120</v>
      </c>
      <c r="EF1" s="1" t="s">
        <v>121</v>
      </c>
      <c r="EG1" s="1" t="s">
        <v>122</v>
      </c>
      <c r="EH1" s="1" t="s">
        <v>123</v>
      </c>
      <c r="EI1" s="1" t="s">
        <v>124</v>
      </c>
      <c r="EJ1" s="1" t="s">
        <v>125</v>
      </c>
      <c r="EK1" s="1" t="s">
        <v>126</v>
      </c>
      <c r="EL1" s="1" t="s">
        <v>127</v>
      </c>
      <c r="EM1" s="1" t="s">
        <v>128</v>
      </c>
      <c r="EN1" s="1" t="s">
        <v>129</v>
      </c>
      <c r="EO1" s="1" t="s">
        <v>130</v>
      </c>
      <c r="EP1" s="1" t="s">
        <v>131</v>
      </c>
      <c r="EQ1" s="1" t="s">
        <v>132</v>
      </c>
      <c r="ER1" s="1" t="s">
        <v>133</v>
      </c>
      <c r="ES1" s="1" t="s">
        <v>134</v>
      </c>
      <c r="ET1" s="1" t="s">
        <v>135</v>
      </c>
      <c r="EU1" s="1" t="s">
        <v>136</v>
      </c>
      <c r="EV1" s="1" t="s">
        <v>137</v>
      </c>
      <c r="EW1" s="1" t="s">
        <v>138</v>
      </c>
      <c r="EX1" s="1" t="s">
        <v>139</v>
      </c>
      <c r="EY1" s="1" t="s">
        <v>140</v>
      </c>
      <c r="EZ1" s="1" t="s">
        <v>422</v>
      </c>
      <c r="FA1" s="1" t="s">
        <v>141</v>
      </c>
      <c r="FB1" s="1" t="s">
        <v>142</v>
      </c>
      <c r="FC1" s="1" t="s">
        <v>143</v>
      </c>
      <c r="FD1" s="1" t="s">
        <v>144</v>
      </c>
      <c r="FE1" s="1" t="s">
        <v>145</v>
      </c>
      <c r="FF1" s="1" t="s">
        <v>146</v>
      </c>
      <c r="FG1" s="1" t="s">
        <v>147</v>
      </c>
      <c r="FH1" s="1" t="s">
        <v>148</v>
      </c>
      <c r="FI1" s="1" t="s">
        <v>149</v>
      </c>
      <c r="FJ1" s="1" t="s">
        <v>150</v>
      </c>
      <c r="FK1" s="1" t="s">
        <v>151</v>
      </c>
      <c r="FL1" s="1" t="s">
        <v>152</v>
      </c>
      <c r="FM1" s="1" t="s">
        <v>153</v>
      </c>
      <c r="FN1" s="1" t="s">
        <v>154</v>
      </c>
      <c r="FO1" s="1" t="s">
        <v>155</v>
      </c>
      <c r="FP1" s="1" t="s">
        <v>156</v>
      </c>
      <c r="FQ1" s="1" t="s">
        <v>157</v>
      </c>
      <c r="FR1" s="1" t="s">
        <v>158</v>
      </c>
      <c r="FS1" s="1" t="s">
        <v>159</v>
      </c>
      <c r="FT1" s="1" t="s">
        <v>160</v>
      </c>
      <c r="FU1" s="1" t="s">
        <v>161</v>
      </c>
      <c r="FV1" s="1" t="s">
        <v>162</v>
      </c>
      <c r="FW1" s="1" t="s">
        <v>163</v>
      </c>
      <c r="FX1" s="1" t="s">
        <v>164</v>
      </c>
      <c r="FY1" s="1" t="s">
        <v>165</v>
      </c>
      <c r="FZ1" s="1" t="s">
        <v>166</v>
      </c>
      <c r="GA1" s="1" t="s">
        <v>167</v>
      </c>
      <c r="GB1" s="1" t="s">
        <v>168</v>
      </c>
      <c r="GC1" s="1" t="s">
        <v>169</v>
      </c>
      <c r="GD1" s="1" t="s">
        <v>170</v>
      </c>
      <c r="GE1" s="1" t="s">
        <v>171</v>
      </c>
      <c r="GF1" s="1" t="s">
        <v>423</v>
      </c>
      <c r="GG1" s="1" t="s">
        <v>172</v>
      </c>
      <c r="GH1" s="1" t="s">
        <v>173</v>
      </c>
      <c r="GI1" s="1" t="s">
        <v>174</v>
      </c>
      <c r="GJ1" s="1" t="s">
        <v>175</v>
      </c>
      <c r="GK1" s="1" t="s">
        <v>176</v>
      </c>
      <c r="GL1" s="1" t="s">
        <v>177</v>
      </c>
      <c r="GM1" s="1" t="s">
        <v>178</v>
      </c>
      <c r="GN1" s="1" t="s">
        <v>179</v>
      </c>
      <c r="GO1" s="1" t="s">
        <v>180</v>
      </c>
      <c r="GP1" s="1" t="s">
        <v>181</v>
      </c>
      <c r="GQ1" s="1" t="s">
        <v>182</v>
      </c>
      <c r="GR1" s="1" t="s">
        <v>183</v>
      </c>
      <c r="GS1" s="1" t="s">
        <v>184</v>
      </c>
      <c r="GT1" s="1" t="s">
        <v>185</v>
      </c>
      <c r="GU1" s="1" t="s">
        <v>186</v>
      </c>
      <c r="GV1" s="1" t="s">
        <v>187</v>
      </c>
      <c r="GW1" s="1" t="s">
        <v>188</v>
      </c>
      <c r="GX1" s="1" t="s">
        <v>189</v>
      </c>
      <c r="GY1" s="1" t="s">
        <v>190</v>
      </c>
      <c r="GZ1" s="1" t="s">
        <v>191</v>
      </c>
      <c r="HA1" s="1" t="s">
        <v>192</v>
      </c>
      <c r="HB1" s="1" t="s">
        <v>193</v>
      </c>
      <c r="HC1" s="1" t="s">
        <v>194</v>
      </c>
      <c r="HD1" s="1" t="s">
        <v>195</v>
      </c>
      <c r="HE1" s="1" t="s">
        <v>196</v>
      </c>
      <c r="HF1" s="1" t="s">
        <v>197</v>
      </c>
      <c r="HG1" s="1" t="s">
        <v>198</v>
      </c>
      <c r="HH1" s="1" t="s">
        <v>199</v>
      </c>
      <c r="HI1" s="1" t="s">
        <v>200</v>
      </c>
      <c r="HJ1" s="1" t="s">
        <v>201</v>
      </c>
      <c r="HK1" s="1" t="s">
        <v>202</v>
      </c>
      <c r="HL1" s="1" t="s">
        <v>424</v>
      </c>
      <c r="HM1" s="1" t="s">
        <v>203</v>
      </c>
      <c r="HN1" s="1" t="s">
        <v>204</v>
      </c>
      <c r="HO1" s="1" t="s">
        <v>205</v>
      </c>
      <c r="HP1" s="1" t="s">
        <v>206</v>
      </c>
      <c r="HQ1" s="1" t="s">
        <v>207</v>
      </c>
      <c r="HR1" s="1" t="s">
        <v>208</v>
      </c>
      <c r="HS1" s="1" t="s">
        <v>209</v>
      </c>
      <c r="HT1" s="1" t="s">
        <v>210</v>
      </c>
      <c r="HU1" s="1" t="s">
        <v>211</v>
      </c>
      <c r="HV1" s="1" t="s">
        <v>212</v>
      </c>
      <c r="HW1" s="1" t="s">
        <v>213</v>
      </c>
      <c r="HX1" s="1" t="s">
        <v>214</v>
      </c>
      <c r="HY1" s="1" t="s">
        <v>215</v>
      </c>
      <c r="HZ1" s="1" t="s">
        <v>216</v>
      </c>
      <c r="IA1" s="1" t="s">
        <v>217</v>
      </c>
      <c r="IB1" s="1" t="s">
        <v>218</v>
      </c>
      <c r="IC1" s="1" t="s">
        <v>219</v>
      </c>
      <c r="ID1" s="1" t="s">
        <v>220</v>
      </c>
      <c r="IE1" s="1" t="s">
        <v>221</v>
      </c>
      <c r="IF1" s="1" t="s">
        <v>222</v>
      </c>
      <c r="IG1" s="1" t="s">
        <v>223</v>
      </c>
      <c r="IH1" s="1" t="s">
        <v>224</v>
      </c>
      <c r="II1" s="1" t="s">
        <v>225</v>
      </c>
      <c r="IJ1" s="1" t="s">
        <v>226</v>
      </c>
      <c r="IK1" s="1" t="s">
        <v>227</v>
      </c>
      <c r="IL1" s="1" t="s">
        <v>228</v>
      </c>
      <c r="IM1" s="1" t="s">
        <v>229</v>
      </c>
      <c r="IN1" s="1" t="s">
        <v>230</v>
      </c>
      <c r="IO1" s="1" t="s">
        <v>231</v>
      </c>
      <c r="IP1" s="1" t="s">
        <v>232</v>
      </c>
      <c r="IQ1" s="1" t="s">
        <v>233</v>
      </c>
      <c r="IR1" s="1" t="s">
        <v>425</v>
      </c>
      <c r="IS1" s="1" t="s">
        <v>234</v>
      </c>
      <c r="IT1" s="1" t="s">
        <v>235</v>
      </c>
      <c r="IU1" s="1" t="s">
        <v>236</v>
      </c>
      <c r="IV1" s="1" t="s">
        <v>237</v>
      </c>
      <c r="IW1" s="1" t="s">
        <v>238</v>
      </c>
      <c r="IX1" s="1" t="s">
        <v>239</v>
      </c>
      <c r="IY1" s="1" t="s">
        <v>240</v>
      </c>
      <c r="IZ1" s="1" t="s">
        <v>241</v>
      </c>
      <c r="JA1" s="1" t="s">
        <v>242</v>
      </c>
      <c r="JB1" s="1" t="s">
        <v>243</v>
      </c>
      <c r="JC1" s="1" t="s">
        <v>244</v>
      </c>
      <c r="JD1" s="1" t="s">
        <v>245</v>
      </c>
      <c r="JE1" s="1" t="s">
        <v>246</v>
      </c>
      <c r="JF1" s="1" t="s">
        <v>247</v>
      </c>
      <c r="JG1" s="1" t="s">
        <v>248</v>
      </c>
      <c r="JH1" s="1" t="s">
        <v>249</v>
      </c>
      <c r="JI1" s="1" t="s">
        <v>250</v>
      </c>
      <c r="JJ1" s="1" t="s">
        <v>251</v>
      </c>
      <c r="JK1" s="1" t="s">
        <v>252</v>
      </c>
      <c r="JL1" s="1" t="s">
        <v>253</v>
      </c>
      <c r="JM1" s="1" t="s">
        <v>254</v>
      </c>
      <c r="JN1" s="1" t="s">
        <v>255</v>
      </c>
      <c r="JO1" s="1" t="s">
        <v>256</v>
      </c>
      <c r="JP1" s="1" t="s">
        <v>257</v>
      </c>
      <c r="JQ1" s="1" t="s">
        <v>258</v>
      </c>
      <c r="JR1" s="1" t="s">
        <v>259</v>
      </c>
      <c r="JS1" s="1" t="s">
        <v>260</v>
      </c>
      <c r="JT1" s="1" t="s">
        <v>261</v>
      </c>
      <c r="JU1" s="1" t="s">
        <v>262</v>
      </c>
      <c r="JV1" s="1" t="s">
        <v>263</v>
      </c>
      <c r="JW1" s="1" t="s">
        <v>264</v>
      </c>
      <c r="JX1" s="1" t="s">
        <v>426</v>
      </c>
      <c r="JY1" s="1" t="s">
        <v>265</v>
      </c>
      <c r="JZ1" s="1" t="s">
        <v>266</v>
      </c>
      <c r="KA1" s="1" t="s">
        <v>267</v>
      </c>
      <c r="KB1" s="1" t="s">
        <v>268</v>
      </c>
      <c r="KC1" s="1" t="s">
        <v>269</v>
      </c>
      <c r="KD1" s="1" t="s">
        <v>270</v>
      </c>
      <c r="KE1" s="1" t="s">
        <v>271</v>
      </c>
      <c r="KF1" s="1" t="s">
        <v>272</v>
      </c>
      <c r="KG1" s="1" t="s">
        <v>273</v>
      </c>
      <c r="KH1" s="1" t="s">
        <v>274</v>
      </c>
      <c r="KI1" s="1" t="s">
        <v>275</v>
      </c>
      <c r="KJ1" s="1" t="s">
        <v>276</v>
      </c>
      <c r="KK1" s="1" t="s">
        <v>277</v>
      </c>
      <c r="KL1" s="1" t="s">
        <v>278</v>
      </c>
      <c r="KM1" s="1" t="s">
        <v>279</v>
      </c>
      <c r="KN1" s="1" t="s">
        <v>280</v>
      </c>
      <c r="KO1" s="1" t="s">
        <v>281</v>
      </c>
      <c r="KP1" s="1" t="s">
        <v>282</v>
      </c>
      <c r="KQ1" s="1" t="s">
        <v>283</v>
      </c>
      <c r="KR1" s="1" t="s">
        <v>284</v>
      </c>
      <c r="KS1" s="1" t="s">
        <v>285</v>
      </c>
      <c r="KT1" s="1" t="s">
        <v>286</v>
      </c>
      <c r="KU1" s="1" t="s">
        <v>287</v>
      </c>
      <c r="KV1" s="1" t="s">
        <v>288</v>
      </c>
      <c r="KW1" s="1" t="s">
        <v>289</v>
      </c>
      <c r="KX1" s="1" t="s">
        <v>290</v>
      </c>
      <c r="KY1" s="1" t="s">
        <v>291</v>
      </c>
      <c r="KZ1" s="1" t="s">
        <v>292</v>
      </c>
      <c r="LA1" s="1" t="s">
        <v>293</v>
      </c>
      <c r="LB1" s="1" t="s">
        <v>294</v>
      </c>
      <c r="LC1" s="1" t="s">
        <v>295</v>
      </c>
      <c r="LD1" s="1" t="s">
        <v>427</v>
      </c>
      <c r="LE1" s="1" t="s">
        <v>296</v>
      </c>
      <c r="LF1" s="1" t="s">
        <v>297</v>
      </c>
      <c r="LG1" s="1" t="s">
        <v>298</v>
      </c>
      <c r="LH1" s="1" t="s">
        <v>299</v>
      </c>
      <c r="LI1" s="1" t="s">
        <v>300</v>
      </c>
      <c r="LJ1" s="1" t="s">
        <v>301</v>
      </c>
      <c r="LK1" s="1" t="s">
        <v>302</v>
      </c>
      <c r="LL1" s="1" t="s">
        <v>303</v>
      </c>
      <c r="LM1" s="1" t="s">
        <v>304</v>
      </c>
      <c r="LN1" s="1" t="s">
        <v>305</v>
      </c>
      <c r="LO1" s="1" t="s">
        <v>306</v>
      </c>
      <c r="LP1" s="1" t="s">
        <v>307</v>
      </c>
      <c r="LQ1" s="1" t="s">
        <v>308</v>
      </c>
      <c r="LR1" s="1" t="s">
        <v>309</v>
      </c>
      <c r="LS1" s="1" t="s">
        <v>310</v>
      </c>
      <c r="LT1" s="1" t="s">
        <v>311</v>
      </c>
      <c r="LU1" s="1" t="s">
        <v>312</v>
      </c>
      <c r="LV1" s="1" t="s">
        <v>313</v>
      </c>
      <c r="LW1" s="1" t="s">
        <v>314</v>
      </c>
      <c r="LX1" s="1" t="s">
        <v>315</v>
      </c>
      <c r="LY1" s="1" t="s">
        <v>316</v>
      </c>
      <c r="LZ1" s="1" t="s">
        <v>317</v>
      </c>
      <c r="MA1" s="1" t="s">
        <v>318</v>
      </c>
      <c r="MB1" s="1" t="s">
        <v>319</v>
      </c>
      <c r="MC1" s="1" t="s">
        <v>320</v>
      </c>
      <c r="MD1" s="1" t="s">
        <v>321</v>
      </c>
      <c r="ME1" s="1" t="s">
        <v>322</v>
      </c>
      <c r="MF1" s="1" t="s">
        <v>323</v>
      </c>
      <c r="MG1" s="1" t="s">
        <v>324</v>
      </c>
      <c r="MH1" s="1" t="s">
        <v>325</v>
      </c>
      <c r="MI1" s="1" t="s">
        <v>326</v>
      </c>
      <c r="MJ1" s="1" t="s">
        <v>428</v>
      </c>
      <c r="MK1" s="1" t="s">
        <v>327</v>
      </c>
      <c r="ML1" s="1" t="s">
        <v>328</v>
      </c>
      <c r="MM1" s="1" t="s">
        <v>329</v>
      </c>
      <c r="MN1" s="1" t="s">
        <v>330</v>
      </c>
      <c r="MO1" s="1" t="s">
        <v>331</v>
      </c>
      <c r="MP1" s="1" t="s">
        <v>332</v>
      </c>
      <c r="MQ1" s="1" t="s">
        <v>333</v>
      </c>
      <c r="MR1" s="1" t="s">
        <v>334</v>
      </c>
      <c r="MS1" s="1" t="s">
        <v>335</v>
      </c>
      <c r="MT1" s="1" t="s">
        <v>336</v>
      </c>
      <c r="MU1" s="1" t="s">
        <v>337</v>
      </c>
      <c r="MV1" s="1" t="s">
        <v>338</v>
      </c>
      <c r="MW1" s="1" t="s">
        <v>339</v>
      </c>
      <c r="MX1" s="1" t="s">
        <v>340</v>
      </c>
      <c r="MY1" s="1" t="s">
        <v>341</v>
      </c>
      <c r="MZ1" s="1" t="s">
        <v>342</v>
      </c>
      <c r="NA1" s="1" t="s">
        <v>343</v>
      </c>
      <c r="NB1" s="1" t="s">
        <v>344</v>
      </c>
      <c r="NC1" s="1" t="s">
        <v>345</v>
      </c>
      <c r="ND1" s="1" t="s">
        <v>346</v>
      </c>
      <c r="NE1" s="1" t="s">
        <v>347</v>
      </c>
      <c r="NF1" s="1" t="s">
        <v>348</v>
      </c>
      <c r="NG1" s="1" t="s">
        <v>349</v>
      </c>
      <c r="NH1" s="1" t="s">
        <v>350</v>
      </c>
      <c r="NI1" s="1" t="s">
        <v>351</v>
      </c>
      <c r="NJ1" s="1" t="s">
        <v>352</v>
      </c>
      <c r="NK1" s="1" t="s">
        <v>353</v>
      </c>
      <c r="NL1" s="1" t="s">
        <v>354</v>
      </c>
      <c r="NM1" s="1" t="s">
        <v>355</v>
      </c>
      <c r="NN1" s="1" t="s">
        <v>356</v>
      </c>
      <c r="NO1" s="1" t="s">
        <v>357</v>
      </c>
      <c r="NP1" s="1" t="s">
        <v>429</v>
      </c>
      <c r="NQ1" s="1" t="s">
        <v>358</v>
      </c>
      <c r="NR1" s="1" t="s">
        <v>359</v>
      </c>
      <c r="NS1" s="1" t="s">
        <v>360</v>
      </c>
      <c r="NT1" s="1" t="s">
        <v>361</v>
      </c>
      <c r="NU1" s="1" t="s">
        <v>362</v>
      </c>
      <c r="NV1" s="1" t="s">
        <v>363</v>
      </c>
      <c r="NW1" s="1" t="s">
        <v>364</v>
      </c>
      <c r="NX1" s="1" t="s">
        <v>365</v>
      </c>
      <c r="NY1" s="1" t="s">
        <v>366</v>
      </c>
      <c r="NZ1" s="1" t="s">
        <v>367</v>
      </c>
      <c r="OA1" s="1" t="s">
        <v>368</v>
      </c>
      <c r="OB1" s="1" t="s">
        <v>369</v>
      </c>
      <c r="OC1" s="1" t="s">
        <v>370</v>
      </c>
      <c r="OD1" s="1" t="s">
        <v>371</v>
      </c>
      <c r="OE1" s="1" t="s">
        <v>372</v>
      </c>
      <c r="OF1" s="1" t="s">
        <v>373</v>
      </c>
      <c r="OG1" s="1" t="s">
        <v>374</v>
      </c>
      <c r="OH1" s="1" t="s">
        <v>375</v>
      </c>
      <c r="OI1" s="1" t="s">
        <v>376</v>
      </c>
      <c r="OJ1" s="1" t="s">
        <v>377</v>
      </c>
      <c r="OK1" s="1" t="s">
        <v>378</v>
      </c>
      <c r="OL1" s="1" t="s">
        <v>379</v>
      </c>
      <c r="OM1" s="1" t="s">
        <v>380</v>
      </c>
      <c r="ON1" s="1" t="s">
        <v>381</v>
      </c>
      <c r="OO1" s="1" t="s">
        <v>382</v>
      </c>
      <c r="OP1" s="1" t="s">
        <v>383</v>
      </c>
      <c r="OQ1" s="1" t="s">
        <v>384</v>
      </c>
      <c r="OR1" s="1" t="s">
        <v>385</v>
      </c>
      <c r="OS1" s="1" t="s">
        <v>386</v>
      </c>
      <c r="OT1" s="1" t="s">
        <v>387</v>
      </c>
      <c r="OU1" s="1" t="s">
        <v>388</v>
      </c>
    </row>
    <row r="2" spans="1:411" ht="23.25" customHeight="1" x14ac:dyDescent="0.25">
      <c r="A2" s="2" t="s">
        <v>432</v>
      </c>
      <c r="B2" s="2" t="s">
        <v>433</v>
      </c>
      <c r="C2" s="2" t="s">
        <v>434</v>
      </c>
      <c r="D2" s="2" t="s">
        <v>435</v>
      </c>
      <c r="E2">
        <v>2016</v>
      </c>
      <c r="F2" s="2" t="s">
        <v>436</v>
      </c>
      <c r="G2" s="2" t="s">
        <v>437</v>
      </c>
      <c r="H2" s="2" t="s">
        <v>436</v>
      </c>
      <c r="I2" s="2" t="s">
        <v>437</v>
      </c>
      <c r="J2" s="2" t="s">
        <v>438</v>
      </c>
      <c r="K2" s="2" t="s">
        <v>439</v>
      </c>
      <c r="L2" s="2" t="s">
        <v>440</v>
      </c>
      <c r="M2" s="2" t="s">
        <v>441</v>
      </c>
      <c r="N2" s="2" t="s">
        <v>442</v>
      </c>
      <c r="O2" s="2" t="s">
        <v>443</v>
      </c>
      <c r="P2" s="14" t="s">
        <v>444</v>
      </c>
      <c r="Q2" s="14" t="s">
        <v>445</v>
      </c>
      <c r="R2" s="14" t="s">
        <v>446</v>
      </c>
      <c r="W2" s="2" t="s">
        <v>447</v>
      </c>
      <c r="X2" s="2"/>
      <c r="Y2" s="2"/>
      <c r="Z2" s="2"/>
      <c r="AA2" s="2"/>
      <c r="DT2">
        <v>1</v>
      </c>
      <c r="DU2">
        <v>7</v>
      </c>
      <c r="DV2" s="2" t="s">
        <v>448</v>
      </c>
      <c r="DW2" s="2" t="s">
        <v>448</v>
      </c>
      <c r="DX2">
        <v>8.25</v>
      </c>
      <c r="DY2">
        <v>8.25</v>
      </c>
      <c r="DZ2">
        <v>8.25</v>
      </c>
      <c r="EA2">
        <v>8.25</v>
      </c>
      <c r="EB2">
        <v>7</v>
      </c>
      <c r="EC2" s="2" t="s">
        <v>448</v>
      </c>
      <c r="ED2" s="2" t="s">
        <v>448</v>
      </c>
      <c r="EE2">
        <v>8.25</v>
      </c>
      <c r="EF2">
        <v>8.25</v>
      </c>
      <c r="EG2">
        <v>8.25</v>
      </c>
      <c r="EH2">
        <v>8.25</v>
      </c>
      <c r="EI2">
        <v>7</v>
      </c>
      <c r="EJ2" s="2" t="s">
        <v>448</v>
      </c>
      <c r="EK2" s="2" t="s">
        <v>448</v>
      </c>
      <c r="EL2">
        <v>8.25</v>
      </c>
      <c r="EM2">
        <v>8.25</v>
      </c>
      <c r="EN2">
        <v>8.25</v>
      </c>
      <c r="EO2">
        <v>8.25</v>
      </c>
      <c r="EP2">
        <v>7</v>
      </c>
      <c r="EQ2" s="2" t="s">
        <v>448</v>
      </c>
      <c r="ER2" s="2" t="s">
        <v>448</v>
      </c>
      <c r="ES2">
        <v>8.25</v>
      </c>
      <c r="ET2">
        <v>8.25</v>
      </c>
      <c r="EU2">
        <v>8.25</v>
      </c>
      <c r="EV2">
        <v>8.25</v>
      </c>
      <c r="EW2">
        <v>7</v>
      </c>
      <c r="EX2" s="2" t="s">
        <v>448</v>
      </c>
      <c r="EY2" s="2" t="s">
        <v>448</v>
      </c>
      <c r="EZ2">
        <v>1</v>
      </c>
      <c r="FA2" s="2" t="s">
        <v>448</v>
      </c>
      <c r="FB2" s="2" t="s">
        <v>448</v>
      </c>
      <c r="FC2" s="2" t="s">
        <v>448</v>
      </c>
      <c r="FD2">
        <v>8.25</v>
      </c>
      <c r="FE2">
        <v>8.25</v>
      </c>
      <c r="FF2">
        <v>7</v>
      </c>
      <c r="FG2" s="2" t="s">
        <v>448</v>
      </c>
      <c r="FH2" s="2" t="s">
        <v>448</v>
      </c>
      <c r="FI2" s="2" t="s">
        <v>448</v>
      </c>
      <c r="FJ2">
        <v>8.25</v>
      </c>
      <c r="FK2">
        <v>8.25</v>
      </c>
      <c r="FL2">
        <v>8.25</v>
      </c>
      <c r="FM2">
        <v>7</v>
      </c>
      <c r="FN2" s="2" t="s">
        <v>448</v>
      </c>
      <c r="FO2" s="2" t="s">
        <v>448</v>
      </c>
      <c r="FP2">
        <v>8.25</v>
      </c>
      <c r="FQ2">
        <v>8.25</v>
      </c>
      <c r="FR2">
        <v>8.25</v>
      </c>
      <c r="FS2">
        <v>8.25</v>
      </c>
      <c r="FT2">
        <v>7</v>
      </c>
      <c r="FU2" s="2" t="s">
        <v>448</v>
      </c>
      <c r="FV2" s="2" t="s">
        <v>448</v>
      </c>
      <c r="FW2">
        <v>8.25</v>
      </c>
      <c r="FX2">
        <v>8.25</v>
      </c>
      <c r="FY2">
        <v>8.25</v>
      </c>
      <c r="FZ2">
        <v>8.25</v>
      </c>
      <c r="GA2">
        <v>7</v>
      </c>
      <c r="GB2" s="2" t="s">
        <v>448</v>
      </c>
      <c r="GC2" s="2" t="s">
        <v>448</v>
      </c>
      <c r="GD2">
        <v>8.25</v>
      </c>
      <c r="GE2">
        <v>8.25</v>
      </c>
      <c r="GF2">
        <v>1</v>
      </c>
      <c r="GG2">
        <v>8.25</v>
      </c>
      <c r="GH2">
        <v>8.25</v>
      </c>
      <c r="GI2">
        <v>7</v>
      </c>
      <c r="GJ2" s="2" t="s">
        <v>448</v>
      </c>
      <c r="GK2" s="2" t="s">
        <v>448</v>
      </c>
      <c r="GL2">
        <v>8.25</v>
      </c>
      <c r="GM2">
        <v>8.25</v>
      </c>
      <c r="GN2">
        <v>8.25</v>
      </c>
      <c r="GO2">
        <v>8.25</v>
      </c>
      <c r="GP2">
        <v>7</v>
      </c>
      <c r="GQ2" s="2" t="s">
        <v>448</v>
      </c>
      <c r="GR2" s="2" t="s">
        <v>448</v>
      </c>
      <c r="GS2" s="2" t="s">
        <v>448</v>
      </c>
      <c r="GT2">
        <v>8.25</v>
      </c>
      <c r="GU2">
        <v>8.25</v>
      </c>
      <c r="GV2">
        <v>8.25</v>
      </c>
      <c r="GW2">
        <v>7</v>
      </c>
      <c r="GX2" s="2" t="s">
        <v>448</v>
      </c>
      <c r="GY2" s="2" t="s">
        <v>448</v>
      </c>
      <c r="GZ2">
        <v>8.25</v>
      </c>
      <c r="HA2">
        <v>8.25</v>
      </c>
      <c r="HB2">
        <v>8.25</v>
      </c>
      <c r="HC2">
        <v>8.25</v>
      </c>
      <c r="HD2">
        <v>7</v>
      </c>
      <c r="HE2" s="2" t="s">
        <v>448</v>
      </c>
      <c r="HF2" s="2" t="s">
        <v>448</v>
      </c>
      <c r="HG2">
        <v>8.25</v>
      </c>
      <c r="HH2">
        <v>8.25</v>
      </c>
      <c r="HI2">
        <v>8.25</v>
      </c>
      <c r="HJ2">
        <v>8.25</v>
      </c>
      <c r="HK2" s="2" t="s">
        <v>448</v>
      </c>
      <c r="HL2">
        <v>1</v>
      </c>
      <c r="HM2">
        <v>7</v>
      </c>
      <c r="HN2" s="2" t="s">
        <v>448</v>
      </c>
      <c r="HO2" s="2" t="s">
        <v>448</v>
      </c>
      <c r="HP2">
        <v>8.25</v>
      </c>
      <c r="HQ2">
        <v>8.25</v>
      </c>
      <c r="HR2">
        <v>8.25</v>
      </c>
      <c r="HS2">
        <v>8.25</v>
      </c>
      <c r="HT2">
        <v>7</v>
      </c>
      <c r="HU2" s="2" t="s">
        <v>448</v>
      </c>
      <c r="HV2" s="2" t="s">
        <v>448</v>
      </c>
      <c r="HW2">
        <v>8.25</v>
      </c>
      <c r="HX2">
        <v>8.25</v>
      </c>
      <c r="HY2">
        <v>8.25</v>
      </c>
      <c r="HZ2">
        <v>8.25</v>
      </c>
      <c r="IA2">
        <v>7</v>
      </c>
      <c r="IB2" s="2" t="s">
        <v>448</v>
      </c>
      <c r="IC2" s="2" t="s">
        <v>448</v>
      </c>
      <c r="ID2">
        <v>8.25</v>
      </c>
      <c r="IE2">
        <v>8.25</v>
      </c>
      <c r="IF2">
        <v>8.25</v>
      </c>
      <c r="IG2">
        <v>8.25</v>
      </c>
      <c r="IH2">
        <v>7</v>
      </c>
      <c r="II2" s="2" t="s">
        <v>448</v>
      </c>
      <c r="IJ2" s="2" t="s">
        <v>448</v>
      </c>
      <c r="IK2">
        <v>8.25</v>
      </c>
      <c r="IL2">
        <v>8.25</v>
      </c>
      <c r="IM2">
        <v>8.25</v>
      </c>
      <c r="IN2">
        <v>8.25</v>
      </c>
      <c r="IO2">
        <v>7</v>
      </c>
      <c r="IP2" s="2" t="s">
        <v>448</v>
      </c>
      <c r="IQ2" s="2" t="s">
        <v>448</v>
      </c>
      <c r="IR2">
        <v>1</v>
      </c>
      <c r="IS2">
        <v>8.25</v>
      </c>
      <c r="IT2">
        <v>8.25</v>
      </c>
      <c r="IU2">
        <v>8.25</v>
      </c>
      <c r="IV2">
        <v>8.25</v>
      </c>
      <c r="IW2">
        <v>7</v>
      </c>
      <c r="IX2" s="2" t="s">
        <v>448</v>
      </c>
      <c r="IY2" s="2" t="s">
        <v>448</v>
      </c>
      <c r="IZ2">
        <v>8.25</v>
      </c>
      <c r="JA2">
        <v>8.25</v>
      </c>
      <c r="JB2">
        <v>8.25</v>
      </c>
      <c r="JC2">
        <v>8.25</v>
      </c>
      <c r="JD2">
        <v>7</v>
      </c>
      <c r="JE2" s="2" t="s">
        <v>448</v>
      </c>
      <c r="JF2" s="2" t="s">
        <v>448</v>
      </c>
      <c r="JG2">
        <v>8.25</v>
      </c>
      <c r="JH2">
        <v>8.25</v>
      </c>
      <c r="JI2">
        <v>8.25</v>
      </c>
      <c r="JJ2">
        <v>8.25</v>
      </c>
      <c r="JK2">
        <v>7</v>
      </c>
      <c r="JL2" s="2" t="s">
        <v>448</v>
      </c>
      <c r="JM2" s="2" t="s">
        <v>448</v>
      </c>
      <c r="JN2">
        <v>8.25</v>
      </c>
      <c r="JO2">
        <v>8.25</v>
      </c>
      <c r="JP2">
        <v>8.25</v>
      </c>
      <c r="JQ2">
        <v>8.25</v>
      </c>
      <c r="JR2">
        <v>7</v>
      </c>
      <c r="JS2" s="2" t="s">
        <v>448</v>
      </c>
      <c r="JT2" s="2" t="s">
        <v>448</v>
      </c>
      <c r="JU2">
        <v>8.25</v>
      </c>
      <c r="JV2">
        <v>8.25</v>
      </c>
      <c r="JW2">
        <v>8.25</v>
      </c>
      <c r="JX2">
        <v>1</v>
      </c>
      <c r="JY2">
        <v>8.25</v>
      </c>
      <c r="JZ2">
        <v>7</v>
      </c>
      <c r="KA2" s="2" t="s">
        <v>448</v>
      </c>
      <c r="KB2" s="2" t="s">
        <v>448</v>
      </c>
      <c r="KC2">
        <v>8.25</v>
      </c>
      <c r="KD2">
        <v>8.25</v>
      </c>
      <c r="KE2">
        <v>8.25</v>
      </c>
      <c r="KF2">
        <v>8.25</v>
      </c>
      <c r="KG2">
        <v>7</v>
      </c>
      <c r="KH2" s="2" t="s">
        <v>448</v>
      </c>
      <c r="KI2" s="2" t="s">
        <v>448</v>
      </c>
      <c r="KJ2">
        <v>8.25</v>
      </c>
      <c r="KK2">
        <v>8.25</v>
      </c>
      <c r="KL2">
        <v>8.25</v>
      </c>
      <c r="KM2">
        <v>8.25</v>
      </c>
      <c r="KN2">
        <v>7</v>
      </c>
      <c r="KO2" s="2" t="s">
        <v>448</v>
      </c>
      <c r="KP2" s="2" t="s">
        <v>448</v>
      </c>
      <c r="KQ2">
        <v>8.25</v>
      </c>
      <c r="KR2">
        <v>8.25</v>
      </c>
      <c r="KS2">
        <v>8.25</v>
      </c>
      <c r="KT2">
        <v>8.25</v>
      </c>
      <c r="KU2">
        <v>7</v>
      </c>
      <c r="KV2" s="2" t="s">
        <v>448</v>
      </c>
      <c r="KW2" s="2" t="s">
        <v>448</v>
      </c>
      <c r="KX2">
        <v>8.25</v>
      </c>
      <c r="KY2">
        <v>8.25</v>
      </c>
      <c r="KZ2">
        <v>8.25</v>
      </c>
      <c r="LA2">
        <v>8.25</v>
      </c>
      <c r="LB2">
        <v>7</v>
      </c>
      <c r="LC2" s="2" t="s">
        <v>448</v>
      </c>
    </row>
    <row r="3" spans="1:411" ht="19.5" customHeight="1" x14ac:dyDescent="0.25">
      <c r="A3" s="2" t="s">
        <v>432</v>
      </c>
      <c r="B3" s="2" t="s">
        <v>449</v>
      </c>
      <c r="C3" s="2" t="s">
        <v>450</v>
      </c>
      <c r="D3" s="2" t="s">
        <v>451</v>
      </c>
      <c r="E3">
        <v>2016</v>
      </c>
      <c r="F3" s="2" t="s">
        <v>436</v>
      </c>
      <c r="G3" s="2" t="s">
        <v>437</v>
      </c>
      <c r="H3" s="2" t="s">
        <v>436</v>
      </c>
      <c r="I3" s="2" t="s">
        <v>437</v>
      </c>
      <c r="J3" s="2" t="s">
        <v>438</v>
      </c>
      <c r="K3" s="2" t="s">
        <v>439</v>
      </c>
      <c r="L3" s="2" t="s">
        <v>440</v>
      </c>
      <c r="M3" s="2" t="s">
        <v>441</v>
      </c>
      <c r="N3" s="2" t="s">
        <v>442</v>
      </c>
      <c r="O3" s="2" t="s">
        <v>443</v>
      </c>
      <c r="P3" s="14" t="s">
        <v>444</v>
      </c>
      <c r="Q3" s="14" t="s">
        <v>445</v>
      </c>
      <c r="R3" s="14" t="s">
        <v>446</v>
      </c>
      <c r="W3" s="2" t="s">
        <v>447</v>
      </c>
      <c r="X3" s="2"/>
      <c r="Y3" s="2"/>
      <c r="Z3" s="2"/>
      <c r="AA3" s="2"/>
      <c r="DT3">
        <v>1</v>
      </c>
      <c r="DU3">
        <v>7</v>
      </c>
      <c r="DV3" s="2" t="s">
        <v>448</v>
      </c>
      <c r="DW3" s="2" t="s">
        <v>448</v>
      </c>
      <c r="DX3">
        <v>8.25</v>
      </c>
      <c r="DY3">
        <v>8.25</v>
      </c>
      <c r="DZ3">
        <v>8.25</v>
      </c>
      <c r="EA3">
        <v>8.25</v>
      </c>
      <c r="EB3">
        <v>7</v>
      </c>
      <c r="EC3" s="2" t="s">
        <v>448</v>
      </c>
      <c r="ED3" s="2" t="s">
        <v>448</v>
      </c>
      <c r="EE3">
        <v>8.25</v>
      </c>
      <c r="EF3">
        <v>8.25</v>
      </c>
      <c r="EG3">
        <v>8.25</v>
      </c>
      <c r="EH3">
        <v>8.25</v>
      </c>
      <c r="EI3">
        <v>7</v>
      </c>
      <c r="EJ3" s="2" t="s">
        <v>448</v>
      </c>
      <c r="EK3" s="2" t="s">
        <v>448</v>
      </c>
      <c r="EL3">
        <v>8.25</v>
      </c>
      <c r="EM3">
        <v>8.25</v>
      </c>
      <c r="EN3">
        <v>8.25</v>
      </c>
      <c r="EO3">
        <v>8.25</v>
      </c>
      <c r="EP3">
        <v>7</v>
      </c>
      <c r="EQ3" s="2" t="s">
        <v>448</v>
      </c>
      <c r="ER3" s="2" t="s">
        <v>448</v>
      </c>
      <c r="ES3">
        <v>8.25</v>
      </c>
      <c r="ET3">
        <v>8.25</v>
      </c>
      <c r="EU3">
        <v>8.25</v>
      </c>
      <c r="EV3">
        <v>8.25</v>
      </c>
      <c r="EW3">
        <v>7</v>
      </c>
      <c r="EX3" s="2" t="s">
        <v>448</v>
      </c>
      <c r="EY3" s="2" t="s">
        <v>448</v>
      </c>
      <c r="EZ3">
        <v>1</v>
      </c>
      <c r="FA3" s="2" t="s">
        <v>448</v>
      </c>
      <c r="FB3" s="2" t="s">
        <v>448</v>
      </c>
      <c r="FC3" s="2" t="s">
        <v>448</v>
      </c>
      <c r="FD3">
        <v>8.25</v>
      </c>
      <c r="FE3">
        <v>8.25</v>
      </c>
      <c r="FF3">
        <v>7</v>
      </c>
      <c r="FG3" s="2" t="s">
        <v>448</v>
      </c>
      <c r="FH3" s="2" t="s">
        <v>448</v>
      </c>
      <c r="FI3" s="2" t="s">
        <v>448</v>
      </c>
      <c r="FJ3">
        <v>8.25</v>
      </c>
      <c r="FK3">
        <v>8.25</v>
      </c>
      <c r="FL3">
        <v>8.25</v>
      </c>
      <c r="FM3">
        <v>7</v>
      </c>
      <c r="FN3" s="2" t="s">
        <v>448</v>
      </c>
      <c r="FO3" s="2" t="s">
        <v>448</v>
      </c>
      <c r="FP3">
        <v>8.25</v>
      </c>
      <c r="FQ3">
        <v>8.25</v>
      </c>
      <c r="FR3">
        <v>8.25</v>
      </c>
      <c r="FS3">
        <v>8.25</v>
      </c>
      <c r="FT3">
        <v>7</v>
      </c>
      <c r="FU3" s="2" t="s">
        <v>448</v>
      </c>
      <c r="FV3" s="2" t="s">
        <v>448</v>
      </c>
      <c r="FW3">
        <v>8.25</v>
      </c>
      <c r="FX3">
        <v>8.25</v>
      </c>
      <c r="FY3">
        <v>8.25</v>
      </c>
      <c r="FZ3">
        <v>8.25</v>
      </c>
      <c r="GA3">
        <v>7</v>
      </c>
      <c r="GB3" s="2" t="s">
        <v>448</v>
      </c>
      <c r="GC3" s="2" t="s">
        <v>448</v>
      </c>
      <c r="GD3">
        <v>8.25</v>
      </c>
      <c r="GE3">
        <v>8.25</v>
      </c>
      <c r="GF3">
        <v>1</v>
      </c>
      <c r="GG3">
        <v>8.25</v>
      </c>
      <c r="GH3">
        <v>8.25</v>
      </c>
      <c r="GI3">
        <v>7</v>
      </c>
      <c r="GJ3" s="2" t="s">
        <v>448</v>
      </c>
      <c r="GK3" s="2" t="s">
        <v>448</v>
      </c>
      <c r="GL3">
        <v>8.25</v>
      </c>
      <c r="GM3">
        <v>8.25</v>
      </c>
      <c r="GN3">
        <v>8.25</v>
      </c>
      <c r="GO3">
        <v>8.25</v>
      </c>
      <c r="GP3">
        <v>7</v>
      </c>
      <c r="GQ3" s="2" t="s">
        <v>448</v>
      </c>
      <c r="GR3" s="2" t="s">
        <v>448</v>
      </c>
      <c r="GS3" s="2" t="s">
        <v>448</v>
      </c>
      <c r="GT3">
        <v>8.25</v>
      </c>
      <c r="GU3">
        <v>8.25</v>
      </c>
      <c r="GV3">
        <v>8.25</v>
      </c>
      <c r="GW3">
        <v>7</v>
      </c>
      <c r="GX3" s="2" t="s">
        <v>448</v>
      </c>
      <c r="GY3" s="2" t="s">
        <v>448</v>
      </c>
      <c r="GZ3">
        <v>8.25</v>
      </c>
      <c r="HA3">
        <v>8.25</v>
      </c>
      <c r="HB3">
        <v>8.25</v>
      </c>
      <c r="HC3">
        <v>8.25</v>
      </c>
      <c r="HD3">
        <v>7</v>
      </c>
      <c r="HE3" s="2" t="s">
        <v>448</v>
      </c>
      <c r="HF3" s="2" t="s">
        <v>448</v>
      </c>
      <c r="HG3">
        <v>8.25</v>
      </c>
      <c r="HH3">
        <v>8.25</v>
      </c>
      <c r="HI3">
        <v>8.25</v>
      </c>
      <c r="HJ3">
        <v>8.25</v>
      </c>
      <c r="HK3" s="2" t="s">
        <v>448</v>
      </c>
      <c r="HL3">
        <v>1</v>
      </c>
      <c r="HM3">
        <v>7</v>
      </c>
      <c r="HN3" s="2" t="s">
        <v>448</v>
      </c>
      <c r="HO3" s="2" t="s">
        <v>448</v>
      </c>
      <c r="HP3">
        <v>8.25</v>
      </c>
      <c r="HQ3">
        <v>8.25</v>
      </c>
      <c r="HR3">
        <v>8.25</v>
      </c>
      <c r="HS3">
        <v>8.25</v>
      </c>
      <c r="HT3">
        <v>7</v>
      </c>
      <c r="HU3" s="2" t="s">
        <v>448</v>
      </c>
      <c r="HV3" s="2" t="s">
        <v>448</v>
      </c>
      <c r="HW3">
        <v>8.25</v>
      </c>
      <c r="HX3">
        <v>8.25</v>
      </c>
      <c r="HY3">
        <v>8.25</v>
      </c>
      <c r="HZ3">
        <v>8.25</v>
      </c>
      <c r="IA3">
        <v>7</v>
      </c>
      <c r="IB3" s="2" t="s">
        <v>448</v>
      </c>
      <c r="IC3" s="2" t="s">
        <v>448</v>
      </c>
      <c r="ID3">
        <v>8.25</v>
      </c>
      <c r="IE3">
        <v>8.25</v>
      </c>
      <c r="IF3">
        <v>8.25</v>
      </c>
      <c r="IG3">
        <v>8.25</v>
      </c>
      <c r="IH3">
        <v>7</v>
      </c>
      <c r="II3" s="2" t="s">
        <v>448</v>
      </c>
      <c r="IJ3" s="2" t="s">
        <v>448</v>
      </c>
      <c r="IK3">
        <v>8.25</v>
      </c>
      <c r="IL3">
        <v>8.25</v>
      </c>
      <c r="IM3">
        <v>8.25</v>
      </c>
      <c r="IN3">
        <v>8.25</v>
      </c>
      <c r="IO3">
        <v>7</v>
      </c>
      <c r="IP3" s="2" t="s">
        <v>448</v>
      </c>
      <c r="IQ3" s="2" t="s">
        <v>448</v>
      </c>
      <c r="IR3">
        <v>1</v>
      </c>
      <c r="IS3">
        <v>8.25</v>
      </c>
      <c r="IT3">
        <v>8.25</v>
      </c>
      <c r="IU3">
        <v>8.25</v>
      </c>
      <c r="IV3">
        <v>8.25</v>
      </c>
      <c r="IW3">
        <v>7</v>
      </c>
      <c r="IX3" s="2" t="s">
        <v>448</v>
      </c>
      <c r="IY3" s="2" t="s">
        <v>448</v>
      </c>
      <c r="IZ3">
        <v>8.25</v>
      </c>
      <c r="JA3">
        <v>8.25</v>
      </c>
      <c r="JB3">
        <v>8.25</v>
      </c>
      <c r="JC3">
        <v>8.25</v>
      </c>
      <c r="JD3">
        <v>7</v>
      </c>
      <c r="JE3" s="2" t="s">
        <v>448</v>
      </c>
      <c r="JF3" s="2" t="s">
        <v>448</v>
      </c>
      <c r="JG3">
        <v>8.25</v>
      </c>
      <c r="JH3">
        <v>8.25</v>
      </c>
      <c r="JI3">
        <v>8.25</v>
      </c>
      <c r="JJ3">
        <v>8.25</v>
      </c>
      <c r="JK3">
        <v>7</v>
      </c>
      <c r="JL3" s="2" t="s">
        <v>448</v>
      </c>
      <c r="JM3" s="2" t="s">
        <v>448</v>
      </c>
      <c r="JN3">
        <v>8.25</v>
      </c>
      <c r="JO3">
        <v>8.25</v>
      </c>
      <c r="JP3">
        <v>8.25</v>
      </c>
      <c r="JQ3">
        <v>8.25</v>
      </c>
      <c r="JR3">
        <v>7</v>
      </c>
      <c r="JS3" s="2" t="s">
        <v>448</v>
      </c>
      <c r="JT3" s="2" t="s">
        <v>448</v>
      </c>
      <c r="JU3">
        <v>8.25</v>
      </c>
      <c r="JV3">
        <v>8.25</v>
      </c>
      <c r="JW3">
        <v>8.25</v>
      </c>
      <c r="JX3">
        <v>1</v>
      </c>
      <c r="JY3">
        <v>8.25</v>
      </c>
      <c r="JZ3">
        <v>7</v>
      </c>
      <c r="KA3" s="2" t="s">
        <v>448</v>
      </c>
      <c r="KB3" s="2" t="s">
        <v>448</v>
      </c>
      <c r="KC3">
        <v>8.25</v>
      </c>
      <c r="KD3">
        <v>8.25</v>
      </c>
      <c r="KE3">
        <v>8.25</v>
      </c>
      <c r="KF3">
        <v>8.25</v>
      </c>
      <c r="KG3">
        <v>7</v>
      </c>
      <c r="KH3" s="2" t="s">
        <v>448</v>
      </c>
      <c r="KI3" s="2" t="s">
        <v>448</v>
      </c>
      <c r="KJ3">
        <v>8.25</v>
      </c>
      <c r="KK3">
        <v>8.25</v>
      </c>
      <c r="KL3">
        <v>8.25</v>
      </c>
      <c r="KM3">
        <v>8.25</v>
      </c>
      <c r="KN3">
        <v>7</v>
      </c>
      <c r="KO3" s="2" t="s">
        <v>448</v>
      </c>
      <c r="KP3" s="2" t="s">
        <v>448</v>
      </c>
      <c r="KQ3">
        <v>8.25</v>
      </c>
      <c r="KR3">
        <v>8.25</v>
      </c>
      <c r="KS3">
        <v>8.25</v>
      </c>
      <c r="KT3">
        <v>8.25</v>
      </c>
      <c r="KU3">
        <v>7</v>
      </c>
      <c r="KV3" s="2" t="s">
        <v>448</v>
      </c>
      <c r="KW3" s="2" t="s">
        <v>448</v>
      </c>
      <c r="KX3">
        <v>8.25</v>
      </c>
      <c r="KY3">
        <v>8.25</v>
      </c>
      <c r="KZ3">
        <v>8.25</v>
      </c>
      <c r="LA3">
        <v>8.25</v>
      </c>
      <c r="LB3">
        <v>7</v>
      </c>
      <c r="LC3" s="2" t="s">
        <v>448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2"/>
  <sheetViews>
    <sheetView workbookViewId="0">
      <selection activeCell="B15" sqref="B15"/>
    </sheetView>
  </sheetViews>
  <sheetFormatPr defaultRowHeight="15" x14ac:dyDescent="0.25"/>
  <cols>
    <col min="1" max="1" width="12.7109375" bestFit="1" customWidth="1"/>
  </cols>
  <sheetData>
    <row r="1" spans="1:3" x14ac:dyDescent="0.25">
      <c r="A1" s="1" t="s">
        <v>0</v>
      </c>
      <c r="B1" s="1" t="s">
        <v>1</v>
      </c>
      <c r="C1" s="1" t="s">
        <v>2</v>
      </c>
    </row>
    <row r="2" spans="1:3" x14ac:dyDescent="0.25">
      <c r="A2" t="s">
        <v>3</v>
      </c>
      <c r="B2" t="s">
        <v>4</v>
      </c>
      <c r="C2" s="2" t="s">
        <v>431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M52"/>
  <sheetViews>
    <sheetView tabSelected="1" topLeftCell="A37" workbookViewId="0">
      <selection activeCell="C5" sqref="C5"/>
    </sheetView>
  </sheetViews>
  <sheetFormatPr defaultRowHeight="15" x14ac:dyDescent="0.25"/>
  <cols>
    <col min="1" max="1" width="3.7109375" bestFit="1" customWidth="1"/>
    <col min="2" max="2" width="3.7109375" customWidth="1"/>
    <col min="3" max="3" width="5" customWidth="1"/>
    <col min="4" max="4" width="11" bestFit="1" customWidth="1"/>
    <col min="5" max="5" width="5.28515625" customWidth="1"/>
    <col min="6" max="7" width="5.7109375" customWidth="1"/>
    <col min="8" max="8" width="5.42578125" customWidth="1"/>
    <col min="9" max="39" width="3.85546875" bestFit="1" customWidth="1"/>
  </cols>
  <sheetData>
    <row r="2" spans="1:39" hidden="1" x14ac:dyDescent="0.25">
      <c r="C2" t="s">
        <v>407</v>
      </c>
      <c r="D2" t="s">
        <v>13</v>
      </c>
      <c r="E2" t="s">
        <v>16</v>
      </c>
      <c r="F2" t="s">
        <v>15</v>
      </c>
      <c r="G2" t="s">
        <v>14</v>
      </c>
      <c r="H2" t="s">
        <v>410</v>
      </c>
      <c r="I2" t="s">
        <v>411</v>
      </c>
      <c r="J2" t="s">
        <v>412</v>
      </c>
      <c r="K2" t="s">
        <v>413</v>
      </c>
      <c r="L2" t="s">
        <v>414</v>
      </c>
      <c r="M2" t="s">
        <v>415</v>
      </c>
      <c r="N2" t="s">
        <v>416</v>
      </c>
    </row>
    <row r="3" spans="1:39" x14ac:dyDescent="0.25">
      <c r="C3" s="18" t="s">
        <v>389</v>
      </c>
      <c r="D3" s="18"/>
      <c r="E3" s="18"/>
      <c r="F3" s="18"/>
      <c r="I3" s="7"/>
      <c r="J3" s="19" t="s">
        <v>390</v>
      </c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7"/>
      <c r="AE3" s="18" t="s">
        <v>391</v>
      </c>
      <c r="AF3" s="18"/>
      <c r="AG3" s="18"/>
      <c r="AH3" s="18"/>
      <c r="AI3" s="18"/>
      <c r="AJ3" s="18"/>
      <c r="AK3" s="18"/>
      <c r="AL3" s="18"/>
      <c r="AM3" s="18"/>
    </row>
    <row r="4" spans="1:39" x14ac:dyDescent="0.25">
      <c r="C4" s="6"/>
      <c r="D4" s="18" t="s">
        <v>6</v>
      </c>
      <c r="E4" s="18"/>
      <c r="F4" s="18"/>
      <c r="G4" s="18"/>
      <c r="H4" s="18"/>
      <c r="I4" s="18"/>
      <c r="J4" s="19" t="str">
        <f>CONCATENATE($D2," на ",$C2,"г.")</f>
        <v>NameGrafic на wYearг.</v>
      </c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6"/>
      <c r="AE4" s="18" t="s">
        <v>8</v>
      </c>
      <c r="AF4" s="18"/>
      <c r="AG4" s="18"/>
      <c r="AH4" s="18"/>
      <c r="AI4" s="18"/>
      <c r="AJ4" s="18"/>
      <c r="AK4" s="18"/>
      <c r="AL4" s="18"/>
      <c r="AM4" s="18"/>
    </row>
    <row r="5" spans="1:39" x14ac:dyDescent="0.25">
      <c r="D5" s="8"/>
      <c r="E5" s="18" t="s">
        <v>5</v>
      </c>
      <c r="F5" s="18"/>
      <c r="G5" s="18"/>
      <c r="H5" s="18"/>
      <c r="I5" s="18"/>
      <c r="J5" s="19" t="str">
        <f>CONCATENATE($F2,", ",$E2,", ",$G2)</f>
        <v>PersonDol, PersonCex, PersonName</v>
      </c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E5" s="20"/>
      <c r="AF5" s="20"/>
      <c r="AG5" s="20"/>
      <c r="AH5" s="18" t="s">
        <v>7</v>
      </c>
      <c r="AI5" s="18"/>
      <c r="AJ5" s="18"/>
      <c r="AK5" s="18"/>
      <c r="AL5" s="18"/>
      <c r="AM5" s="18"/>
    </row>
    <row r="6" spans="1:39" x14ac:dyDescent="0.25"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</row>
    <row r="7" spans="1:39" x14ac:dyDescent="0.25">
      <c r="A7" s="21" t="s">
        <v>392</v>
      </c>
      <c r="B7" s="12"/>
      <c r="C7" s="17"/>
      <c r="D7" s="21" t="s">
        <v>393</v>
      </c>
      <c r="E7" s="21" t="s">
        <v>394</v>
      </c>
      <c r="F7" s="21" t="s">
        <v>395</v>
      </c>
      <c r="G7" s="21" t="s">
        <v>396</v>
      </c>
      <c r="H7" s="21" t="s">
        <v>397</v>
      </c>
      <c r="I7" s="17" t="s">
        <v>398</v>
      </c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</row>
    <row r="8" spans="1:39" ht="41.25" customHeight="1" x14ac:dyDescent="0.25">
      <c r="A8" s="21"/>
      <c r="B8" s="12"/>
      <c r="C8" s="17"/>
      <c r="D8" s="21"/>
      <c r="E8" s="21"/>
      <c r="F8" s="21"/>
      <c r="G8" s="21"/>
      <c r="H8" s="21"/>
      <c r="I8" s="3">
        <v>1</v>
      </c>
      <c r="J8" s="3">
        <v>2</v>
      </c>
      <c r="K8" s="3">
        <v>3</v>
      </c>
      <c r="L8" s="3">
        <v>4</v>
      </c>
      <c r="M8" s="3">
        <v>5</v>
      </c>
      <c r="N8" s="3">
        <v>6</v>
      </c>
      <c r="O8" s="3">
        <v>7</v>
      </c>
      <c r="P8" s="3">
        <v>8</v>
      </c>
      <c r="Q8" s="3">
        <v>9</v>
      </c>
      <c r="R8" s="3">
        <v>10</v>
      </c>
      <c r="S8" s="3">
        <v>11</v>
      </c>
      <c r="T8" s="3">
        <v>12</v>
      </c>
      <c r="U8" s="3">
        <v>13</v>
      </c>
      <c r="V8" s="3">
        <v>14</v>
      </c>
      <c r="W8" s="3">
        <v>15</v>
      </c>
      <c r="X8" s="3">
        <v>16</v>
      </c>
      <c r="Y8" s="3">
        <v>17</v>
      </c>
      <c r="Z8" s="3">
        <v>18</v>
      </c>
      <c r="AA8" s="3">
        <v>19</v>
      </c>
      <c r="AB8" s="3">
        <v>20</v>
      </c>
      <c r="AC8" s="3">
        <v>21</v>
      </c>
      <c r="AD8" s="3">
        <v>22</v>
      </c>
      <c r="AE8" s="3">
        <v>23</v>
      </c>
      <c r="AF8" s="3">
        <v>24</v>
      </c>
      <c r="AG8" s="3">
        <v>25</v>
      </c>
      <c r="AH8" s="3">
        <v>26</v>
      </c>
      <c r="AI8" s="3">
        <v>27</v>
      </c>
      <c r="AJ8" s="3">
        <v>28</v>
      </c>
      <c r="AK8" s="3">
        <v>29</v>
      </c>
      <c r="AL8" s="3">
        <v>30</v>
      </c>
      <c r="AM8" s="3">
        <v>31</v>
      </c>
    </row>
    <row r="9" spans="1:39" ht="13.5" hidden="1" customHeight="1" x14ac:dyDescent="0.25">
      <c r="A9" s="12"/>
      <c r="B9" s="12" t="s">
        <v>452</v>
      </c>
      <c r="C9" s="10">
        <v>101</v>
      </c>
      <c r="D9" s="12"/>
      <c r="E9" s="12"/>
      <c r="F9" s="12"/>
      <c r="G9" s="12"/>
      <c r="H9" s="12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</row>
    <row r="10" spans="1:39" x14ac:dyDescent="0.25">
      <c r="A10" s="15" t="s">
        <v>399</v>
      </c>
      <c r="B10" s="11"/>
      <c r="C10" s="3"/>
      <c r="D10" s="3"/>
      <c r="E10" s="3"/>
      <c r="F10" s="3"/>
      <c r="G10" s="3"/>
      <c r="H10" s="3"/>
      <c r="I10" s="5" t="e">
        <f>IF(MONTH(DATE($C$2,$C11,I$8))=$C11,TEXT(DATE($C$2,$C11,I$8),"ddd"),"")</f>
        <v>#VALUE!</v>
      </c>
      <c r="J10" s="5" t="e">
        <f t="shared" ref="J10:AM10" si="0">IF(MONTH(DATE($C$2,$C11,J$8))=$C11,TEXT(DATE($C$2,$C11,J$8),"ddd"),"")</f>
        <v>#VALUE!</v>
      </c>
      <c r="K10" s="5" t="e">
        <f t="shared" si="0"/>
        <v>#VALUE!</v>
      </c>
      <c r="L10" s="5" t="e">
        <f t="shared" si="0"/>
        <v>#VALUE!</v>
      </c>
      <c r="M10" s="5" t="e">
        <f t="shared" si="0"/>
        <v>#VALUE!</v>
      </c>
      <c r="N10" s="5" t="e">
        <f t="shared" si="0"/>
        <v>#VALUE!</v>
      </c>
      <c r="O10" s="5" t="e">
        <f t="shared" si="0"/>
        <v>#VALUE!</v>
      </c>
      <c r="P10" s="5" t="e">
        <f t="shared" si="0"/>
        <v>#VALUE!</v>
      </c>
      <c r="Q10" s="5" t="e">
        <f t="shared" si="0"/>
        <v>#VALUE!</v>
      </c>
      <c r="R10" s="5" t="e">
        <f t="shared" si="0"/>
        <v>#VALUE!</v>
      </c>
      <c r="S10" s="5" t="e">
        <f t="shared" si="0"/>
        <v>#VALUE!</v>
      </c>
      <c r="T10" s="5" t="e">
        <f t="shared" si="0"/>
        <v>#VALUE!</v>
      </c>
      <c r="U10" s="5" t="e">
        <f t="shared" si="0"/>
        <v>#VALUE!</v>
      </c>
      <c r="V10" s="5" t="e">
        <f t="shared" si="0"/>
        <v>#VALUE!</v>
      </c>
      <c r="W10" s="5" t="e">
        <f t="shared" si="0"/>
        <v>#VALUE!</v>
      </c>
      <c r="X10" s="5" t="e">
        <f t="shared" si="0"/>
        <v>#VALUE!</v>
      </c>
      <c r="Y10" s="5" t="e">
        <f t="shared" si="0"/>
        <v>#VALUE!</v>
      </c>
      <c r="Z10" s="5" t="e">
        <f t="shared" si="0"/>
        <v>#VALUE!</v>
      </c>
      <c r="AA10" s="5" t="e">
        <f t="shared" si="0"/>
        <v>#VALUE!</v>
      </c>
      <c r="AB10" s="5" t="e">
        <f t="shared" si="0"/>
        <v>#VALUE!</v>
      </c>
      <c r="AC10" s="5" t="e">
        <f t="shared" si="0"/>
        <v>#VALUE!</v>
      </c>
      <c r="AD10" s="5" t="e">
        <f t="shared" si="0"/>
        <v>#VALUE!</v>
      </c>
      <c r="AE10" s="5" t="e">
        <f t="shared" si="0"/>
        <v>#VALUE!</v>
      </c>
      <c r="AF10" s="5" t="e">
        <f t="shared" si="0"/>
        <v>#VALUE!</v>
      </c>
      <c r="AG10" s="5" t="e">
        <f t="shared" si="0"/>
        <v>#VALUE!</v>
      </c>
      <c r="AH10" s="5" t="e">
        <f t="shared" si="0"/>
        <v>#VALUE!</v>
      </c>
      <c r="AI10" s="5" t="e">
        <f t="shared" si="0"/>
        <v>#VALUE!</v>
      </c>
      <c r="AJ10" s="5" t="e">
        <f t="shared" si="0"/>
        <v>#VALUE!</v>
      </c>
      <c r="AK10" s="5" t="e">
        <f t="shared" si="0"/>
        <v>#VALUE!</v>
      </c>
      <c r="AL10" s="5" t="e">
        <f t="shared" si="0"/>
        <v>#VALUE!</v>
      </c>
      <c r="AM10" s="5" t="e">
        <f t="shared" si="0"/>
        <v>#VALUE!</v>
      </c>
    </row>
    <row r="11" spans="1:39" x14ac:dyDescent="0.25">
      <c r="A11" s="15"/>
      <c r="B11" s="11" t="s">
        <v>418</v>
      </c>
      <c r="C11" s="3">
        <v>1</v>
      </c>
      <c r="D11" s="3" t="e">
        <f>TEXT(DATE($C$2,C11,1),"mmmm")</f>
        <v>#VALUE!</v>
      </c>
      <c r="E11" s="3">
        <f>$AM$8-COUNTIF(I10:AM10,"")</f>
        <v>31</v>
      </c>
      <c r="F11" s="3">
        <f>E11-G11</f>
        <v>31</v>
      </c>
      <c r="G11" s="3">
        <f>COUNTIF(I11:AM11,"в")</f>
        <v>0</v>
      </c>
      <c r="H11" s="3">
        <f>SUM(I11:AM11)</f>
        <v>0</v>
      </c>
      <c r="I11" s="5" t="s">
        <v>17</v>
      </c>
      <c r="J11" s="5" t="s">
        <v>18</v>
      </c>
      <c r="K11" s="5" t="s">
        <v>19</v>
      </c>
      <c r="L11" s="5" t="s">
        <v>20</v>
      </c>
      <c r="M11" s="5" t="s">
        <v>21</v>
      </c>
      <c r="N11" s="5" t="s">
        <v>22</v>
      </c>
      <c r="O11" s="5" t="s">
        <v>23</v>
      </c>
      <c r="P11" s="5" t="s">
        <v>24</v>
      </c>
      <c r="Q11" s="5" t="s">
        <v>25</v>
      </c>
      <c r="R11" s="5" t="s">
        <v>26</v>
      </c>
      <c r="S11" s="5" t="s">
        <v>27</v>
      </c>
      <c r="T11" s="5" t="s">
        <v>28</v>
      </c>
      <c r="U11" s="5" t="s">
        <v>29</v>
      </c>
      <c r="V11" s="5" t="s">
        <v>30</v>
      </c>
      <c r="W11" s="5" t="s">
        <v>31</v>
      </c>
      <c r="X11" s="5" t="s">
        <v>32</v>
      </c>
      <c r="Y11" s="5" t="s">
        <v>33</v>
      </c>
      <c r="Z11" s="5" t="s">
        <v>34</v>
      </c>
      <c r="AA11" s="5" t="s">
        <v>35</v>
      </c>
      <c r="AB11" s="5" t="s">
        <v>36</v>
      </c>
      <c r="AC11" s="5" t="s">
        <v>37</v>
      </c>
      <c r="AD11" s="5" t="s">
        <v>38</v>
      </c>
      <c r="AE11" s="5" t="s">
        <v>39</v>
      </c>
      <c r="AF11" s="5" t="s">
        <v>40</v>
      </c>
      <c r="AG11" s="5" t="s">
        <v>41</v>
      </c>
      <c r="AH11" s="5" t="s">
        <v>42</v>
      </c>
      <c r="AI11" s="5" t="s">
        <v>43</v>
      </c>
      <c r="AJ11" s="5" t="s">
        <v>44</v>
      </c>
      <c r="AK11" s="5" t="s">
        <v>45</v>
      </c>
      <c r="AL11" s="5" t="s">
        <v>46</v>
      </c>
      <c r="AM11" s="5" t="s">
        <v>47</v>
      </c>
    </row>
    <row r="12" spans="1:39" x14ac:dyDescent="0.25">
      <c r="A12" s="15"/>
      <c r="B12" s="11"/>
      <c r="C12" s="3"/>
      <c r="D12" s="3"/>
      <c r="E12" s="3"/>
      <c r="F12" s="3"/>
      <c r="G12" s="3"/>
      <c r="H12" s="3"/>
      <c r="I12" s="5" t="e">
        <f>IF(MONTH(DATE($C$2,$C13,I$8))=$C13,TEXT(DATE($C$2,$C13,I$8),"ddd"),"")</f>
        <v>#VALUE!</v>
      </c>
      <c r="J12" s="5" t="e">
        <f t="shared" ref="J12:AM12" si="1">IF(MONTH(DATE($C$2,$C13,J$8))=$C13,TEXT(DATE($C$2,$C13,J$8),"ddd"),"")</f>
        <v>#VALUE!</v>
      </c>
      <c r="K12" s="5" t="e">
        <f t="shared" si="1"/>
        <v>#VALUE!</v>
      </c>
      <c r="L12" s="5" t="e">
        <f t="shared" si="1"/>
        <v>#VALUE!</v>
      </c>
      <c r="M12" s="5" t="e">
        <f t="shared" si="1"/>
        <v>#VALUE!</v>
      </c>
      <c r="N12" s="5" t="e">
        <f t="shared" si="1"/>
        <v>#VALUE!</v>
      </c>
      <c r="O12" s="5" t="e">
        <f t="shared" si="1"/>
        <v>#VALUE!</v>
      </c>
      <c r="P12" s="5" t="e">
        <f t="shared" si="1"/>
        <v>#VALUE!</v>
      </c>
      <c r="Q12" s="5" t="e">
        <f t="shared" si="1"/>
        <v>#VALUE!</v>
      </c>
      <c r="R12" s="5" t="e">
        <f t="shared" si="1"/>
        <v>#VALUE!</v>
      </c>
      <c r="S12" s="5" t="e">
        <f t="shared" si="1"/>
        <v>#VALUE!</v>
      </c>
      <c r="T12" s="5" t="e">
        <f t="shared" si="1"/>
        <v>#VALUE!</v>
      </c>
      <c r="U12" s="5" t="e">
        <f t="shared" si="1"/>
        <v>#VALUE!</v>
      </c>
      <c r="V12" s="5" t="e">
        <f t="shared" si="1"/>
        <v>#VALUE!</v>
      </c>
      <c r="W12" s="5" t="e">
        <f t="shared" si="1"/>
        <v>#VALUE!</v>
      </c>
      <c r="X12" s="5" t="e">
        <f t="shared" si="1"/>
        <v>#VALUE!</v>
      </c>
      <c r="Y12" s="5" t="e">
        <f t="shared" si="1"/>
        <v>#VALUE!</v>
      </c>
      <c r="Z12" s="5" t="e">
        <f t="shared" si="1"/>
        <v>#VALUE!</v>
      </c>
      <c r="AA12" s="5" t="e">
        <f t="shared" si="1"/>
        <v>#VALUE!</v>
      </c>
      <c r="AB12" s="5" t="e">
        <f t="shared" si="1"/>
        <v>#VALUE!</v>
      </c>
      <c r="AC12" s="5" t="e">
        <f t="shared" si="1"/>
        <v>#VALUE!</v>
      </c>
      <c r="AD12" s="5" t="e">
        <f t="shared" si="1"/>
        <v>#VALUE!</v>
      </c>
      <c r="AE12" s="5" t="e">
        <f t="shared" si="1"/>
        <v>#VALUE!</v>
      </c>
      <c r="AF12" s="5" t="e">
        <f t="shared" si="1"/>
        <v>#VALUE!</v>
      </c>
      <c r="AG12" s="5" t="e">
        <f t="shared" si="1"/>
        <v>#VALUE!</v>
      </c>
      <c r="AH12" s="5" t="e">
        <f t="shared" si="1"/>
        <v>#VALUE!</v>
      </c>
      <c r="AI12" s="5" t="e">
        <f t="shared" si="1"/>
        <v>#VALUE!</v>
      </c>
      <c r="AJ12" s="5" t="e">
        <f t="shared" si="1"/>
        <v>#VALUE!</v>
      </c>
      <c r="AK12" s="5" t="e">
        <f t="shared" si="1"/>
        <v>#VALUE!</v>
      </c>
      <c r="AL12" s="5" t="e">
        <f t="shared" si="1"/>
        <v>#VALUE!</v>
      </c>
      <c r="AM12" s="5" t="e">
        <f t="shared" si="1"/>
        <v>#VALUE!</v>
      </c>
    </row>
    <row r="13" spans="1:39" x14ac:dyDescent="0.25">
      <c r="A13" s="15"/>
      <c r="B13" s="11" t="s">
        <v>419</v>
      </c>
      <c r="C13" s="3">
        <v>2</v>
      </c>
      <c r="D13" s="3" t="e">
        <f>TEXT(DATE($C$2,C13,1),"mmmm")</f>
        <v>#VALUE!</v>
      </c>
      <c r="E13" s="3">
        <f>$AM$8-COUNTIF(I12:AM12,"")</f>
        <v>31</v>
      </c>
      <c r="F13" s="3">
        <f t="shared" ref="F13:F15" si="2">E13-G13</f>
        <v>31</v>
      </c>
      <c r="G13" s="3">
        <f t="shared" ref="G13:G15" si="3">COUNTIF(I13:AM13,"в")</f>
        <v>0</v>
      </c>
      <c r="H13" s="3">
        <f t="shared" ref="H13:H15" si="4">SUM(I13:AM13)</f>
        <v>0</v>
      </c>
      <c r="I13" s="5" t="s">
        <v>48</v>
      </c>
      <c r="J13" s="5" t="s">
        <v>49</v>
      </c>
      <c r="K13" s="5" t="s">
        <v>50</v>
      </c>
      <c r="L13" s="5" t="s">
        <v>51</v>
      </c>
      <c r="M13" s="5" t="s">
        <v>52</v>
      </c>
      <c r="N13" s="5" t="s">
        <v>53</v>
      </c>
      <c r="O13" s="5" t="s">
        <v>54</v>
      </c>
      <c r="P13" s="5" t="s">
        <v>55</v>
      </c>
      <c r="Q13" s="5" t="s">
        <v>56</v>
      </c>
      <c r="R13" s="5" t="s">
        <v>57</v>
      </c>
      <c r="S13" s="5" t="s">
        <v>58</v>
      </c>
      <c r="T13" s="5" t="s">
        <v>59</v>
      </c>
      <c r="U13" s="5" t="s">
        <v>60</v>
      </c>
      <c r="V13" s="5" t="s">
        <v>61</v>
      </c>
      <c r="W13" s="5" t="s">
        <v>62</v>
      </c>
      <c r="X13" s="5" t="s">
        <v>63</v>
      </c>
      <c r="Y13" s="5" t="s">
        <v>64</v>
      </c>
      <c r="Z13" s="5" t="s">
        <v>65</v>
      </c>
      <c r="AA13" s="5" t="s">
        <v>66</v>
      </c>
      <c r="AB13" s="5" t="s">
        <v>67</v>
      </c>
      <c r="AC13" s="5" t="s">
        <v>68</v>
      </c>
      <c r="AD13" s="5" t="s">
        <v>69</v>
      </c>
      <c r="AE13" s="5" t="s">
        <v>70</v>
      </c>
      <c r="AF13" s="5" t="s">
        <v>71</v>
      </c>
      <c r="AG13" s="5" t="s">
        <v>72</v>
      </c>
      <c r="AH13" s="5" t="s">
        <v>73</v>
      </c>
      <c r="AI13" s="5" t="s">
        <v>74</v>
      </c>
      <c r="AJ13" s="5" t="s">
        <v>75</v>
      </c>
      <c r="AK13" s="5" t="s">
        <v>76</v>
      </c>
      <c r="AL13" s="5" t="s">
        <v>77</v>
      </c>
      <c r="AM13" s="5" t="s">
        <v>78</v>
      </c>
    </row>
    <row r="14" spans="1:39" x14ac:dyDescent="0.25">
      <c r="A14" s="15"/>
      <c r="B14" s="11"/>
      <c r="C14" s="3"/>
      <c r="D14" s="3"/>
      <c r="E14" s="3"/>
      <c r="F14" s="3"/>
      <c r="G14" s="3"/>
      <c r="H14" s="3"/>
      <c r="I14" s="5" t="e">
        <f>IF(MONTH(DATE($C$2,$C15,I$8))=$C15,TEXT(DATE($C$2,$C15,I$8),"ddd"),"")</f>
        <v>#VALUE!</v>
      </c>
      <c r="J14" s="5" t="e">
        <f t="shared" ref="J14:AM14" si="5">IF(MONTH(DATE($C$2,$C15,J$8))=$C15,TEXT(DATE($C$2,$C15,J$8),"ddd"),"")</f>
        <v>#VALUE!</v>
      </c>
      <c r="K14" s="5" t="e">
        <f t="shared" si="5"/>
        <v>#VALUE!</v>
      </c>
      <c r="L14" s="5" t="e">
        <f t="shared" si="5"/>
        <v>#VALUE!</v>
      </c>
      <c r="M14" s="5" t="e">
        <f t="shared" si="5"/>
        <v>#VALUE!</v>
      </c>
      <c r="N14" s="5" t="e">
        <f t="shared" si="5"/>
        <v>#VALUE!</v>
      </c>
      <c r="O14" s="5" t="e">
        <f t="shared" si="5"/>
        <v>#VALUE!</v>
      </c>
      <c r="P14" s="5" t="e">
        <f t="shared" si="5"/>
        <v>#VALUE!</v>
      </c>
      <c r="Q14" s="5" t="e">
        <f t="shared" si="5"/>
        <v>#VALUE!</v>
      </c>
      <c r="R14" s="5" t="e">
        <f t="shared" si="5"/>
        <v>#VALUE!</v>
      </c>
      <c r="S14" s="5" t="e">
        <f t="shared" si="5"/>
        <v>#VALUE!</v>
      </c>
      <c r="T14" s="5" t="e">
        <f t="shared" si="5"/>
        <v>#VALUE!</v>
      </c>
      <c r="U14" s="5" t="e">
        <f t="shared" si="5"/>
        <v>#VALUE!</v>
      </c>
      <c r="V14" s="5" t="e">
        <f t="shared" si="5"/>
        <v>#VALUE!</v>
      </c>
      <c r="W14" s="5" t="e">
        <f t="shared" si="5"/>
        <v>#VALUE!</v>
      </c>
      <c r="X14" s="5" t="e">
        <f t="shared" si="5"/>
        <v>#VALUE!</v>
      </c>
      <c r="Y14" s="5" t="e">
        <f t="shared" si="5"/>
        <v>#VALUE!</v>
      </c>
      <c r="Z14" s="5" t="e">
        <f t="shared" si="5"/>
        <v>#VALUE!</v>
      </c>
      <c r="AA14" s="5" t="e">
        <f t="shared" si="5"/>
        <v>#VALUE!</v>
      </c>
      <c r="AB14" s="5" t="e">
        <f t="shared" si="5"/>
        <v>#VALUE!</v>
      </c>
      <c r="AC14" s="5" t="e">
        <f t="shared" si="5"/>
        <v>#VALUE!</v>
      </c>
      <c r="AD14" s="5" t="e">
        <f t="shared" si="5"/>
        <v>#VALUE!</v>
      </c>
      <c r="AE14" s="5" t="e">
        <f t="shared" si="5"/>
        <v>#VALUE!</v>
      </c>
      <c r="AF14" s="5" t="e">
        <f t="shared" si="5"/>
        <v>#VALUE!</v>
      </c>
      <c r="AG14" s="5" t="e">
        <f t="shared" si="5"/>
        <v>#VALUE!</v>
      </c>
      <c r="AH14" s="5" t="e">
        <f t="shared" si="5"/>
        <v>#VALUE!</v>
      </c>
      <c r="AI14" s="5" t="e">
        <f t="shared" si="5"/>
        <v>#VALUE!</v>
      </c>
      <c r="AJ14" s="5" t="e">
        <f t="shared" si="5"/>
        <v>#VALUE!</v>
      </c>
      <c r="AK14" s="5" t="e">
        <f t="shared" si="5"/>
        <v>#VALUE!</v>
      </c>
      <c r="AL14" s="5" t="e">
        <f t="shared" si="5"/>
        <v>#VALUE!</v>
      </c>
      <c r="AM14" s="5" t="e">
        <f t="shared" si="5"/>
        <v>#VALUE!</v>
      </c>
    </row>
    <row r="15" spans="1:39" x14ac:dyDescent="0.25">
      <c r="A15" s="15"/>
      <c r="B15" s="11" t="s">
        <v>420</v>
      </c>
      <c r="C15" s="3">
        <v>3</v>
      </c>
      <c r="D15" s="3" t="e">
        <f>TEXT(DATE($C$2,C15,1),"mmmm")</f>
        <v>#VALUE!</v>
      </c>
      <c r="E15" s="3">
        <f>$AM$8-COUNTIF(I14:AM14,"")</f>
        <v>31</v>
      </c>
      <c r="F15" s="3">
        <f t="shared" si="2"/>
        <v>31</v>
      </c>
      <c r="G15" s="3">
        <f t="shared" si="3"/>
        <v>0</v>
      </c>
      <c r="H15" s="3">
        <f t="shared" si="4"/>
        <v>0</v>
      </c>
      <c r="I15" s="5" t="s">
        <v>79</v>
      </c>
      <c r="J15" s="5" t="s">
        <v>80</v>
      </c>
      <c r="K15" s="5" t="s">
        <v>81</v>
      </c>
      <c r="L15" s="5" t="s">
        <v>82</v>
      </c>
      <c r="M15" s="5" t="s">
        <v>83</v>
      </c>
      <c r="N15" s="5" t="s">
        <v>84</v>
      </c>
      <c r="O15" s="5" t="s">
        <v>85</v>
      </c>
      <c r="P15" s="5" t="s">
        <v>86</v>
      </c>
      <c r="Q15" s="5" t="s">
        <v>87</v>
      </c>
      <c r="R15" s="5" t="s">
        <v>88</v>
      </c>
      <c r="S15" s="5" t="s">
        <v>89</v>
      </c>
      <c r="T15" s="5" t="s">
        <v>90</v>
      </c>
      <c r="U15" s="5" t="s">
        <v>91</v>
      </c>
      <c r="V15" s="5" t="s">
        <v>92</v>
      </c>
      <c r="W15" s="5" t="s">
        <v>93</v>
      </c>
      <c r="X15" s="5" t="s">
        <v>94</v>
      </c>
      <c r="Y15" s="5" t="s">
        <v>95</v>
      </c>
      <c r="Z15" s="5" t="s">
        <v>96</v>
      </c>
      <c r="AA15" s="5" t="s">
        <v>97</v>
      </c>
      <c r="AB15" s="5" t="s">
        <v>98</v>
      </c>
      <c r="AC15" s="5" t="s">
        <v>99</v>
      </c>
      <c r="AD15" s="5" t="s">
        <v>100</v>
      </c>
      <c r="AE15" s="5" t="s">
        <v>101</v>
      </c>
      <c r="AF15" s="5" t="s">
        <v>102</v>
      </c>
      <c r="AG15" s="5" t="s">
        <v>103</v>
      </c>
      <c r="AH15" s="5" t="s">
        <v>104</v>
      </c>
      <c r="AI15" s="5" t="s">
        <v>105</v>
      </c>
      <c r="AJ15" s="5" t="s">
        <v>106</v>
      </c>
      <c r="AK15" s="5" t="s">
        <v>107</v>
      </c>
      <c r="AL15" s="5" t="s">
        <v>108</v>
      </c>
      <c r="AM15" s="5" t="s">
        <v>109</v>
      </c>
    </row>
    <row r="16" spans="1:39" x14ac:dyDescent="0.25">
      <c r="A16" s="16" t="s">
        <v>400</v>
      </c>
      <c r="B16" s="16"/>
      <c r="C16" s="16"/>
      <c r="D16" s="16"/>
      <c r="E16" s="3">
        <f>SUM(E11:E15)</f>
        <v>93</v>
      </c>
      <c r="F16" s="3">
        <f t="shared" ref="F16:H16" si="6">SUM(F11:F15)</f>
        <v>93</v>
      </c>
      <c r="G16" s="3">
        <f t="shared" si="6"/>
        <v>0</v>
      </c>
      <c r="H16" s="3">
        <f t="shared" si="6"/>
        <v>0</v>
      </c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</row>
    <row r="17" spans="1:39" ht="6" customHeight="1" x14ac:dyDescent="0.25">
      <c r="A17" s="3"/>
      <c r="B17" s="3"/>
      <c r="C17" s="3"/>
      <c r="D17" s="3"/>
      <c r="E17" s="3"/>
      <c r="F17" s="3"/>
      <c r="G17" s="3"/>
      <c r="H17" s="3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</row>
    <row r="18" spans="1:39" ht="15" hidden="1" customHeight="1" x14ac:dyDescent="0.25">
      <c r="A18" s="3"/>
      <c r="B18" s="3" t="s">
        <v>453</v>
      </c>
      <c r="C18" s="3">
        <v>102</v>
      </c>
      <c r="D18" s="3"/>
      <c r="E18" s="3"/>
      <c r="F18" s="3"/>
      <c r="G18" s="3"/>
      <c r="H18" s="3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x14ac:dyDescent="0.25">
      <c r="A19" s="15" t="s">
        <v>401</v>
      </c>
      <c r="B19" s="11"/>
      <c r="C19" s="3"/>
      <c r="D19" s="3"/>
      <c r="E19" s="3"/>
      <c r="F19" s="3"/>
      <c r="G19" s="3"/>
      <c r="H19" s="3"/>
      <c r="I19" s="5" t="e">
        <f>IF(MONTH(DATE($C$2,$C20,I$8))=$C20,TEXT(DATE($C$2,$C20,I$8),"ddd"),"")</f>
        <v>#VALUE!</v>
      </c>
      <c r="J19" s="5" t="e">
        <f t="shared" ref="J19:AM19" si="7">IF(MONTH(DATE($C$2,$C20,J$8))=$C20,TEXT(DATE($C$2,$C20,J$8),"ddd"),"")</f>
        <v>#VALUE!</v>
      </c>
      <c r="K19" s="5" t="e">
        <f t="shared" si="7"/>
        <v>#VALUE!</v>
      </c>
      <c r="L19" s="5" t="e">
        <f t="shared" si="7"/>
        <v>#VALUE!</v>
      </c>
      <c r="M19" s="5" t="e">
        <f t="shared" si="7"/>
        <v>#VALUE!</v>
      </c>
      <c r="N19" s="5" t="e">
        <f t="shared" si="7"/>
        <v>#VALUE!</v>
      </c>
      <c r="O19" s="5" t="e">
        <f t="shared" si="7"/>
        <v>#VALUE!</v>
      </c>
      <c r="P19" s="5" t="e">
        <f t="shared" si="7"/>
        <v>#VALUE!</v>
      </c>
      <c r="Q19" s="5" t="e">
        <f t="shared" si="7"/>
        <v>#VALUE!</v>
      </c>
      <c r="R19" s="5" t="e">
        <f t="shared" si="7"/>
        <v>#VALUE!</v>
      </c>
      <c r="S19" s="5" t="e">
        <f t="shared" si="7"/>
        <v>#VALUE!</v>
      </c>
      <c r="T19" s="5" t="e">
        <f t="shared" si="7"/>
        <v>#VALUE!</v>
      </c>
      <c r="U19" s="5" t="e">
        <f t="shared" si="7"/>
        <v>#VALUE!</v>
      </c>
      <c r="V19" s="5" t="e">
        <f t="shared" si="7"/>
        <v>#VALUE!</v>
      </c>
      <c r="W19" s="5" t="e">
        <f t="shared" si="7"/>
        <v>#VALUE!</v>
      </c>
      <c r="X19" s="5" t="e">
        <f t="shared" si="7"/>
        <v>#VALUE!</v>
      </c>
      <c r="Y19" s="5" t="e">
        <f t="shared" si="7"/>
        <v>#VALUE!</v>
      </c>
      <c r="Z19" s="5" t="e">
        <f t="shared" si="7"/>
        <v>#VALUE!</v>
      </c>
      <c r="AA19" s="5" t="e">
        <f t="shared" si="7"/>
        <v>#VALUE!</v>
      </c>
      <c r="AB19" s="5" t="e">
        <f t="shared" si="7"/>
        <v>#VALUE!</v>
      </c>
      <c r="AC19" s="5" t="e">
        <f t="shared" si="7"/>
        <v>#VALUE!</v>
      </c>
      <c r="AD19" s="5" t="e">
        <f t="shared" si="7"/>
        <v>#VALUE!</v>
      </c>
      <c r="AE19" s="5" t="e">
        <f t="shared" si="7"/>
        <v>#VALUE!</v>
      </c>
      <c r="AF19" s="5" t="e">
        <f t="shared" si="7"/>
        <v>#VALUE!</v>
      </c>
      <c r="AG19" s="5" t="e">
        <f t="shared" si="7"/>
        <v>#VALUE!</v>
      </c>
      <c r="AH19" s="5" t="e">
        <f t="shared" si="7"/>
        <v>#VALUE!</v>
      </c>
      <c r="AI19" s="5" t="e">
        <f t="shared" si="7"/>
        <v>#VALUE!</v>
      </c>
      <c r="AJ19" s="5" t="e">
        <f t="shared" si="7"/>
        <v>#VALUE!</v>
      </c>
      <c r="AK19" s="5" t="e">
        <f t="shared" si="7"/>
        <v>#VALUE!</v>
      </c>
      <c r="AL19" s="5" t="e">
        <f t="shared" si="7"/>
        <v>#VALUE!</v>
      </c>
      <c r="AM19" s="5" t="e">
        <f t="shared" si="7"/>
        <v>#VALUE!</v>
      </c>
    </row>
    <row r="20" spans="1:39" x14ac:dyDescent="0.25">
      <c r="A20" s="15"/>
      <c r="B20" s="11" t="s">
        <v>421</v>
      </c>
      <c r="C20" s="3">
        <v>4</v>
      </c>
      <c r="D20" s="3" t="e">
        <f>TEXT(DATE($C$2,C20,1),"mmmm")</f>
        <v>#VALUE!</v>
      </c>
      <c r="E20" s="3">
        <f>$AM$8-COUNTIF(I19:AM19,"")</f>
        <v>31</v>
      </c>
      <c r="F20" s="3">
        <f>E20-G20</f>
        <v>31</v>
      </c>
      <c r="G20" s="3">
        <f>COUNTIF(I20:AM20,"в")</f>
        <v>0</v>
      </c>
      <c r="H20" s="3">
        <f>SUM(I20:AM20)</f>
        <v>0</v>
      </c>
      <c r="I20" s="5" t="s">
        <v>110</v>
      </c>
      <c r="J20" s="5" t="s">
        <v>111</v>
      </c>
      <c r="K20" s="5" t="s">
        <v>112</v>
      </c>
      <c r="L20" s="5" t="s">
        <v>113</v>
      </c>
      <c r="M20" s="5" t="s">
        <v>114</v>
      </c>
      <c r="N20" s="5" t="s">
        <v>115</v>
      </c>
      <c r="O20" s="5" t="s">
        <v>116</v>
      </c>
      <c r="P20" s="5" t="s">
        <v>117</v>
      </c>
      <c r="Q20" s="5" t="s">
        <v>118</v>
      </c>
      <c r="R20" s="5" t="s">
        <v>119</v>
      </c>
      <c r="S20" s="4" t="s">
        <v>120</v>
      </c>
      <c r="T20" s="5" t="s">
        <v>121</v>
      </c>
      <c r="U20" s="5" t="s">
        <v>122</v>
      </c>
      <c r="V20" s="5" t="s">
        <v>123</v>
      </c>
      <c r="W20" s="5" t="s">
        <v>124</v>
      </c>
      <c r="X20" s="5" t="s">
        <v>125</v>
      </c>
      <c r="Y20" s="5" t="s">
        <v>126</v>
      </c>
      <c r="Z20" s="5" t="s">
        <v>127</v>
      </c>
      <c r="AA20" s="5" t="s">
        <v>128</v>
      </c>
      <c r="AB20" s="5" t="s">
        <v>129</v>
      </c>
      <c r="AC20" s="5" t="s">
        <v>130</v>
      </c>
      <c r="AD20" s="5" t="s">
        <v>131</v>
      </c>
      <c r="AE20" s="5" t="s">
        <v>132</v>
      </c>
      <c r="AF20" s="5" t="s">
        <v>133</v>
      </c>
      <c r="AG20" s="5" t="s">
        <v>134</v>
      </c>
      <c r="AH20" s="5" t="s">
        <v>135</v>
      </c>
      <c r="AI20" s="5" t="s">
        <v>136</v>
      </c>
      <c r="AJ20" s="5" t="s">
        <v>137</v>
      </c>
      <c r="AK20" s="5" t="s">
        <v>138</v>
      </c>
      <c r="AL20" s="5" t="s">
        <v>139</v>
      </c>
      <c r="AM20" s="5" t="s">
        <v>140</v>
      </c>
    </row>
    <row r="21" spans="1:39" x14ac:dyDescent="0.25">
      <c r="A21" s="15"/>
      <c r="B21" s="11"/>
      <c r="C21" s="3"/>
      <c r="D21" s="3"/>
      <c r="E21" s="3"/>
      <c r="F21" s="3"/>
      <c r="G21" s="3"/>
      <c r="H21" s="3"/>
      <c r="I21" s="5" t="e">
        <f>IF(MONTH(DATE($C$2,$C22,I$8))=$C22,TEXT(DATE($C$2,$C22,I$8),"ddd"),"")</f>
        <v>#VALUE!</v>
      </c>
      <c r="J21" s="5" t="e">
        <f t="shared" ref="J21:AM21" si="8">IF(MONTH(DATE($C$2,$C22,J$8))=$C22,TEXT(DATE($C$2,$C22,J$8),"ddd"),"")</f>
        <v>#VALUE!</v>
      </c>
      <c r="K21" s="5" t="e">
        <f t="shared" si="8"/>
        <v>#VALUE!</v>
      </c>
      <c r="L21" s="5" t="e">
        <f t="shared" si="8"/>
        <v>#VALUE!</v>
      </c>
      <c r="M21" s="5" t="e">
        <f t="shared" si="8"/>
        <v>#VALUE!</v>
      </c>
      <c r="N21" s="5" t="e">
        <f t="shared" si="8"/>
        <v>#VALUE!</v>
      </c>
      <c r="O21" s="5" t="e">
        <f t="shared" si="8"/>
        <v>#VALUE!</v>
      </c>
      <c r="P21" s="5" t="e">
        <f t="shared" si="8"/>
        <v>#VALUE!</v>
      </c>
      <c r="Q21" s="5" t="e">
        <f t="shared" si="8"/>
        <v>#VALUE!</v>
      </c>
      <c r="R21" s="5" t="e">
        <f t="shared" si="8"/>
        <v>#VALUE!</v>
      </c>
      <c r="S21" s="5" t="e">
        <f t="shared" si="8"/>
        <v>#VALUE!</v>
      </c>
      <c r="T21" s="5" t="e">
        <f t="shared" si="8"/>
        <v>#VALUE!</v>
      </c>
      <c r="U21" s="5" t="e">
        <f t="shared" si="8"/>
        <v>#VALUE!</v>
      </c>
      <c r="V21" s="5" t="e">
        <f t="shared" si="8"/>
        <v>#VALUE!</v>
      </c>
      <c r="W21" s="5" t="e">
        <f t="shared" si="8"/>
        <v>#VALUE!</v>
      </c>
      <c r="X21" s="5" t="e">
        <f t="shared" si="8"/>
        <v>#VALUE!</v>
      </c>
      <c r="Y21" s="5" t="e">
        <f t="shared" si="8"/>
        <v>#VALUE!</v>
      </c>
      <c r="Z21" s="5" t="e">
        <f t="shared" si="8"/>
        <v>#VALUE!</v>
      </c>
      <c r="AA21" s="5" t="e">
        <f t="shared" si="8"/>
        <v>#VALUE!</v>
      </c>
      <c r="AB21" s="5" t="e">
        <f t="shared" si="8"/>
        <v>#VALUE!</v>
      </c>
      <c r="AC21" s="5" t="e">
        <f t="shared" si="8"/>
        <v>#VALUE!</v>
      </c>
      <c r="AD21" s="5" t="e">
        <f t="shared" si="8"/>
        <v>#VALUE!</v>
      </c>
      <c r="AE21" s="5" t="e">
        <f t="shared" si="8"/>
        <v>#VALUE!</v>
      </c>
      <c r="AF21" s="5" t="e">
        <f t="shared" si="8"/>
        <v>#VALUE!</v>
      </c>
      <c r="AG21" s="5" t="e">
        <f t="shared" si="8"/>
        <v>#VALUE!</v>
      </c>
      <c r="AH21" s="5" t="e">
        <f t="shared" si="8"/>
        <v>#VALUE!</v>
      </c>
      <c r="AI21" s="5" t="e">
        <f t="shared" si="8"/>
        <v>#VALUE!</v>
      </c>
      <c r="AJ21" s="5" t="e">
        <f t="shared" si="8"/>
        <v>#VALUE!</v>
      </c>
      <c r="AK21" s="5" t="e">
        <f t="shared" si="8"/>
        <v>#VALUE!</v>
      </c>
      <c r="AL21" s="5" t="e">
        <f t="shared" si="8"/>
        <v>#VALUE!</v>
      </c>
      <c r="AM21" s="5" t="e">
        <f t="shared" si="8"/>
        <v>#VALUE!</v>
      </c>
    </row>
    <row r="22" spans="1:39" x14ac:dyDescent="0.25">
      <c r="A22" s="15"/>
      <c r="B22" s="11" t="s">
        <v>422</v>
      </c>
      <c r="C22" s="3">
        <v>5</v>
      </c>
      <c r="D22" s="3" t="e">
        <f>TEXT(DATE($C$2,C22,1),"mmmm")</f>
        <v>#VALUE!</v>
      </c>
      <c r="E22" s="3">
        <f>$AM$8-COUNTIF(I21:AM21,"")</f>
        <v>31</v>
      </c>
      <c r="F22" s="3">
        <f t="shared" ref="F22:F24" si="9">E22-G22</f>
        <v>31</v>
      </c>
      <c r="G22" s="3">
        <f t="shared" ref="G22:G24" si="10">COUNTIF(I22:AM22,"в")</f>
        <v>0</v>
      </c>
      <c r="H22" s="3">
        <f t="shared" ref="H22:H24" si="11">SUM(I22:AM22)</f>
        <v>0</v>
      </c>
      <c r="I22" s="5" t="s">
        <v>141</v>
      </c>
      <c r="J22" s="5" t="s">
        <v>142</v>
      </c>
      <c r="K22" s="5" t="s">
        <v>143</v>
      </c>
      <c r="L22" s="5" t="s">
        <v>144</v>
      </c>
      <c r="M22" s="5" t="s">
        <v>145</v>
      </c>
      <c r="N22" s="5" t="s">
        <v>146</v>
      </c>
      <c r="O22" s="5" t="s">
        <v>147</v>
      </c>
      <c r="P22" s="5" t="s">
        <v>148</v>
      </c>
      <c r="Q22" s="5" t="s">
        <v>149</v>
      </c>
      <c r="R22" s="5" t="s">
        <v>150</v>
      </c>
      <c r="S22" s="5" t="s">
        <v>151</v>
      </c>
      <c r="T22" s="5" t="s">
        <v>152</v>
      </c>
      <c r="U22" s="5" t="s">
        <v>153</v>
      </c>
      <c r="V22" s="5" t="s">
        <v>154</v>
      </c>
      <c r="W22" s="5" t="s">
        <v>155</v>
      </c>
      <c r="X22" s="5" t="s">
        <v>156</v>
      </c>
      <c r="Y22" s="5" t="s">
        <v>157</v>
      </c>
      <c r="Z22" s="5" t="s">
        <v>158</v>
      </c>
      <c r="AA22" s="5" t="s">
        <v>159</v>
      </c>
      <c r="AB22" s="5" t="s">
        <v>160</v>
      </c>
      <c r="AC22" s="5" t="s">
        <v>161</v>
      </c>
      <c r="AD22" s="5" t="s">
        <v>162</v>
      </c>
      <c r="AE22" s="5" t="s">
        <v>163</v>
      </c>
      <c r="AF22" s="5" t="s">
        <v>164</v>
      </c>
      <c r="AG22" s="5" t="s">
        <v>165</v>
      </c>
      <c r="AH22" s="5" t="s">
        <v>166</v>
      </c>
      <c r="AI22" s="5" t="s">
        <v>167</v>
      </c>
      <c r="AJ22" s="5" t="s">
        <v>168</v>
      </c>
      <c r="AK22" s="5" t="s">
        <v>169</v>
      </c>
      <c r="AL22" s="5" t="s">
        <v>170</v>
      </c>
      <c r="AM22" s="5" t="s">
        <v>171</v>
      </c>
    </row>
    <row r="23" spans="1:39" x14ac:dyDescent="0.25">
      <c r="A23" s="15"/>
      <c r="B23" s="11"/>
      <c r="C23" s="3"/>
      <c r="D23" s="3"/>
      <c r="E23" s="3"/>
      <c r="F23" s="3"/>
      <c r="G23" s="3"/>
      <c r="H23" s="3"/>
      <c r="I23" s="5" t="e">
        <f>IF(MONTH(DATE($C$2,$C24,I$8))=$C24,TEXT(DATE($C$2,$C24,I$8),"ddd"),"")</f>
        <v>#VALUE!</v>
      </c>
      <c r="J23" s="5" t="e">
        <f t="shared" ref="J23:AM23" si="12">IF(MONTH(DATE($C$2,$C24,J$8))=$C24,TEXT(DATE($C$2,$C24,J$8),"ddd"),"")</f>
        <v>#VALUE!</v>
      </c>
      <c r="K23" s="5" t="e">
        <f t="shared" si="12"/>
        <v>#VALUE!</v>
      </c>
      <c r="L23" s="5" t="e">
        <f t="shared" si="12"/>
        <v>#VALUE!</v>
      </c>
      <c r="M23" s="5" t="e">
        <f t="shared" si="12"/>
        <v>#VALUE!</v>
      </c>
      <c r="N23" s="5" t="e">
        <f t="shared" si="12"/>
        <v>#VALUE!</v>
      </c>
      <c r="O23" s="5" t="e">
        <f t="shared" si="12"/>
        <v>#VALUE!</v>
      </c>
      <c r="P23" s="5" t="e">
        <f t="shared" si="12"/>
        <v>#VALUE!</v>
      </c>
      <c r="Q23" s="5" t="e">
        <f t="shared" si="12"/>
        <v>#VALUE!</v>
      </c>
      <c r="R23" s="5" t="e">
        <f t="shared" si="12"/>
        <v>#VALUE!</v>
      </c>
      <c r="S23" s="5" t="e">
        <f t="shared" si="12"/>
        <v>#VALUE!</v>
      </c>
      <c r="T23" s="5" t="e">
        <f t="shared" si="12"/>
        <v>#VALUE!</v>
      </c>
      <c r="U23" s="5" t="e">
        <f t="shared" si="12"/>
        <v>#VALUE!</v>
      </c>
      <c r="V23" s="5" t="e">
        <f t="shared" si="12"/>
        <v>#VALUE!</v>
      </c>
      <c r="W23" s="5" t="e">
        <f t="shared" si="12"/>
        <v>#VALUE!</v>
      </c>
      <c r="X23" s="5" t="e">
        <f t="shared" si="12"/>
        <v>#VALUE!</v>
      </c>
      <c r="Y23" s="5" t="e">
        <f t="shared" si="12"/>
        <v>#VALUE!</v>
      </c>
      <c r="Z23" s="5" t="e">
        <f t="shared" si="12"/>
        <v>#VALUE!</v>
      </c>
      <c r="AA23" s="5" t="e">
        <f t="shared" si="12"/>
        <v>#VALUE!</v>
      </c>
      <c r="AB23" s="5" t="e">
        <f t="shared" si="12"/>
        <v>#VALUE!</v>
      </c>
      <c r="AC23" s="5" t="e">
        <f t="shared" si="12"/>
        <v>#VALUE!</v>
      </c>
      <c r="AD23" s="5" t="e">
        <f t="shared" si="12"/>
        <v>#VALUE!</v>
      </c>
      <c r="AE23" s="5" t="e">
        <f t="shared" si="12"/>
        <v>#VALUE!</v>
      </c>
      <c r="AF23" s="5" t="e">
        <f t="shared" si="12"/>
        <v>#VALUE!</v>
      </c>
      <c r="AG23" s="5" t="e">
        <f t="shared" si="12"/>
        <v>#VALUE!</v>
      </c>
      <c r="AH23" s="5" t="e">
        <f t="shared" si="12"/>
        <v>#VALUE!</v>
      </c>
      <c r="AI23" s="5" t="e">
        <f t="shared" si="12"/>
        <v>#VALUE!</v>
      </c>
      <c r="AJ23" s="5" t="e">
        <f t="shared" si="12"/>
        <v>#VALUE!</v>
      </c>
      <c r="AK23" s="5" t="e">
        <f t="shared" si="12"/>
        <v>#VALUE!</v>
      </c>
      <c r="AL23" s="5" t="e">
        <f t="shared" si="12"/>
        <v>#VALUE!</v>
      </c>
      <c r="AM23" s="5" t="e">
        <f t="shared" si="12"/>
        <v>#VALUE!</v>
      </c>
    </row>
    <row r="24" spans="1:39" x14ac:dyDescent="0.25">
      <c r="A24" s="15"/>
      <c r="B24" s="11" t="s">
        <v>423</v>
      </c>
      <c r="C24" s="3">
        <v>6</v>
      </c>
      <c r="D24" s="3" t="e">
        <f>TEXT(DATE($C$2,C24,1),"mmmm")</f>
        <v>#VALUE!</v>
      </c>
      <c r="E24" s="3">
        <f>$AM$8-COUNTIF(I23:AM23,"")</f>
        <v>31</v>
      </c>
      <c r="F24" s="3">
        <f t="shared" si="9"/>
        <v>31</v>
      </c>
      <c r="G24" s="3">
        <f t="shared" si="10"/>
        <v>0</v>
      </c>
      <c r="H24" s="3">
        <f t="shared" si="11"/>
        <v>0</v>
      </c>
      <c r="I24" s="5" t="s">
        <v>172</v>
      </c>
      <c r="J24" s="5" t="s">
        <v>173</v>
      </c>
      <c r="K24" s="5" t="s">
        <v>174</v>
      </c>
      <c r="L24" s="5" t="s">
        <v>175</v>
      </c>
      <c r="M24" s="5" t="s">
        <v>176</v>
      </c>
      <c r="N24" s="5" t="s">
        <v>177</v>
      </c>
      <c r="O24" s="5" t="s">
        <v>178</v>
      </c>
      <c r="P24" s="5" t="s">
        <v>179</v>
      </c>
      <c r="Q24" s="5" t="s">
        <v>180</v>
      </c>
      <c r="R24" s="5" t="s">
        <v>181</v>
      </c>
      <c r="S24" s="5" t="s">
        <v>182</v>
      </c>
      <c r="T24" s="5" t="s">
        <v>183</v>
      </c>
      <c r="U24" s="5" t="s">
        <v>184</v>
      </c>
      <c r="V24" s="5" t="s">
        <v>185</v>
      </c>
      <c r="W24" s="5" t="s">
        <v>186</v>
      </c>
      <c r="X24" s="5" t="s">
        <v>187</v>
      </c>
      <c r="Y24" s="5" t="s">
        <v>188</v>
      </c>
      <c r="Z24" s="5" t="s">
        <v>189</v>
      </c>
      <c r="AA24" s="5" t="s">
        <v>190</v>
      </c>
      <c r="AB24" s="5" t="s">
        <v>191</v>
      </c>
      <c r="AC24" s="5" t="s">
        <v>192</v>
      </c>
      <c r="AD24" s="5" t="s">
        <v>193</v>
      </c>
      <c r="AE24" s="5" t="s">
        <v>194</v>
      </c>
      <c r="AF24" s="5" t="s">
        <v>195</v>
      </c>
      <c r="AG24" s="5" t="s">
        <v>196</v>
      </c>
      <c r="AH24" s="5" t="s">
        <v>197</v>
      </c>
      <c r="AI24" s="5" t="s">
        <v>198</v>
      </c>
      <c r="AJ24" s="5" t="s">
        <v>199</v>
      </c>
      <c r="AK24" s="5" t="s">
        <v>200</v>
      </c>
      <c r="AL24" s="5" t="s">
        <v>201</v>
      </c>
      <c r="AM24" s="5" t="s">
        <v>202</v>
      </c>
    </row>
    <row r="25" spans="1:39" x14ac:dyDescent="0.25">
      <c r="A25" s="16" t="s">
        <v>400</v>
      </c>
      <c r="B25" s="16"/>
      <c r="C25" s="16"/>
      <c r="D25" s="16"/>
      <c r="E25" s="3">
        <f>SUM(E20:E24)</f>
        <v>93</v>
      </c>
      <c r="F25" s="3">
        <f t="shared" ref="F25:H25" si="13">SUM(F20:F24)</f>
        <v>93</v>
      </c>
      <c r="G25" s="3">
        <f t="shared" si="13"/>
        <v>0</v>
      </c>
      <c r="H25" s="3">
        <f t="shared" si="13"/>
        <v>0</v>
      </c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ht="6" customHeight="1" x14ac:dyDescent="0.25">
      <c r="A26" s="3"/>
      <c r="B26" s="3"/>
      <c r="C26" s="3"/>
      <c r="D26" s="3"/>
      <c r="E26" s="3"/>
      <c r="F26" s="3"/>
      <c r="G26" s="3"/>
      <c r="H26" s="3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ht="13.5" hidden="1" customHeight="1" x14ac:dyDescent="0.25">
      <c r="A27" s="3"/>
      <c r="B27" s="3" t="s">
        <v>454</v>
      </c>
      <c r="C27" s="3">
        <v>103</v>
      </c>
      <c r="D27" s="3"/>
      <c r="E27" s="3"/>
      <c r="F27" s="3"/>
      <c r="G27" s="3"/>
      <c r="H27" s="3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x14ac:dyDescent="0.25">
      <c r="A28" s="15" t="s">
        <v>402</v>
      </c>
      <c r="B28" s="11"/>
      <c r="C28" s="3"/>
      <c r="D28" s="3"/>
      <c r="E28" s="3"/>
      <c r="F28" s="3"/>
      <c r="G28" s="3"/>
      <c r="H28" s="3"/>
      <c r="I28" s="5" t="e">
        <f>IF(MONTH(DATE($C$2,$C29,I$8))=$C29,TEXT(DATE($C$2,$C29,I$8),"ddd"),"")</f>
        <v>#VALUE!</v>
      </c>
      <c r="J28" s="5" t="e">
        <f t="shared" ref="J28:AM28" si="14">IF(MONTH(DATE($C$2,$C29,J$8))=$C29,TEXT(DATE($C$2,$C29,J$8),"ddd"),"")</f>
        <v>#VALUE!</v>
      </c>
      <c r="K28" s="5" t="e">
        <f t="shared" si="14"/>
        <v>#VALUE!</v>
      </c>
      <c r="L28" s="5" t="e">
        <f t="shared" si="14"/>
        <v>#VALUE!</v>
      </c>
      <c r="M28" s="5" t="e">
        <f t="shared" si="14"/>
        <v>#VALUE!</v>
      </c>
      <c r="N28" s="5" t="e">
        <f t="shared" si="14"/>
        <v>#VALUE!</v>
      </c>
      <c r="O28" s="5" t="e">
        <f t="shared" si="14"/>
        <v>#VALUE!</v>
      </c>
      <c r="P28" s="5" t="e">
        <f t="shared" si="14"/>
        <v>#VALUE!</v>
      </c>
      <c r="Q28" s="5" t="e">
        <f t="shared" si="14"/>
        <v>#VALUE!</v>
      </c>
      <c r="R28" s="5" t="e">
        <f t="shared" si="14"/>
        <v>#VALUE!</v>
      </c>
      <c r="S28" s="5" t="e">
        <f t="shared" si="14"/>
        <v>#VALUE!</v>
      </c>
      <c r="T28" s="5" t="e">
        <f t="shared" si="14"/>
        <v>#VALUE!</v>
      </c>
      <c r="U28" s="5" t="e">
        <f t="shared" si="14"/>
        <v>#VALUE!</v>
      </c>
      <c r="V28" s="5" t="e">
        <f t="shared" si="14"/>
        <v>#VALUE!</v>
      </c>
      <c r="W28" s="5" t="e">
        <f t="shared" si="14"/>
        <v>#VALUE!</v>
      </c>
      <c r="X28" s="5" t="e">
        <f t="shared" si="14"/>
        <v>#VALUE!</v>
      </c>
      <c r="Y28" s="5" t="e">
        <f t="shared" si="14"/>
        <v>#VALUE!</v>
      </c>
      <c r="Z28" s="5" t="e">
        <f t="shared" si="14"/>
        <v>#VALUE!</v>
      </c>
      <c r="AA28" s="5" t="e">
        <f t="shared" si="14"/>
        <v>#VALUE!</v>
      </c>
      <c r="AB28" s="5" t="e">
        <f t="shared" si="14"/>
        <v>#VALUE!</v>
      </c>
      <c r="AC28" s="5" t="e">
        <f t="shared" si="14"/>
        <v>#VALUE!</v>
      </c>
      <c r="AD28" s="5" t="e">
        <f t="shared" si="14"/>
        <v>#VALUE!</v>
      </c>
      <c r="AE28" s="5" t="e">
        <f t="shared" si="14"/>
        <v>#VALUE!</v>
      </c>
      <c r="AF28" s="5" t="e">
        <f t="shared" si="14"/>
        <v>#VALUE!</v>
      </c>
      <c r="AG28" s="5" t="e">
        <f t="shared" si="14"/>
        <v>#VALUE!</v>
      </c>
      <c r="AH28" s="5" t="e">
        <f t="shared" si="14"/>
        <v>#VALUE!</v>
      </c>
      <c r="AI28" s="5" t="e">
        <f t="shared" si="14"/>
        <v>#VALUE!</v>
      </c>
      <c r="AJ28" s="5" t="e">
        <f t="shared" si="14"/>
        <v>#VALUE!</v>
      </c>
      <c r="AK28" s="5" t="e">
        <f t="shared" si="14"/>
        <v>#VALUE!</v>
      </c>
      <c r="AL28" s="5" t="e">
        <f t="shared" si="14"/>
        <v>#VALUE!</v>
      </c>
      <c r="AM28" s="5" t="e">
        <f t="shared" si="14"/>
        <v>#VALUE!</v>
      </c>
    </row>
    <row r="29" spans="1:39" x14ac:dyDescent="0.25">
      <c r="A29" s="15"/>
      <c r="B29" s="11" t="s">
        <v>424</v>
      </c>
      <c r="C29" s="3">
        <v>7</v>
      </c>
      <c r="D29" s="3" t="e">
        <f>TEXT(DATE($C$2,C29,1),"mmmm")</f>
        <v>#VALUE!</v>
      </c>
      <c r="E29" s="3">
        <f>$AM$8-COUNTIF(I28:AM28,"")</f>
        <v>31</v>
      </c>
      <c r="F29" s="3">
        <f>E29-G29</f>
        <v>31</v>
      </c>
      <c r="G29" s="3">
        <f>COUNTIF(I29:AM29,"в")</f>
        <v>0</v>
      </c>
      <c r="H29" s="3">
        <f>SUM(I29:AM29)</f>
        <v>0</v>
      </c>
      <c r="I29" s="5" t="s">
        <v>203</v>
      </c>
      <c r="J29" s="5" t="s">
        <v>204</v>
      </c>
      <c r="K29" s="5" t="s">
        <v>205</v>
      </c>
      <c r="L29" s="5" t="s">
        <v>206</v>
      </c>
      <c r="M29" s="5" t="s">
        <v>207</v>
      </c>
      <c r="N29" s="5" t="s">
        <v>208</v>
      </c>
      <c r="O29" s="5" t="s">
        <v>209</v>
      </c>
      <c r="P29" s="5" t="s">
        <v>210</v>
      </c>
      <c r="Q29" s="5" t="s">
        <v>211</v>
      </c>
      <c r="R29" s="5" t="s">
        <v>212</v>
      </c>
      <c r="S29" s="5" t="s">
        <v>213</v>
      </c>
      <c r="T29" s="5" t="s">
        <v>214</v>
      </c>
      <c r="U29" s="5" t="s">
        <v>215</v>
      </c>
      <c r="V29" s="5" t="s">
        <v>216</v>
      </c>
      <c r="W29" s="5" t="s">
        <v>217</v>
      </c>
      <c r="X29" s="5" t="s">
        <v>218</v>
      </c>
      <c r="Y29" s="5" t="s">
        <v>219</v>
      </c>
      <c r="Z29" s="5" t="s">
        <v>220</v>
      </c>
      <c r="AA29" s="5" t="s">
        <v>221</v>
      </c>
      <c r="AB29" s="5" t="s">
        <v>222</v>
      </c>
      <c r="AC29" s="5" t="s">
        <v>223</v>
      </c>
      <c r="AD29" s="5" t="s">
        <v>224</v>
      </c>
      <c r="AE29" s="5" t="s">
        <v>225</v>
      </c>
      <c r="AF29" s="5" t="s">
        <v>226</v>
      </c>
      <c r="AG29" s="5" t="s">
        <v>227</v>
      </c>
      <c r="AH29" s="5" t="s">
        <v>228</v>
      </c>
      <c r="AI29" s="5" t="s">
        <v>229</v>
      </c>
      <c r="AJ29" s="5" t="s">
        <v>230</v>
      </c>
      <c r="AK29" s="5" t="s">
        <v>231</v>
      </c>
      <c r="AL29" s="5" t="s">
        <v>232</v>
      </c>
      <c r="AM29" s="5" t="s">
        <v>233</v>
      </c>
    </row>
    <row r="30" spans="1:39" x14ac:dyDescent="0.25">
      <c r="A30" s="15"/>
      <c r="B30" s="11"/>
      <c r="C30" s="3"/>
      <c r="D30" s="3"/>
      <c r="E30" s="3"/>
      <c r="F30" s="3"/>
      <c r="G30" s="3"/>
      <c r="H30" s="3"/>
      <c r="I30" s="5" t="e">
        <f>IF(MONTH(DATE($C$2,$C31,I$8))=$C31,TEXT(DATE($C$2,$C31,I$8),"ddd"),"")</f>
        <v>#VALUE!</v>
      </c>
      <c r="J30" s="5" t="e">
        <f t="shared" ref="J30:AM30" si="15">IF(MONTH(DATE($C$2,$C31,J$8))=$C31,TEXT(DATE($C$2,$C31,J$8),"ddd"),"")</f>
        <v>#VALUE!</v>
      </c>
      <c r="K30" s="5" t="e">
        <f t="shared" si="15"/>
        <v>#VALUE!</v>
      </c>
      <c r="L30" s="5" t="e">
        <f t="shared" si="15"/>
        <v>#VALUE!</v>
      </c>
      <c r="M30" s="5" t="e">
        <f t="shared" si="15"/>
        <v>#VALUE!</v>
      </c>
      <c r="N30" s="5" t="e">
        <f t="shared" si="15"/>
        <v>#VALUE!</v>
      </c>
      <c r="O30" s="5" t="e">
        <f t="shared" si="15"/>
        <v>#VALUE!</v>
      </c>
      <c r="P30" s="5" t="e">
        <f t="shared" si="15"/>
        <v>#VALUE!</v>
      </c>
      <c r="Q30" s="5" t="e">
        <f t="shared" si="15"/>
        <v>#VALUE!</v>
      </c>
      <c r="R30" s="5" t="e">
        <f t="shared" si="15"/>
        <v>#VALUE!</v>
      </c>
      <c r="S30" s="5" t="e">
        <f t="shared" si="15"/>
        <v>#VALUE!</v>
      </c>
      <c r="T30" s="5" t="e">
        <f t="shared" si="15"/>
        <v>#VALUE!</v>
      </c>
      <c r="U30" s="5" t="e">
        <f t="shared" si="15"/>
        <v>#VALUE!</v>
      </c>
      <c r="V30" s="5" t="e">
        <f t="shared" si="15"/>
        <v>#VALUE!</v>
      </c>
      <c r="W30" s="5" t="e">
        <f t="shared" si="15"/>
        <v>#VALUE!</v>
      </c>
      <c r="X30" s="5" t="e">
        <f t="shared" si="15"/>
        <v>#VALUE!</v>
      </c>
      <c r="Y30" s="5" t="e">
        <f t="shared" si="15"/>
        <v>#VALUE!</v>
      </c>
      <c r="Z30" s="5" t="e">
        <f t="shared" si="15"/>
        <v>#VALUE!</v>
      </c>
      <c r="AA30" s="5" t="e">
        <f t="shared" si="15"/>
        <v>#VALUE!</v>
      </c>
      <c r="AB30" s="5" t="e">
        <f t="shared" si="15"/>
        <v>#VALUE!</v>
      </c>
      <c r="AC30" s="5" t="e">
        <f t="shared" si="15"/>
        <v>#VALUE!</v>
      </c>
      <c r="AD30" s="5" t="e">
        <f t="shared" si="15"/>
        <v>#VALUE!</v>
      </c>
      <c r="AE30" s="5" t="e">
        <f t="shared" si="15"/>
        <v>#VALUE!</v>
      </c>
      <c r="AF30" s="5" t="e">
        <f t="shared" si="15"/>
        <v>#VALUE!</v>
      </c>
      <c r="AG30" s="5" t="e">
        <f t="shared" si="15"/>
        <v>#VALUE!</v>
      </c>
      <c r="AH30" s="5" t="e">
        <f t="shared" si="15"/>
        <v>#VALUE!</v>
      </c>
      <c r="AI30" s="5" t="e">
        <f t="shared" si="15"/>
        <v>#VALUE!</v>
      </c>
      <c r="AJ30" s="5" t="e">
        <f t="shared" si="15"/>
        <v>#VALUE!</v>
      </c>
      <c r="AK30" s="5" t="e">
        <f t="shared" si="15"/>
        <v>#VALUE!</v>
      </c>
      <c r="AL30" s="5" t="e">
        <f t="shared" si="15"/>
        <v>#VALUE!</v>
      </c>
      <c r="AM30" s="5" t="e">
        <f t="shared" si="15"/>
        <v>#VALUE!</v>
      </c>
    </row>
    <row r="31" spans="1:39" x14ac:dyDescent="0.25">
      <c r="A31" s="15"/>
      <c r="B31" s="11" t="s">
        <v>425</v>
      </c>
      <c r="C31" s="3">
        <v>8</v>
      </c>
      <c r="D31" s="3" t="e">
        <f>TEXT(DATE($C$2,C31,1),"mmmm")</f>
        <v>#VALUE!</v>
      </c>
      <c r="E31" s="3">
        <f>$AM$8-COUNTIF(I30:AM30,"")</f>
        <v>31</v>
      </c>
      <c r="F31" s="3">
        <f t="shared" ref="F31:F33" si="16">E31-G31</f>
        <v>31</v>
      </c>
      <c r="G31" s="3">
        <f t="shared" ref="G31" si="17">COUNTIF(I31:AM31,"в")</f>
        <v>0</v>
      </c>
      <c r="H31" s="3">
        <f t="shared" ref="H31" si="18">SUM(I31:AM31)</f>
        <v>0</v>
      </c>
      <c r="I31" s="5" t="s">
        <v>234</v>
      </c>
      <c r="J31" s="5" t="s">
        <v>235</v>
      </c>
      <c r="K31" s="5" t="s">
        <v>236</v>
      </c>
      <c r="L31" s="5" t="s">
        <v>237</v>
      </c>
      <c r="M31" s="5" t="s">
        <v>238</v>
      </c>
      <c r="N31" s="5" t="s">
        <v>239</v>
      </c>
      <c r="O31" s="5" t="s">
        <v>240</v>
      </c>
      <c r="P31" s="5" t="s">
        <v>241</v>
      </c>
      <c r="Q31" s="5" t="s">
        <v>242</v>
      </c>
      <c r="R31" s="5" t="s">
        <v>243</v>
      </c>
      <c r="S31" s="5" t="s">
        <v>244</v>
      </c>
      <c r="T31" s="4" t="s">
        <v>245</v>
      </c>
      <c r="U31" s="5" t="s">
        <v>246</v>
      </c>
      <c r="V31" s="5" t="s">
        <v>247</v>
      </c>
      <c r="W31" s="5" t="s">
        <v>248</v>
      </c>
      <c r="X31" s="5" t="s">
        <v>249</v>
      </c>
      <c r="Y31" s="5" t="s">
        <v>250</v>
      </c>
      <c r="Z31" s="5" t="s">
        <v>251</v>
      </c>
      <c r="AA31" s="5" t="s">
        <v>252</v>
      </c>
      <c r="AB31" s="5" t="s">
        <v>253</v>
      </c>
      <c r="AC31" s="5" t="s">
        <v>254</v>
      </c>
      <c r="AD31" s="5" t="s">
        <v>255</v>
      </c>
      <c r="AE31" s="5" t="s">
        <v>256</v>
      </c>
      <c r="AF31" s="5" t="s">
        <v>257</v>
      </c>
      <c r="AG31" s="5" t="s">
        <v>258</v>
      </c>
      <c r="AH31" s="5" t="s">
        <v>259</v>
      </c>
      <c r="AI31" s="5" t="s">
        <v>260</v>
      </c>
      <c r="AJ31" s="5" t="s">
        <v>261</v>
      </c>
      <c r="AK31" s="5" t="s">
        <v>262</v>
      </c>
      <c r="AL31" s="5" t="s">
        <v>263</v>
      </c>
      <c r="AM31" s="5" t="s">
        <v>264</v>
      </c>
    </row>
    <row r="32" spans="1:39" x14ac:dyDescent="0.25">
      <c r="A32" s="15"/>
      <c r="B32" s="11"/>
      <c r="C32" s="3"/>
      <c r="D32" s="3"/>
      <c r="E32" s="3"/>
      <c r="F32" s="3"/>
      <c r="G32" s="3"/>
      <c r="H32" s="3"/>
      <c r="I32" s="5" t="e">
        <f>IF(MONTH(DATE($C$2,$C33,I$8))=$C33,TEXT(DATE($C$2,$C33,I$8),"ddd"),"")</f>
        <v>#VALUE!</v>
      </c>
      <c r="J32" s="5" t="e">
        <f t="shared" ref="J32:AM32" si="19">IF(MONTH(DATE($C$2,$C33,J$8))=$C33,TEXT(DATE($C$2,$C33,J$8),"ddd"),"")</f>
        <v>#VALUE!</v>
      </c>
      <c r="K32" s="5" t="e">
        <f t="shared" si="19"/>
        <v>#VALUE!</v>
      </c>
      <c r="L32" s="5" t="e">
        <f t="shared" si="19"/>
        <v>#VALUE!</v>
      </c>
      <c r="M32" s="5" t="e">
        <f t="shared" si="19"/>
        <v>#VALUE!</v>
      </c>
      <c r="N32" s="5" t="e">
        <f t="shared" si="19"/>
        <v>#VALUE!</v>
      </c>
      <c r="O32" s="5" t="e">
        <f t="shared" si="19"/>
        <v>#VALUE!</v>
      </c>
      <c r="P32" s="5" t="e">
        <f t="shared" si="19"/>
        <v>#VALUE!</v>
      </c>
      <c r="Q32" s="5" t="e">
        <f t="shared" si="19"/>
        <v>#VALUE!</v>
      </c>
      <c r="R32" s="5" t="e">
        <f t="shared" si="19"/>
        <v>#VALUE!</v>
      </c>
      <c r="S32" s="5" t="e">
        <f t="shared" si="19"/>
        <v>#VALUE!</v>
      </c>
      <c r="T32" s="5" t="e">
        <f t="shared" si="19"/>
        <v>#VALUE!</v>
      </c>
      <c r="U32" s="5" t="e">
        <f t="shared" si="19"/>
        <v>#VALUE!</v>
      </c>
      <c r="V32" s="5" t="e">
        <f t="shared" si="19"/>
        <v>#VALUE!</v>
      </c>
      <c r="W32" s="5" t="e">
        <f t="shared" si="19"/>
        <v>#VALUE!</v>
      </c>
      <c r="X32" s="5" t="e">
        <f t="shared" si="19"/>
        <v>#VALUE!</v>
      </c>
      <c r="Y32" s="5" t="e">
        <f t="shared" si="19"/>
        <v>#VALUE!</v>
      </c>
      <c r="Z32" s="5" t="e">
        <f t="shared" si="19"/>
        <v>#VALUE!</v>
      </c>
      <c r="AA32" s="5" t="e">
        <f t="shared" si="19"/>
        <v>#VALUE!</v>
      </c>
      <c r="AB32" s="5" t="e">
        <f t="shared" si="19"/>
        <v>#VALUE!</v>
      </c>
      <c r="AC32" s="5" t="e">
        <f t="shared" si="19"/>
        <v>#VALUE!</v>
      </c>
      <c r="AD32" s="5" t="e">
        <f t="shared" si="19"/>
        <v>#VALUE!</v>
      </c>
      <c r="AE32" s="5" t="e">
        <f t="shared" si="19"/>
        <v>#VALUE!</v>
      </c>
      <c r="AF32" s="5" t="e">
        <f t="shared" si="19"/>
        <v>#VALUE!</v>
      </c>
      <c r="AG32" s="5" t="e">
        <f t="shared" si="19"/>
        <v>#VALUE!</v>
      </c>
      <c r="AH32" s="5" t="e">
        <f t="shared" si="19"/>
        <v>#VALUE!</v>
      </c>
      <c r="AI32" s="5" t="e">
        <f t="shared" si="19"/>
        <v>#VALUE!</v>
      </c>
      <c r="AJ32" s="5" t="e">
        <f t="shared" si="19"/>
        <v>#VALUE!</v>
      </c>
      <c r="AK32" s="5" t="e">
        <f t="shared" si="19"/>
        <v>#VALUE!</v>
      </c>
      <c r="AL32" s="5" t="e">
        <f t="shared" si="19"/>
        <v>#VALUE!</v>
      </c>
      <c r="AM32" s="5" t="e">
        <f t="shared" si="19"/>
        <v>#VALUE!</v>
      </c>
    </row>
    <row r="33" spans="1:39" x14ac:dyDescent="0.25">
      <c r="A33" s="15"/>
      <c r="B33" s="11" t="s">
        <v>426</v>
      </c>
      <c r="C33" s="3">
        <v>9</v>
      </c>
      <c r="D33" s="3" t="e">
        <f>TEXT(DATE($C$2,C33,1),"mmmm")</f>
        <v>#VALUE!</v>
      </c>
      <c r="E33" s="3">
        <f>$AM$8-COUNTIF(I32:AM32,"")</f>
        <v>31</v>
      </c>
      <c r="F33" s="3">
        <f t="shared" si="16"/>
        <v>31</v>
      </c>
      <c r="G33" s="3">
        <f t="shared" ref="G33" si="20">COUNTIF(I33:AM33,"в")</f>
        <v>0</v>
      </c>
      <c r="H33" s="3">
        <f t="shared" ref="H33" si="21">SUM(I33:AM33)</f>
        <v>0</v>
      </c>
      <c r="I33" s="5" t="s">
        <v>265</v>
      </c>
      <c r="J33" s="5" t="s">
        <v>266</v>
      </c>
      <c r="K33" s="5" t="s">
        <v>267</v>
      </c>
      <c r="L33" s="5" t="s">
        <v>268</v>
      </c>
      <c r="M33" s="5" t="s">
        <v>269</v>
      </c>
      <c r="N33" s="5" t="s">
        <v>270</v>
      </c>
      <c r="O33" s="5" t="s">
        <v>271</v>
      </c>
      <c r="P33" s="5" t="s">
        <v>272</v>
      </c>
      <c r="Q33" s="5" t="s">
        <v>273</v>
      </c>
      <c r="R33" s="5" t="s">
        <v>274</v>
      </c>
      <c r="S33" s="5" t="s">
        <v>275</v>
      </c>
      <c r="T33" s="5" t="s">
        <v>276</v>
      </c>
      <c r="U33" s="5" t="s">
        <v>277</v>
      </c>
      <c r="V33" s="5" t="s">
        <v>278</v>
      </c>
      <c r="W33" s="5" t="s">
        <v>279</v>
      </c>
      <c r="X33" s="5" t="s">
        <v>280</v>
      </c>
      <c r="Y33" s="5" t="s">
        <v>281</v>
      </c>
      <c r="Z33" s="5" t="s">
        <v>282</v>
      </c>
      <c r="AA33" s="5" t="s">
        <v>283</v>
      </c>
      <c r="AB33" s="5" t="s">
        <v>284</v>
      </c>
      <c r="AC33" s="5" t="s">
        <v>285</v>
      </c>
      <c r="AD33" s="5" t="s">
        <v>286</v>
      </c>
      <c r="AE33" s="5" t="s">
        <v>287</v>
      </c>
      <c r="AF33" s="5" t="s">
        <v>288</v>
      </c>
      <c r="AG33" s="5" t="s">
        <v>289</v>
      </c>
      <c r="AH33" s="5" t="s">
        <v>290</v>
      </c>
      <c r="AI33" s="5" t="s">
        <v>291</v>
      </c>
      <c r="AJ33" s="5" t="s">
        <v>292</v>
      </c>
      <c r="AK33" s="5" t="s">
        <v>293</v>
      </c>
      <c r="AL33" s="5" t="s">
        <v>294</v>
      </c>
      <c r="AM33" s="5" t="s">
        <v>295</v>
      </c>
    </row>
    <row r="34" spans="1:39" x14ac:dyDescent="0.25">
      <c r="A34" s="16" t="s">
        <v>400</v>
      </c>
      <c r="B34" s="16"/>
      <c r="C34" s="16"/>
      <c r="D34" s="16"/>
      <c r="E34" s="3">
        <f>SUM(E29:E33)</f>
        <v>93</v>
      </c>
      <c r="F34" s="3">
        <f t="shared" ref="F34:H34" si="22">SUM(F29:F33)</f>
        <v>93</v>
      </c>
      <c r="G34" s="3">
        <f t="shared" si="22"/>
        <v>0</v>
      </c>
      <c r="H34" s="3">
        <f t="shared" si="22"/>
        <v>0</v>
      </c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ht="6" customHeight="1" x14ac:dyDescent="0.25">
      <c r="A35" s="3"/>
      <c r="B35" s="3"/>
      <c r="C35" s="3"/>
      <c r="D35" s="3"/>
      <c r="E35" s="3"/>
      <c r="F35" s="3"/>
      <c r="G35" s="3"/>
      <c r="H35" s="3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ht="13.5" hidden="1" customHeight="1" x14ac:dyDescent="0.25">
      <c r="A36" s="3"/>
      <c r="B36" s="3" t="s">
        <v>455</v>
      </c>
      <c r="C36" s="3">
        <v>104</v>
      </c>
      <c r="D36" s="3"/>
      <c r="E36" s="3"/>
      <c r="F36" s="3"/>
      <c r="G36" s="3"/>
      <c r="H36" s="3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x14ac:dyDescent="0.25">
      <c r="A37" s="15" t="s">
        <v>403</v>
      </c>
      <c r="B37" s="11"/>
      <c r="C37" s="3"/>
      <c r="D37" s="3"/>
      <c r="E37" s="3"/>
      <c r="F37" s="3"/>
      <c r="G37" s="3"/>
      <c r="H37" s="3"/>
      <c r="I37" s="5" t="e">
        <f>IF(MONTH(DATE($C$2,$C38,I$8))=$C38,TEXT(DATE($C$2,$C38,I$8),"ddd"),"")</f>
        <v>#VALUE!</v>
      </c>
      <c r="J37" s="5" t="e">
        <f t="shared" ref="J37:AM37" si="23">IF(MONTH(DATE($C$2,$C38,J$8))=$C38,TEXT(DATE($C$2,$C38,J$8),"ddd"),"")</f>
        <v>#VALUE!</v>
      </c>
      <c r="K37" s="5" t="e">
        <f t="shared" si="23"/>
        <v>#VALUE!</v>
      </c>
      <c r="L37" s="5" t="e">
        <f t="shared" si="23"/>
        <v>#VALUE!</v>
      </c>
      <c r="M37" s="5" t="e">
        <f t="shared" si="23"/>
        <v>#VALUE!</v>
      </c>
      <c r="N37" s="5" t="e">
        <f t="shared" si="23"/>
        <v>#VALUE!</v>
      </c>
      <c r="O37" s="5" t="e">
        <f t="shared" si="23"/>
        <v>#VALUE!</v>
      </c>
      <c r="P37" s="5" t="e">
        <f t="shared" si="23"/>
        <v>#VALUE!</v>
      </c>
      <c r="Q37" s="5" t="e">
        <f t="shared" si="23"/>
        <v>#VALUE!</v>
      </c>
      <c r="R37" s="5" t="e">
        <f t="shared" si="23"/>
        <v>#VALUE!</v>
      </c>
      <c r="S37" s="5" t="e">
        <f t="shared" si="23"/>
        <v>#VALUE!</v>
      </c>
      <c r="T37" s="5" t="e">
        <f t="shared" si="23"/>
        <v>#VALUE!</v>
      </c>
      <c r="U37" s="5" t="e">
        <f t="shared" si="23"/>
        <v>#VALUE!</v>
      </c>
      <c r="V37" s="5" t="e">
        <f t="shared" si="23"/>
        <v>#VALUE!</v>
      </c>
      <c r="W37" s="5" t="e">
        <f t="shared" si="23"/>
        <v>#VALUE!</v>
      </c>
      <c r="X37" s="5" t="e">
        <f t="shared" si="23"/>
        <v>#VALUE!</v>
      </c>
      <c r="Y37" s="5" t="e">
        <f t="shared" si="23"/>
        <v>#VALUE!</v>
      </c>
      <c r="Z37" s="5" t="e">
        <f t="shared" si="23"/>
        <v>#VALUE!</v>
      </c>
      <c r="AA37" s="5" t="e">
        <f t="shared" si="23"/>
        <v>#VALUE!</v>
      </c>
      <c r="AB37" s="5" t="e">
        <f t="shared" si="23"/>
        <v>#VALUE!</v>
      </c>
      <c r="AC37" s="5" t="e">
        <f t="shared" si="23"/>
        <v>#VALUE!</v>
      </c>
      <c r="AD37" s="5" t="e">
        <f t="shared" si="23"/>
        <v>#VALUE!</v>
      </c>
      <c r="AE37" s="5" t="e">
        <f t="shared" si="23"/>
        <v>#VALUE!</v>
      </c>
      <c r="AF37" s="5" t="e">
        <f t="shared" si="23"/>
        <v>#VALUE!</v>
      </c>
      <c r="AG37" s="5" t="e">
        <f t="shared" si="23"/>
        <v>#VALUE!</v>
      </c>
      <c r="AH37" s="5" t="e">
        <f t="shared" si="23"/>
        <v>#VALUE!</v>
      </c>
      <c r="AI37" s="5" t="e">
        <f t="shared" si="23"/>
        <v>#VALUE!</v>
      </c>
      <c r="AJ37" s="5" t="e">
        <f t="shared" si="23"/>
        <v>#VALUE!</v>
      </c>
      <c r="AK37" s="5" t="e">
        <f t="shared" si="23"/>
        <v>#VALUE!</v>
      </c>
      <c r="AL37" s="5" t="e">
        <f t="shared" si="23"/>
        <v>#VALUE!</v>
      </c>
      <c r="AM37" s="5" t="e">
        <f t="shared" si="23"/>
        <v>#VALUE!</v>
      </c>
    </row>
    <row r="38" spans="1:39" x14ac:dyDescent="0.25">
      <c r="A38" s="15"/>
      <c r="B38" s="11" t="s">
        <v>427</v>
      </c>
      <c r="C38" s="3">
        <v>10</v>
      </c>
      <c r="D38" s="3" t="e">
        <f>TEXT(DATE($C$2,C38,1),"mmmm")</f>
        <v>#VALUE!</v>
      </c>
      <c r="E38" s="3">
        <f>$AM$8-COUNTIF(I37:AM37,"")</f>
        <v>31</v>
      </c>
      <c r="F38" s="3">
        <f>E38-G38</f>
        <v>31</v>
      </c>
      <c r="G38" s="3">
        <f>COUNTIF(I38:AM38,"в")</f>
        <v>0</v>
      </c>
      <c r="H38" s="3">
        <f>SUM(I38:AM38)</f>
        <v>0</v>
      </c>
      <c r="I38" s="5" t="s">
        <v>296</v>
      </c>
      <c r="J38" s="5" t="s">
        <v>297</v>
      </c>
      <c r="K38" s="5" t="s">
        <v>298</v>
      </c>
      <c r="L38" s="5" t="s">
        <v>299</v>
      </c>
      <c r="M38" s="5" t="s">
        <v>300</v>
      </c>
      <c r="N38" s="5" t="s">
        <v>301</v>
      </c>
      <c r="O38" s="5" t="s">
        <v>302</v>
      </c>
      <c r="P38" s="5" t="s">
        <v>303</v>
      </c>
      <c r="Q38" s="5" t="s">
        <v>304</v>
      </c>
      <c r="R38" s="5" t="s">
        <v>305</v>
      </c>
      <c r="S38" s="5" t="s">
        <v>306</v>
      </c>
      <c r="T38" s="5" t="s">
        <v>307</v>
      </c>
      <c r="U38" s="5" t="s">
        <v>308</v>
      </c>
      <c r="V38" s="5" t="s">
        <v>309</v>
      </c>
      <c r="W38" s="5" t="s">
        <v>310</v>
      </c>
      <c r="X38" s="5" t="s">
        <v>311</v>
      </c>
      <c r="Y38" s="5" t="s">
        <v>312</v>
      </c>
      <c r="Z38" s="5" t="s">
        <v>313</v>
      </c>
      <c r="AA38" s="5" t="s">
        <v>314</v>
      </c>
      <c r="AB38" s="5" t="s">
        <v>315</v>
      </c>
      <c r="AC38" s="5" t="s">
        <v>316</v>
      </c>
      <c r="AD38" s="5" t="s">
        <v>317</v>
      </c>
      <c r="AE38" s="5" t="s">
        <v>318</v>
      </c>
      <c r="AF38" s="5" t="s">
        <v>319</v>
      </c>
      <c r="AG38" s="5" t="s">
        <v>320</v>
      </c>
      <c r="AH38" s="5" t="s">
        <v>321</v>
      </c>
      <c r="AI38" s="5" t="s">
        <v>322</v>
      </c>
      <c r="AJ38" s="5" t="s">
        <v>323</v>
      </c>
      <c r="AK38" s="5" t="s">
        <v>324</v>
      </c>
      <c r="AL38" s="5" t="s">
        <v>325</v>
      </c>
      <c r="AM38" s="5" t="s">
        <v>326</v>
      </c>
    </row>
    <row r="39" spans="1:39" x14ac:dyDescent="0.25">
      <c r="A39" s="15"/>
      <c r="B39" s="11"/>
      <c r="C39" s="3"/>
      <c r="D39" s="3"/>
      <c r="E39" s="3"/>
      <c r="F39" s="3"/>
      <c r="G39" s="3"/>
      <c r="H39" s="3"/>
      <c r="I39" s="5" t="e">
        <f>IF(MONTH(DATE($C$2,$C40,I$8))=$C40,TEXT(DATE($C$2,$C40,I$8),"ddd"),"")</f>
        <v>#VALUE!</v>
      </c>
      <c r="J39" s="5" t="e">
        <f t="shared" ref="J39:AM39" si="24">IF(MONTH(DATE($C$2,$C40,J$8))=$C40,TEXT(DATE($C$2,$C40,J$8),"ddd"),"")</f>
        <v>#VALUE!</v>
      </c>
      <c r="K39" s="5" t="e">
        <f t="shared" si="24"/>
        <v>#VALUE!</v>
      </c>
      <c r="L39" s="5" t="e">
        <f t="shared" si="24"/>
        <v>#VALUE!</v>
      </c>
      <c r="M39" s="5" t="e">
        <f t="shared" si="24"/>
        <v>#VALUE!</v>
      </c>
      <c r="N39" s="5" t="e">
        <f t="shared" si="24"/>
        <v>#VALUE!</v>
      </c>
      <c r="O39" s="5" t="e">
        <f t="shared" si="24"/>
        <v>#VALUE!</v>
      </c>
      <c r="P39" s="5" t="e">
        <f t="shared" si="24"/>
        <v>#VALUE!</v>
      </c>
      <c r="Q39" s="5" t="e">
        <f t="shared" si="24"/>
        <v>#VALUE!</v>
      </c>
      <c r="R39" s="5" t="e">
        <f t="shared" si="24"/>
        <v>#VALUE!</v>
      </c>
      <c r="S39" s="5" t="e">
        <f t="shared" si="24"/>
        <v>#VALUE!</v>
      </c>
      <c r="T39" s="5" t="e">
        <f t="shared" si="24"/>
        <v>#VALUE!</v>
      </c>
      <c r="U39" s="5" t="e">
        <f t="shared" si="24"/>
        <v>#VALUE!</v>
      </c>
      <c r="V39" s="5" t="e">
        <f t="shared" si="24"/>
        <v>#VALUE!</v>
      </c>
      <c r="W39" s="5" t="e">
        <f t="shared" si="24"/>
        <v>#VALUE!</v>
      </c>
      <c r="X39" s="5" t="e">
        <f t="shared" si="24"/>
        <v>#VALUE!</v>
      </c>
      <c r="Y39" s="5" t="e">
        <f t="shared" si="24"/>
        <v>#VALUE!</v>
      </c>
      <c r="Z39" s="5" t="e">
        <f t="shared" si="24"/>
        <v>#VALUE!</v>
      </c>
      <c r="AA39" s="5" t="e">
        <f t="shared" si="24"/>
        <v>#VALUE!</v>
      </c>
      <c r="AB39" s="5" t="e">
        <f t="shared" si="24"/>
        <v>#VALUE!</v>
      </c>
      <c r="AC39" s="5" t="e">
        <f t="shared" si="24"/>
        <v>#VALUE!</v>
      </c>
      <c r="AD39" s="5" t="e">
        <f t="shared" si="24"/>
        <v>#VALUE!</v>
      </c>
      <c r="AE39" s="5" t="e">
        <f t="shared" si="24"/>
        <v>#VALUE!</v>
      </c>
      <c r="AF39" s="5" t="e">
        <f t="shared" si="24"/>
        <v>#VALUE!</v>
      </c>
      <c r="AG39" s="5" t="e">
        <f t="shared" si="24"/>
        <v>#VALUE!</v>
      </c>
      <c r="AH39" s="5" t="e">
        <f t="shared" si="24"/>
        <v>#VALUE!</v>
      </c>
      <c r="AI39" s="5" t="e">
        <f t="shared" si="24"/>
        <v>#VALUE!</v>
      </c>
      <c r="AJ39" s="5" t="e">
        <f t="shared" si="24"/>
        <v>#VALUE!</v>
      </c>
      <c r="AK39" s="5" t="e">
        <f t="shared" si="24"/>
        <v>#VALUE!</v>
      </c>
      <c r="AL39" s="5" t="e">
        <f t="shared" si="24"/>
        <v>#VALUE!</v>
      </c>
      <c r="AM39" s="5" t="e">
        <f t="shared" si="24"/>
        <v>#VALUE!</v>
      </c>
    </row>
    <row r="40" spans="1:39" x14ac:dyDescent="0.25">
      <c r="A40" s="15"/>
      <c r="B40" s="11" t="s">
        <v>428</v>
      </c>
      <c r="C40" s="3">
        <v>11</v>
      </c>
      <c r="D40" s="3" t="e">
        <f>TEXT(DATE($C$2,C40,1),"mmmm")</f>
        <v>#VALUE!</v>
      </c>
      <c r="E40" s="3">
        <f>$AM$8-COUNTIF(I39:AM39,"")</f>
        <v>31</v>
      </c>
      <c r="F40" s="3">
        <f t="shared" ref="F40:F42" si="25">E40-G40</f>
        <v>31</v>
      </c>
      <c r="G40" s="3">
        <f t="shared" ref="G40" si="26">COUNTIF(I40:AM40,"в")</f>
        <v>0</v>
      </c>
      <c r="H40" s="3">
        <f t="shared" ref="H40" si="27">SUM(I40:AM40)</f>
        <v>0</v>
      </c>
      <c r="I40" s="5" t="s">
        <v>327</v>
      </c>
      <c r="J40" s="5" t="s">
        <v>328</v>
      </c>
      <c r="K40" s="5" t="s">
        <v>329</v>
      </c>
      <c r="L40" s="5" t="s">
        <v>330</v>
      </c>
      <c r="M40" s="5" t="s">
        <v>331</v>
      </c>
      <c r="N40" s="5" t="s">
        <v>332</v>
      </c>
      <c r="O40" s="5" t="s">
        <v>333</v>
      </c>
      <c r="P40" s="5" t="s">
        <v>334</v>
      </c>
      <c r="Q40" s="5" t="s">
        <v>335</v>
      </c>
      <c r="R40" s="5" t="s">
        <v>336</v>
      </c>
      <c r="S40" s="5" t="s">
        <v>337</v>
      </c>
      <c r="T40" s="5" t="s">
        <v>338</v>
      </c>
      <c r="U40" s="5" t="s">
        <v>339</v>
      </c>
      <c r="V40" s="5" t="s">
        <v>340</v>
      </c>
      <c r="W40" s="5" t="s">
        <v>341</v>
      </c>
      <c r="X40" s="5" t="s">
        <v>342</v>
      </c>
      <c r="Y40" s="5" t="s">
        <v>343</v>
      </c>
      <c r="Z40" s="5" t="s">
        <v>344</v>
      </c>
      <c r="AA40" s="5" t="s">
        <v>345</v>
      </c>
      <c r="AB40" s="5" t="s">
        <v>346</v>
      </c>
      <c r="AC40" s="5" t="s">
        <v>347</v>
      </c>
      <c r="AD40" s="5" t="s">
        <v>348</v>
      </c>
      <c r="AE40" s="5" t="s">
        <v>349</v>
      </c>
      <c r="AF40" s="5" t="s">
        <v>350</v>
      </c>
      <c r="AG40" s="5" t="s">
        <v>351</v>
      </c>
      <c r="AH40" s="5" t="s">
        <v>352</v>
      </c>
      <c r="AI40" s="5" t="s">
        <v>353</v>
      </c>
      <c r="AJ40" s="5" t="s">
        <v>354</v>
      </c>
      <c r="AK40" s="5" t="s">
        <v>355</v>
      </c>
      <c r="AL40" s="5" t="s">
        <v>356</v>
      </c>
      <c r="AM40" s="5" t="s">
        <v>357</v>
      </c>
    </row>
    <row r="41" spans="1:39" x14ac:dyDescent="0.25">
      <c r="A41" s="15"/>
      <c r="B41" s="11"/>
      <c r="C41" s="3"/>
      <c r="D41" s="3"/>
      <c r="E41" s="3"/>
      <c r="F41" s="3"/>
      <c r="G41" s="3"/>
      <c r="H41" s="3"/>
      <c r="I41" s="5" t="e">
        <f>IF(MONTH(DATE($C$2,$C42,I$8))=$C42,TEXT(DATE($C$2,$C42,I$8),"ddd"),"")</f>
        <v>#VALUE!</v>
      </c>
      <c r="J41" s="5" t="e">
        <f t="shared" ref="J41:AM41" si="28">IF(MONTH(DATE($C$2,$C42,J$8))=$C42,TEXT(DATE($C$2,$C42,J$8),"ddd"),"")</f>
        <v>#VALUE!</v>
      </c>
      <c r="K41" s="5" t="e">
        <f t="shared" si="28"/>
        <v>#VALUE!</v>
      </c>
      <c r="L41" s="5" t="e">
        <f t="shared" si="28"/>
        <v>#VALUE!</v>
      </c>
      <c r="M41" s="5" t="e">
        <f t="shared" si="28"/>
        <v>#VALUE!</v>
      </c>
      <c r="N41" s="5" t="e">
        <f t="shared" si="28"/>
        <v>#VALUE!</v>
      </c>
      <c r="O41" s="5" t="e">
        <f t="shared" si="28"/>
        <v>#VALUE!</v>
      </c>
      <c r="P41" s="5" t="e">
        <f t="shared" si="28"/>
        <v>#VALUE!</v>
      </c>
      <c r="Q41" s="5" t="e">
        <f t="shared" si="28"/>
        <v>#VALUE!</v>
      </c>
      <c r="R41" s="5" t="e">
        <f t="shared" si="28"/>
        <v>#VALUE!</v>
      </c>
      <c r="S41" s="5" t="e">
        <f t="shared" si="28"/>
        <v>#VALUE!</v>
      </c>
      <c r="T41" s="5" t="e">
        <f t="shared" si="28"/>
        <v>#VALUE!</v>
      </c>
      <c r="U41" s="5" t="e">
        <f t="shared" si="28"/>
        <v>#VALUE!</v>
      </c>
      <c r="V41" s="5" t="e">
        <f t="shared" si="28"/>
        <v>#VALUE!</v>
      </c>
      <c r="W41" s="5" t="e">
        <f t="shared" si="28"/>
        <v>#VALUE!</v>
      </c>
      <c r="X41" s="5" t="e">
        <f t="shared" si="28"/>
        <v>#VALUE!</v>
      </c>
      <c r="Y41" s="5" t="e">
        <f t="shared" si="28"/>
        <v>#VALUE!</v>
      </c>
      <c r="Z41" s="5" t="e">
        <f t="shared" si="28"/>
        <v>#VALUE!</v>
      </c>
      <c r="AA41" s="5" t="e">
        <f t="shared" si="28"/>
        <v>#VALUE!</v>
      </c>
      <c r="AB41" s="5" t="e">
        <f t="shared" si="28"/>
        <v>#VALUE!</v>
      </c>
      <c r="AC41" s="5" t="e">
        <f t="shared" si="28"/>
        <v>#VALUE!</v>
      </c>
      <c r="AD41" s="5" t="e">
        <f t="shared" si="28"/>
        <v>#VALUE!</v>
      </c>
      <c r="AE41" s="5" t="e">
        <f t="shared" si="28"/>
        <v>#VALUE!</v>
      </c>
      <c r="AF41" s="5" t="e">
        <f t="shared" si="28"/>
        <v>#VALUE!</v>
      </c>
      <c r="AG41" s="5" t="e">
        <f t="shared" si="28"/>
        <v>#VALUE!</v>
      </c>
      <c r="AH41" s="5" t="e">
        <f t="shared" si="28"/>
        <v>#VALUE!</v>
      </c>
      <c r="AI41" s="5" t="e">
        <f t="shared" si="28"/>
        <v>#VALUE!</v>
      </c>
      <c r="AJ41" s="5" t="e">
        <f t="shared" si="28"/>
        <v>#VALUE!</v>
      </c>
      <c r="AK41" s="5" t="e">
        <f t="shared" si="28"/>
        <v>#VALUE!</v>
      </c>
      <c r="AL41" s="5" t="e">
        <f t="shared" si="28"/>
        <v>#VALUE!</v>
      </c>
      <c r="AM41" s="5" t="e">
        <f t="shared" si="28"/>
        <v>#VALUE!</v>
      </c>
    </row>
    <row r="42" spans="1:39" x14ac:dyDescent="0.25">
      <c r="A42" s="15"/>
      <c r="B42" s="11" t="s">
        <v>429</v>
      </c>
      <c r="C42" s="3">
        <v>12</v>
      </c>
      <c r="D42" s="3" t="e">
        <f>TEXT(DATE($C$2,C42,1),"mmmm")</f>
        <v>#VALUE!</v>
      </c>
      <c r="E42" s="3">
        <f>$AM$8-COUNTIF(I41:AM41,"")</f>
        <v>31</v>
      </c>
      <c r="F42" s="3">
        <f t="shared" si="25"/>
        <v>31</v>
      </c>
      <c r="G42" s="3">
        <f t="shared" ref="G42" si="29">COUNTIF(I42:AM42,"в")</f>
        <v>0</v>
      </c>
      <c r="H42" s="3">
        <f t="shared" ref="H42" si="30">SUM(I42:AM42)</f>
        <v>0</v>
      </c>
      <c r="I42" s="5" t="s">
        <v>358</v>
      </c>
      <c r="J42" s="5" t="s">
        <v>359</v>
      </c>
      <c r="K42" s="5" t="s">
        <v>360</v>
      </c>
      <c r="L42" s="5" t="s">
        <v>361</v>
      </c>
      <c r="M42" s="5" t="s">
        <v>362</v>
      </c>
      <c r="N42" s="5" t="s">
        <v>363</v>
      </c>
      <c r="O42" s="5" t="s">
        <v>364</v>
      </c>
      <c r="P42" s="5" t="s">
        <v>365</v>
      </c>
      <c r="Q42" s="5" t="s">
        <v>366</v>
      </c>
      <c r="R42" s="5" t="s">
        <v>367</v>
      </c>
      <c r="S42" s="5" t="s">
        <v>368</v>
      </c>
      <c r="T42" s="5" t="s">
        <v>369</v>
      </c>
      <c r="U42" s="5" t="s">
        <v>370</v>
      </c>
      <c r="V42" s="5" t="s">
        <v>371</v>
      </c>
      <c r="W42" s="5" t="s">
        <v>372</v>
      </c>
      <c r="X42" s="5" t="s">
        <v>373</v>
      </c>
      <c r="Y42" s="5" t="s">
        <v>374</v>
      </c>
      <c r="Z42" s="5" t="s">
        <v>375</v>
      </c>
      <c r="AA42" s="5" t="s">
        <v>376</v>
      </c>
      <c r="AB42" s="5" t="s">
        <v>377</v>
      </c>
      <c r="AC42" s="5" t="s">
        <v>378</v>
      </c>
      <c r="AD42" s="5" t="s">
        <v>379</v>
      </c>
      <c r="AE42" s="5" t="s">
        <v>380</v>
      </c>
      <c r="AF42" s="5" t="s">
        <v>381</v>
      </c>
      <c r="AG42" s="5" t="s">
        <v>382</v>
      </c>
      <c r="AH42" s="5" t="s">
        <v>383</v>
      </c>
      <c r="AI42" s="5" t="s">
        <v>384</v>
      </c>
      <c r="AJ42" s="5" t="s">
        <v>385</v>
      </c>
      <c r="AK42" s="5" t="s">
        <v>386</v>
      </c>
      <c r="AL42" s="5" t="s">
        <v>387</v>
      </c>
      <c r="AM42" s="5" t="s">
        <v>388</v>
      </c>
    </row>
    <row r="43" spans="1:39" x14ac:dyDescent="0.25">
      <c r="A43" s="16" t="s">
        <v>400</v>
      </c>
      <c r="B43" s="16"/>
      <c r="C43" s="16"/>
      <c r="D43" s="16"/>
      <c r="E43" s="3">
        <f>SUM(E38:E42)</f>
        <v>93</v>
      </c>
      <c r="F43" s="3">
        <f t="shared" ref="F43:H43" si="31">SUM(F38:F42)</f>
        <v>93</v>
      </c>
      <c r="G43" s="3">
        <f t="shared" si="31"/>
        <v>0</v>
      </c>
      <c r="H43" s="3">
        <f t="shared" si="31"/>
        <v>0</v>
      </c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</row>
    <row r="44" spans="1:39" x14ac:dyDescent="0.25">
      <c r="A44" s="16" t="s">
        <v>404</v>
      </c>
      <c r="B44" s="16"/>
      <c r="C44" s="16"/>
      <c r="D44" s="16"/>
      <c r="E44" s="3">
        <f>E16+E25+E34+E43</f>
        <v>372</v>
      </c>
      <c r="F44" s="3">
        <f>F43+F25+F34+F16</f>
        <v>372</v>
      </c>
      <c r="G44" s="3">
        <f t="shared" ref="G44:H44" si="32">G43+G25+G16</f>
        <v>0</v>
      </c>
      <c r="H44" s="3">
        <f t="shared" si="32"/>
        <v>0</v>
      </c>
      <c r="J44" s="13" t="s">
        <v>405</v>
      </c>
      <c r="V44" s="22" t="s">
        <v>417</v>
      </c>
      <c r="W44" s="22"/>
      <c r="X44" s="22"/>
      <c r="Y44" s="13" t="s">
        <v>406</v>
      </c>
      <c r="AA44" s="18" t="s">
        <v>10</v>
      </c>
      <c r="AB44" s="18"/>
      <c r="AC44" s="18"/>
      <c r="AD44" s="18"/>
      <c r="AE44" s="18"/>
      <c r="AF44" s="20"/>
      <c r="AG44" s="20"/>
      <c r="AH44" s="20"/>
      <c r="AI44" s="20"/>
      <c r="AJ44" s="24" t="s">
        <v>9</v>
      </c>
      <c r="AK44" s="24"/>
      <c r="AL44" s="24"/>
      <c r="AM44" s="24"/>
    </row>
    <row r="45" spans="1:39" ht="15" customHeight="1" x14ac:dyDescent="0.25">
      <c r="J45" s="23" t="str">
        <f>CONCATENATE($H2,CHAR(10),I2,CHAR(10),$J2,CHAR(10),$K2,CHAR(10),$L2,CHAR(10),$M2,CHAR(10),$N2)</f>
        <v>day1Res
day2Res
day3Res
day4Res
day5Res
day6Res
day7Res</v>
      </c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AA45" s="18" t="s">
        <v>12</v>
      </c>
      <c r="AB45" s="18"/>
      <c r="AC45" s="18"/>
      <c r="AD45" s="18"/>
      <c r="AE45" s="18"/>
      <c r="AF45" s="20"/>
      <c r="AG45" s="20"/>
      <c r="AH45" s="20"/>
      <c r="AI45" s="20"/>
      <c r="AJ45" s="24" t="s">
        <v>11</v>
      </c>
      <c r="AK45" s="24"/>
      <c r="AL45" s="24"/>
      <c r="AM45" s="24"/>
    </row>
    <row r="46" spans="1:39" x14ac:dyDescent="0.25"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AA46" s="18" t="s">
        <v>389</v>
      </c>
      <c r="AB46" s="18"/>
      <c r="AC46" s="18"/>
      <c r="AD46" s="18"/>
      <c r="AE46" s="18"/>
      <c r="AF46" s="7"/>
      <c r="AG46" s="9"/>
      <c r="AH46" s="9"/>
      <c r="AI46" s="9"/>
      <c r="AJ46" s="24"/>
      <c r="AK46" s="24"/>
      <c r="AL46" s="24"/>
      <c r="AM46" s="24"/>
    </row>
    <row r="47" spans="1:39" x14ac:dyDescent="0.25"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AA47" s="18" t="s">
        <v>409</v>
      </c>
      <c r="AB47" s="18"/>
      <c r="AC47" s="18"/>
      <c r="AD47" s="18"/>
      <c r="AE47" s="18"/>
      <c r="AF47" s="20"/>
      <c r="AG47" s="20"/>
      <c r="AH47" s="20"/>
      <c r="AI47" s="20"/>
      <c r="AJ47" s="24" t="s">
        <v>408</v>
      </c>
      <c r="AK47" s="24"/>
      <c r="AL47" s="24"/>
      <c r="AM47" s="24"/>
    </row>
    <row r="48" spans="1:39" x14ac:dyDescent="0.25"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AG48" s="9"/>
      <c r="AH48" s="9"/>
      <c r="AI48" s="9"/>
      <c r="AJ48" s="9"/>
      <c r="AK48" s="9"/>
      <c r="AL48" s="9"/>
      <c r="AM48" s="9"/>
    </row>
    <row r="52" spans="3:3" hidden="1" x14ac:dyDescent="0.25">
      <c r="C52" t="s">
        <v>430</v>
      </c>
    </row>
  </sheetData>
  <mergeCells count="47">
    <mergeCell ref="A34:D34"/>
    <mergeCell ref="I34:AM34"/>
    <mergeCell ref="I35:AM35"/>
    <mergeCell ref="A37:A42"/>
    <mergeCell ref="A28:A33"/>
    <mergeCell ref="A43:D43"/>
    <mergeCell ref="A44:D44"/>
    <mergeCell ref="AA46:AE46"/>
    <mergeCell ref="AA44:AE44"/>
    <mergeCell ref="AA45:AE45"/>
    <mergeCell ref="AA47:AE47"/>
    <mergeCell ref="V44:X44"/>
    <mergeCell ref="J45:Y48"/>
    <mergeCell ref="H7:H8"/>
    <mergeCell ref="I7:AM7"/>
    <mergeCell ref="I17:AM17"/>
    <mergeCell ref="I26:AM26"/>
    <mergeCell ref="AF45:AI45"/>
    <mergeCell ref="AF47:AI47"/>
    <mergeCell ref="AJ44:AM44"/>
    <mergeCell ref="AJ45:AM45"/>
    <mergeCell ref="AJ46:AM46"/>
    <mergeCell ref="AJ47:AM47"/>
    <mergeCell ref="AF44:AI44"/>
    <mergeCell ref="A16:D16"/>
    <mergeCell ref="I16:AM16"/>
    <mergeCell ref="A7:A8"/>
    <mergeCell ref="C7:C8"/>
    <mergeCell ref="D7:D8"/>
    <mergeCell ref="E7:E8"/>
    <mergeCell ref="F7:F8"/>
    <mergeCell ref="A19:A24"/>
    <mergeCell ref="A25:D25"/>
    <mergeCell ref="I25:AM25"/>
    <mergeCell ref="C3:F3"/>
    <mergeCell ref="H6:Z6"/>
    <mergeCell ref="D4:I4"/>
    <mergeCell ref="AE3:AM3"/>
    <mergeCell ref="AE4:AM4"/>
    <mergeCell ref="AH5:AM5"/>
    <mergeCell ref="AE5:AG5"/>
    <mergeCell ref="E5:I5"/>
    <mergeCell ref="J3:AC3"/>
    <mergeCell ref="J4:AC4"/>
    <mergeCell ref="J5:AC5"/>
    <mergeCell ref="G7:G8"/>
    <mergeCell ref="A10:A1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837</vt:i4>
      </vt:variant>
    </vt:vector>
  </HeadingPairs>
  <TitlesOfParts>
    <vt:vector size="841" baseType="lpstr">
      <vt:lpstr>Gal_TblSheet</vt:lpstr>
      <vt:lpstr>Gal_VarSheet</vt:lpstr>
      <vt:lpstr>Отчет</vt:lpstr>
      <vt:lpstr>Лист1</vt:lpstr>
      <vt:lpstr>Gal_TblSheet!GalDBTbl_tblGraphics</vt:lpstr>
      <vt:lpstr>Gal_TblSheet!GalDBTblFld_day1Res</vt:lpstr>
      <vt:lpstr>Gal_TblSheet!GalDBTblFld_day2Res</vt:lpstr>
      <vt:lpstr>Gal_TblSheet!GalDBTblFld_day3Res</vt:lpstr>
      <vt:lpstr>Gal_TblSheet!GalDBTblFld_day4Res</vt:lpstr>
      <vt:lpstr>Gal_TblSheet!GalDBTblFld_day5Res</vt:lpstr>
      <vt:lpstr>Gal_TblSheet!GalDBTblFld_day6Res</vt:lpstr>
      <vt:lpstr>Gal_TblSheet!GalDBTblFld_day7Res</vt:lpstr>
      <vt:lpstr>Gal_TblSheet!GalDBTblFld_M1_Arr1N</vt:lpstr>
      <vt:lpstr>Gal_TblSheet!GalDBTblFld_M10_Arr1N</vt:lpstr>
      <vt:lpstr>Gal_TblSheet!GalDBTblFld_M10D1</vt:lpstr>
      <vt:lpstr>Gal_TblSheet!GalDBTblFld_M10D10</vt:lpstr>
      <vt:lpstr>Gal_TblSheet!GalDBTblFld_M10D11</vt:lpstr>
      <vt:lpstr>Gal_TblSheet!GalDBTblFld_M10D12</vt:lpstr>
      <vt:lpstr>Gal_TblSheet!GalDBTblFld_M10D13</vt:lpstr>
      <vt:lpstr>Gal_TblSheet!GalDBTblFld_M10D14</vt:lpstr>
      <vt:lpstr>Gal_TblSheet!GalDBTblFld_M10D15</vt:lpstr>
      <vt:lpstr>Gal_TblSheet!GalDBTblFld_M10D16</vt:lpstr>
      <vt:lpstr>Gal_TblSheet!GalDBTblFld_M10D17</vt:lpstr>
      <vt:lpstr>Gal_TblSheet!GalDBTblFld_M10D18</vt:lpstr>
      <vt:lpstr>Gal_TblSheet!GalDBTblFld_M10D19</vt:lpstr>
      <vt:lpstr>Gal_TblSheet!GalDBTblFld_M10D2</vt:lpstr>
      <vt:lpstr>Gal_TblSheet!GalDBTblFld_M10D20</vt:lpstr>
      <vt:lpstr>Gal_TblSheet!GalDBTblFld_M10D21</vt:lpstr>
      <vt:lpstr>Gal_TblSheet!GalDBTblFld_M10D22</vt:lpstr>
      <vt:lpstr>Gal_TblSheet!GalDBTblFld_M10D23</vt:lpstr>
      <vt:lpstr>Gal_TblSheet!GalDBTblFld_M10D24</vt:lpstr>
      <vt:lpstr>Gal_TblSheet!GalDBTblFld_M10D25</vt:lpstr>
      <vt:lpstr>Gal_TblSheet!GalDBTblFld_M10D26</vt:lpstr>
      <vt:lpstr>Gal_TblSheet!GalDBTblFld_M10D27</vt:lpstr>
      <vt:lpstr>Gal_TblSheet!GalDBTblFld_M10D28</vt:lpstr>
      <vt:lpstr>Gal_TblSheet!GalDBTblFld_M10D29</vt:lpstr>
      <vt:lpstr>Gal_TblSheet!GalDBTblFld_M10D3</vt:lpstr>
      <vt:lpstr>Gal_TblSheet!GalDBTblFld_M10D30</vt:lpstr>
      <vt:lpstr>Gal_TblSheet!GalDBTblFld_M10D31</vt:lpstr>
      <vt:lpstr>Gal_TblSheet!GalDBTblFld_M10D4</vt:lpstr>
      <vt:lpstr>Gal_TblSheet!GalDBTblFld_M10D5</vt:lpstr>
      <vt:lpstr>Gal_TblSheet!GalDBTblFld_M10D6</vt:lpstr>
      <vt:lpstr>Gal_TblSheet!GalDBTblFld_M10D7</vt:lpstr>
      <vt:lpstr>Gal_TblSheet!GalDBTblFld_M10D8</vt:lpstr>
      <vt:lpstr>Gal_TblSheet!GalDBTblFld_M10D9</vt:lpstr>
      <vt:lpstr>Gal_TblSheet!GalDBTblFld_M10Visible</vt:lpstr>
      <vt:lpstr>Gal_TblSheet!GalDBTblFld_M11_Arr1N</vt:lpstr>
      <vt:lpstr>Gal_TblSheet!GalDBTblFld_M11D1</vt:lpstr>
      <vt:lpstr>Gal_TblSheet!GalDBTblFld_M11D10</vt:lpstr>
      <vt:lpstr>Gal_TblSheet!GalDBTblFld_M11D11</vt:lpstr>
      <vt:lpstr>Gal_TblSheet!GalDBTblFld_M11D12</vt:lpstr>
      <vt:lpstr>Gal_TblSheet!GalDBTblFld_M11D13</vt:lpstr>
      <vt:lpstr>Gal_TblSheet!GalDBTblFld_M11D14</vt:lpstr>
      <vt:lpstr>Gal_TblSheet!GalDBTblFld_M11D15</vt:lpstr>
      <vt:lpstr>Gal_TblSheet!GalDBTblFld_M11D16</vt:lpstr>
      <vt:lpstr>Gal_TblSheet!GalDBTblFld_M11D17</vt:lpstr>
      <vt:lpstr>Gal_TblSheet!GalDBTblFld_M11D18</vt:lpstr>
      <vt:lpstr>Gal_TblSheet!GalDBTblFld_M11D19</vt:lpstr>
      <vt:lpstr>Gal_TblSheet!GalDBTblFld_M11D2</vt:lpstr>
      <vt:lpstr>Gal_TblSheet!GalDBTblFld_M11D20</vt:lpstr>
      <vt:lpstr>Gal_TblSheet!GalDBTblFld_M11D21</vt:lpstr>
      <vt:lpstr>Gal_TblSheet!GalDBTblFld_M11D22</vt:lpstr>
      <vt:lpstr>Gal_TblSheet!GalDBTblFld_M11D23</vt:lpstr>
      <vt:lpstr>Gal_TblSheet!GalDBTblFld_M11D24</vt:lpstr>
      <vt:lpstr>Gal_TblSheet!GalDBTblFld_M11D25</vt:lpstr>
      <vt:lpstr>Gal_TblSheet!GalDBTblFld_M11D26</vt:lpstr>
      <vt:lpstr>Gal_TblSheet!GalDBTblFld_M11D27</vt:lpstr>
      <vt:lpstr>Gal_TblSheet!GalDBTblFld_M11D28</vt:lpstr>
      <vt:lpstr>Gal_TblSheet!GalDBTblFld_M11D29</vt:lpstr>
      <vt:lpstr>Gal_TblSheet!GalDBTblFld_M11D3</vt:lpstr>
      <vt:lpstr>Gal_TblSheet!GalDBTblFld_M11D30</vt:lpstr>
      <vt:lpstr>Gal_TblSheet!GalDBTblFld_M11D31</vt:lpstr>
      <vt:lpstr>Gal_TblSheet!GalDBTblFld_M11D4</vt:lpstr>
      <vt:lpstr>Gal_TblSheet!GalDBTblFld_M11D5</vt:lpstr>
      <vt:lpstr>Gal_TblSheet!GalDBTblFld_M11D6</vt:lpstr>
      <vt:lpstr>Gal_TblSheet!GalDBTblFld_M11D7</vt:lpstr>
      <vt:lpstr>Gal_TblSheet!GalDBTblFld_M11D8</vt:lpstr>
      <vt:lpstr>Gal_TblSheet!GalDBTblFld_M11D9</vt:lpstr>
      <vt:lpstr>Gal_TblSheet!GalDBTblFld_M11Visible</vt:lpstr>
      <vt:lpstr>Gal_TblSheet!GalDBTblFld_M12_Arr1N</vt:lpstr>
      <vt:lpstr>Gal_TblSheet!GalDBTblFld_M12D1</vt:lpstr>
      <vt:lpstr>Gal_TblSheet!GalDBTblFld_M12D10</vt:lpstr>
      <vt:lpstr>Gal_TblSheet!GalDBTblFld_M12D11</vt:lpstr>
      <vt:lpstr>Gal_TblSheet!GalDBTblFld_M12D12</vt:lpstr>
      <vt:lpstr>Gal_TblSheet!GalDBTblFld_M12D13</vt:lpstr>
      <vt:lpstr>Gal_TblSheet!GalDBTblFld_M12D14</vt:lpstr>
      <vt:lpstr>Gal_TblSheet!GalDBTblFld_M12D15</vt:lpstr>
      <vt:lpstr>Gal_TblSheet!GalDBTblFld_M12D16</vt:lpstr>
      <vt:lpstr>Gal_TblSheet!GalDBTblFld_M12D17</vt:lpstr>
      <vt:lpstr>Gal_TblSheet!GalDBTblFld_M12D18</vt:lpstr>
      <vt:lpstr>Gal_TblSheet!GalDBTblFld_M12D19</vt:lpstr>
      <vt:lpstr>Gal_TblSheet!GalDBTblFld_M12D2</vt:lpstr>
      <vt:lpstr>Gal_TblSheet!GalDBTblFld_M12D20</vt:lpstr>
      <vt:lpstr>Gal_TblSheet!GalDBTblFld_M12D21</vt:lpstr>
      <vt:lpstr>Gal_TblSheet!GalDBTblFld_M12D22</vt:lpstr>
      <vt:lpstr>Gal_TblSheet!GalDBTblFld_M12D23</vt:lpstr>
      <vt:lpstr>Gal_TblSheet!GalDBTblFld_M12D24</vt:lpstr>
      <vt:lpstr>Gal_TblSheet!GalDBTblFld_M12D25</vt:lpstr>
      <vt:lpstr>Gal_TblSheet!GalDBTblFld_M12D26</vt:lpstr>
      <vt:lpstr>Gal_TblSheet!GalDBTblFld_M12D27</vt:lpstr>
      <vt:lpstr>Gal_TblSheet!GalDBTblFld_M12D28</vt:lpstr>
      <vt:lpstr>Gal_TblSheet!GalDBTblFld_M12D29</vt:lpstr>
      <vt:lpstr>Gal_TblSheet!GalDBTblFld_M12D3</vt:lpstr>
      <vt:lpstr>Gal_TblSheet!GalDBTblFld_M12D30</vt:lpstr>
      <vt:lpstr>Gal_TblSheet!GalDBTblFld_M12D31</vt:lpstr>
      <vt:lpstr>Gal_TblSheet!GalDBTblFld_M12D4</vt:lpstr>
      <vt:lpstr>Gal_TblSheet!GalDBTblFld_M12D5</vt:lpstr>
      <vt:lpstr>Gal_TblSheet!GalDBTblFld_M12D6</vt:lpstr>
      <vt:lpstr>Gal_TblSheet!GalDBTblFld_M12D7</vt:lpstr>
      <vt:lpstr>Gal_TblSheet!GalDBTblFld_M12D8</vt:lpstr>
      <vt:lpstr>Gal_TblSheet!GalDBTblFld_M12D9</vt:lpstr>
      <vt:lpstr>Gal_TblSheet!GalDBTblFld_M12Visible</vt:lpstr>
      <vt:lpstr>Gal_TblSheet!GalDBTblFld_M1D1</vt:lpstr>
      <vt:lpstr>Gal_TblSheet!GalDBTblFld_M1D10</vt:lpstr>
      <vt:lpstr>Gal_TblSheet!GalDBTblFld_M1D11</vt:lpstr>
      <vt:lpstr>Gal_TblSheet!GalDBTblFld_M1D12</vt:lpstr>
      <vt:lpstr>Gal_TblSheet!GalDBTblFld_M1D13</vt:lpstr>
      <vt:lpstr>Gal_TblSheet!GalDBTblFld_M1D14</vt:lpstr>
      <vt:lpstr>Gal_TblSheet!GalDBTblFld_M1D15</vt:lpstr>
      <vt:lpstr>Gal_TblSheet!GalDBTblFld_M1D16</vt:lpstr>
      <vt:lpstr>Gal_TblSheet!GalDBTblFld_M1D17</vt:lpstr>
      <vt:lpstr>Gal_TblSheet!GalDBTblFld_M1D18</vt:lpstr>
      <vt:lpstr>Gal_TblSheet!GalDBTblFld_M1D19</vt:lpstr>
      <vt:lpstr>Gal_TblSheet!GalDBTblFld_M1D2</vt:lpstr>
      <vt:lpstr>Gal_TblSheet!GalDBTblFld_M1D20</vt:lpstr>
      <vt:lpstr>Gal_TblSheet!GalDBTblFld_M1D21</vt:lpstr>
      <vt:lpstr>Gal_TblSheet!GalDBTblFld_M1D22</vt:lpstr>
      <vt:lpstr>Gal_TblSheet!GalDBTblFld_M1D23</vt:lpstr>
      <vt:lpstr>Gal_TblSheet!GalDBTblFld_M1D24</vt:lpstr>
      <vt:lpstr>Gal_TblSheet!GalDBTblFld_M1D25</vt:lpstr>
      <vt:lpstr>Gal_TblSheet!GalDBTblFld_M1D26</vt:lpstr>
      <vt:lpstr>Gal_TblSheet!GalDBTblFld_M1D27</vt:lpstr>
      <vt:lpstr>Gal_TblSheet!GalDBTblFld_M1D28</vt:lpstr>
      <vt:lpstr>Gal_TblSheet!GalDBTblFld_M1D29</vt:lpstr>
      <vt:lpstr>Gal_TblSheet!GalDBTblFld_M1D3</vt:lpstr>
      <vt:lpstr>Gal_TblSheet!GalDBTblFld_M1D30</vt:lpstr>
      <vt:lpstr>Gal_TblSheet!GalDBTblFld_M1D31</vt:lpstr>
      <vt:lpstr>Gal_TblSheet!GalDBTblFld_M1D4</vt:lpstr>
      <vt:lpstr>Gal_TblSheet!GalDBTblFld_M1D5</vt:lpstr>
      <vt:lpstr>Gal_TblSheet!GalDBTblFld_M1D6</vt:lpstr>
      <vt:lpstr>Gal_TblSheet!GalDBTblFld_M1D7</vt:lpstr>
      <vt:lpstr>Gal_TblSheet!GalDBTblFld_M1D8</vt:lpstr>
      <vt:lpstr>Gal_TblSheet!GalDBTblFld_M1D9</vt:lpstr>
      <vt:lpstr>Gal_TblSheet!GalDBTblFld_M1Visible</vt:lpstr>
      <vt:lpstr>Gal_TblSheet!GalDBTblFld_M2_Arr1N</vt:lpstr>
      <vt:lpstr>Gal_TblSheet!GalDBTblFld_M2D1</vt:lpstr>
      <vt:lpstr>Gal_TblSheet!GalDBTblFld_M2D10</vt:lpstr>
      <vt:lpstr>Gal_TblSheet!GalDBTblFld_M2D11</vt:lpstr>
      <vt:lpstr>Gal_TblSheet!GalDBTblFld_M2D12</vt:lpstr>
      <vt:lpstr>Gal_TblSheet!GalDBTblFld_M2D13</vt:lpstr>
      <vt:lpstr>Gal_TblSheet!GalDBTblFld_M2D14</vt:lpstr>
      <vt:lpstr>Gal_TblSheet!GalDBTblFld_M2D15</vt:lpstr>
      <vt:lpstr>Gal_TblSheet!GalDBTblFld_M2D16</vt:lpstr>
      <vt:lpstr>Gal_TblSheet!GalDBTblFld_M2D17</vt:lpstr>
      <vt:lpstr>Gal_TblSheet!GalDBTblFld_M2D18</vt:lpstr>
      <vt:lpstr>Gal_TblSheet!GalDBTblFld_M2D19</vt:lpstr>
      <vt:lpstr>Gal_TblSheet!GalDBTblFld_M2D2</vt:lpstr>
      <vt:lpstr>Gal_TblSheet!GalDBTblFld_M2D20</vt:lpstr>
      <vt:lpstr>Gal_TblSheet!GalDBTblFld_M2D21</vt:lpstr>
      <vt:lpstr>Gal_TblSheet!GalDBTblFld_M2D22</vt:lpstr>
      <vt:lpstr>Gal_TblSheet!GalDBTblFld_M2D23</vt:lpstr>
      <vt:lpstr>Gal_TblSheet!GalDBTblFld_M2D24</vt:lpstr>
      <vt:lpstr>Gal_TblSheet!GalDBTblFld_M2D25</vt:lpstr>
      <vt:lpstr>Gal_TblSheet!GalDBTblFld_M2D26</vt:lpstr>
      <vt:lpstr>Gal_TblSheet!GalDBTblFld_M2D27</vt:lpstr>
      <vt:lpstr>Gal_TblSheet!GalDBTblFld_M2D28</vt:lpstr>
      <vt:lpstr>Gal_TblSheet!GalDBTblFld_M2D29</vt:lpstr>
      <vt:lpstr>Gal_TblSheet!GalDBTblFld_M2D3</vt:lpstr>
      <vt:lpstr>Gal_TblSheet!GalDBTblFld_M2D30</vt:lpstr>
      <vt:lpstr>Gal_TblSheet!GalDBTblFld_M2D31</vt:lpstr>
      <vt:lpstr>Gal_TblSheet!GalDBTblFld_M2D4</vt:lpstr>
      <vt:lpstr>Gal_TblSheet!GalDBTblFld_M2D5</vt:lpstr>
      <vt:lpstr>Gal_TblSheet!GalDBTblFld_M2D6</vt:lpstr>
      <vt:lpstr>Gal_TblSheet!GalDBTblFld_M2D7</vt:lpstr>
      <vt:lpstr>Gal_TblSheet!GalDBTblFld_M2D8</vt:lpstr>
      <vt:lpstr>Gal_TblSheet!GalDBTblFld_M2D9</vt:lpstr>
      <vt:lpstr>Gal_TblSheet!GalDBTblFld_M2Visible</vt:lpstr>
      <vt:lpstr>Gal_TblSheet!GalDBTblFld_M3_Arr1N</vt:lpstr>
      <vt:lpstr>Gal_TblSheet!GalDBTblFld_M3D1</vt:lpstr>
      <vt:lpstr>Gal_TblSheet!GalDBTblFld_M3D10</vt:lpstr>
      <vt:lpstr>Gal_TblSheet!GalDBTblFld_M3D11</vt:lpstr>
      <vt:lpstr>Gal_TblSheet!GalDBTblFld_M3D12</vt:lpstr>
      <vt:lpstr>Gal_TblSheet!GalDBTblFld_M3D13</vt:lpstr>
      <vt:lpstr>Gal_TblSheet!GalDBTblFld_M3D14</vt:lpstr>
      <vt:lpstr>Gal_TblSheet!GalDBTblFld_M3D15</vt:lpstr>
      <vt:lpstr>Gal_TblSheet!GalDBTblFld_M3D16</vt:lpstr>
      <vt:lpstr>Gal_TblSheet!GalDBTblFld_M3D17</vt:lpstr>
      <vt:lpstr>Gal_TblSheet!GalDBTblFld_M3D18</vt:lpstr>
      <vt:lpstr>Gal_TblSheet!GalDBTblFld_M3D19</vt:lpstr>
      <vt:lpstr>Gal_TblSheet!GalDBTblFld_M3D2</vt:lpstr>
      <vt:lpstr>Gal_TblSheet!GalDBTblFld_M3D20</vt:lpstr>
      <vt:lpstr>Gal_TblSheet!GalDBTblFld_M3D21</vt:lpstr>
      <vt:lpstr>Gal_TblSheet!GalDBTblFld_M3D22</vt:lpstr>
      <vt:lpstr>Gal_TblSheet!GalDBTblFld_M3D23</vt:lpstr>
      <vt:lpstr>Gal_TblSheet!GalDBTblFld_M3D24</vt:lpstr>
      <vt:lpstr>Gal_TblSheet!GalDBTblFld_M3D25</vt:lpstr>
      <vt:lpstr>Gal_TblSheet!GalDBTblFld_M3D26</vt:lpstr>
      <vt:lpstr>Gal_TblSheet!GalDBTblFld_M3D27</vt:lpstr>
      <vt:lpstr>Gal_TblSheet!GalDBTblFld_M3D28</vt:lpstr>
      <vt:lpstr>Gal_TblSheet!GalDBTblFld_M3D29</vt:lpstr>
      <vt:lpstr>Gal_TblSheet!GalDBTblFld_M3D3</vt:lpstr>
      <vt:lpstr>Gal_TblSheet!GalDBTblFld_M3D30</vt:lpstr>
      <vt:lpstr>Gal_TblSheet!GalDBTblFld_M3D31</vt:lpstr>
      <vt:lpstr>Gal_TblSheet!GalDBTblFld_M3D4</vt:lpstr>
      <vt:lpstr>Gal_TblSheet!GalDBTblFld_M3D5</vt:lpstr>
      <vt:lpstr>Gal_TblSheet!GalDBTblFld_M3D6</vt:lpstr>
      <vt:lpstr>Gal_TblSheet!GalDBTblFld_M3D7</vt:lpstr>
      <vt:lpstr>Gal_TblSheet!GalDBTblFld_M3D8</vt:lpstr>
      <vt:lpstr>Gal_TblSheet!GalDBTblFld_M3D9</vt:lpstr>
      <vt:lpstr>Gal_TblSheet!GalDBTblFld_M3Visible</vt:lpstr>
      <vt:lpstr>Gal_TblSheet!GalDBTblFld_M4_Arr1N</vt:lpstr>
      <vt:lpstr>Gal_TblSheet!GalDBTblFld_M4D1</vt:lpstr>
      <vt:lpstr>Gal_TblSheet!GalDBTblFld_M4D10</vt:lpstr>
      <vt:lpstr>Gal_TblSheet!GalDBTblFld_M4D11</vt:lpstr>
      <vt:lpstr>Gal_TblSheet!GalDBTblFld_M4D12</vt:lpstr>
      <vt:lpstr>Gal_TblSheet!GalDBTblFld_M4D13</vt:lpstr>
      <vt:lpstr>Gal_TblSheet!GalDBTblFld_M4D14</vt:lpstr>
      <vt:lpstr>Gal_TblSheet!GalDBTblFld_M4D15</vt:lpstr>
      <vt:lpstr>Gal_TblSheet!GalDBTblFld_M4D16</vt:lpstr>
      <vt:lpstr>Gal_TblSheet!GalDBTblFld_M4D17</vt:lpstr>
      <vt:lpstr>Gal_TblSheet!GalDBTblFld_M4D18</vt:lpstr>
      <vt:lpstr>Gal_TblSheet!GalDBTblFld_M4D19</vt:lpstr>
      <vt:lpstr>Gal_TblSheet!GalDBTblFld_M4D2</vt:lpstr>
      <vt:lpstr>Gal_TblSheet!GalDBTblFld_M4D20</vt:lpstr>
      <vt:lpstr>Gal_TblSheet!GalDBTblFld_M4D21</vt:lpstr>
      <vt:lpstr>Gal_TblSheet!GalDBTblFld_M4D22</vt:lpstr>
      <vt:lpstr>Gal_TblSheet!GalDBTblFld_M4D23</vt:lpstr>
      <vt:lpstr>Gal_TblSheet!GalDBTblFld_M4D24</vt:lpstr>
      <vt:lpstr>Gal_TblSheet!GalDBTblFld_M4D25</vt:lpstr>
      <vt:lpstr>Gal_TblSheet!GalDBTblFld_M4D26</vt:lpstr>
      <vt:lpstr>Gal_TblSheet!GalDBTblFld_M4D27</vt:lpstr>
      <vt:lpstr>Gal_TblSheet!GalDBTblFld_M4D28</vt:lpstr>
      <vt:lpstr>Gal_TblSheet!GalDBTblFld_M4D29</vt:lpstr>
      <vt:lpstr>Gal_TblSheet!GalDBTblFld_M4D3</vt:lpstr>
      <vt:lpstr>Gal_TblSheet!GalDBTblFld_M4D30</vt:lpstr>
      <vt:lpstr>Gal_TblSheet!GalDBTblFld_M4D31</vt:lpstr>
      <vt:lpstr>Gal_TblSheet!GalDBTblFld_M4D4</vt:lpstr>
      <vt:lpstr>Gal_TblSheet!GalDBTblFld_M4D5</vt:lpstr>
      <vt:lpstr>Gal_TblSheet!GalDBTblFld_M4D6</vt:lpstr>
      <vt:lpstr>Gal_TblSheet!GalDBTblFld_M4D7</vt:lpstr>
      <vt:lpstr>Gal_TblSheet!GalDBTblFld_M4D8</vt:lpstr>
      <vt:lpstr>Gal_TblSheet!GalDBTblFld_M4D9</vt:lpstr>
      <vt:lpstr>Gal_TblSheet!GalDBTblFld_M4Visible</vt:lpstr>
      <vt:lpstr>Gal_TblSheet!GalDBTblFld_M5_Arr1N</vt:lpstr>
      <vt:lpstr>Gal_TblSheet!GalDBTblFld_M5D1</vt:lpstr>
      <vt:lpstr>Gal_TblSheet!GalDBTblFld_M5D10</vt:lpstr>
      <vt:lpstr>Gal_TblSheet!GalDBTblFld_M5D11</vt:lpstr>
      <vt:lpstr>Gal_TblSheet!GalDBTblFld_M5D12</vt:lpstr>
      <vt:lpstr>Gal_TblSheet!GalDBTblFld_M5D13</vt:lpstr>
      <vt:lpstr>Gal_TblSheet!GalDBTblFld_M5D14</vt:lpstr>
      <vt:lpstr>Gal_TblSheet!GalDBTblFld_M5D15</vt:lpstr>
      <vt:lpstr>Gal_TblSheet!GalDBTblFld_M5D16</vt:lpstr>
      <vt:lpstr>Gal_TblSheet!GalDBTblFld_M5D17</vt:lpstr>
      <vt:lpstr>Gal_TblSheet!GalDBTblFld_M5D18</vt:lpstr>
      <vt:lpstr>Gal_TblSheet!GalDBTblFld_M5D19</vt:lpstr>
      <vt:lpstr>Gal_TblSheet!GalDBTblFld_M5D2</vt:lpstr>
      <vt:lpstr>Gal_TblSheet!GalDBTblFld_M5D20</vt:lpstr>
      <vt:lpstr>Gal_TblSheet!GalDBTblFld_M5D21</vt:lpstr>
      <vt:lpstr>Gal_TblSheet!GalDBTblFld_M5D22</vt:lpstr>
      <vt:lpstr>Gal_TblSheet!GalDBTblFld_M5D23</vt:lpstr>
      <vt:lpstr>Gal_TblSheet!GalDBTblFld_M5D24</vt:lpstr>
      <vt:lpstr>Gal_TblSheet!GalDBTblFld_M5D25</vt:lpstr>
      <vt:lpstr>Gal_TblSheet!GalDBTblFld_M5D26</vt:lpstr>
      <vt:lpstr>Gal_TblSheet!GalDBTblFld_M5D27</vt:lpstr>
      <vt:lpstr>Gal_TblSheet!GalDBTblFld_M5D28</vt:lpstr>
      <vt:lpstr>Gal_TblSheet!GalDBTblFld_M5D29</vt:lpstr>
      <vt:lpstr>Gal_TblSheet!GalDBTblFld_M5D3</vt:lpstr>
      <vt:lpstr>Gal_TblSheet!GalDBTblFld_M5D30</vt:lpstr>
      <vt:lpstr>Gal_TblSheet!GalDBTblFld_M5D31</vt:lpstr>
      <vt:lpstr>Gal_TblSheet!GalDBTblFld_M5D4</vt:lpstr>
      <vt:lpstr>Gal_TblSheet!GalDBTblFld_M5D5</vt:lpstr>
      <vt:lpstr>Gal_TblSheet!GalDBTblFld_M5D6</vt:lpstr>
      <vt:lpstr>Gal_TblSheet!GalDBTblFld_M5D7</vt:lpstr>
      <vt:lpstr>Gal_TblSheet!GalDBTblFld_M5D8</vt:lpstr>
      <vt:lpstr>Gal_TblSheet!GalDBTblFld_M5D9</vt:lpstr>
      <vt:lpstr>Gal_TblSheet!GalDBTblFld_M5Visible</vt:lpstr>
      <vt:lpstr>Gal_TblSheet!GalDBTblFld_M6_Arr1N</vt:lpstr>
      <vt:lpstr>Gal_TblSheet!GalDBTblFld_M6D1</vt:lpstr>
      <vt:lpstr>Gal_TblSheet!GalDBTblFld_M6D10</vt:lpstr>
      <vt:lpstr>Gal_TblSheet!GalDBTblFld_M6D11</vt:lpstr>
      <vt:lpstr>Gal_TblSheet!GalDBTblFld_M6D12</vt:lpstr>
      <vt:lpstr>Gal_TblSheet!GalDBTblFld_M6D13</vt:lpstr>
      <vt:lpstr>Gal_TblSheet!GalDBTblFld_M6D14</vt:lpstr>
      <vt:lpstr>Gal_TblSheet!GalDBTblFld_M6D15</vt:lpstr>
      <vt:lpstr>Gal_TblSheet!GalDBTblFld_M6D16</vt:lpstr>
      <vt:lpstr>Gal_TblSheet!GalDBTblFld_M6D17</vt:lpstr>
      <vt:lpstr>Gal_TblSheet!GalDBTblFld_M6D18</vt:lpstr>
      <vt:lpstr>Gal_TblSheet!GalDBTblFld_M6D19</vt:lpstr>
      <vt:lpstr>Gal_TblSheet!GalDBTblFld_M6D2</vt:lpstr>
      <vt:lpstr>Gal_TblSheet!GalDBTblFld_M6D20</vt:lpstr>
      <vt:lpstr>Gal_TblSheet!GalDBTblFld_M6D21</vt:lpstr>
      <vt:lpstr>Gal_TblSheet!GalDBTblFld_M6D22</vt:lpstr>
      <vt:lpstr>Gal_TblSheet!GalDBTblFld_M6D23</vt:lpstr>
      <vt:lpstr>Gal_TblSheet!GalDBTblFld_M6D24</vt:lpstr>
      <vt:lpstr>Gal_TblSheet!GalDBTblFld_M6D25</vt:lpstr>
      <vt:lpstr>Gal_TblSheet!GalDBTblFld_M6D26</vt:lpstr>
      <vt:lpstr>Gal_TblSheet!GalDBTblFld_M6D27</vt:lpstr>
      <vt:lpstr>Gal_TblSheet!GalDBTblFld_M6D28</vt:lpstr>
      <vt:lpstr>Gal_TblSheet!GalDBTblFld_M6D29</vt:lpstr>
      <vt:lpstr>Gal_TblSheet!GalDBTblFld_M6D3</vt:lpstr>
      <vt:lpstr>Gal_TblSheet!GalDBTblFld_M6D30</vt:lpstr>
      <vt:lpstr>Gal_TblSheet!GalDBTblFld_M6D31</vt:lpstr>
      <vt:lpstr>Gal_TblSheet!GalDBTblFld_M6D4</vt:lpstr>
      <vt:lpstr>Gal_TblSheet!GalDBTblFld_M6D5</vt:lpstr>
      <vt:lpstr>Gal_TblSheet!GalDBTblFld_M6D6</vt:lpstr>
      <vt:lpstr>Gal_TblSheet!GalDBTblFld_M6D7</vt:lpstr>
      <vt:lpstr>Gal_TblSheet!GalDBTblFld_M6D8</vt:lpstr>
      <vt:lpstr>Gal_TblSheet!GalDBTblFld_M6D9</vt:lpstr>
      <vt:lpstr>Gal_TblSheet!GalDBTblFld_M6Visible</vt:lpstr>
      <vt:lpstr>Gal_TblSheet!GalDBTblFld_M7_Arr1N</vt:lpstr>
      <vt:lpstr>Gal_TblSheet!GalDBTblFld_M7D1</vt:lpstr>
      <vt:lpstr>Gal_TblSheet!GalDBTblFld_M7D10</vt:lpstr>
      <vt:lpstr>Gal_TblSheet!GalDBTblFld_M7D11</vt:lpstr>
      <vt:lpstr>Gal_TblSheet!GalDBTblFld_M7D12</vt:lpstr>
      <vt:lpstr>Gal_TblSheet!GalDBTblFld_M7D13</vt:lpstr>
      <vt:lpstr>Gal_TblSheet!GalDBTblFld_M7D14</vt:lpstr>
      <vt:lpstr>Gal_TblSheet!GalDBTblFld_M7D15</vt:lpstr>
      <vt:lpstr>Gal_TblSheet!GalDBTblFld_M7D16</vt:lpstr>
      <vt:lpstr>Gal_TblSheet!GalDBTblFld_M7D17</vt:lpstr>
      <vt:lpstr>Gal_TblSheet!GalDBTblFld_M7D18</vt:lpstr>
      <vt:lpstr>Gal_TblSheet!GalDBTblFld_M7D19</vt:lpstr>
      <vt:lpstr>Gal_TblSheet!GalDBTblFld_M7D2</vt:lpstr>
      <vt:lpstr>Gal_TblSheet!GalDBTblFld_M7D20</vt:lpstr>
      <vt:lpstr>Gal_TblSheet!GalDBTblFld_M7D21</vt:lpstr>
      <vt:lpstr>Gal_TblSheet!GalDBTblFld_M7D22</vt:lpstr>
      <vt:lpstr>Gal_TblSheet!GalDBTblFld_M7D23</vt:lpstr>
      <vt:lpstr>Gal_TblSheet!GalDBTblFld_M7D24</vt:lpstr>
      <vt:lpstr>Gal_TblSheet!GalDBTblFld_M7D25</vt:lpstr>
      <vt:lpstr>Gal_TblSheet!GalDBTblFld_M7D26</vt:lpstr>
      <vt:lpstr>Gal_TblSheet!GalDBTblFld_M7D27</vt:lpstr>
      <vt:lpstr>Gal_TblSheet!GalDBTblFld_M7D28</vt:lpstr>
      <vt:lpstr>Gal_TblSheet!GalDBTblFld_M7D29</vt:lpstr>
      <vt:lpstr>Gal_TblSheet!GalDBTblFld_M7D3</vt:lpstr>
      <vt:lpstr>Gal_TblSheet!GalDBTblFld_M7D30</vt:lpstr>
      <vt:lpstr>Gal_TblSheet!GalDBTblFld_M7D31</vt:lpstr>
      <vt:lpstr>Gal_TblSheet!GalDBTblFld_M7D4</vt:lpstr>
      <vt:lpstr>Gal_TblSheet!GalDBTblFld_M7D5</vt:lpstr>
      <vt:lpstr>Gal_TblSheet!GalDBTblFld_M7D6</vt:lpstr>
      <vt:lpstr>Gal_TblSheet!GalDBTblFld_M7D7</vt:lpstr>
      <vt:lpstr>Gal_TblSheet!GalDBTblFld_M7D8</vt:lpstr>
      <vt:lpstr>Gal_TblSheet!GalDBTblFld_M7D9</vt:lpstr>
      <vt:lpstr>Gal_TblSheet!GalDBTblFld_M7Visible</vt:lpstr>
      <vt:lpstr>Gal_TblSheet!GalDBTblFld_M8_Arr1N</vt:lpstr>
      <vt:lpstr>Gal_TblSheet!GalDBTblFld_M8D1</vt:lpstr>
      <vt:lpstr>Gal_TblSheet!GalDBTblFld_M8D10</vt:lpstr>
      <vt:lpstr>Gal_TblSheet!GalDBTblFld_M8D11</vt:lpstr>
      <vt:lpstr>Gal_TblSheet!GalDBTblFld_M8D12</vt:lpstr>
      <vt:lpstr>Gal_TblSheet!GalDBTblFld_M8D13</vt:lpstr>
      <vt:lpstr>Gal_TblSheet!GalDBTblFld_M8D14</vt:lpstr>
      <vt:lpstr>Gal_TblSheet!GalDBTblFld_M8D15</vt:lpstr>
      <vt:lpstr>Gal_TblSheet!GalDBTblFld_M8D16</vt:lpstr>
      <vt:lpstr>Gal_TblSheet!GalDBTblFld_M8D17</vt:lpstr>
      <vt:lpstr>Gal_TblSheet!GalDBTblFld_M8D18</vt:lpstr>
      <vt:lpstr>Gal_TblSheet!GalDBTblFld_M8D19</vt:lpstr>
      <vt:lpstr>Gal_TblSheet!GalDBTblFld_M8D2</vt:lpstr>
      <vt:lpstr>Gal_TblSheet!GalDBTblFld_M8D20</vt:lpstr>
      <vt:lpstr>Gal_TblSheet!GalDBTblFld_M8D21</vt:lpstr>
      <vt:lpstr>Gal_TblSheet!GalDBTblFld_M8D22</vt:lpstr>
      <vt:lpstr>Gal_TblSheet!GalDBTblFld_M8D23</vt:lpstr>
      <vt:lpstr>Gal_TblSheet!GalDBTblFld_M8D24</vt:lpstr>
      <vt:lpstr>Gal_TblSheet!GalDBTblFld_M8D25</vt:lpstr>
      <vt:lpstr>Gal_TblSheet!GalDBTblFld_M8D26</vt:lpstr>
      <vt:lpstr>Gal_TblSheet!GalDBTblFld_M8D27</vt:lpstr>
      <vt:lpstr>Gal_TblSheet!GalDBTblFld_M8D28</vt:lpstr>
      <vt:lpstr>Gal_TblSheet!GalDBTblFld_M8D29</vt:lpstr>
      <vt:lpstr>Gal_TblSheet!GalDBTblFld_M8D3</vt:lpstr>
      <vt:lpstr>Gal_TblSheet!GalDBTblFld_M8D30</vt:lpstr>
      <vt:lpstr>Gal_TblSheet!GalDBTblFld_M8D31</vt:lpstr>
      <vt:lpstr>Gal_TblSheet!GalDBTblFld_M8D4</vt:lpstr>
      <vt:lpstr>Gal_TblSheet!GalDBTblFld_M8D5</vt:lpstr>
      <vt:lpstr>Gal_TblSheet!GalDBTblFld_M8D6</vt:lpstr>
      <vt:lpstr>Gal_TblSheet!GalDBTblFld_M8D7</vt:lpstr>
      <vt:lpstr>Gal_TblSheet!GalDBTblFld_M8D8</vt:lpstr>
      <vt:lpstr>Gal_TblSheet!GalDBTblFld_M8D9</vt:lpstr>
      <vt:lpstr>Gal_TblSheet!GalDBTblFld_M8Visible</vt:lpstr>
      <vt:lpstr>Gal_TblSheet!GalDBTblFld_M9_Arr1N</vt:lpstr>
      <vt:lpstr>Gal_TblSheet!GalDBTblFld_M9D1</vt:lpstr>
      <vt:lpstr>Gal_TblSheet!GalDBTblFld_M9D10</vt:lpstr>
      <vt:lpstr>Gal_TblSheet!GalDBTblFld_M9D11</vt:lpstr>
      <vt:lpstr>Gal_TblSheet!GalDBTblFld_M9D12</vt:lpstr>
      <vt:lpstr>Gal_TblSheet!GalDBTblFld_M9D13</vt:lpstr>
      <vt:lpstr>Gal_TblSheet!GalDBTblFld_M9D14</vt:lpstr>
      <vt:lpstr>Gal_TblSheet!GalDBTblFld_M9D15</vt:lpstr>
      <vt:lpstr>Gal_TblSheet!GalDBTblFld_M9D16</vt:lpstr>
      <vt:lpstr>Gal_TblSheet!GalDBTblFld_M9D17</vt:lpstr>
      <vt:lpstr>Gal_TblSheet!GalDBTblFld_M9D18</vt:lpstr>
      <vt:lpstr>Gal_TblSheet!GalDBTblFld_M9D19</vt:lpstr>
      <vt:lpstr>Gal_TblSheet!GalDBTblFld_M9D2</vt:lpstr>
      <vt:lpstr>Gal_TblSheet!GalDBTblFld_M9D20</vt:lpstr>
      <vt:lpstr>Gal_TblSheet!GalDBTblFld_M9D21</vt:lpstr>
      <vt:lpstr>Gal_TblSheet!GalDBTblFld_M9D22</vt:lpstr>
      <vt:lpstr>Gal_TblSheet!GalDBTblFld_M9D23</vt:lpstr>
      <vt:lpstr>Gal_TblSheet!GalDBTblFld_M9D24</vt:lpstr>
      <vt:lpstr>Gal_TblSheet!GalDBTblFld_M9D25</vt:lpstr>
      <vt:lpstr>Gal_TblSheet!GalDBTblFld_M9D26</vt:lpstr>
      <vt:lpstr>Gal_TblSheet!GalDBTblFld_M9D27</vt:lpstr>
      <vt:lpstr>Gal_TblSheet!GalDBTblFld_M9D28</vt:lpstr>
      <vt:lpstr>Gal_TblSheet!GalDBTblFld_M9D29</vt:lpstr>
      <vt:lpstr>Gal_TblSheet!GalDBTblFld_M9D3</vt:lpstr>
      <vt:lpstr>Gal_TblSheet!GalDBTblFld_M9D30</vt:lpstr>
      <vt:lpstr>Gal_TblSheet!GalDBTblFld_M9D31</vt:lpstr>
      <vt:lpstr>Gal_TblSheet!GalDBTblFld_M9D4</vt:lpstr>
      <vt:lpstr>Gal_TblSheet!GalDBTblFld_M9D5</vt:lpstr>
      <vt:lpstr>Gal_TblSheet!GalDBTblFld_M9D6</vt:lpstr>
      <vt:lpstr>Gal_TblSheet!GalDBTblFld_M9D7</vt:lpstr>
      <vt:lpstr>Gal_TblSheet!GalDBTblFld_M9D8</vt:lpstr>
      <vt:lpstr>Gal_TblSheet!GalDBTblFld_M9D9</vt:lpstr>
      <vt:lpstr>Gal_TblSheet!GalDBTblFld_M9Visible</vt:lpstr>
      <vt:lpstr>Gal_TblSheet!GalDBTblFld_NameGrafic</vt:lpstr>
      <vt:lpstr>Gal_TblSheet!GalDBTblFld_PersonCex</vt:lpstr>
      <vt:lpstr>Gal_TblSheet!GalDBTblFld_PersonDol</vt:lpstr>
      <vt:lpstr>Gal_TblSheet!GalDBTblFld_PersonName</vt:lpstr>
      <vt:lpstr>Gal_TblSheet!GalDBTblFld_Podpis1Dol</vt:lpstr>
      <vt:lpstr>Gal_TblSheet!GalDBTblFld_Podpis1FIO</vt:lpstr>
      <vt:lpstr>Gal_TblSheet!GalDBTblFld_Podpis2Dol</vt:lpstr>
      <vt:lpstr>Gal_TblSheet!GalDBTblFld_Podpis2FIO</vt:lpstr>
      <vt:lpstr>Gal_TblSheet!GalDBTblFld_Q1V</vt:lpstr>
      <vt:lpstr>Gal_TblSheet!GalDBTblFld_Q2V</vt:lpstr>
      <vt:lpstr>Gal_TblSheet!GalDBTblFld_Q3V</vt:lpstr>
      <vt:lpstr>Gal_TblSheet!GalDBTblFld_Q4V</vt:lpstr>
      <vt:lpstr>Gal_TblSheet!GalDBTblFld_Sogl2Dol</vt:lpstr>
      <vt:lpstr>Gal_TblSheet!GalDBTblFld_Sogl2FIO</vt:lpstr>
      <vt:lpstr>Gal_TblSheet!GalDBTblFld_SoglDol</vt:lpstr>
      <vt:lpstr>Gal_TblSheet!GalDBTblFld_SoglFIO</vt:lpstr>
      <vt:lpstr>Gal_TblSheet!GalDBTblFld_UtvrDol</vt:lpstr>
      <vt:lpstr>Gal_TblSheet!GalDBTblFld_UtvrFIO</vt:lpstr>
      <vt:lpstr>Gal_TblSheet!GalDBTblFld_WeekHour</vt:lpstr>
      <vt:lpstr>Gal_TblSheet!GalDBTblFld_wYear</vt:lpstr>
      <vt:lpstr>Gal_VarSheet!GalDBVar_CFH</vt:lpstr>
      <vt:lpstr>Отчет!GalRepTbl_tblGraphics</vt:lpstr>
      <vt:lpstr>Отчет!GalRepTblFld_day1Res</vt:lpstr>
      <vt:lpstr>Отчет!GalRepTblFld_day2Res</vt:lpstr>
      <vt:lpstr>Отчет!GalRepTblFld_day3Res</vt:lpstr>
      <vt:lpstr>Отчет!GalRepTblFld_day4Res</vt:lpstr>
      <vt:lpstr>Отчет!GalRepTblFld_day5Res</vt:lpstr>
      <vt:lpstr>Отчет!GalRepTblFld_day6Res</vt:lpstr>
      <vt:lpstr>Отчет!GalRepTblFld_day7Res</vt:lpstr>
      <vt:lpstr>Отчет!GalRepTblFld_M10D1</vt:lpstr>
      <vt:lpstr>Отчет!GalRepTblFld_M10D10</vt:lpstr>
      <vt:lpstr>Отчет!GalRepTblFld_M10D11</vt:lpstr>
      <vt:lpstr>Отчет!GalRepTblFld_M10D12</vt:lpstr>
      <vt:lpstr>Отчет!GalRepTblFld_M10D13</vt:lpstr>
      <vt:lpstr>Отчет!GalRepTblFld_M10D14</vt:lpstr>
      <vt:lpstr>Отчет!GalRepTblFld_M10D15</vt:lpstr>
      <vt:lpstr>Отчет!GalRepTblFld_M10D16</vt:lpstr>
      <vt:lpstr>Отчет!GalRepTblFld_M10D17</vt:lpstr>
      <vt:lpstr>Отчет!GalRepTblFld_M10D18</vt:lpstr>
      <vt:lpstr>Отчет!GalRepTblFld_M10D19</vt:lpstr>
      <vt:lpstr>Отчет!GalRepTblFld_M10D2</vt:lpstr>
      <vt:lpstr>Отчет!GalRepTblFld_M10D20</vt:lpstr>
      <vt:lpstr>Отчет!GalRepTblFld_M10D21</vt:lpstr>
      <vt:lpstr>Отчет!GalRepTblFld_M10D22</vt:lpstr>
      <vt:lpstr>Отчет!GalRepTblFld_M10D23</vt:lpstr>
      <vt:lpstr>Отчет!GalRepTblFld_M10D24</vt:lpstr>
      <vt:lpstr>Отчет!GalRepTblFld_M10D25</vt:lpstr>
      <vt:lpstr>Отчет!GalRepTblFld_M10D26</vt:lpstr>
      <vt:lpstr>Отчет!GalRepTblFld_M10D27</vt:lpstr>
      <vt:lpstr>Отчет!GalRepTblFld_M10D28</vt:lpstr>
      <vt:lpstr>Отчет!GalRepTblFld_M10D29</vt:lpstr>
      <vt:lpstr>Отчет!GalRepTblFld_M10D3</vt:lpstr>
      <vt:lpstr>Отчет!GalRepTblFld_M10D30</vt:lpstr>
      <vt:lpstr>Отчет!GalRepTblFld_M10D31</vt:lpstr>
      <vt:lpstr>Отчет!GalRepTblFld_M10D4</vt:lpstr>
      <vt:lpstr>Отчет!GalRepTblFld_M10D5</vt:lpstr>
      <vt:lpstr>Отчет!GalRepTblFld_M10D6</vt:lpstr>
      <vt:lpstr>Отчет!GalRepTblFld_M10D7</vt:lpstr>
      <vt:lpstr>Отчет!GalRepTblFld_M10D8</vt:lpstr>
      <vt:lpstr>Отчет!GalRepTblFld_M10D9</vt:lpstr>
      <vt:lpstr>Отчет!GalRepTblFld_M10Visible</vt:lpstr>
      <vt:lpstr>Отчет!GalRepTblFld_M11D1</vt:lpstr>
      <vt:lpstr>Отчет!GalRepTblFld_M11D10</vt:lpstr>
      <vt:lpstr>Отчет!GalRepTblFld_M11D11</vt:lpstr>
      <vt:lpstr>Отчет!GalRepTblFld_M11D12</vt:lpstr>
      <vt:lpstr>Отчет!GalRepTblFld_M11D13</vt:lpstr>
      <vt:lpstr>Отчет!GalRepTblFld_M11D14</vt:lpstr>
      <vt:lpstr>Отчет!GalRepTblFld_M11D15</vt:lpstr>
      <vt:lpstr>Отчет!GalRepTblFld_M11D16</vt:lpstr>
      <vt:lpstr>Отчет!GalRepTblFld_M11D17</vt:lpstr>
      <vt:lpstr>Отчет!GalRepTblFld_M11D18</vt:lpstr>
      <vt:lpstr>Отчет!GalRepTblFld_M11D19</vt:lpstr>
      <vt:lpstr>Отчет!GalRepTblFld_M11D2</vt:lpstr>
      <vt:lpstr>Отчет!GalRepTblFld_M11D20</vt:lpstr>
      <vt:lpstr>Отчет!GalRepTblFld_M11D21</vt:lpstr>
      <vt:lpstr>Отчет!GalRepTblFld_M11D22</vt:lpstr>
      <vt:lpstr>Отчет!GalRepTblFld_M11D23</vt:lpstr>
      <vt:lpstr>Отчет!GalRepTblFld_M11D24</vt:lpstr>
      <vt:lpstr>Отчет!GalRepTblFld_M11D25</vt:lpstr>
      <vt:lpstr>Отчет!GalRepTblFld_M11D26</vt:lpstr>
      <vt:lpstr>Отчет!GalRepTblFld_M11D27</vt:lpstr>
      <vt:lpstr>Отчет!GalRepTblFld_M11D28</vt:lpstr>
      <vt:lpstr>Отчет!GalRepTblFld_M11D29</vt:lpstr>
      <vt:lpstr>Отчет!GalRepTblFld_M11D3</vt:lpstr>
      <vt:lpstr>Отчет!GalRepTblFld_M11D30</vt:lpstr>
      <vt:lpstr>Отчет!GalRepTblFld_M11D31</vt:lpstr>
      <vt:lpstr>Отчет!GalRepTblFld_M11D4</vt:lpstr>
      <vt:lpstr>Отчет!GalRepTblFld_M11D5</vt:lpstr>
      <vt:lpstr>Отчет!GalRepTblFld_M11D6</vt:lpstr>
      <vt:lpstr>Отчет!GalRepTblFld_M11D7</vt:lpstr>
      <vt:lpstr>Отчет!GalRepTblFld_M11D8</vt:lpstr>
      <vt:lpstr>Отчет!GalRepTblFld_M11D9</vt:lpstr>
      <vt:lpstr>Отчет!GalRepTblFld_M11Visible</vt:lpstr>
      <vt:lpstr>Отчет!GalRepTblFld_M12D1</vt:lpstr>
      <vt:lpstr>Отчет!GalRepTblFld_M12D10</vt:lpstr>
      <vt:lpstr>Отчет!GalRepTblFld_M12D11</vt:lpstr>
      <vt:lpstr>Отчет!GalRepTblFld_M12D12</vt:lpstr>
      <vt:lpstr>Отчет!GalRepTblFld_M12D13</vt:lpstr>
      <vt:lpstr>Отчет!GalRepTblFld_M12D14</vt:lpstr>
      <vt:lpstr>Отчет!GalRepTblFld_M12D15</vt:lpstr>
      <vt:lpstr>Отчет!GalRepTblFld_M12D16</vt:lpstr>
      <vt:lpstr>Отчет!GalRepTblFld_M12D17</vt:lpstr>
      <vt:lpstr>Отчет!GalRepTblFld_M12D18</vt:lpstr>
      <vt:lpstr>Отчет!GalRepTblFld_M12D19</vt:lpstr>
      <vt:lpstr>Отчет!GalRepTblFld_M12D2</vt:lpstr>
      <vt:lpstr>Отчет!GalRepTblFld_M12D20</vt:lpstr>
      <vt:lpstr>Отчет!GalRepTblFld_M12D21</vt:lpstr>
      <vt:lpstr>Отчет!GalRepTblFld_M12D22</vt:lpstr>
      <vt:lpstr>Отчет!GalRepTblFld_M12D23</vt:lpstr>
      <vt:lpstr>Отчет!GalRepTblFld_M12D24</vt:lpstr>
      <vt:lpstr>Отчет!GalRepTblFld_M12D25</vt:lpstr>
      <vt:lpstr>Отчет!GalRepTblFld_M12D26</vt:lpstr>
      <vt:lpstr>Отчет!GalRepTblFld_M12D27</vt:lpstr>
      <vt:lpstr>Отчет!GalRepTblFld_M12D28</vt:lpstr>
      <vt:lpstr>Отчет!GalRepTblFld_M12D29</vt:lpstr>
      <vt:lpstr>Отчет!GalRepTblFld_M12D3</vt:lpstr>
      <vt:lpstr>Отчет!GalRepTblFld_M12D30</vt:lpstr>
      <vt:lpstr>Отчет!GalRepTblFld_M12D31</vt:lpstr>
      <vt:lpstr>Отчет!GalRepTblFld_M12D4</vt:lpstr>
      <vt:lpstr>Отчет!GalRepTblFld_M12D5</vt:lpstr>
      <vt:lpstr>Отчет!GalRepTblFld_M12D6</vt:lpstr>
      <vt:lpstr>Отчет!GalRepTblFld_M12D7</vt:lpstr>
      <vt:lpstr>Отчет!GalRepTblFld_M12D8</vt:lpstr>
      <vt:lpstr>Отчет!GalRepTblFld_M12D9</vt:lpstr>
      <vt:lpstr>Отчет!GalRepTblFld_M12Visible</vt:lpstr>
      <vt:lpstr>Отчет!GalRepTblFld_M1D1</vt:lpstr>
      <vt:lpstr>Отчет!GalRepTblFld_M1D10</vt:lpstr>
      <vt:lpstr>Отчет!GalRepTblFld_M1D11</vt:lpstr>
      <vt:lpstr>Отчет!GalRepTblFld_M1D12</vt:lpstr>
      <vt:lpstr>Отчет!GalRepTblFld_M1D13</vt:lpstr>
      <vt:lpstr>Отчет!GalRepTblFld_M1D14</vt:lpstr>
      <vt:lpstr>Отчет!GalRepTblFld_M1D15</vt:lpstr>
      <vt:lpstr>Отчет!GalRepTblFld_M1D16</vt:lpstr>
      <vt:lpstr>Отчет!GalRepTblFld_M1D17</vt:lpstr>
      <vt:lpstr>Отчет!GalRepTblFld_M1D18</vt:lpstr>
      <vt:lpstr>Отчет!GalRepTblFld_M1D19</vt:lpstr>
      <vt:lpstr>Отчет!GalRepTblFld_M1D2</vt:lpstr>
      <vt:lpstr>Отчет!GalRepTblFld_M1D20</vt:lpstr>
      <vt:lpstr>Отчет!GalRepTblFld_M1D21</vt:lpstr>
      <vt:lpstr>Отчет!GalRepTblFld_M1D22</vt:lpstr>
      <vt:lpstr>Отчет!GalRepTblFld_M1D23</vt:lpstr>
      <vt:lpstr>Отчет!GalRepTblFld_M1D24</vt:lpstr>
      <vt:lpstr>Отчет!GalRepTblFld_M1D25</vt:lpstr>
      <vt:lpstr>Отчет!GalRepTblFld_M1D26</vt:lpstr>
      <vt:lpstr>Отчет!GalRepTblFld_M1D27</vt:lpstr>
      <vt:lpstr>Отчет!GalRepTblFld_M1D28</vt:lpstr>
      <vt:lpstr>Отчет!GalRepTblFld_M1D29</vt:lpstr>
      <vt:lpstr>Отчет!GalRepTblFld_M1D3</vt:lpstr>
      <vt:lpstr>Отчет!GalRepTblFld_M1D30</vt:lpstr>
      <vt:lpstr>Отчет!GalRepTblFld_M1D31</vt:lpstr>
      <vt:lpstr>Отчет!GalRepTblFld_M1D4</vt:lpstr>
      <vt:lpstr>Отчет!GalRepTblFld_M1D5</vt:lpstr>
      <vt:lpstr>Отчет!GalRepTblFld_M1D6</vt:lpstr>
      <vt:lpstr>Отчет!GalRepTblFld_M1D7</vt:lpstr>
      <vt:lpstr>Отчет!GalRepTblFld_M1D8</vt:lpstr>
      <vt:lpstr>Отчет!GalRepTblFld_M1D9</vt:lpstr>
      <vt:lpstr>Отчет!GalRepTblFld_M1Visible</vt:lpstr>
      <vt:lpstr>Отчет!GalRepTblFld_M2D1</vt:lpstr>
      <vt:lpstr>Отчет!GalRepTblFld_M2D10</vt:lpstr>
      <vt:lpstr>Отчет!GalRepTblFld_M2D11</vt:lpstr>
      <vt:lpstr>Отчет!GalRepTblFld_M2D12</vt:lpstr>
      <vt:lpstr>Отчет!GalRepTblFld_M2D13</vt:lpstr>
      <vt:lpstr>Отчет!GalRepTblFld_M2D14</vt:lpstr>
      <vt:lpstr>Отчет!GalRepTblFld_M2D15</vt:lpstr>
      <vt:lpstr>Отчет!GalRepTblFld_M2D16</vt:lpstr>
      <vt:lpstr>Отчет!GalRepTblFld_M2D17</vt:lpstr>
      <vt:lpstr>Отчет!GalRepTblFld_M2D18</vt:lpstr>
      <vt:lpstr>Отчет!GalRepTblFld_M2D19</vt:lpstr>
      <vt:lpstr>Отчет!GalRepTblFld_M2D2</vt:lpstr>
      <vt:lpstr>Отчет!GalRepTblFld_M2D20</vt:lpstr>
      <vt:lpstr>Отчет!GalRepTblFld_M2D21</vt:lpstr>
      <vt:lpstr>Отчет!GalRepTblFld_M2D22</vt:lpstr>
      <vt:lpstr>Отчет!GalRepTblFld_M2D23</vt:lpstr>
      <vt:lpstr>Отчет!GalRepTblFld_M2D24</vt:lpstr>
      <vt:lpstr>Отчет!GalRepTblFld_M2D25</vt:lpstr>
      <vt:lpstr>Отчет!GalRepTblFld_M2D26</vt:lpstr>
      <vt:lpstr>Отчет!GalRepTblFld_M2D27</vt:lpstr>
      <vt:lpstr>Отчет!GalRepTblFld_M2D28</vt:lpstr>
      <vt:lpstr>Отчет!GalRepTblFld_M2D29</vt:lpstr>
      <vt:lpstr>Отчет!GalRepTblFld_M2D3</vt:lpstr>
      <vt:lpstr>Отчет!GalRepTblFld_M2D30</vt:lpstr>
      <vt:lpstr>Отчет!GalRepTblFld_M2D31</vt:lpstr>
      <vt:lpstr>Отчет!GalRepTblFld_M2D4</vt:lpstr>
      <vt:lpstr>Отчет!GalRepTblFld_M2D5</vt:lpstr>
      <vt:lpstr>Отчет!GalRepTblFld_M2D6</vt:lpstr>
      <vt:lpstr>Отчет!GalRepTblFld_M2D7</vt:lpstr>
      <vt:lpstr>Отчет!GalRepTblFld_M2D8</vt:lpstr>
      <vt:lpstr>Отчет!GalRepTblFld_M2D9</vt:lpstr>
      <vt:lpstr>Отчет!GalRepTblFld_M2Visible</vt:lpstr>
      <vt:lpstr>Отчет!GalRepTblFld_M3D1</vt:lpstr>
      <vt:lpstr>Отчет!GalRepTblFld_M3D10</vt:lpstr>
      <vt:lpstr>Отчет!GalRepTblFld_M3D11</vt:lpstr>
      <vt:lpstr>Отчет!GalRepTblFld_M3D12</vt:lpstr>
      <vt:lpstr>Отчет!GalRepTblFld_M3D13</vt:lpstr>
      <vt:lpstr>Отчет!GalRepTblFld_M3D14</vt:lpstr>
      <vt:lpstr>Отчет!GalRepTblFld_M3D15</vt:lpstr>
      <vt:lpstr>Отчет!GalRepTblFld_M3D16</vt:lpstr>
      <vt:lpstr>Отчет!GalRepTblFld_M3D17</vt:lpstr>
      <vt:lpstr>Отчет!GalRepTblFld_M3D18</vt:lpstr>
      <vt:lpstr>Отчет!GalRepTblFld_M3D19</vt:lpstr>
      <vt:lpstr>Отчет!GalRepTblFld_M3D2</vt:lpstr>
      <vt:lpstr>Отчет!GalRepTblFld_M3D20</vt:lpstr>
      <vt:lpstr>Отчет!GalRepTblFld_M3D21</vt:lpstr>
      <vt:lpstr>Отчет!GalRepTblFld_M3D22</vt:lpstr>
      <vt:lpstr>Отчет!GalRepTblFld_M3D23</vt:lpstr>
      <vt:lpstr>Отчет!GalRepTblFld_M3D24</vt:lpstr>
      <vt:lpstr>Отчет!GalRepTblFld_M3D25</vt:lpstr>
      <vt:lpstr>Отчет!GalRepTblFld_M3D26</vt:lpstr>
      <vt:lpstr>Отчет!GalRepTblFld_M3D27</vt:lpstr>
      <vt:lpstr>Отчет!GalRepTblFld_M3D28</vt:lpstr>
      <vt:lpstr>Отчет!GalRepTblFld_M3D29</vt:lpstr>
      <vt:lpstr>Отчет!GalRepTblFld_M3D3</vt:lpstr>
      <vt:lpstr>Отчет!GalRepTblFld_M3D30</vt:lpstr>
      <vt:lpstr>Отчет!GalRepTblFld_M3D31</vt:lpstr>
      <vt:lpstr>Отчет!GalRepTblFld_M3D4</vt:lpstr>
      <vt:lpstr>Отчет!GalRepTblFld_M3D5</vt:lpstr>
      <vt:lpstr>Отчет!GalRepTblFld_M3D6</vt:lpstr>
      <vt:lpstr>Отчет!GalRepTblFld_M3D7</vt:lpstr>
      <vt:lpstr>Отчет!GalRepTblFld_M3D8</vt:lpstr>
      <vt:lpstr>Отчет!GalRepTblFld_M3D9</vt:lpstr>
      <vt:lpstr>Отчет!GalRepTblFld_M3Visible</vt:lpstr>
      <vt:lpstr>Отчет!GalRepTblFld_M4D1</vt:lpstr>
      <vt:lpstr>Отчет!GalRepTblFld_M4D10</vt:lpstr>
      <vt:lpstr>Отчет!GalRepTblFld_M4D11</vt:lpstr>
      <vt:lpstr>Отчет!GalRepTblFld_M4D12</vt:lpstr>
      <vt:lpstr>Отчет!GalRepTblFld_M4D13</vt:lpstr>
      <vt:lpstr>Отчет!GalRepTblFld_M4D14</vt:lpstr>
      <vt:lpstr>Отчет!GalRepTblFld_M4D15</vt:lpstr>
      <vt:lpstr>Отчет!GalRepTblFld_M4D16</vt:lpstr>
      <vt:lpstr>Отчет!GalRepTblFld_M4D17</vt:lpstr>
      <vt:lpstr>Отчет!GalRepTblFld_M4D18</vt:lpstr>
      <vt:lpstr>Отчет!GalRepTblFld_M4D19</vt:lpstr>
      <vt:lpstr>Отчет!GalRepTblFld_M4D2</vt:lpstr>
      <vt:lpstr>Отчет!GalRepTblFld_M4D20</vt:lpstr>
      <vt:lpstr>Отчет!GalRepTblFld_M4D21</vt:lpstr>
      <vt:lpstr>Отчет!GalRepTblFld_M4D22</vt:lpstr>
      <vt:lpstr>Отчет!GalRepTblFld_M4D23</vt:lpstr>
      <vt:lpstr>Отчет!GalRepTblFld_M4D24</vt:lpstr>
      <vt:lpstr>Отчет!GalRepTblFld_M4D25</vt:lpstr>
      <vt:lpstr>Отчет!GalRepTblFld_M4D26</vt:lpstr>
      <vt:lpstr>Отчет!GalRepTblFld_M4D27</vt:lpstr>
      <vt:lpstr>Отчет!GalRepTblFld_M4D28</vt:lpstr>
      <vt:lpstr>Отчет!GalRepTblFld_M4D29</vt:lpstr>
      <vt:lpstr>Отчет!GalRepTblFld_M4D3</vt:lpstr>
      <vt:lpstr>Отчет!GalRepTblFld_M4D30</vt:lpstr>
      <vt:lpstr>Отчет!GalRepTblFld_M4D31</vt:lpstr>
      <vt:lpstr>Отчет!GalRepTblFld_M4D4</vt:lpstr>
      <vt:lpstr>Отчет!GalRepTblFld_M4D5</vt:lpstr>
      <vt:lpstr>Отчет!GalRepTblFld_M4D6</vt:lpstr>
      <vt:lpstr>Отчет!GalRepTblFld_M4D7</vt:lpstr>
      <vt:lpstr>Отчет!GalRepTblFld_M4D8</vt:lpstr>
      <vt:lpstr>Отчет!GalRepTblFld_M4D9</vt:lpstr>
      <vt:lpstr>Отчет!GalRepTblFld_M4Visible</vt:lpstr>
      <vt:lpstr>Отчет!GalRepTblFld_M5D1</vt:lpstr>
      <vt:lpstr>Отчет!GalRepTblFld_M5D10</vt:lpstr>
      <vt:lpstr>Отчет!GalRepTblFld_M5D11</vt:lpstr>
      <vt:lpstr>Отчет!GalRepTblFld_M5D12</vt:lpstr>
      <vt:lpstr>Отчет!GalRepTblFld_M5D13</vt:lpstr>
      <vt:lpstr>Отчет!GalRepTblFld_M5D14</vt:lpstr>
      <vt:lpstr>Отчет!GalRepTblFld_M5D15</vt:lpstr>
      <vt:lpstr>Отчет!GalRepTblFld_M5D16</vt:lpstr>
      <vt:lpstr>Отчет!GalRepTblFld_M5D17</vt:lpstr>
      <vt:lpstr>Отчет!GalRepTblFld_M5D18</vt:lpstr>
      <vt:lpstr>Отчет!GalRepTblFld_M5D19</vt:lpstr>
      <vt:lpstr>Отчет!GalRepTblFld_M5D2</vt:lpstr>
      <vt:lpstr>Отчет!GalRepTblFld_M5D20</vt:lpstr>
      <vt:lpstr>Отчет!GalRepTblFld_M5D21</vt:lpstr>
      <vt:lpstr>Отчет!GalRepTblFld_M5D22</vt:lpstr>
      <vt:lpstr>Отчет!GalRepTblFld_M5D23</vt:lpstr>
      <vt:lpstr>Отчет!GalRepTblFld_M5D24</vt:lpstr>
      <vt:lpstr>Отчет!GalRepTblFld_M5D25</vt:lpstr>
      <vt:lpstr>Отчет!GalRepTblFld_M5D26</vt:lpstr>
      <vt:lpstr>Отчет!GalRepTblFld_M5D27</vt:lpstr>
      <vt:lpstr>Отчет!GalRepTblFld_M5D28</vt:lpstr>
      <vt:lpstr>Отчет!GalRepTblFld_M5D29</vt:lpstr>
      <vt:lpstr>Отчет!GalRepTblFld_M5D3</vt:lpstr>
      <vt:lpstr>Отчет!GalRepTblFld_M5D30</vt:lpstr>
      <vt:lpstr>Отчет!GalRepTblFld_M5D31</vt:lpstr>
      <vt:lpstr>Отчет!GalRepTblFld_M5D4</vt:lpstr>
      <vt:lpstr>Отчет!GalRepTblFld_M5D5</vt:lpstr>
      <vt:lpstr>Отчет!GalRepTblFld_M5D6</vt:lpstr>
      <vt:lpstr>Отчет!GalRepTblFld_M5D7</vt:lpstr>
      <vt:lpstr>Отчет!GalRepTblFld_M5D8</vt:lpstr>
      <vt:lpstr>Отчет!GalRepTblFld_M5D9</vt:lpstr>
      <vt:lpstr>Отчет!GalRepTblFld_M5Visible</vt:lpstr>
      <vt:lpstr>Отчет!GalRepTblFld_M6D1</vt:lpstr>
      <vt:lpstr>Отчет!GalRepTblFld_M6D10</vt:lpstr>
      <vt:lpstr>Отчет!GalRepTblFld_M6D11</vt:lpstr>
      <vt:lpstr>Отчет!GalRepTblFld_M6D12</vt:lpstr>
      <vt:lpstr>Отчет!GalRepTblFld_M6D13</vt:lpstr>
      <vt:lpstr>Отчет!GalRepTblFld_M6D14</vt:lpstr>
      <vt:lpstr>Отчет!GalRepTblFld_M6D15</vt:lpstr>
      <vt:lpstr>Отчет!GalRepTblFld_M6D16</vt:lpstr>
      <vt:lpstr>Отчет!GalRepTblFld_M6D17</vt:lpstr>
      <vt:lpstr>Отчет!GalRepTblFld_M6D18</vt:lpstr>
      <vt:lpstr>Отчет!GalRepTblFld_M6D19</vt:lpstr>
      <vt:lpstr>Отчет!GalRepTblFld_M6D2</vt:lpstr>
      <vt:lpstr>Отчет!GalRepTblFld_M6D20</vt:lpstr>
      <vt:lpstr>Отчет!GalRepTblFld_M6D21</vt:lpstr>
      <vt:lpstr>Отчет!GalRepTblFld_M6D22</vt:lpstr>
      <vt:lpstr>Отчет!GalRepTblFld_M6D23</vt:lpstr>
      <vt:lpstr>Отчет!GalRepTblFld_M6D24</vt:lpstr>
      <vt:lpstr>Отчет!GalRepTblFld_M6D25</vt:lpstr>
      <vt:lpstr>Отчет!GalRepTblFld_M6D26</vt:lpstr>
      <vt:lpstr>Отчет!GalRepTblFld_M6D27</vt:lpstr>
      <vt:lpstr>Отчет!GalRepTblFld_M6D28</vt:lpstr>
      <vt:lpstr>Отчет!GalRepTblFld_M6D29</vt:lpstr>
      <vt:lpstr>Отчет!GalRepTblFld_M6D3</vt:lpstr>
      <vt:lpstr>Отчет!GalRepTblFld_M6D30</vt:lpstr>
      <vt:lpstr>Отчет!GalRepTblFld_M6D31</vt:lpstr>
      <vt:lpstr>Отчет!GalRepTblFld_M6D4</vt:lpstr>
      <vt:lpstr>Отчет!GalRepTblFld_M6D5</vt:lpstr>
      <vt:lpstr>Отчет!GalRepTblFld_M6D6</vt:lpstr>
      <vt:lpstr>Отчет!GalRepTblFld_M6D7</vt:lpstr>
      <vt:lpstr>Отчет!GalRepTblFld_M6D8</vt:lpstr>
      <vt:lpstr>Отчет!GalRepTblFld_M6D9</vt:lpstr>
      <vt:lpstr>Отчет!GalRepTblFld_M6Visible</vt:lpstr>
      <vt:lpstr>Отчет!GalRepTblFld_M7D1</vt:lpstr>
      <vt:lpstr>Отчет!GalRepTblFld_M7D10</vt:lpstr>
      <vt:lpstr>Отчет!GalRepTblFld_M7D11</vt:lpstr>
      <vt:lpstr>Отчет!GalRepTblFld_M7D12</vt:lpstr>
      <vt:lpstr>Отчет!GalRepTblFld_M7D13</vt:lpstr>
      <vt:lpstr>Отчет!GalRepTblFld_M7D14</vt:lpstr>
      <vt:lpstr>Отчет!GalRepTblFld_M7D15</vt:lpstr>
      <vt:lpstr>Отчет!GalRepTblFld_M7D16</vt:lpstr>
      <vt:lpstr>Отчет!GalRepTblFld_M7D17</vt:lpstr>
      <vt:lpstr>Отчет!GalRepTblFld_M7D18</vt:lpstr>
      <vt:lpstr>Отчет!GalRepTblFld_M7D19</vt:lpstr>
      <vt:lpstr>Отчет!GalRepTblFld_M7D2</vt:lpstr>
      <vt:lpstr>Отчет!GalRepTblFld_M7D20</vt:lpstr>
      <vt:lpstr>Отчет!GalRepTblFld_M7D21</vt:lpstr>
      <vt:lpstr>Отчет!GalRepTblFld_M7D22</vt:lpstr>
      <vt:lpstr>Отчет!GalRepTblFld_M7D23</vt:lpstr>
      <vt:lpstr>Отчет!GalRepTblFld_M7D24</vt:lpstr>
      <vt:lpstr>Отчет!GalRepTblFld_M7D25</vt:lpstr>
      <vt:lpstr>Отчет!GalRepTblFld_M7D26</vt:lpstr>
      <vt:lpstr>Отчет!GalRepTblFld_M7D27</vt:lpstr>
      <vt:lpstr>Отчет!GalRepTblFld_M7D28</vt:lpstr>
      <vt:lpstr>Отчет!GalRepTblFld_M7D29</vt:lpstr>
      <vt:lpstr>Отчет!GalRepTblFld_M7D3</vt:lpstr>
      <vt:lpstr>Отчет!GalRepTblFld_M7D30</vt:lpstr>
      <vt:lpstr>Отчет!GalRepTblFld_M7D31</vt:lpstr>
      <vt:lpstr>Отчет!GalRepTblFld_M7D4</vt:lpstr>
      <vt:lpstr>Отчет!GalRepTblFld_M7D5</vt:lpstr>
      <vt:lpstr>Отчет!GalRepTblFld_M7D6</vt:lpstr>
      <vt:lpstr>Отчет!GalRepTblFld_M7D7</vt:lpstr>
      <vt:lpstr>Отчет!GalRepTblFld_M7D8</vt:lpstr>
      <vt:lpstr>Отчет!GalRepTblFld_M7D9</vt:lpstr>
      <vt:lpstr>Отчет!GalRepTblFld_M7Visible</vt:lpstr>
      <vt:lpstr>Отчет!GalRepTblFld_M8D1</vt:lpstr>
      <vt:lpstr>Отчет!GalRepTblFld_M8D10</vt:lpstr>
      <vt:lpstr>Отчет!GalRepTblFld_M8D11</vt:lpstr>
      <vt:lpstr>Отчет!GalRepTblFld_M8D12</vt:lpstr>
      <vt:lpstr>Отчет!GalRepTblFld_M8D13</vt:lpstr>
      <vt:lpstr>Отчет!GalRepTblFld_M8D14</vt:lpstr>
      <vt:lpstr>Отчет!GalRepTblFld_M8D15</vt:lpstr>
      <vt:lpstr>Отчет!GalRepTblFld_M8D16</vt:lpstr>
      <vt:lpstr>Отчет!GalRepTblFld_M8D17</vt:lpstr>
      <vt:lpstr>Отчет!GalRepTblFld_M8D18</vt:lpstr>
      <vt:lpstr>Отчет!GalRepTblFld_M8D19</vt:lpstr>
      <vt:lpstr>Отчет!GalRepTblFld_M8D2</vt:lpstr>
      <vt:lpstr>Отчет!GalRepTblFld_M8D20</vt:lpstr>
      <vt:lpstr>Отчет!GalRepTblFld_M8D21</vt:lpstr>
      <vt:lpstr>Отчет!GalRepTblFld_M8D22</vt:lpstr>
      <vt:lpstr>Отчет!GalRepTblFld_M8D23</vt:lpstr>
      <vt:lpstr>Отчет!GalRepTblFld_M8D24</vt:lpstr>
      <vt:lpstr>Отчет!GalRepTblFld_M8D25</vt:lpstr>
      <vt:lpstr>Отчет!GalRepTblFld_M8D26</vt:lpstr>
      <vt:lpstr>Отчет!GalRepTblFld_M8D27</vt:lpstr>
      <vt:lpstr>Отчет!GalRepTblFld_M8D28</vt:lpstr>
      <vt:lpstr>Отчет!GalRepTblFld_M8D29</vt:lpstr>
      <vt:lpstr>Отчет!GalRepTblFld_M8D3</vt:lpstr>
      <vt:lpstr>Отчет!GalRepTblFld_M8D30</vt:lpstr>
      <vt:lpstr>Отчет!GalRepTblFld_M8D31</vt:lpstr>
      <vt:lpstr>Отчет!GalRepTblFld_M8D4</vt:lpstr>
      <vt:lpstr>Отчет!GalRepTblFld_M8D5</vt:lpstr>
      <vt:lpstr>Отчет!GalRepTblFld_M8D6</vt:lpstr>
      <vt:lpstr>Отчет!GalRepTblFld_M8D7</vt:lpstr>
      <vt:lpstr>Отчет!GalRepTblFld_M8D8</vt:lpstr>
      <vt:lpstr>Отчет!GalRepTblFld_M8D9</vt:lpstr>
      <vt:lpstr>Отчет!GalRepTblFld_M8Visible</vt:lpstr>
      <vt:lpstr>Отчет!GalRepTblFld_M9D1</vt:lpstr>
      <vt:lpstr>Отчет!GalRepTblFld_M9D10</vt:lpstr>
      <vt:lpstr>Отчет!GalRepTblFld_M9D11</vt:lpstr>
      <vt:lpstr>Отчет!GalRepTblFld_M9D12</vt:lpstr>
      <vt:lpstr>Отчет!GalRepTblFld_M9D13</vt:lpstr>
      <vt:lpstr>Отчет!GalRepTblFld_M9D14</vt:lpstr>
      <vt:lpstr>Отчет!GalRepTblFld_M9D15</vt:lpstr>
      <vt:lpstr>Отчет!GalRepTblFld_M9D16</vt:lpstr>
      <vt:lpstr>Отчет!GalRepTblFld_M9D17</vt:lpstr>
      <vt:lpstr>Отчет!GalRepTblFld_M9D18</vt:lpstr>
      <vt:lpstr>Отчет!GalRepTblFld_M9D19</vt:lpstr>
      <vt:lpstr>Отчет!GalRepTblFld_M9D2</vt:lpstr>
      <vt:lpstr>Отчет!GalRepTblFld_M9D20</vt:lpstr>
      <vt:lpstr>Отчет!GalRepTblFld_M9D21</vt:lpstr>
      <vt:lpstr>Отчет!GalRepTblFld_M9D22</vt:lpstr>
      <vt:lpstr>Отчет!GalRepTblFld_M9D23</vt:lpstr>
      <vt:lpstr>Отчет!GalRepTblFld_M9D24</vt:lpstr>
      <vt:lpstr>Отчет!GalRepTblFld_M9D25</vt:lpstr>
      <vt:lpstr>Отчет!GalRepTblFld_M9D26</vt:lpstr>
      <vt:lpstr>Отчет!GalRepTblFld_M9D27</vt:lpstr>
      <vt:lpstr>Отчет!GalRepTblFld_M9D28</vt:lpstr>
      <vt:lpstr>Отчет!GalRepTblFld_M9D29</vt:lpstr>
      <vt:lpstr>Отчет!GalRepTblFld_M9D3</vt:lpstr>
      <vt:lpstr>Отчет!GalRepTblFld_M9D30</vt:lpstr>
      <vt:lpstr>Отчет!GalRepTblFld_M9D31</vt:lpstr>
      <vt:lpstr>Отчет!GalRepTblFld_M9D4</vt:lpstr>
      <vt:lpstr>Отчет!GalRepTblFld_M9D5</vt:lpstr>
      <vt:lpstr>Отчет!GalRepTblFld_M9D6</vt:lpstr>
      <vt:lpstr>Отчет!GalRepTblFld_M9D7</vt:lpstr>
      <vt:lpstr>Отчет!GalRepTblFld_M9D8</vt:lpstr>
      <vt:lpstr>Отчет!GalRepTblFld_M9D9</vt:lpstr>
      <vt:lpstr>Отчет!GalRepTblFld_M9Visible</vt:lpstr>
      <vt:lpstr>Отчет!GalRepTblFld_NameGrafic</vt:lpstr>
      <vt:lpstr>Отчет!GalRepTblFld_PersonCex</vt:lpstr>
      <vt:lpstr>Отчет!GalRepTblFld_PersonDol</vt:lpstr>
      <vt:lpstr>Отчет!GalRepTblFld_PersonName</vt:lpstr>
      <vt:lpstr>Отчет!GalRepTblFld_Podpis1Dol</vt:lpstr>
      <vt:lpstr>Отчет!GalRepTblFld_Podpis1FIO</vt:lpstr>
      <vt:lpstr>Отчет!GalRepTblFld_Podpis2Dol</vt:lpstr>
      <vt:lpstr>Отчет!GalRepTblFld_Podpis2FIO</vt:lpstr>
      <vt:lpstr>Отчет!GalRepTblFld_Q1V</vt:lpstr>
      <vt:lpstr>Отчет!GalRepTblFld_Q2V</vt:lpstr>
      <vt:lpstr>Отчет!GalRepTblFld_Q3V</vt:lpstr>
      <vt:lpstr>Отчет!GalRepTblFld_Q4V</vt:lpstr>
      <vt:lpstr>Отчет!GalRepTblFld_Sogl2Dol</vt:lpstr>
      <vt:lpstr>Отчет!GalRepTblFld_Sogl2FIO</vt:lpstr>
      <vt:lpstr>Отчет!GalRepTblFld_SoglDol</vt:lpstr>
      <vt:lpstr>Отчет!GalRepTblFld_SoglFIO</vt:lpstr>
      <vt:lpstr>Отчет!GalRepTblFld_UtvrDol</vt:lpstr>
      <vt:lpstr>Отчет!GalRepTblFld_UtvrFIO</vt:lpstr>
      <vt:lpstr>Отчет!GalRepTblFld_WeekHour</vt:lpstr>
      <vt:lpstr>Отчет!GalRepTblFld_wYear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Аляксандр Валента</dc:creator>
  <cp:lastModifiedBy>Аляксандр Валента</cp:lastModifiedBy>
  <dcterms:created xsi:type="dcterms:W3CDTF">2017-04-06T19:22:41Z</dcterms:created>
  <dcterms:modified xsi:type="dcterms:W3CDTF">2017-04-16T23:15:46Z</dcterms:modified>
</cp:coreProperties>
</file>