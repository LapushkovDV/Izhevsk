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ЭтаКнига" defaultThemeVersion="153222"/>
  <mc:AlternateContent xmlns:mc="http://schemas.openxmlformats.org/markup-compatibility/2006">
    <mc:Choice Requires="x15">
      <x15ac:absPath xmlns:x15ac="http://schemas.microsoft.com/office/spreadsheetml/2010/11/ac" url="S:\GALPRO\WRK\GP_469_RKStat\DOC\"/>
    </mc:Choice>
  </mc:AlternateContent>
  <bookViews>
    <workbookView xWindow="0" yWindow="0" windowWidth="19200" windowHeight="11445" activeTab="3"/>
  </bookViews>
  <sheets>
    <sheet name="Порядок заполнения" sheetId="13" r:id="rId1"/>
    <sheet name="1-к" sheetId="1" r:id="rId2"/>
    <sheet name="2-к" sheetId="12" r:id="rId3"/>
    <sheet name="3-к" sheetId="36" r:id="rId4"/>
    <sheet name="4-к" sheetId="35" r:id="rId5"/>
    <sheet name="5-к" sheetId="5" r:id="rId6"/>
    <sheet name="6-к" sheetId="15" r:id="rId7"/>
    <sheet name="7-к" sheetId="17" r:id="rId8"/>
    <sheet name="8-к" sheetId="40" r:id="rId9"/>
    <sheet name="9-к" sheetId="11" r:id="rId10"/>
    <sheet name="10-к" sheetId="20" r:id="rId11"/>
    <sheet name="11-к" sheetId="21" r:id="rId12"/>
    <sheet name="12-к" sheetId="23" r:id="rId13"/>
    <sheet name="13-к (для ВУЗов)" sheetId="24" r:id="rId14"/>
    <sheet name="13-1-к (для ССУЗов)" sheetId="41" r:id="rId15"/>
    <sheet name="14-к" sheetId="28" r:id="rId16"/>
    <sheet name="15-к" sheetId="29" r:id="rId17"/>
    <sheet name="16-к" sheetId="43" r:id="rId18"/>
    <sheet name="УЗиНП" sheetId="32" r:id="rId19"/>
    <sheet name="Перечни" sheetId="42" r:id="rId20"/>
    <sheet name="Перекладка НПиС" sheetId="39" r:id="rId21"/>
    <sheet name="Глоссарий" sheetId="16" r:id="rId22"/>
    <sheet name="Сроки представления" sheetId="8" r:id="rId23"/>
  </sheets>
  <definedNames>
    <definedName name="TblEntry" comment="Поля, заполняемые из стандартных списков." localSheetId="14">'13-1-к (для ССУЗов)'!$B$7:$D$70</definedName>
    <definedName name="TblEntry" comment="Поля, заполняемые из стандартных списков." localSheetId="13">'13-к (для ВУЗов)'!$B$7:$D$70</definedName>
    <definedName name="tlbLists" comment="Списки выбора" localSheetId="14">#REF!</definedName>
    <definedName name="tlbLists" comment="Списки выбора" localSheetId="8">#REF!</definedName>
    <definedName name="tlbLists" comment="Списки выбора">#REF!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8" i="43" l="1"/>
  <c r="D27" i="43"/>
  <c r="D26" i="43"/>
  <c r="D25" i="43"/>
  <c r="D24" i="43"/>
  <c r="B6" i="43"/>
  <c r="C6" i="43" s="1"/>
  <c r="D55" i="36" l="1"/>
  <c r="D21" i="36" l="1"/>
  <c r="D20" i="36"/>
  <c r="E35" i="15" l="1"/>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M59" i="23" l="1"/>
  <c r="N59" i="23"/>
  <c r="L56" i="23"/>
  <c r="M56" i="23"/>
  <c r="N56" i="23"/>
  <c r="O56" i="23"/>
  <c r="L65" i="23"/>
  <c r="M65" i="23"/>
  <c r="N65" i="23"/>
  <c r="O65" i="23"/>
  <c r="L62" i="23"/>
  <c r="M62" i="23"/>
  <c r="N62" i="23"/>
  <c r="O62" i="23"/>
  <c r="L59" i="23"/>
  <c r="O59" i="23"/>
  <c r="L53" i="23"/>
  <c r="M53" i="23"/>
  <c r="N53" i="23"/>
  <c r="O53" i="23"/>
  <c r="T50" i="23"/>
  <c r="O51" i="23" s="1"/>
  <c r="S50" i="23"/>
  <c r="N51" i="23" s="1"/>
  <c r="R50" i="23"/>
  <c r="Q50" i="23"/>
  <c r="L51" i="23" s="1"/>
  <c r="T47" i="23"/>
  <c r="O48" i="23" s="1"/>
  <c r="S47" i="23"/>
  <c r="N48" i="23" s="1"/>
  <c r="R47" i="23"/>
  <c r="M48" i="23" s="1"/>
  <c r="Q47" i="23"/>
  <c r="T44" i="23"/>
  <c r="S44" i="23"/>
  <c r="R44" i="23"/>
  <c r="Q44" i="23"/>
  <c r="T41" i="23"/>
  <c r="S41" i="23"/>
  <c r="R41" i="23"/>
  <c r="M42" i="23" s="1"/>
  <c r="Q41" i="23"/>
  <c r="L42" i="23" s="1"/>
  <c r="T38" i="23"/>
  <c r="S38" i="23"/>
  <c r="R38" i="23"/>
  <c r="M39" i="23" s="1"/>
  <c r="Q38" i="23"/>
  <c r="L39" i="23" s="1"/>
  <c r="T35" i="23"/>
  <c r="O36" i="23" s="1"/>
  <c r="S35" i="23"/>
  <c r="N36" i="23" s="1"/>
  <c r="R35" i="23"/>
  <c r="M36" i="23" s="1"/>
  <c r="Q35" i="23"/>
  <c r="L36" i="23" s="1"/>
  <c r="T32" i="23"/>
  <c r="O33" i="23" s="1"/>
  <c r="S32" i="23"/>
  <c r="N33" i="23" s="1"/>
  <c r="R32" i="23"/>
  <c r="M33" i="23" s="1"/>
  <c r="Q32" i="23"/>
  <c r="T29" i="23"/>
  <c r="O30" i="23" s="1"/>
  <c r="S29" i="23"/>
  <c r="N30" i="23" s="1"/>
  <c r="R29" i="23"/>
  <c r="M30" i="23" s="1"/>
  <c r="Q29" i="23"/>
  <c r="Q26" i="23"/>
  <c r="L27" i="23" s="1"/>
  <c r="T26" i="23"/>
  <c r="O27" i="23" s="1"/>
  <c r="S26" i="23"/>
  <c r="N27" i="23" s="1"/>
  <c r="R26" i="23"/>
  <c r="T23" i="23"/>
  <c r="O24" i="23" s="1"/>
  <c r="S23" i="23"/>
  <c r="R23" i="23"/>
  <c r="M24" i="23" s="1"/>
  <c r="Q23" i="23"/>
  <c r="P23" i="23" s="1"/>
  <c r="T20" i="23"/>
  <c r="O21" i="23" s="1"/>
  <c r="S20" i="23"/>
  <c r="N21" i="23" s="1"/>
  <c r="R20" i="23"/>
  <c r="M21" i="23" s="1"/>
  <c r="Q20" i="23"/>
  <c r="T17" i="23"/>
  <c r="O18" i="23" s="1"/>
  <c r="S17" i="23"/>
  <c r="N18" i="23" s="1"/>
  <c r="R17" i="23"/>
  <c r="M18" i="23" s="1"/>
  <c r="Q17" i="23"/>
  <c r="L18" i="23" s="1"/>
  <c r="T14" i="23"/>
  <c r="O15" i="23" s="1"/>
  <c r="S14" i="23"/>
  <c r="R14" i="23"/>
  <c r="Q14" i="23"/>
  <c r="T11" i="23"/>
  <c r="S11" i="23"/>
  <c r="R11" i="23"/>
  <c r="Q11" i="23"/>
  <c r="P11" i="23" s="1"/>
  <c r="H53" i="23"/>
  <c r="M51" i="23"/>
  <c r="N42" i="23"/>
  <c r="O39" i="23"/>
  <c r="N39" i="23"/>
  <c r="O12" i="23"/>
  <c r="N12" i="23"/>
  <c r="M12" i="23"/>
  <c r="L12" i="23"/>
  <c r="Q8" i="23"/>
  <c r="L9" i="23" s="1"/>
  <c r="T8" i="23"/>
  <c r="O9" i="23" s="1"/>
  <c r="S8" i="23"/>
  <c r="N9" i="23" s="1"/>
  <c r="R8" i="23"/>
  <c r="M9" i="23" s="1"/>
  <c r="R51" i="23" l="1"/>
  <c r="S39" i="23"/>
  <c r="P38" i="23"/>
  <c r="P41" i="23"/>
  <c r="T48" i="23"/>
  <c r="S24" i="23"/>
  <c r="T36" i="23"/>
  <c r="T33" i="23"/>
  <c r="T27" i="23"/>
  <c r="P26" i="23"/>
  <c r="T24" i="23"/>
  <c r="T30" i="23"/>
  <c r="S36" i="23"/>
  <c r="N24" i="23"/>
  <c r="S30" i="23"/>
  <c r="S33" i="23"/>
  <c r="S27" i="23"/>
  <c r="R30" i="23"/>
  <c r="R33" i="23"/>
  <c r="R27" i="23"/>
  <c r="M27" i="23"/>
  <c r="R24" i="23"/>
  <c r="R36" i="23"/>
  <c r="L24" i="23"/>
  <c r="Q27" i="23"/>
  <c r="Q30" i="23"/>
  <c r="Q36" i="23"/>
  <c r="Q33" i="23"/>
  <c r="Q24" i="23"/>
  <c r="Q21" i="23"/>
  <c r="P8" i="23"/>
  <c r="R9" i="23"/>
  <c r="R39" i="23"/>
  <c r="N45" i="23"/>
  <c r="T39" i="23"/>
  <c r="O45" i="23"/>
  <c r="P44" i="23"/>
  <c r="T42" i="23"/>
  <c r="S48" i="23"/>
  <c r="R48" i="23"/>
  <c r="P50" i="23"/>
  <c r="S51" i="23"/>
  <c r="T51" i="23"/>
  <c r="T45" i="23"/>
  <c r="S42" i="23"/>
  <c r="S45" i="23"/>
  <c r="R42" i="23"/>
  <c r="R45" i="23"/>
  <c r="M45" i="23"/>
  <c r="Q51" i="23"/>
  <c r="L45" i="23"/>
  <c r="Q45" i="23"/>
  <c r="P47" i="23"/>
  <c r="Q39" i="23"/>
  <c r="Q48" i="23"/>
  <c r="Q42" i="23"/>
  <c r="P29" i="23"/>
  <c r="P35" i="23"/>
  <c r="P32" i="23"/>
  <c r="L33" i="23"/>
  <c r="L30" i="23"/>
  <c r="P20" i="23"/>
  <c r="S21" i="23"/>
  <c r="M15" i="23"/>
  <c r="L21" i="23"/>
  <c r="R18" i="23"/>
  <c r="E18" i="23"/>
  <c r="R12" i="23"/>
  <c r="R15" i="23"/>
  <c r="R21" i="23"/>
  <c r="N15" i="23"/>
  <c r="F18" i="23"/>
  <c r="T9" i="23"/>
  <c r="T12" i="23"/>
  <c r="T15" i="23"/>
  <c r="T21" i="23"/>
  <c r="S18" i="23"/>
  <c r="S12" i="23"/>
  <c r="S15" i="23"/>
  <c r="S9" i="23"/>
  <c r="T18" i="23"/>
  <c r="D18" i="23"/>
  <c r="Q9" i="23"/>
  <c r="Q15" i="23"/>
  <c r="Q12" i="23"/>
  <c r="Q18" i="23"/>
  <c r="L15" i="23"/>
  <c r="P17" i="23"/>
  <c r="L48" i="23"/>
  <c r="O42" i="23"/>
  <c r="P14" i="23"/>
  <c r="K9" i="23"/>
  <c r="J9" i="23"/>
  <c r="F9" i="23"/>
  <c r="G9" i="23"/>
  <c r="P45" i="23" l="1"/>
  <c r="P36" i="23"/>
  <c r="P27" i="23"/>
  <c r="P33" i="23"/>
  <c r="P24" i="23"/>
  <c r="P30" i="23"/>
  <c r="P48" i="23"/>
  <c r="P39" i="23"/>
  <c r="P51" i="23"/>
  <c r="P42" i="23"/>
  <c r="P21" i="23"/>
  <c r="P9" i="23"/>
  <c r="P15" i="23"/>
  <c r="P12" i="23"/>
  <c r="P18" i="23"/>
  <c r="A6" i="36" l="1"/>
  <c r="A5" i="40"/>
  <c r="X22" i="1" l="1"/>
  <c r="O48" i="1"/>
  <c r="O47" i="1"/>
  <c r="O46" i="1"/>
  <c r="O45" i="1"/>
  <c r="O44" i="1"/>
  <c r="L48" i="1"/>
  <c r="L47" i="1"/>
  <c r="L46" i="1"/>
  <c r="L45" i="1"/>
  <c r="I48" i="1"/>
  <c r="I47" i="1"/>
  <c r="I46" i="1"/>
  <c r="I45" i="1"/>
  <c r="I44" i="1"/>
  <c r="U48" i="1"/>
  <c r="U47" i="1"/>
  <c r="U46" i="1"/>
  <c r="U45" i="1"/>
  <c r="U44" i="1"/>
  <c r="R48" i="1"/>
  <c r="R47" i="1"/>
  <c r="R46" i="1"/>
  <c r="R45" i="1"/>
  <c r="R44" i="1"/>
  <c r="L44" i="1"/>
  <c r="I35" i="1"/>
  <c r="I34" i="1"/>
  <c r="I36" i="1"/>
  <c r="F36" i="1"/>
  <c r="F47" i="1"/>
  <c r="F46" i="1"/>
  <c r="F45" i="1"/>
  <c r="G53" i="23" l="1"/>
  <c r="I9" i="23"/>
  <c r="D51" i="21"/>
  <c r="D60" i="21"/>
  <c r="D57" i="21"/>
  <c r="D54" i="21"/>
  <c r="D48" i="21"/>
  <c r="D45" i="21"/>
  <c r="D42" i="21"/>
  <c r="D36" i="21"/>
  <c r="D40" i="21"/>
  <c r="D32" i="21"/>
  <c r="D28" i="21"/>
  <c r="D24" i="21"/>
  <c r="D8" i="20"/>
  <c r="D32" i="20"/>
  <c r="D34" i="20"/>
  <c r="D30" i="20"/>
  <c r="D28" i="20"/>
  <c r="D26" i="20"/>
  <c r="D24" i="20"/>
  <c r="D22" i="20"/>
  <c r="D20" i="20"/>
  <c r="D18" i="20"/>
  <c r="D16" i="20"/>
  <c r="D14" i="20"/>
  <c r="D11" i="20"/>
  <c r="D39" i="35"/>
  <c r="D37" i="35"/>
  <c r="P39" i="35"/>
  <c r="O39" i="35"/>
  <c r="N39" i="35"/>
  <c r="M39" i="35"/>
  <c r="L39" i="35"/>
  <c r="K39" i="35"/>
  <c r="J39" i="35"/>
  <c r="I39" i="35"/>
  <c r="H39" i="35"/>
  <c r="G39" i="35"/>
  <c r="F39" i="35"/>
  <c r="E39" i="35"/>
  <c r="P37" i="35"/>
  <c r="O37" i="35"/>
  <c r="N37" i="35"/>
  <c r="M37" i="35"/>
  <c r="L37" i="35"/>
  <c r="K37" i="35"/>
  <c r="J37" i="35"/>
  <c r="I37" i="35"/>
  <c r="H37" i="35"/>
  <c r="G37" i="35"/>
  <c r="F37" i="35"/>
  <c r="E37" i="35"/>
  <c r="P35" i="35"/>
  <c r="O35" i="35"/>
  <c r="N35" i="35"/>
  <c r="M35" i="35"/>
  <c r="L35" i="35"/>
  <c r="K35" i="35"/>
  <c r="J35" i="35"/>
  <c r="I35" i="35"/>
  <c r="H35" i="35"/>
  <c r="G35" i="35"/>
  <c r="F35" i="35"/>
  <c r="E35" i="35"/>
  <c r="D35" i="35"/>
  <c r="P33" i="35"/>
  <c r="O33" i="35"/>
  <c r="N33" i="35"/>
  <c r="M33" i="35"/>
  <c r="L33" i="35"/>
  <c r="K33" i="35"/>
  <c r="J33" i="35"/>
  <c r="I33" i="35"/>
  <c r="H33" i="35"/>
  <c r="G33" i="35"/>
  <c r="F33" i="35"/>
  <c r="E33" i="35"/>
  <c r="D33" i="35"/>
  <c r="P31" i="35"/>
  <c r="O31" i="35"/>
  <c r="N31" i="35"/>
  <c r="M31" i="35"/>
  <c r="L31" i="35"/>
  <c r="K31" i="35"/>
  <c r="J31" i="35"/>
  <c r="I31" i="35"/>
  <c r="H31" i="35"/>
  <c r="G31" i="35"/>
  <c r="F31" i="35"/>
  <c r="E31" i="35"/>
  <c r="P29" i="35"/>
  <c r="O29" i="35"/>
  <c r="N29" i="35"/>
  <c r="M29" i="35"/>
  <c r="L29" i="35"/>
  <c r="K29" i="35"/>
  <c r="J29" i="35"/>
  <c r="I29" i="35"/>
  <c r="H29" i="35"/>
  <c r="G29" i="35"/>
  <c r="F29" i="35"/>
  <c r="E29" i="35"/>
  <c r="D29" i="35"/>
  <c r="F27" i="35"/>
  <c r="E25" i="35"/>
  <c r="P27" i="35"/>
  <c r="O27" i="35"/>
  <c r="N27" i="35"/>
  <c r="M27" i="35"/>
  <c r="L27" i="35"/>
  <c r="K27" i="35"/>
  <c r="J27" i="35"/>
  <c r="I27" i="35"/>
  <c r="H27" i="35"/>
  <c r="G27" i="35"/>
  <c r="E27" i="35"/>
  <c r="D27" i="35"/>
  <c r="P25" i="35"/>
  <c r="O25" i="35"/>
  <c r="N25" i="35"/>
  <c r="M25" i="35"/>
  <c r="L25" i="35"/>
  <c r="K25" i="35"/>
  <c r="J25" i="35"/>
  <c r="I25" i="35"/>
  <c r="H25" i="35"/>
  <c r="G25" i="35"/>
  <c r="F25" i="35"/>
  <c r="D25" i="35"/>
  <c r="P23" i="35"/>
  <c r="O23" i="35"/>
  <c r="N23" i="35"/>
  <c r="M23" i="35"/>
  <c r="L23" i="35"/>
  <c r="K23" i="35"/>
  <c r="J23" i="35"/>
  <c r="I23" i="35"/>
  <c r="H23" i="35"/>
  <c r="G23" i="35"/>
  <c r="F23" i="35"/>
  <c r="E23" i="35"/>
  <c r="D23" i="35"/>
  <c r="D20" i="35"/>
  <c r="P20" i="35"/>
  <c r="O20" i="35"/>
  <c r="N20" i="35"/>
  <c r="M20" i="35"/>
  <c r="L20" i="35"/>
  <c r="K20" i="35"/>
  <c r="J20" i="35"/>
  <c r="I20" i="35"/>
  <c r="H20" i="35"/>
  <c r="G20" i="35"/>
  <c r="F20" i="35"/>
  <c r="E20" i="35"/>
  <c r="P18" i="35"/>
  <c r="O18" i="35"/>
  <c r="N18" i="35"/>
  <c r="M18" i="35"/>
  <c r="L18" i="35"/>
  <c r="K18" i="35"/>
  <c r="J18" i="35"/>
  <c r="I18" i="35"/>
  <c r="H18" i="35"/>
  <c r="G18" i="35"/>
  <c r="F18" i="35"/>
  <c r="E18" i="35"/>
  <c r="D18" i="35"/>
  <c r="N16" i="35"/>
  <c r="N12" i="35"/>
  <c r="P16" i="35"/>
  <c r="O16" i="35"/>
  <c r="M16" i="35"/>
  <c r="L16" i="35"/>
  <c r="K16" i="35"/>
  <c r="J16" i="35"/>
  <c r="I16" i="35"/>
  <c r="H16" i="35"/>
  <c r="G16" i="35"/>
  <c r="F16" i="35"/>
  <c r="E16" i="35"/>
  <c r="P14" i="35"/>
  <c r="O14" i="35"/>
  <c r="N14" i="35"/>
  <c r="M14" i="35"/>
  <c r="L14" i="35"/>
  <c r="K14" i="35"/>
  <c r="J14" i="35"/>
  <c r="I14" i="35"/>
  <c r="H14" i="35"/>
  <c r="G14" i="35"/>
  <c r="F14" i="35"/>
  <c r="E14" i="35"/>
  <c r="D14" i="35"/>
  <c r="P12" i="35"/>
  <c r="O12" i="35"/>
  <c r="M12" i="35"/>
  <c r="L12" i="35"/>
  <c r="K12" i="35"/>
  <c r="J12" i="35"/>
  <c r="I12" i="35"/>
  <c r="H12" i="35"/>
  <c r="G12" i="35"/>
  <c r="F12" i="35"/>
  <c r="E12" i="35"/>
  <c r="D12" i="35"/>
  <c r="M8" i="35"/>
  <c r="P8" i="35"/>
  <c r="O8" i="35"/>
  <c r="N8" i="35"/>
  <c r="L8" i="35"/>
  <c r="K8" i="35"/>
  <c r="J8" i="35"/>
  <c r="I8" i="35"/>
  <c r="H8" i="35"/>
  <c r="G8" i="35"/>
  <c r="F8" i="35"/>
  <c r="P10" i="35"/>
  <c r="O10" i="35"/>
  <c r="N10" i="35"/>
  <c r="M10" i="35"/>
  <c r="L10" i="35"/>
  <c r="K10" i="35"/>
  <c r="J10" i="35"/>
  <c r="I10" i="35"/>
  <c r="H10" i="35"/>
  <c r="G10" i="35"/>
  <c r="F10" i="35"/>
  <c r="E10" i="35"/>
  <c r="D10" i="35"/>
  <c r="E8" i="35"/>
  <c r="D8" i="35"/>
  <c r="D41" i="36"/>
  <c r="X6" i="1"/>
  <c r="G6" i="1" l="1"/>
  <c r="P6" i="1"/>
  <c r="J6" i="1"/>
  <c r="M6" i="1"/>
  <c r="S6" i="1"/>
  <c r="V6" i="1"/>
  <c r="O106" i="24" l="1"/>
  <c r="P106" i="24"/>
  <c r="N106" i="24"/>
  <c r="M106" i="24"/>
  <c r="L106" i="24"/>
  <c r="F106" i="24"/>
  <c r="G106" i="24"/>
  <c r="H106" i="24"/>
  <c r="I106" i="24"/>
  <c r="J106" i="24"/>
  <c r="K106" i="24"/>
  <c r="E106" i="24"/>
  <c r="D72" i="29" l="1"/>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7" i="28"/>
  <c r="D8" i="41"/>
  <c r="D9" i="41"/>
  <c r="D10" i="41"/>
  <c r="D11" i="41"/>
  <c r="D12" i="41"/>
  <c r="D13" i="41"/>
  <c r="D14" i="41"/>
  <c r="D15" i="41"/>
  <c r="D16" i="41"/>
  <c r="D17" i="41"/>
  <c r="D18" i="41"/>
  <c r="D19" i="41"/>
  <c r="D20" i="41"/>
  <c r="D21" i="41"/>
  <c r="D22" i="41"/>
  <c r="D23" i="41"/>
  <c r="D24" i="41"/>
  <c r="D25" i="41"/>
  <c r="D26" i="41"/>
  <c r="D27" i="41"/>
  <c r="D28" i="41"/>
  <c r="D29" i="41"/>
  <c r="D30" i="41"/>
  <c r="D31" i="41"/>
  <c r="D32" i="41"/>
  <c r="D33" i="41"/>
  <c r="D34" i="41"/>
  <c r="D35" i="41"/>
  <c r="D36" i="41"/>
  <c r="D37" i="41"/>
  <c r="D38" i="41"/>
  <c r="D39" i="41"/>
  <c r="D40" i="41"/>
  <c r="D41" i="41"/>
  <c r="D42" i="41"/>
  <c r="D43" i="41"/>
  <c r="D44" i="41"/>
  <c r="D45" i="41"/>
  <c r="D46" i="41"/>
  <c r="D47" i="41"/>
  <c r="D48" i="41"/>
  <c r="D49" i="41"/>
  <c r="D50" i="41"/>
  <c r="D51" i="41"/>
  <c r="D52" i="41"/>
  <c r="D53" i="41"/>
  <c r="D54" i="41"/>
  <c r="D55" i="41"/>
  <c r="D56" i="41"/>
  <c r="D57" i="41"/>
  <c r="D58" i="41"/>
  <c r="D59" i="41"/>
  <c r="D60" i="41"/>
  <c r="D61" i="41"/>
  <c r="D62" i="41"/>
  <c r="D63" i="41"/>
  <c r="D64" i="41"/>
  <c r="D65" i="41"/>
  <c r="D66" i="41"/>
  <c r="D67" i="41"/>
  <c r="D68" i="41"/>
  <c r="D69" i="41"/>
  <c r="D70" i="41"/>
  <c r="D7" i="41"/>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7" i="24"/>
  <c r="I306" i="28" l="1"/>
  <c r="J306" i="28"/>
  <c r="P71" i="41" l="1"/>
  <c r="O71" i="41"/>
  <c r="N71" i="41"/>
  <c r="M71" i="41"/>
  <c r="L71" i="41"/>
  <c r="K71" i="41"/>
  <c r="J71" i="41"/>
  <c r="I71" i="41"/>
  <c r="H71" i="41"/>
  <c r="G71" i="41"/>
  <c r="F71" i="41"/>
  <c r="E71" i="41"/>
  <c r="A7" i="41"/>
  <c r="A8" i="41" s="1"/>
  <c r="A9" i="41" s="1"/>
  <c r="A10" i="41" s="1"/>
  <c r="A11" i="41" s="1"/>
  <c r="A12" i="41" s="1"/>
  <c r="A13" i="41" s="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A38" i="41" s="1"/>
  <c r="A39" i="41" s="1"/>
  <c r="A40" i="41" s="1"/>
  <c r="A41" i="41" s="1"/>
  <c r="A42" i="41" s="1"/>
  <c r="A43" i="41" s="1"/>
  <c r="A44" i="41" s="1"/>
  <c r="A45" i="41" s="1"/>
  <c r="A46" i="41" s="1"/>
  <c r="A47" i="41" s="1"/>
  <c r="A48" i="41" s="1"/>
  <c r="A49" i="41" s="1"/>
  <c r="A50" i="41" s="1"/>
  <c r="A51" i="41" s="1"/>
  <c r="A52" i="41" s="1"/>
  <c r="A53" i="41" s="1"/>
  <c r="A54" i="41" s="1"/>
  <c r="A55" i="41" s="1"/>
  <c r="A56" i="41" s="1"/>
  <c r="A57" i="41" s="1"/>
  <c r="A58" i="41" s="1"/>
  <c r="A59" i="41" s="1"/>
  <c r="A60" i="41" s="1"/>
  <c r="A61" i="41" s="1"/>
  <c r="A62" i="41" s="1"/>
  <c r="A63" i="41" s="1"/>
  <c r="A64" i="41" s="1"/>
  <c r="A65" i="41" s="1"/>
  <c r="A66" i="41" s="1"/>
  <c r="A67" i="41" s="1"/>
  <c r="A68" i="41" s="1"/>
  <c r="A69" i="41" s="1"/>
  <c r="A70" i="41" s="1"/>
  <c r="B6" i="41"/>
  <c r="C6" i="41" s="1"/>
  <c r="D6" i="41" s="1"/>
  <c r="E6" i="41" s="1"/>
  <c r="F6" i="41" s="1"/>
  <c r="G6" i="41" s="1"/>
  <c r="H6" i="41" s="1"/>
  <c r="I6" i="41" s="1"/>
  <c r="J6" i="41" s="1"/>
  <c r="K6" i="41" s="1"/>
  <c r="L6" i="41" s="1"/>
  <c r="M6" i="41" s="1"/>
  <c r="N6" i="41" s="1"/>
  <c r="O6" i="41" s="1"/>
  <c r="P6" i="41" s="1"/>
  <c r="E306" i="28" l="1"/>
  <c r="AO27" i="40" l="1"/>
  <c r="AL27" i="40"/>
  <c r="AI27" i="40"/>
  <c r="AF27" i="40"/>
  <c r="AC27" i="40"/>
  <c r="Z27" i="40"/>
  <c r="W27" i="40"/>
  <c r="T27" i="40"/>
  <c r="Q27" i="40"/>
  <c r="N27" i="40"/>
  <c r="K27" i="40"/>
  <c r="H27" i="40"/>
  <c r="E27" i="40"/>
  <c r="AM25" i="40"/>
  <c r="AJ25" i="40"/>
  <c r="AG25" i="40"/>
  <c r="AD25" i="40"/>
  <c r="AA25" i="40"/>
  <c r="X25" i="40"/>
  <c r="U25" i="40"/>
  <c r="R25" i="40"/>
  <c r="O25" i="40"/>
  <c r="L25" i="40"/>
  <c r="I25" i="40"/>
  <c r="F25" i="40"/>
  <c r="C25" i="40"/>
  <c r="AM23" i="40"/>
  <c r="AJ23" i="40"/>
  <c r="AG23" i="40"/>
  <c r="AD23" i="40"/>
  <c r="AA23" i="40"/>
  <c r="X23" i="40"/>
  <c r="U23" i="40"/>
  <c r="R23" i="40"/>
  <c r="O23" i="40"/>
  <c r="L23" i="40"/>
  <c r="I23" i="40"/>
  <c r="F23" i="40"/>
  <c r="C23" i="40"/>
  <c r="AO20" i="40"/>
  <c r="AL20" i="40"/>
  <c r="AI20" i="40"/>
  <c r="AF20" i="40"/>
  <c r="AC20" i="40"/>
  <c r="Z20" i="40"/>
  <c r="W20" i="40"/>
  <c r="T20" i="40"/>
  <c r="Q20" i="40"/>
  <c r="N20" i="40"/>
  <c r="K20" i="40"/>
  <c r="H20" i="40"/>
  <c r="E20" i="40"/>
  <c r="AM18" i="40"/>
  <c r="AJ18" i="40"/>
  <c r="AG18" i="40"/>
  <c r="AD18" i="40"/>
  <c r="AA18" i="40"/>
  <c r="X18" i="40"/>
  <c r="U18" i="40"/>
  <c r="R18" i="40"/>
  <c r="O18" i="40"/>
  <c r="L18" i="40"/>
  <c r="I18" i="40"/>
  <c r="F18" i="40"/>
  <c r="C18" i="40"/>
  <c r="A6" i="40"/>
  <c r="A7" i="40" s="1"/>
  <c r="A8" i="40" s="1"/>
  <c r="A9" i="40" s="1"/>
  <c r="A10" i="40" s="1"/>
  <c r="A11" i="40" s="1"/>
  <c r="A12" i="40" s="1"/>
  <c r="A13" i="40" s="1"/>
  <c r="A14" i="40" s="1"/>
  <c r="A15" i="40" s="1"/>
  <c r="A16" i="40" s="1"/>
  <c r="A17" i="40" s="1"/>
  <c r="A18" i="40" s="1"/>
  <c r="A19" i="40" s="1"/>
  <c r="A20" i="40" s="1"/>
  <c r="A21" i="40" s="1"/>
  <c r="A22" i="40" s="1"/>
  <c r="A23" i="40" s="1"/>
  <c r="A24" i="40" s="1"/>
  <c r="A25" i="40" s="1"/>
  <c r="A26" i="40" s="1"/>
  <c r="A27" i="40" s="1"/>
  <c r="D19" i="21" l="1"/>
  <c r="D8" i="21"/>
  <c r="M36" i="35"/>
  <c r="N36" i="35"/>
  <c r="O36" i="35"/>
  <c r="M38" i="35"/>
  <c r="N38" i="35"/>
  <c r="O38" i="35"/>
  <c r="M30" i="35"/>
  <c r="N30" i="35"/>
  <c r="O30" i="35"/>
  <c r="M15" i="35"/>
  <c r="N15" i="35"/>
  <c r="O15" i="35"/>
  <c r="F44" i="1" l="1"/>
  <c r="F48" i="1"/>
  <c r="U37" i="1"/>
  <c r="U36" i="1"/>
  <c r="U35" i="1"/>
  <c r="U34" i="1"/>
  <c r="R37" i="1"/>
  <c r="R36" i="1"/>
  <c r="R35" i="1"/>
  <c r="R34" i="1"/>
  <c r="O37" i="1"/>
  <c r="O36" i="1"/>
  <c r="O35" i="1"/>
  <c r="O34" i="1"/>
  <c r="L37" i="1"/>
  <c r="L36" i="1"/>
  <c r="L35" i="1"/>
  <c r="L34" i="1"/>
  <c r="I37" i="1"/>
  <c r="F37" i="1"/>
  <c r="F35" i="1"/>
  <c r="F34" i="1"/>
  <c r="X33" i="1"/>
  <c r="X29" i="1"/>
  <c r="X30" i="1"/>
  <c r="D51" i="36" l="1"/>
  <c r="D65" i="36"/>
  <c r="S33" i="1"/>
  <c r="G33" i="1"/>
  <c r="V33" i="1"/>
  <c r="P33" i="1"/>
  <c r="M33" i="1"/>
  <c r="J33" i="1"/>
  <c r="G30" i="1"/>
  <c r="S30" i="1"/>
  <c r="M30" i="1"/>
  <c r="J30" i="1"/>
  <c r="P30" i="1"/>
  <c r="V30" i="1"/>
  <c r="P29" i="1"/>
  <c r="M29" i="1"/>
  <c r="S29" i="1"/>
  <c r="V29" i="1"/>
  <c r="J29" i="1"/>
  <c r="G29" i="1"/>
  <c r="U34" i="12" l="1"/>
  <c r="R34" i="12"/>
  <c r="O34" i="12"/>
  <c r="L34" i="12"/>
  <c r="I34" i="12"/>
  <c r="F34" i="12"/>
  <c r="U46" i="12" l="1"/>
  <c r="R46" i="12"/>
  <c r="O46" i="12"/>
  <c r="L46" i="12"/>
  <c r="I46" i="12"/>
  <c r="F46" i="12"/>
  <c r="U45" i="12"/>
  <c r="R45" i="12"/>
  <c r="O45" i="12"/>
  <c r="L45" i="12"/>
  <c r="I45" i="12"/>
  <c r="F45" i="12"/>
  <c r="U44" i="12"/>
  <c r="R44" i="12"/>
  <c r="O44" i="12"/>
  <c r="L44" i="12"/>
  <c r="I44" i="12"/>
  <c r="F44" i="12"/>
  <c r="U36" i="12"/>
  <c r="U35" i="12"/>
  <c r="R36" i="12"/>
  <c r="R35" i="12"/>
  <c r="O36" i="12"/>
  <c r="O35" i="12"/>
  <c r="L36" i="12"/>
  <c r="L35" i="12"/>
  <c r="I36" i="12"/>
  <c r="I35" i="12"/>
  <c r="F36" i="12"/>
  <c r="F35" i="12"/>
  <c r="X29" i="12"/>
  <c r="X30" i="12"/>
  <c r="J30" i="12" l="1"/>
  <c r="V30" i="12"/>
  <c r="M30" i="12"/>
  <c r="P30" i="12"/>
  <c r="S30" i="12"/>
  <c r="G30" i="12"/>
  <c r="S29" i="12"/>
  <c r="G29" i="12"/>
  <c r="V29" i="12"/>
  <c r="M29" i="12"/>
  <c r="J29" i="12"/>
  <c r="P29" i="12"/>
  <c r="D67" i="36"/>
  <c r="D53" i="36"/>
  <c r="U48" i="12"/>
  <c r="R48" i="12"/>
  <c r="O48" i="12"/>
  <c r="L48" i="12"/>
  <c r="I48" i="12"/>
  <c r="F48" i="12"/>
  <c r="X33" i="12"/>
  <c r="U37" i="12"/>
  <c r="R37" i="12"/>
  <c r="O37" i="12"/>
  <c r="L37" i="12"/>
  <c r="I37" i="12"/>
  <c r="F37" i="12"/>
  <c r="S33" i="12" l="1"/>
  <c r="G33" i="12"/>
  <c r="J33" i="12"/>
  <c r="V33" i="12"/>
  <c r="M33" i="12"/>
  <c r="P33" i="12"/>
  <c r="A2" i="13"/>
  <c r="A3" i="13" s="1"/>
  <c r="A4" i="13" s="1"/>
  <c r="A5" i="13" s="1"/>
  <c r="A6" i="13" s="1"/>
  <c r="A8" i="13" s="1"/>
  <c r="A9" i="13" s="1"/>
  <c r="A10" i="13" s="1"/>
  <c r="A11" i="13" s="1"/>
  <c r="A13" i="13" s="1"/>
  <c r="A14" i="13" s="1"/>
  <c r="A9" i="29"/>
  <c r="A7" i="28"/>
  <c r="A7" i="24"/>
  <c r="A7" i="36" l="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B5" i="36"/>
  <c r="C5" i="36" s="1"/>
  <c r="D5" i="36" s="1"/>
  <c r="U73" i="29" l="1"/>
  <c r="V73" i="29"/>
  <c r="W73" i="29"/>
  <c r="X10" i="29"/>
  <c r="X11" i="29"/>
  <c r="X12" i="29"/>
  <c r="X13" i="29"/>
  <c r="X14" i="29"/>
  <c r="X15" i="29"/>
  <c r="X16" i="29"/>
  <c r="X17" i="29"/>
  <c r="X18" i="29"/>
  <c r="X19" i="29"/>
  <c r="X20" i="29"/>
  <c r="X21" i="29"/>
  <c r="X22" i="29"/>
  <c r="X23" i="29"/>
  <c r="X24" i="29"/>
  <c r="X25" i="29"/>
  <c r="X26" i="29"/>
  <c r="X27" i="29"/>
  <c r="X28" i="29"/>
  <c r="X29" i="29"/>
  <c r="X30" i="29"/>
  <c r="X31" i="29"/>
  <c r="X32" i="29"/>
  <c r="X33" i="29"/>
  <c r="X34" i="29"/>
  <c r="X35" i="29"/>
  <c r="X36" i="29"/>
  <c r="X37" i="29"/>
  <c r="X38" i="29"/>
  <c r="X39" i="29"/>
  <c r="X40" i="29"/>
  <c r="X41" i="29"/>
  <c r="X42" i="29"/>
  <c r="X43" i="29"/>
  <c r="X44" i="29"/>
  <c r="X45" i="29"/>
  <c r="X46" i="29"/>
  <c r="X47" i="29"/>
  <c r="X48" i="29"/>
  <c r="X49" i="29"/>
  <c r="X50" i="29"/>
  <c r="X51" i="29"/>
  <c r="X52" i="29"/>
  <c r="X53" i="29"/>
  <c r="X54" i="29"/>
  <c r="X55" i="29"/>
  <c r="X56" i="29"/>
  <c r="X57" i="29"/>
  <c r="X58" i="29"/>
  <c r="X59" i="29"/>
  <c r="X60" i="29"/>
  <c r="X61" i="29"/>
  <c r="X62" i="29"/>
  <c r="X63" i="29"/>
  <c r="X64" i="29"/>
  <c r="X65" i="29"/>
  <c r="X66" i="29"/>
  <c r="X67" i="29"/>
  <c r="X68" i="29"/>
  <c r="X69" i="29"/>
  <c r="X70" i="29"/>
  <c r="X71" i="29"/>
  <c r="X72" i="29"/>
  <c r="X9" i="29"/>
  <c r="AO10" i="29"/>
  <c r="AO11" i="29"/>
  <c r="AO12" i="29"/>
  <c r="AO13" i="29"/>
  <c r="AO14" i="29"/>
  <c r="AO15" i="29"/>
  <c r="AO16" i="29"/>
  <c r="AO17" i="29"/>
  <c r="AO18" i="29"/>
  <c r="AO19" i="29"/>
  <c r="AO20" i="29"/>
  <c r="AO21" i="29"/>
  <c r="AO22" i="29"/>
  <c r="AO23" i="29"/>
  <c r="AO24" i="29"/>
  <c r="AO25" i="29"/>
  <c r="AO26" i="29"/>
  <c r="AO27" i="29"/>
  <c r="AO28" i="29"/>
  <c r="AO29" i="29"/>
  <c r="AO30" i="29"/>
  <c r="AO31" i="29"/>
  <c r="AO32" i="29"/>
  <c r="AO33" i="29"/>
  <c r="AO34" i="29"/>
  <c r="AO35" i="29"/>
  <c r="AO36" i="29"/>
  <c r="AO37" i="29"/>
  <c r="AO38" i="29"/>
  <c r="AO39" i="29"/>
  <c r="AO40" i="29"/>
  <c r="AO41" i="29"/>
  <c r="AO42" i="29"/>
  <c r="AO43" i="29"/>
  <c r="AO44" i="29"/>
  <c r="AO45" i="29"/>
  <c r="AO46" i="29"/>
  <c r="AO47" i="29"/>
  <c r="AO48" i="29"/>
  <c r="AO49" i="29"/>
  <c r="AO50" i="29"/>
  <c r="AO51" i="29"/>
  <c r="AO52" i="29"/>
  <c r="AO53" i="29"/>
  <c r="AO54" i="29"/>
  <c r="AO55" i="29"/>
  <c r="AO56" i="29"/>
  <c r="AO57" i="29"/>
  <c r="AO58" i="29"/>
  <c r="AO59" i="29"/>
  <c r="AO60" i="29"/>
  <c r="AO61" i="29"/>
  <c r="AO62" i="29"/>
  <c r="AO63" i="29"/>
  <c r="AO64" i="29"/>
  <c r="AO65" i="29"/>
  <c r="AO66" i="29"/>
  <c r="AO67" i="29"/>
  <c r="AO68" i="29"/>
  <c r="AO69" i="29"/>
  <c r="AO70" i="29"/>
  <c r="AO71" i="29"/>
  <c r="AO72" i="29"/>
  <c r="AO9" i="29"/>
  <c r="AO73" i="29" l="1"/>
  <c r="P38" i="35" l="1"/>
  <c r="L38" i="35"/>
  <c r="K38" i="35"/>
  <c r="J38" i="35"/>
  <c r="I38" i="35"/>
  <c r="H38" i="35"/>
  <c r="G38" i="35"/>
  <c r="F38" i="35"/>
  <c r="E38" i="35"/>
  <c r="D38" i="35"/>
  <c r="P36" i="35"/>
  <c r="L36" i="35"/>
  <c r="K36" i="35"/>
  <c r="J36" i="35"/>
  <c r="I36" i="35"/>
  <c r="H36" i="35"/>
  <c r="G36" i="35"/>
  <c r="F36" i="35"/>
  <c r="E36" i="35"/>
  <c r="D36" i="35"/>
  <c r="P30" i="35"/>
  <c r="L30" i="35"/>
  <c r="K30" i="35"/>
  <c r="J30" i="35"/>
  <c r="I30" i="35"/>
  <c r="H30" i="35"/>
  <c r="G30" i="35"/>
  <c r="F30" i="35"/>
  <c r="E30" i="35"/>
  <c r="D30" i="35"/>
  <c r="D31" i="35" s="1"/>
  <c r="P15" i="35"/>
  <c r="L15" i="35"/>
  <c r="K15" i="35"/>
  <c r="J15" i="35"/>
  <c r="I15" i="35"/>
  <c r="H15" i="35"/>
  <c r="G15" i="35"/>
  <c r="F15" i="35"/>
  <c r="E15" i="35"/>
  <c r="D15" i="35"/>
  <c r="D16" i="35" s="1"/>
  <c r="A5" i="35"/>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B4" i="35"/>
  <c r="C4" i="35" s="1"/>
  <c r="D4" i="35" s="1"/>
  <c r="E4" i="35" s="1"/>
  <c r="F4" i="35" s="1"/>
  <c r="G4" i="35" s="1"/>
  <c r="H4" i="35" s="1"/>
  <c r="I4" i="35" s="1"/>
  <c r="J4" i="35" s="1"/>
  <c r="K4" i="35" s="1"/>
  <c r="L4" i="35" s="1"/>
  <c r="M4" i="35" s="1"/>
  <c r="N4" i="35" s="1"/>
  <c r="O4" i="35" s="1"/>
  <c r="P4" i="35" s="1"/>
  <c r="H49" i="17" l="1"/>
  <c r="G49" i="17"/>
  <c r="H11" i="17"/>
  <c r="G11" i="17"/>
  <c r="H10" i="17"/>
  <c r="G10" i="17"/>
  <c r="H9" i="17"/>
  <c r="G9" i="17"/>
  <c r="H8" i="17"/>
  <c r="G8" i="17"/>
  <c r="E49" i="17"/>
  <c r="D49" i="17"/>
  <c r="E11" i="17"/>
  <c r="E10" i="17"/>
  <c r="E9" i="17"/>
  <c r="E8" i="17"/>
  <c r="D11" i="17"/>
  <c r="D10" i="17"/>
  <c r="D9" i="17"/>
  <c r="D8" i="17"/>
  <c r="G7" i="17" l="1"/>
  <c r="H7" i="17"/>
  <c r="X42" i="12" l="1"/>
  <c r="X41" i="12"/>
  <c r="X40" i="12"/>
  <c r="X39" i="12"/>
  <c r="X32" i="12"/>
  <c r="X19" i="12"/>
  <c r="X20" i="12"/>
  <c r="X21" i="12"/>
  <c r="X22" i="12"/>
  <c r="X23" i="12"/>
  <c r="X24" i="12"/>
  <c r="X25" i="12"/>
  <c r="X26" i="12"/>
  <c r="X27" i="12"/>
  <c r="X28" i="12"/>
  <c r="X31" i="12"/>
  <c r="X18" i="12"/>
  <c r="X17" i="12"/>
  <c r="X8" i="12"/>
  <c r="X9" i="12"/>
  <c r="X10" i="12"/>
  <c r="X11" i="12"/>
  <c r="X7" i="12"/>
  <c r="X6" i="12"/>
  <c r="R47" i="12"/>
  <c r="R15" i="12"/>
  <c r="R14" i="12"/>
  <c r="R13" i="12"/>
  <c r="R12" i="12"/>
  <c r="P9" i="12" l="1"/>
  <c r="M9" i="12"/>
  <c r="V9" i="12"/>
  <c r="S9" i="12"/>
  <c r="G9" i="12"/>
  <c r="J9" i="12"/>
  <c r="V31" i="12"/>
  <c r="M31" i="12"/>
  <c r="S31" i="12"/>
  <c r="P31" i="12"/>
  <c r="G31" i="12"/>
  <c r="J31" i="12"/>
  <c r="S25" i="12"/>
  <c r="G25" i="12"/>
  <c r="J25" i="12"/>
  <c r="V25" i="12"/>
  <c r="M25" i="12"/>
  <c r="P25" i="12"/>
  <c r="S21" i="12"/>
  <c r="G21" i="12"/>
  <c r="V21" i="12"/>
  <c r="M21" i="12"/>
  <c r="J21" i="12"/>
  <c r="P21" i="12"/>
  <c r="J39" i="12"/>
  <c r="V39" i="12"/>
  <c r="M39" i="12"/>
  <c r="P39" i="12"/>
  <c r="G39" i="12"/>
  <c r="S39" i="12"/>
  <c r="V7" i="12"/>
  <c r="J7" i="12"/>
  <c r="P7" i="12"/>
  <c r="M7" i="12"/>
  <c r="G7" i="12"/>
  <c r="S7" i="12"/>
  <c r="P8" i="12"/>
  <c r="S8" i="12"/>
  <c r="V8" i="12"/>
  <c r="G8" i="12"/>
  <c r="J8" i="12"/>
  <c r="M8" i="12"/>
  <c r="P28" i="12"/>
  <c r="S28" i="12"/>
  <c r="G28" i="12"/>
  <c r="J28" i="12"/>
  <c r="V28" i="12"/>
  <c r="M28" i="12"/>
  <c r="P24" i="12"/>
  <c r="J24" i="12"/>
  <c r="S24" i="12"/>
  <c r="G24" i="12"/>
  <c r="V24" i="12"/>
  <c r="M24" i="12"/>
  <c r="P20" i="12"/>
  <c r="V20" i="12"/>
  <c r="S20" i="12"/>
  <c r="G20" i="12"/>
  <c r="J20" i="12"/>
  <c r="M20" i="12"/>
  <c r="V40" i="12"/>
  <c r="M40" i="12"/>
  <c r="S40" i="12"/>
  <c r="P40" i="12"/>
  <c r="G40" i="12"/>
  <c r="J40" i="12"/>
  <c r="V11" i="12"/>
  <c r="J11" i="12"/>
  <c r="M11" i="12"/>
  <c r="P11" i="12"/>
  <c r="S11" i="12"/>
  <c r="G11" i="12"/>
  <c r="S17" i="12"/>
  <c r="G17" i="12"/>
  <c r="V17" i="12"/>
  <c r="J17" i="12"/>
  <c r="M17" i="12"/>
  <c r="P17" i="12"/>
  <c r="V27" i="12"/>
  <c r="M27" i="12"/>
  <c r="G27" i="12"/>
  <c r="P27" i="12"/>
  <c r="S27" i="12"/>
  <c r="J27" i="12"/>
  <c r="V23" i="12"/>
  <c r="M23" i="12"/>
  <c r="S23" i="12"/>
  <c r="P23" i="12"/>
  <c r="G23" i="12"/>
  <c r="J23" i="12"/>
  <c r="M19" i="12"/>
  <c r="G19" i="12"/>
  <c r="P19" i="12"/>
  <c r="S19" i="12"/>
  <c r="V19" i="12"/>
  <c r="J19" i="12"/>
  <c r="P41" i="12"/>
  <c r="J41" i="12"/>
  <c r="S41" i="12"/>
  <c r="G41" i="12"/>
  <c r="V41" i="12"/>
  <c r="M41" i="12"/>
  <c r="S10" i="12"/>
  <c r="G10" i="12"/>
  <c r="V10" i="12"/>
  <c r="J10" i="12"/>
  <c r="P10" i="12"/>
  <c r="M10" i="12"/>
  <c r="V18" i="12"/>
  <c r="J18" i="12"/>
  <c r="M18" i="12"/>
  <c r="P18" i="12"/>
  <c r="S18" i="12"/>
  <c r="G18" i="12"/>
  <c r="J26" i="12"/>
  <c r="P26" i="12"/>
  <c r="V26" i="12"/>
  <c r="M26" i="12"/>
  <c r="G26" i="12"/>
  <c r="S26" i="12"/>
  <c r="J22" i="12"/>
  <c r="V22" i="12"/>
  <c r="M22" i="12"/>
  <c r="P22" i="12"/>
  <c r="S22" i="12"/>
  <c r="G22" i="12"/>
  <c r="P32" i="12"/>
  <c r="J32" i="12"/>
  <c r="S32" i="12"/>
  <c r="G32" i="12"/>
  <c r="V32" i="12"/>
  <c r="M32" i="12"/>
  <c r="S42" i="12"/>
  <c r="G42" i="12"/>
  <c r="J42" i="12"/>
  <c r="V42" i="12"/>
  <c r="M42" i="12"/>
  <c r="P42" i="12"/>
  <c r="V6" i="12"/>
  <c r="S6" i="12"/>
  <c r="P6" i="12"/>
  <c r="M6" i="12"/>
  <c r="J6" i="12"/>
  <c r="G6" i="12"/>
  <c r="X46" i="12"/>
  <c r="X36" i="12"/>
  <c r="X44" i="12"/>
  <c r="X35" i="12"/>
  <c r="X45" i="12"/>
  <c r="X34" i="12"/>
  <c r="X48" i="12"/>
  <c r="X37" i="12"/>
  <c r="J33" i="17"/>
  <c r="K33" i="17"/>
  <c r="I33" i="17"/>
  <c r="S37" i="12" l="1"/>
  <c r="G37" i="12"/>
  <c r="V37" i="12"/>
  <c r="M37" i="12"/>
  <c r="J37" i="12"/>
  <c r="P37" i="12"/>
  <c r="V35" i="12"/>
  <c r="M35" i="12"/>
  <c r="G35" i="12"/>
  <c r="P35" i="12"/>
  <c r="S35" i="12"/>
  <c r="J35" i="12"/>
  <c r="P48" i="12"/>
  <c r="S48" i="12"/>
  <c r="G48" i="12"/>
  <c r="J48" i="12"/>
  <c r="V48" i="12"/>
  <c r="M48" i="12"/>
  <c r="J34" i="12"/>
  <c r="P34" i="12"/>
  <c r="V34" i="12"/>
  <c r="M34" i="12"/>
  <c r="G34" i="12"/>
  <c r="S34" i="12"/>
  <c r="P36" i="12"/>
  <c r="S36" i="12"/>
  <c r="G36" i="12"/>
  <c r="J36" i="12"/>
  <c r="V36" i="12"/>
  <c r="M36" i="12"/>
  <c r="J46" i="12"/>
  <c r="P46" i="12"/>
  <c r="V46" i="12"/>
  <c r="M46" i="12"/>
  <c r="G46" i="12"/>
  <c r="S46" i="12"/>
  <c r="S45" i="12"/>
  <c r="P45" i="12"/>
  <c r="M45" i="12"/>
  <c r="J45" i="12"/>
  <c r="G45" i="12"/>
  <c r="V45" i="12"/>
  <c r="S44" i="12"/>
  <c r="P44" i="12"/>
  <c r="M44" i="12"/>
  <c r="J44" i="12"/>
  <c r="G44" i="12"/>
  <c r="V44" i="12"/>
  <c r="A6" i="21"/>
  <c r="A7" i="21" s="1"/>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K74" i="17" l="1"/>
  <c r="J74" i="17" l="1"/>
  <c r="L74" i="17" s="1"/>
  <c r="I74" i="17"/>
  <c r="F74" i="17"/>
  <c r="A10" i="29" l="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8" i="28"/>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l="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63" i="29"/>
  <c r="A64" i="29" s="1"/>
  <c r="A65" i="29" s="1"/>
  <c r="A66" i="29" s="1"/>
  <c r="A67" i="29" s="1"/>
  <c r="A68" i="29" s="1"/>
  <c r="A69" i="29" s="1"/>
  <c r="A70" i="29" s="1"/>
  <c r="A71" i="29" s="1"/>
  <c r="A72" i="29" s="1"/>
  <c r="A8" i="24" l="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Q73" i="29"/>
  <c r="AP73" i="29"/>
  <c r="AN73" i="29"/>
  <c r="AM73" i="29"/>
  <c r="AL73" i="29"/>
  <c r="AK73" i="29"/>
  <c r="AJ73" i="29"/>
  <c r="AI73" i="29"/>
  <c r="AH73" i="29"/>
  <c r="AG73" i="29"/>
  <c r="AF73" i="29"/>
  <c r="AE73" i="29"/>
  <c r="AD73" i="29"/>
  <c r="AC73" i="29"/>
  <c r="AB73" i="29"/>
  <c r="AA73" i="29"/>
  <c r="Z73" i="29"/>
  <c r="Y73" i="29"/>
  <c r="T73" i="29"/>
  <c r="S73" i="29"/>
  <c r="R73" i="29"/>
  <c r="Q73" i="29"/>
  <c r="P73" i="29"/>
  <c r="O73" i="29"/>
  <c r="N73" i="29"/>
  <c r="M73" i="29"/>
  <c r="L73" i="29"/>
  <c r="K73" i="29"/>
  <c r="J73" i="29"/>
  <c r="I73" i="29"/>
  <c r="H73" i="29"/>
  <c r="G73" i="29"/>
  <c r="F73" i="29"/>
  <c r="B8" i="29"/>
  <c r="V306" i="28"/>
  <c r="U306" i="28"/>
  <c r="T306" i="28"/>
  <c r="S306" i="28"/>
  <c r="R306" i="28"/>
  <c r="Q306" i="28"/>
  <c r="P306" i="28"/>
  <c r="O306" i="28"/>
  <c r="N306" i="28"/>
  <c r="M306" i="28"/>
  <c r="L306" i="28"/>
  <c r="K306" i="28"/>
  <c r="H306" i="28"/>
  <c r="G306" i="28"/>
  <c r="F306" i="28"/>
  <c r="B6" i="28"/>
  <c r="C6" i="28" l="1"/>
  <c r="D6" i="28" s="1"/>
  <c r="E6" i="28" s="1"/>
  <c r="F6" i="28" s="1"/>
  <c r="G6" i="28" s="1"/>
  <c r="H6" i="28" s="1"/>
  <c r="I6" i="28" s="1"/>
  <c r="J6" i="28" s="1"/>
  <c r="K6" i="28" s="1"/>
  <c r="L6" i="28" s="1"/>
  <c r="M6" i="28" s="1"/>
  <c r="N6" i="28" s="1"/>
  <c r="O6" i="28" s="1"/>
  <c r="P6" i="28" s="1"/>
  <c r="Q6" i="28" s="1"/>
  <c r="R6" i="28" s="1"/>
  <c r="S6" i="28" s="1"/>
  <c r="T6" i="28" s="1"/>
  <c r="U6" i="28" s="1"/>
  <c r="V6" i="28" s="1"/>
  <c r="C8" i="29"/>
  <c r="D8" i="29" s="1"/>
  <c r="E8" i="29" s="1"/>
  <c r="F8" i="29" s="1"/>
  <c r="G8" i="29" s="1"/>
  <c r="H8" i="29" s="1"/>
  <c r="I8" i="29" s="1"/>
  <c r="J8" i="29" s="1"/>
  <c r="K8" i="29" s="1"/>
  <c r="L8" i="29" s="1"/>
  <c r="M8" i="29" s="1"/>
  <c r="N8" i="29" s="1"/>
  <c r="O8" i="29" s="1"/>
  <c r="P8" i="29" s="1"/>
  <c r="Q8" i="29" s="1"/>
  <c r="R8" i="29" s="1"/>
  <c r="S8" i="29" s="1"/>
  <c r="T8" i="29" s="1"/>
  <c r="X73" i="29"/>
  <c r="B6" i="24"/>
  <c r="K65" i="23"/>
  <c r="J65" i="23"/>
  <c r="I65" i="23"/>
  <c r="T65" i="23" s="1"/>
  <c r="O66" i="23" s="1"/>
  <c r="H65" i="23"/>
  <c r="G65" i="23"/>
  <c r="F65" i="23"/>
  <c r="E65" i="23"/>
  <c r="D65" i="23"/>
  <c r="Q65" i="23" s="1"/>
  <c r="K62" i="23"/>
  <c r="J62" i="23"/>
  <c r="I62" i="23"/>
  <c r="T62" i="23" s="1"/>
  <c r="O63" i="23" s="1"/>
  <c r="H62" i="23"/>
  <c r="G62" i="23"/>
  <c r="F62" i="23"/>
  <c r="E62" i="23"/>
  <c r="D62" i="23"/>
  <c r="Q62" i="23" s="1"/>
  <c r="K59" i="23"/>
  <c r="J59" i="23"/>
  <c r="I59" i="23"/>
  <c r="T59" i="23" s="1"/>
  <c r="O60" i="23" s="1"/>
  <c r="H59" i="23"/>
  <c r="G59" i="23"/>
  <c r="F59" i="23"/>
  <c r="E59" i="23"/>
  <c r="D59" i="23"/>
  <c r="Q59" i="23" s="1"/>
  <c r="K56" i="23"/>
  <c r="J56" i="23"/>
  <c r="I56" i="23"/>
  <c r="T56" i="23" s="1"/>
  <c r="O57" i="23" s="1"/>
  <c r="H56" i="23"/>
  <c r="G56" i="23"/>
  <c r="F56" i="23"/>
  <c r="E56" i="23"/>
  <c r="D56" i="23"/>
  <c r="Q56" i="23" s="1"/>
  <c r="E53" i="23"/>
  <c r="R53" i="23" s="1"/>
  <c r="F53" i="23"/>
  <c r="S53" i="23" s="1"/>
  <c r="I53" i="23"/>
  <c r="J53" i="23"/>
  <c r="K53" i="23"/>
  <c r="D53" i="23"/>
  <c r="Q53" i="23" s="1"/>
  <c r="F51" i="23"/>
  <c r="F48" i="23"/>
  <c r="F45" i="23"/>
  <c r="F42" i="23"/>
  <c r="F15" i="23"/>
  <c r="A8" i="23"/>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B7" i="23"/>
  <c r="C7" i="23" s="1"/>
  <c r="D7" i="23" s="1"/>
  <c r="E7" i="23" s="1"/>
  <c r="F7" i="23" s="1"/>
  <c r="G7" i="23" s="1"/>
  <c r="H7" i="23" s="1"/>
  <c r="I7" i="23" s="1"/>
  <c r="J7" i="23" s="1"/>
  <c r="K7" i="23" s="1"/>
  <c r="L7" i="23" s="1"/>
  <c r="M7" i="23" s="1"/>
  <c r="N7" i="23" s="1"/>
  <c r="O7" i="23" s="1"/>
  <c r="P7" i="23" s="1"/>
  <c r="Q7" i="23" s="1"/>
  <c r="R7" i="23" s="1"/>
  <c r="S7" i="23" s="1"/>
  <c r="T7" i="23" s="1"/>
  <c r="F36" i="23"/>
  <c r="F33" i="23"/>
  <c r="F30" i="23"/>
  <c r="F27" i="23"/>
  <c r="F21" i="23"/>
  <c r="F12" i="23"/>
  <c r="L60" i="23" l="1"/>
  <c r="L66" i="23"/>
  <c r="R56" i="23"/>
  <c r="M57" i="23" s="1"/>
  <c r="R59" i="23"/>
  <c r="M60" i="23" s="1"/>
  <c r="R62" i="23"/>
  <c r="M63" i="23" s="1"/>
  <c r="R65" i="23"/>
  <c r="M66" i="23" s="1"/>
  <c r="L57" i="23"/>
  <c r="L63" i="23"/>
  <c r="Q66" i="23"/>
  <c r="F57" i="23"/>
  <c r="S56" i="23"/>
  <c r="N57" i="23" s="1"/>
  <c r="F60" i="23"/>
  <c r="S59" i="23"/>
  <c r="N60" i="23" s="1"/>
  <c r="S62" i="23"/>
  <c r="N63" i="23" s="1"/>
  <c r="F66" i="23"/>
  <c r="S65" i="23"/>
  <c r="N66" i="23" s="1"/>
  <c r="U8" i="29"/>
  <c r="V8" i="29" s="1"/>
  <c r="W8" i="29" s="1"/>
  <c r="X8" i="29" s="1"/>
  <c r="Y8" i="29" s="1"/>
  <c r="Z8" i="29" s="1"/>
  <c r="AA8" i="29" s="1"/>
  <c r="AB8" i="29" s="1"/>
  <c r="AC8" i="29" s="1"/>
  <c r="AD8" i="29" s="1"/>
  <c r="AE8" i="29" s="1"/>
  <c r="AF8" i="29" s="1"/>
  <c r="AG8" i="29" s="1"/>
  <c r="AH8" i="29" s="1"/>
  <c r="AI8" i="29" s="1"/>
  <c r="AJ8" i="29" s="1"/>
  <c r="AK8" i="29" s="1"/>
  <c r="AL8" i="29" s="1"/>
  <c r="AM8" i="29" s="1"/>
  <c r="AN8" i="29" s="1"/>
  <c r="AO8" i="29" s="1"/>
  <c r="AP8" i="29" s="1"/>
  <c r="AQ8" i="29" s="1"/>
  <c r="T53" i="23"/>
  <c r="O54" i="23" s="1"/>
  <c r="R66" i="23"/>
  <c r="R57" i="23"/>
  <c r="M54" i="23"/>
  <c r="R60" i="23"/>
  <c r="R54" i="23"/>
  <c r="R63" i="23"/>
  <c r="Q57" i="23"/>
  <c r="Q63" i="23"/>
  <c r="L54" i="23"/>
  <c r="Q54" i="23"/>
  <c r="Q60" i="23"/>
  <c r="N54" i="23"/>
  <c r="S57" i="23"/>
  <c r="S60" i="23"/>
  <c r="S63" i="23"/>
  <c r="S54" i="23"/>
  <c r="S66" i="23"/>
  <c r="G66" i="23"/>
  <c r="D66" i="23"/>
  <c r="G21" i="23"/>
  <c r="D21" i="23"/>
  <c r="J12" i="23"/>
  <c r="I12" i="23"/>
  <c r="K12" i="23"/>
  <c r="I18" i="23"/>
  <c r="K18" i="23"/>
  <c r="J18" i="23"/>
  <c r="K39" i="23"/>
  <c r="J39" i="23"/>
  <c r="I39" i="23"/>
  <c r="K45" i="23"/>
  <c r="J45" i="23"/>
  <c r="I45" i="23"/>
  <c r="K51" i="23"/>
  <c r="J51" i="23"/>
  <c r="I51" i="23"/>
  <c r="H18" i="23"/>
  <c r="D24" i="23"/>
  <c r="G24" i="23"/>
  <c r="H24" i="23"/>
  <c r="E24" i="23"/>
  <c r="I21" i="23"/>
  <c r="J21" i="23"/>
  <c r="K21" i="23"/>
  <c r="G42" i="23"/>
  <c r="D42" i="23"/>
  <c r="J24" i="23"/>
  <c r="I24" i="23"/>
  <c r="K24" i="23"/>
  <c r="H48" i="23"/>
  <c r="E48" i="23"/>
  <c r="H33" i="23"/>
  <c r="E33" i="23"/>
  <c r="K30" i="23"/>
  <c r="J30" i="23"/>
  <c r="I30" i="23"/>
  <c r="K15" i="23"/>
  <c r="I15" i="23"/>
  <c r="J15" i="23"/>
  <c r="K42" i="23"/>
  <c r="J42" i="23"/>
  <c r="I42" i="23"/>
  <c r="J48" i="23"/>
  <c r="K48" i="23"/>
  <c r="I48" i="23"/>
  <c r="F54" i="23"/>
  <c r="H60" i="23"/>
  <c r="E60" i="23"/>
  <c r="H21" i="23"/>
  <c r="E21" i="23"/>
  <c r="D15" i="23"/>
  <c r="G15" i="23"/>
  <c r="D30" i="23"/>
  <c r="G30" i="23"/>
  <c r="H27" i="23"/>
  <c r="E27" i="23"/>
  <c r="E15" i="23"/>
  <c r="H15" i="23"/>
  <c r="H66" i="23"/>
  <c r="D33" i="23"/>
  <c r="G33" i="23"/>
  <c r="D9" i="23"/>
  <c r="H9" i="23"/>
  <c r="E9" i="23"/>
  <c r="J33" i="23"/>
  <c r="I33" i="23"/>
  <c r="K33" i="23"/>
  <c r="D39" i="23"/>
  <c r="G39" i="23"/>
  <c r="D45" i="23"/>
  <c r="G45" i="23"/>
  <c r="D51" i="23"/>
  <c r="G51" i="23"/>
  <c r="F39" i="23"/>
  <c r="E57" i="23"/>
  <c r="H57" i="23"/>
  <c r="D27" i="23"/>
  <c r="G27" i="23"/>
  <c r="G48" i="23"/>
  <c r="D48" i="23"/>
  <c r="F24" i="23"/>
  <c r="E42" i="23"/>
  <c r="H42" i="23"/>
  <c r="H30" i="23"/>
  <c r="E30" i="23"/>
  <c r="J27" i="23"/>
  <c r="K27" i="23"/>
  <c r="I27" i="23"/>
  <c r="D36" i="23"/>
  <c r="G36" i="23"/>
  <c r="D12" i="23"/>
  <c r="G12" i="23"/>
  <c r="H36" i="23"/>
  <c r="E36" i="23"/>
  <c r="G18" i="23"/>
  <c r="H12" i="23"/>
  <c r="E12" i="23"/>
  <c r="K36" i="23"/>
  <c r="J36" i="23"/>
  <c r="I36" i="23"/>
  <c r="E39" i="23"/>
  <c r="H39" i="23"/>
  <c r="H45" i="23"/>
  <c r="E45" i="23"/>
  <c r="E51" i="23"/>
  <c r="H51" i="23"/>
  <c r="C6" i="24"/>
  <c r="D6" i="24" s="1"/>
  <c r="E6" i="24" s="1"/>
  <c r="F6" i="24" s="1"/>
  <c r="G6" i="24" s="1"/>
  <c r="H6" i="24" s="1"/>
  <c r="I6" i="24" s="1"/>
  <c r="J6" i="24" s="1"/>
  <c r="K6" i="24" s="1"/>
  <c r="L6" i="24" s="1"/>
  <c r="M6" i="24" s="1"/>
  <c r="N6" i="24" s="1"/>
  <c r="O6" i="24" s="1"/>
  <c r="P6" i="24" s="1"/>
  <c r="E66" i="23" l="1"/>
  <c r="P62" i="23"/>
  <c r="P65" i="23"/>
  <c r="F63" i="23"/>
  <c r="P56" i="23"/>
  <c r="P59" i="23"/>
  <c r="T63" i="23"/>
  <c r="P53" i="23"/>
  <c r="P60" i="23" s="1"/>
  <c r="T54" i="23"/>
  <c r="T57" i="23"/>
  <c r="T66" i="23"/>
  <c r="T60" i="23"/>
  <c r="G63" i="23"/>
  <c r="D63" i="23"/>
  <c r="D54" i="23"/>
  <c r="G54" i="23"/>
  <c r="H63" i="23"/>
  <c r="E63" i="23"/>
  <c r="H54" i="23"/>
  <c r="E54" i="23"/>
  <c r="K63" i="23"/>
  <c r="I63" i="23"/>
  <c r="J63" i="23"/>
  <c r="G57" i="23"/>
  <c r="D57" i="23"/>
  <c r="G60" i="23"/>
  <c r="D60" i="23"/>
  <c r="J60" i="23"/>
  <c r="I60" i="23"/>
  <c r="K60" i="23"/>
  <c r="K66" i="23"/>
  <c r="J66" i="23"/>
  <c r="I66" i="23"/>
  <c r="K54" i="23"/>
  <c r="J54" i="23"/>
  <c r="I54" i="23"/>
  <c r="I57" i="23"/>
  <c r="K57" i="23"/>
  <c r="J57" i="23"/>
  <c r="P54" i="23" l="1"/>
  <c r="P66" i="23"/>
  <c r="P63" i="23"/>
  <c r="P57" i="23"/>
  <c r="A8" i="2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B5" i="21"/>
  <c r="C5" i="21" s="1"/>
  <c r="D5" i="21" s="1"/>
  <c r="B5" i="20" l="1"/>
  <c r="C5" i="20" s="1"/>
  <c r="D5" i="20" s="1"/>
  <c r="E9" i="15" l="1"/>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6" i="15"/>
  <c r="E7" i="15"/>
  <c r="E8" i="15"/>
  <c r="A5" i="11" l="1"/>
  <c r="B5" i="11" s="1"/>
  <c r="C5" i="11" s="1"/>
  <c r="D5" i="11" s="1"/>
  <c r="A6" i="11" l="1"/>
  <c r="A7" i="11" s="1"/>
  <c r="A8" i="11" s="1"/>
  <c r="A9" i="11" s="1"/>
  <c r="A7" i="17" l="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B6" i="17"/>
  <c r="C6" i="17" s="1"/>
  <c r="D6" i="17" s="1"/>
  <c r="E6" i="17" s="1"/>
  <c r="F6" i="17" s="1"/>
  <c r="G6" i="17" l="1"/>
  <c r="H6" i="17" s="1"/>
  <c r="I6" i="17" s="1"/>
  <c r="J6" i="17" s="1"/>
  <c r="K6" i="17" s="1"/>
  <c r="F71" i="17"/>
  <c r="I71" i="17"/>
  <c r="K71" i="17"/>
  <c r="J71" i="17"/>
  <c r="J77" i="17"/>
  <c r="J49" i="17"/>
  <c r="G47" i="17"/>
  <c r="E47" i="17"/>
  <c r="J42" i="17"/>
  <c r="J47" i="17" s="1"/>
  <c r="H46" i="17"/>
  <c r="G46" i="17"/>
  <c r="E46" i="17"/>
  <c r="D46" i="17"/>
  <c r="H45" i="17"/>
  <c r="D45" i="17"/>
  <c r="G44" i="17"/>
  <c r="E44" i="17"/>
  <c r="D44" i="17"/>
  <c r="D17" i="17"/>
  <c r="L6" i="17" l="1"/>
  <c r="J9" i="17"/>
  <c r="J27" i="17"/>
  <c r="L71" i="17"/>
  <c r="J72" i="17"/>
  <c r="J41" i="17"/>
  <c r="J46" i="17" s="1"/>
  <c r="F48" i="17"/>
  <c r="I48" i="17"/>
  <c r="F39" i="17"/>
  <c r="I40" i="17"/>
  <c r="J48" i="17"/>
  <c r="I61" i="17"/>
  <c r="I57" i="17"/>
  <c r="I53" i="17"/>
  <c r="J40" i="17"/>
  <c r="J45" i="17" s="1"/>
  <c r="K66" i="17"/>
  <c r="F67" i="17"/>
  <c r="I64" i="17"/>
  <c r="I60" i="17"/>
  <c r="K20" i="17"/>
  <c r="I26" i="17"/>
  <c r="K26" i="17"/>
  <c r="F30" i="17"/>
  <c r="F23" i="17"/>
  <c r="K31" i="17"/>
  <c r="F15" i="17"/>
  <c r="J23" i="17"/>
  <c r="F36" i="17"/>
  <c r="F37" i="17"/>
  <c r="F24" i="17"/>
  <c r="D7" i="17"/>
  <c r="I10" i="17"/>
  <c r="K14" i="17"/>
  <c r="J28" i="17"/>
  <c r="I9" i="17"/>
  <c r="E7" i="17"/>
  <c r="K10" i="17"/>
  <c r="J15" i="17"/>
  <c r="F19" i="17"/>
  <c r="F32" i="17"/>
  <c r="F46" i="17"/>
  <c r="H13" i="17"/>
  <c r="K16" i="17"/>
  <c r="I22" i="17"/>
  <c r="J30" i="17"/>
  <c r="J35" i="17"/>
  <c r="J11" i="17"/>
  <c r="J16" i="17"/>
  <c r="J31" i="17"/>
  <c r="J10" i="17"/>
  <c r="F11" i="17"/>
  <c r="F16" i="17"/>
  <c r="J19" i="17"/>
  <c r="H25" i="17"/>
  <c r="F28" i="17"/>
  <c r="F31" i="17"/>
  <c r="J32" i="17"/>
  <c r="G34" i="17"/>
  <c r="J36" i="17"/>
  <c r="J37" i="17"/>
  <c r="F9" i="17"/>
  <c r="I16" i="17"/>
  <c r="J20" i="17"/>
  <c r="F20" i="17"/>
  <c r="J24" i="17"/>
  <c r="E29" i="17"/>
  <c r="E34" i="17"/>
  <c r="F55" i="17"/>
  <c r="I78" i="17"/>
  <c r="K78" i="17"/>
  <c r="F63" i="17"/>
  <c r="F59" i="17"/>
  <c r="K51" i="17"/>
  <c r="J62" i="17"/>
  <c r="J58" i="17"/>
  <c r="J54" i="17"/>
  <c r="K63" i="17"/>
  <c r="K59" i="17"/>
  <c r="K55" i="17"/>
  <c r="J75" i="17"/>
  <c r="F68" i="17"/>
  <c r="I68" i="17"/>
  <c r="F70" i="17"/>
  <c r="F73" i="17"/>
  <c r="F75" i="17"/>
  <c r="F61" i="17"/>
  <c r="F57" i="17"/>
  <c r="F53" i="17"/>
  <c r="J66" i="17"/>
  <c r="I56" i="17"/>
  <c r="I62" i="17"/>
  <c r="I58" i="17"/>
  <c r="I54" i="17"/>
  <c r="F51" i="17"/>
  <c r="J65" i="17"/>
  <c r="F65" i="17"/>
  <c r="K76" i="17"/>
  <c r="F78" i="17"/>
  <c r="J61" i="17"/>
  <c r="J57" i="17"/>
  <c r="J53" i="17"/>
  <c r="F62" i="17"/>
  <c r="F58" i="17"/>
  <c r="F54" i="17"/>
  <c r="F69" i="17"/>
  <c r="J69" i="17"/>
  <c r="F79" i="17"/>
  <c r="J79" i="17"/>
  <c r="J80" i="17"/>
  <c r="F64" i="17"/>
  <c r="F60" i="17"/>
  <c r="F56" i="17"/>
  <c r="F52" i="17"/>
  <c r="J63" i="17"/>
  <c r="J59" i="17"/>
  <c r="J55" i="17"/>
  <c r="K64" i="17"/>
  <c r="K60" i="17"/>
  <c r="K56" i="17"/>
  <c r="K52" i="17"/>
  <c r="I52" i="17"/>
  <c r="J76" i="17"/>
  <c r="K62" i="17"/>
  <c r="K58" i="17"/>
  <c r="K54" i="17"/>
  <c r="F76" i="17"/>
  <c r="I63" i="17"/>
  <c r="I59" i="17"/>
  <c r="J64" i="17"/>
  <c r="J60" i="17"/>
  <c r="J56" i="17"/>
  <c r="L56" i="17" s="1"/>
  <c r="J52" i="17"/>
  <c r="K61" i="17"/>
  <c r="K57" i="17"/>
  <c r="K53" i="17"/>
  <c r="J51" i="17"/>
  <c r="F66" i="17"/>
  <c r="J67" i="17"/>
  <c r="K68" i="17"/>
  <c r="J70" i="17"/>
  <c r="J73" i="17"/>
  <c r="I76" i="17"/>
  <c r="J78" i="17"/>
  <c r="F80" i="17"/>
  <c r="I55" i="17"/>
  <c r="J68" i="17"/>
  <c r="F8" i="17"/>
  <c r="J18" i="17"/>
  <c r="G17" i="17"/>
  <c r="I19" i="17"/>
  <c r="K19" i="17"/>
  <c r="F22" i="17"/>
  <c r="E21" i="17"/>
  <c r="K32" i="17"/>
  <c r="I32" i="17"/>
  <c r="K37" i="17"/>
  <c r="I37" i="17"/>
  <c r="K39" i="17"/>
  <c r="H38" i="17"/>
  <c r="I39" i="17"/>
  <c r="H44" i="17"/>
  <c r="I44" i="17" s="1"/>
  <c r="I8" i="17"/>
  <c r="D13" i="17"/>
  <c r="J14" i="17"/>
  <c r="G13" i="17"/>
  <c r="K15" i="17"/>
  <c r="I15" i="17"/>
  <c r="E17" i="17"/>
  <c r="F17" i="17" s="1"/>
  <c r="F18" i="17"/>
  <c r="F40" i="17"/>
  <c r="E45" i="17"/>
  <c r="F45" i="17" s="1"/>
  <c r="E38" i="17"/>
  <c r="K67" i="17"/>
  <c r="I67" i="17"/>
  <c r="K73" i="17"/>
  <c r="K8" i="17"/>
  <c r="K9" i="17"/>
  <c r="I11" i="17"/>
  <c r="F14" i="17"/>
  <c r="E13" i="17"/>
  <c r="I18" i="17"/>
  <c r="H21" i="17"/>
  <c r="K22" i="17"/>
  <c r="I24" i="17"/>
  <c r="D25" i="17"/>
  <c r="J26" i="17"/>
  <c r="G25" i="17"/>
  <c r="F27" i="17"/>
  <c r="I27" i="17"/>
  <c r="K27" i="17"/>
  <c r="G29" i="17"/>
  <c r="I31" i="17"/>
  <c r="D38" i="17"/>
  <c r="D43" i="17" s="1"/>
  <c r="J39" i="17"/>
  <c r="F42" i="17"/>
  <c r="K42" i="17"/>
  <c r="I42" i="17"/>
  <c r="H47" i="17"/>
  <c r="I47" i="17" s="1"/>
  <c r="I46" i="17"/>
  <c r="D47" i="17"/>
  <c r="F47" i="17" s="1"/>
  <c r="F49" i="17"/>
  <c r="K49" i="17"/>
  <c r="L49" i="17" s="1"/>
  <c r="I49" i="17"/>
  <c r="I70" i="17"/>
  <c r="F77" i="17"/>
  <c r="K77" i="17"/>
  <c r="L77" i="17" s="1"/>
  <c r="I77" i="17"/>
  <c r="J8" i="17"/>
  <c r="F10" i="17"/>
  <c r="K11" i="17"/>
  <c r="I14" i="17"/>
  <c r="H17" i="17"/>
  <c r="K18" i="17"/>
  <c r="I20" i="17"/>
  <c r="D21" i="17"/>
  <c r="J22" i="17"/>
  <c r="G21" i="17"/>
  <c r="K23" i="17"/>
  <c r="I23" i="17"/>
  <c r="K24" i="17"/>
  <c r="E25" i="17"/>
  <c r="F26" i="17"/>
  <c r="I36" i="17"/>
  <c r="F44" i="17"/>
  <c r="K40" i="17"/>
  <c r="G38" i="17"/>
  <c r="G43" i="17" s="1"/>
  <c r="I66" i="17"/>
  <c r="F72" i="17"/>
  <c r="K72" i="17"/>
  <c r="I72" i="17"/>
  <c r="I80" i="17"/>
  <c r="I30" i="17"/>
  <c r="K30" i="17"/>
  <c r="H29" i="17"/>
  <c r="D34" i="17"/>
  <c r="I65" i="17"/>
  <c r="K65" i="17"/>
  <c r="I75" i="17"/>
  <c r="K75" i="17"/>
  <c r="I28" i="17"/>
  <c r="K28" i="17"/>
  <c r="D29" i="17"/>
  <c r="F35" i="17"/>
  <c r="I35" i="17"/>
  <c r="K35" i="17"/>
  <c r="H34" i="17"/>
  <c r="K36" i="17"/>
  <c r="F41" i="17"/>
  <c r="I41" i="17"/>
  <c r="K41" i="17"/>
  <c r="G45" i="17"/>
  <c r="I45" i="17" s="1"/>
  <c r="K48" i="17"/>
  <c r="I51" i="17"/>
  <c r="I69" i="17"/>
  <c r="K69" i="17"/>
  <c r="K70" i="17"/>
  <c r="I73" i="17"/>
  <c r="I79" i="17"/>
  <c r="K79" i="17"/>
  <c r="K80" i="17"/>
  <c r="A7" i="15"/>
  <c r="A8" i="15" s="1"/>
  <c r="A9" i="15" s="1"/>
  <c r="A10" i="15" s="1"/>
  <c r="A11" i="15" s="1"/>
  <c r="A12" i="15" s="1"/>
  <c r="A13" i="15" s="1"/>
  <c r="A14" i="15" s="1"/>
  <c r="A15" i="15" s="1"/>
  <c r="A16" i="15" s="1"/>
  <c r="A17" i="15" s="1"/>
  <c r="A18" i="15" s="1"/>
  <c r="A19" i="15" s="1"/>
  <c r="A20" i="15" l="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L9" i="17"/>
  <c r="L27" i="17"/>
  <c r="L72" i="17"/>
  <c r="F7" i="17"/>
  <c r="L61" i="17"/>
  <c r="L65" i="17"/>
  <c r="L58" i="17"/>
  <c r="L55" i="17"/>
  <c r="L75" i="17"/>
  <c r="L59" i="17"/>
  <c r="L66" i="17"/>
  <c r="L63" i="17"/>
  <c r="L48" i="17"/>
  <c r="L73" i="17"/>
  <c r="L68" i="17"/>
  <c r="L67" i="17"/>
  <c r="L20" i="17"/>
  <c r="L53" i="17"/>
  <c r="L57" i="17"/>
  <c r="L26" i="17"/>
  <c r="I29" i="17"/>
  <c r="I7" i="17"/>
  <c r="L23" i="17"/>
  <c r="L15" i="17"/>
  <c r="L16" i="17"/>
  <c r="L10" i="17"/>
  <c r="I13" i="17"/>
  <c r="J13" i="17"/>
  <c r="L37" i="17"/>
  <c r="J29" i="17"/>
  <c r="L32" i="17"/>
  <c r="L36" i="17"/>
  <c r="L28" i="17"/>
  <c r="L31" i="17"/>
  <c r="F21" i="17"/>
  <c r="J34" i="17"/>
  <c r="F29" i="17"/>
  <c r="I34" i="17"/>
  <c r="L24" i="17"/>
  <c r="J21" i="17"/>
  <c r="I17" i="17"/>
  <c r="J17" i="17"/>
  <c r="I25" i="17"/>
  <c r="L19" i="17"/>
  <c r="F34" i="17"/>
  <c r="F25" i="17"/>
  <c r="L11" i="17"/>
  <c r="J7" i="17"/>
  <c r="J25" i="17"/>
  <c r="F33" i="17"/>
  <c r="L78" i="17"/>
  <c r="L54" i="17"/>
  <c r="L62" i="17"/>
  <c r="L76" i="17"/>
  <c r="L80" i="17"/>
  <c r="L79" i="17"/>
  <c r="L51" i="17"/>
  <c r="L52" i="17"/>
  <c r="L60" i="17"/>
  <c r="L64" i="17"/>
  <c r="L69" i="17"/>
  <c r="L70" i="17"/>
  <c r="J38" i="17"/>
  <c r="J43" i="17" s="1"/>
  <c r="J44" i="17"/>
  <c r="K46" i="17"/>
  <c r="L46" i="17" s="1"/>
  <c r="L41" i="17"/>
  <c r="L40" i="17"/>
  <c r="K45" i="17"/>
  <c r="L45" i="17" s="1"/>
  <c r="F13" i="17"/>
  <c r="F38" i="17"/>
  <c r="E43" i="17"/>
  <c r="F43" i="17" s="1"/>
  <c r="K25" i="17"/>
  <c r="H43" i="17"/>
  <c r="I43" i="17" s="1"/>
  <c r="I38" i="17"/>
  <c r="K47" i="17"/>
  <c r="L47" i="17" s="1"/>
  <c r="L42" i="17"/>
  <c r="L22" i="17"/>
  <c r="K21" i="17"/>
  <c r="L8" i="17"/>
  <c r="K7" i="17"/>
  <c r="K44" i="17"/>
  <c r="K38" i="17"/>
  <c r="L39" i="17"/>
  <c r="K13" i="17"/>
  <c r="L35" i="17"/>
  <c r="K34" i="17"/>
  <c r="L30" i="17"/>
  <c r="K29" i="17"/>
  <c r="K17" i="17"/>
  <c r="L18" i="17"/>
  <c r="I21" i="17"/>
  <c r="L33" i="17"/>
  <c r="L14" i="17"/>
  <c r="L44" i="17" l="1"/>
  <c r="L34" i="17"/>
  <c r="L13" i="17"/>
  <c r="L17" i="17"/>
  <c r="L25" i="17"/>
  <c r="L29" i="17"/>
  <c r="L21" i="17"/>
  <c r="L7" i="17"/>
  <c r="L38" i="17"/>
  <c r="K43" i="17"/>
  <c r="L43" i="17" s="1"/>
  <c r="A6" i="12" l="1"/>
  <c r="A6" i="1"/>
  <c r="A5" i="5" l="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U47" i="12"/>
  <c r="O47" i="12"/>
  <c r="L47" i="12"/>
  <c r="I47" i="12"/>
  <c r="F47" i="12"/>
  <c r="U15" i="12"/>
  <c r="O15" i="12"/>
  <c r="L15" i="12"/>
  <c r="I15" i="12"/>
  <c r="F15" i="12"/>
  <c r="U14" i="12"/>
  <c r="O14" i="12"/>
  <c r="L14" i="12"/>
  <c r="I14" i="12"/>
  <c r="F14" i="12"/>
  <c r="U13" i="12"/>
  <c r="O13" i="12"/>
  <c r="L13" i="12"/>
  <c r="I13" i="12"/>
  <c r="F13" i="12"/>
  <c r="U12" i="12"/>
  <c r="O12" i="12"/>
  <c r="L12" i="12"/>
  <c r="I12" i="12"/>
  <c r="F12" i="12"/>
  <c r="A7" i="12"/>
  <c r="A8" i="12" s="1"/>
  <c r="A9" i="12" s="1"/>
  <c r="A10" i="12" s="1"/>
  <c r="A11" i="12" s="1"/>
  <c r="B5" i="12"/>
  <c r="C5" i="12" s="1"/>
  <c r="D5" i="12" s="1"/>
  <c r="E5" i="12" s="1"/>
  <c r="F5" i="12" s="1"/>
  <c r="G5" i="12" s="1"/>
  <c r="H5" i="12" s="1"/>
  <c r="I5" i="12" s="1"/>
  <c r="J5" i="12" s="1"/>
  <c r="K5" i="12" s="1"/>
  <c r="L5" i="12" s="1"/>
  <c r="M5" i="12" s="1"/>
  <c r="N5" i="12" s="1"/>
  <c r="O5" i="12" s="1"/>
  <c r="P5" i="12" s="1"/>
  <c r="U15" i="1"/>
  <c r="R15" i="1"/>
  <c r="O15" i="1"/>
  <c r="L15" i="1"/>
  <c r="I15" i="1"/>
  <c r="F15" i="1"/>
  <c r="U14" i="1"/>
  <c r="R14" i="1"/>
  <c r="O14" i="1"/>
  <c r="L14" i="1"/>
  <c r="I14" i="1"/>
  <c r="F14" i="1"/>
  <c r="U13" i="1"/>
  <c r="R13" i="1"/>
  <c r="O13" i="1"/>
  <c r="L13" i="1"/>
  <c r="I13" i="1"/>
  <c r="F13" i="1"/>
  <c r="U12" i="1"/>
  <c r="R12" i="1"/>
  <c r="O12" i="1"/>
  <c r="L12" i="1"/>
  <c r="I12" i="1"/>
  <c r="F12" i="1"/>
  <c r="A12" i="12" l="1"/>
  <c r="A13" i="12" s="1"/>
  <c r="A14" i="12" s="1"/>
  <c r="A15" i="12" s="1"/>
  <c r="Q5" i="12"/>
  <c r="R5" i="12" s="1"/>
  <c r="S5" i="12" s="1"/>
  <c r="T5" i="12" s="1"/>
  <c r="U5" i="12" s="1"/>
  <c r="V5" i="12" s="1"/>
  <c r="W5" i="12" s="1"/>
  <c r="X5" i="12" s="1"/>
  <c r="X12" i="12"/>
  <c r="X15" i="12"/>
  <c r="X14" i="12"/>
  <c r="X47" i="12"/>
  <c r="X13" i="12"/>
  <c r="P15" i="12" l="1"/>
  <c r="M15" i="12"/>
  <c r="J15" i="12"/>
  <c r="S15" i="12"/>
  <c r="G15" i="12"/>
  <c r="V15" i="12"/>
  <c r="V47" i="12"/>
  <c r="M47" i="12"/>
  <c r="G47" i="12"/>
  <c r="P47" i="12"/>
  <c r="S47" i="12"/>
  <c r="J47" i="12"/>
  <c r="S14" i="12"/>
  <c r="P14" i="12"/>
  <c r="M14" i="12"/>
  <c r="G14" i="12"/>
  <c r="J14" i="12"/>
  <c r="V14" i="12"/>
  <c r="M12" i="12"/>
  <c r="V12" i="12"/>
  <c r="S12" i="12"/>
  <c r="P12" i="12"/>
  <c r="J12" i="12"/>
  <c r="G12" i="12"/>
  <c r="V13" i="12"/>
  <c r="S13" i="12"/>
  <c r="P13" i="12"/>
  <c r="J13" i="12"/>
  <c r="G13" i="12"/>
  <c r="M13" i="12"/>
  <c r="A17" i="12"/>
  <c r="A18" i="12" s="1"/>
  <c r="A19" i="12" s="1"/>
  <c r="A20" i="12" s="1"/>
  <c r="A21" i="12" s="1"/>
  <c r="A22" i="12" s="1"/>
  <c r="A23" i="12" s="1"/>
  <c r="A24" i="12" s="1"/>
  <c r="A25" i="12" s="1"/>
  <c r="A26" i="12" s="1"/>
  <c r="A27" i="12" s="1"/>
  <c r="A28" i="12" s="1"/>
  <c r="B4" i="5"/>
  <c r="A29" i="12" l="1"/>
  <c r="A30" i="12" s="1"/>
  <c r="A31" i="12" s="1"/>
  <c r="A32" i="12" s="1"/>
  <c r="A33" i="12" s="1"/>
  <c r="A34" i="12" s="1"/>
  <c r="A35" i="12" s="1"/>
  <c r="A36" i="12" s="1"/>
  <c r="A37" i="12" s="1"/>
  <c r="A39" i="12" s="1"/>
  <c r="A40" i="12" s="1"/>
  <c r="A41" i="12" s="1"/>
  <c r="A42" i="12" s="1"/>
  <c r="A44" i="12" s="1"/>
  <c r="A45" i="12" s="1"/>
  <c r="A46" i="12" s="1"/>
  <c r="A47" i="12" s="1"/>
  <c r="A48" i="12" s="1"/>
  <c r="B5" i="1"/>
  <c r="C5" i="1" s="1"/>
  <c r="D5" i="1" s="1"/>
  <c r="E5" i="1" s="1"/>
  <c r="F5" i="1" s="1"/>
  <c r="G5" i="1" s="1"/>
  <c r="H5" i="1" s="1"/>
  <c r="I5" i="1" s="1"/>
  <c r="J5" i="1" s="1"/>
  <c r="K5" i="1" s="1"/>
  <c r="L5" i="1" s="1"/>
  <c r="M5" i="1" s="1"/>
  <c r="N5" i="1" s="1"/>
  <c r="O5" i="1" s="1"/>
  <c r="P5" i="1" s="1"/>
  <c r="Q5" i="1" s="1"/>
  <c r="R5" i="1" s="1"/>
  <c r="S5" i="1" s="1"/>
  <c r="T5" i="1" s="1"/>
  <c r="U5" i="1" s="1"/>
  <c r="V5" i="1" s="1"/>
  <c r="W5" i="1" s="1"/>
  <c r="X5" i="1" s="1"/>
  <c r="C4" i="5" l="1"/>
  <c r="D4" i="5" s="1"/>
  <c r="E4" i="5" s="1"/>
  <c r="F4" i="5" s="1"/>
  <c r="G4" i="5" s="1"/>
  <c r="H4" i="5" s="1"/>
  <c r="I4" i="5" s="1"/>
  <c r="J4" i="5" s="1"/>
  <c r="K4" i="5" s="1"/>
  <c r="L4" i="5" s="1"/>
  <c r="M4" i="5" s="1"/>
  <c r="N4" i="5" s="1"/>
  <c r="O4" i="5" s="1"/>
  <c r="P4" i="5" s="1"/>
  <c r="X42" i="1"/>
  <c r="X40" i="1"/>
  <c r="X39" i="1"/>
  <c r="X32" i="1"/>
  <c r="X31" i="1"/>
  <c r="X28" i="1"/>
  <c r="X27" i="1"/>
  <c r="X26" i="1"/>
  <c r="X25" i="1"/>
  <c r="X24" i="1"/>
  <c r="X23" i="1"/>
  <c r="X21" i="1"/>
  <c r="X20" i="1"/>
  <c r="X19" i="1"/>
  <c r="X18" i="1"/>
  <c r="X17" i="1"/>
  <c r="X11" i="1"/>
  <c r="X10" i="1"/>
  <c r="X9" i="1"/>
  <c r="X8" i="1"/>
  <c r="X7" i="1"/>
  <c r="X48" i="1" l="1"/>
  <c r="J42" i="1"/>
  <c r="G42" i="1"/>
  <c r="V42" i="1"/>
  <c r="S42" i="1"/>
  <c r="P42" i="1"/>
  <c r="M42" i="1"/>
  <c r="X46" i="1"/>
  <c r="G40" i="1"/>
  <c r="S40" i="1"/>
  <c r="P40" i="1"/>
  <c r="J40" i="1"/>
  <c r="V40" i="1"/>
  <c r="M40" i="1"/>
  <c r="X45" i="1"/>
  <c r="G32" i="1"/>
  <c r="M32" i="1"/>
  <c r="P32" i="1"/>
  <c r="J32" i="1"/>
  <c r="V32" i="1"/>
  <c r="S32" i="1"/>
  <c r="P31" i="1"/>
  <c r="S31" i="1"/>
  <c r="V31" i="1"/>
  <c r="M31" i="1"/>
  <c r="J31" i="1"/>
  <c r="G31" i="1"/>
  <c r="X37" i="1"/>
  <c r="S28" i="1"/>
  <c r="J28" i="1"/>
  <c r="P28" i="1"/>
  <c r="G28" i="1"/>
  <c r="V28" i="1"/>
  <c r="M28" i="1"/>
  <c r="G27" i="1"/>
  <c r="J27" i="1"/>
  <c r="V27" i="1"/>
  <c r="M27" i="1"/>
  <c r="S27" i="1"/>
  <c r="P27" i="1"/>
  <c r="G26" i="1"/>
  <c r="P26" i="1"/>
  <c r="S26" i="1"/>
  <c r="M26" i="1"/>
  <c r="V26" i="1"/>
  <c r="J26" i="1"/>
  <c r="V25" i="1"/>
  <c r="J25" i="1"/>
  <c r="M25" i="1"/>
  <c r="P25" i="1"/>
  <c r="S25" i="1"/>
  <c r="G25" i="1"/>
  <c r="S24" i="1"/>
  <c r="V24" i="1"/>
  <c r="G24" i="1"/>
  <c r="J24" i="1"/>
  <c r="P24" i="1"/>
  <c r="M24" i="1"/>
  <c r="V23" i="1"/>
  <c r="P23" i="1"/>
  <c r="S23" i="1"/>
  <c r="J23" i="1"/>
  <c r="G23" i="1"/>
  <c r="M23" i="1"/>
  <c r="G22" i="1"/>
  <c r="P22" i="1"/>
  <c r="S22" i="1"/>
  <c r="V22" i="1"/>
  <c r="M22" i="1"/>
  <c r="J22" i="1"/>
  <c r="P21" i="1"/>
  <c r="J21" i="1"/>
  <c r="G21" i="1"/>
  <c r="M21" i="1"/>
  <c r="V21" i="1"/>
  <c r="S21" i="1"/>
  <c r="S20" i="1"/>
  <c r="J20" i="1"/>
  <c r="G20" i="1"/>
  <c r="V20" i="1"/>
  <c r="M20" i="1"/>
  <c r="P20" i="1"/>
  <c r="S19" i="1"/>
  <c r="J19" i="1"/>
  <c r="M19" i="1"/>
  <c r="V19" i="1"/>
  <c r="G19" i="1"/>
  <c r="P19" i="1"/>
  <c r="V18" i="1"/>
  <c r="J18" i="1"/>
  <c r="P18" i="1"/>
  <c r="S18" i="1"/>
  <c r="M18" i="1"/>
  <c r="G18" i="1"/>
  <c r="X36" i="1"/>
  <c r="G17" i="1"/>
  <c r="S17" i="1"/>
  <c r="M17" i="1"/>
  <c r="V17" i="1"/>
  <c r="P17" i="1"/>
  <c r="J17" i="1"/>
  <c r="X35" i="1"/>
  <c r="X34" i="1"/>
  <c r="P11" i="1"/>
  <c r="M11" i="1"/>
  <c r="V11" i="1"/>
  <c r="J11" i="1"/>
  <c r="S11" i="1"/>
  <c r="G11" i="1"/>
  <c r="S10" i="1"/>
  <c r="J10" i="1"/>
  <c r="P10" i="1"/>
  <c r="G10" i="1"/>
  <c r="V10" i="1"/>
  <c r="M10" i="1"/>
  <c r="M9" i="1"/>
  <c r="J9" i="1"/>
  <c r="V9" i="1"/>
  <c r="S9" i="1"/>
  <c r="P9" i="1"/>
  <c r="V8" i="1"/>
  <c r="S8" i="1"/>
  <c r="M8" i="1"/>
  <c r="P8" i="1"/>
  <c r="G8" i="1"/>
  <c r="J8" i="1"/>
  <c r="P7" i="1"/>
  <c r="G7" i="1"/>
  <c r="J7" i="1"/>
  <c r="S7" i="1"/>
  <c r="M7" i="1"/>
  <c r="V7" i="1"/>
  <c r="V39" i="1"/>
  <c r="S39" i="1"/>
  <c r="P39" i="1"/>
  <c r="J39" i="1"/>
  <c r="G39" i="1"/>
  <c r="M39" i="1"/>
  <c r="G9" i="1"/>
  <c r="X14" i="1"/>
  <c r="X15" i="1"/>
  <c r="X13" i="1"/>
  <c r="X12" i="1"/>
  <c r="A7" i="1"/>
  <c r="A8" i="1" s="1"/>
  <c r="A9" i="1" s="1"/>
  <c r="A10" i="1" s="1"/>
  <c r="A11" i="1" s="1"/>
  <c r="X41" i="1"/>
  <c r="X44" i="1" s="1"/>
  <c r="D43" i="36" l="1"/>
  <c r="D57" i="36"/>
  <c r="D63" i="36"/>
  <c r="D49" i="36"/>
  <c r="D59" i="36"/>
  <c r="D45" i="36"/>
  <c r="D19" i="36"/>
  <c r="D17" i="36"/>
  <c r="D16" i="36"/>
  <c r="X47" i="1"/>
  <c r="P41" i="1"/>
  <c r="J41" i="1"/>
  <c r="G41" i="1"/>
  <c r="M41" i="1"/>
  <c r="V41" i="1"/>
  <c r="S41" i="1"/>
  <c r="V37" i="1"/>
  <c r="S37" i="1"/>
  <c r="P37" i="1"/>
  <c r="M37" i="1"/>
  <c r="J37" i="1"/>
  <c r="G37" i="1"/>
  <c r="V48" i="1"/>
  <c r="S48" i="1"/>
  <c r="P48" i="1"/>
  <c r="M48" i="1"/>
  <c r="J48" i="1"/>
  <c r="G48" i="1"/>
  <c r="V36" i="1"/>
  <c r="J36" i="1"/>
  <c r="G36" i="1"/>
  <c r="P36" i="1"/>
  <c r="M36" i="1"/>
  <c r="S36" i="1"/>
  <c r="G35" i="1"/>
  <c r="V35" i="1"/>
  <c r="P35" i="1"/>
  <c r="M35" i="1"/>
  <c r="S35" i="1"/>
  <c r="J35" i="1"/>
  <c r="S34" i="1"/>
  <c r="G34" i="1"/>
  <c r="J34" i="1"/>
  <c r="M34" i="1"/>
  <c r="V34" i="1"/>
  <c r="P34" i="1"/>
  <c r="M15" i="1"/>
  <c r="G15" i="1"/>
  <c r="J15" i="1"/>
  <c r="P15" i="1"/>
  <c r="S15" i="1"/>
  <c r="V15" i="1"/>
  <c r="S46" i="1"/>
  <c r="V46" i="1"/>
  <c r="M46" i="1"/>
  <c r="P46" i="1"/>
  <c r="J46" i="1"/>
  <c r="G46" i="1"/>
  <c r="V14" i="1"/>
  <c r="J14" i="1"/>
  <c r="S14" i="1"/>
  <c r="P14" i="1"/>
  <c r="G14" i="1"/>
  <c r="M14" i="1"/>
  <c r="G12" i="1"/>
  <c r="J12" i="1"/>
  <c r="M12" i="1"/>
  <c r="S12" i="1"/>
  <c r="V12" i="1"/>
  <c r="P12" i="1"/>
  <c r="G13" i="1"/>
  <c r="S13" i="1"/>
  <c r="J13" i="1"/>
  <c r="V13" i="1"/>
  <c r="P13" i="1"/>
  <c r="M13" i="1"/>
  <c r="M45" i="1"/>
  <c r="V45" i="1"/>
  <c r="S45" i="1"/>
  <c r="P45" i="1"/>
  <c r="J45" i="1"/>
  <c r="G44" i="1"/>
  <c r="J44" i="1"/>
  <c r="V44" i="1"/>
  <c r="S44" i="1"/>
  <c r="P44" i="1"/>
  <c r="M44" i="1"/>
  <c r="G45" i="1"/>
  <c r="A12" i="1"/>
  <c r="A13" i="1" s="1"/>
  <c r="A14" i="1" s="1"/>
  <c r="A15" i="1" s="1"/>
  <c r="X13" i="13"/>
  <c r="D61" i="36" l="1"/>
  <c r="D47" i="36"/>
  <c r="G47" i="1"/>
  <c r="D18" i="36"/>
  <c r="S47" i="1"/>
  <c r="P47" i="1"/>
  <c r="V47" i="1"/>
  <c r="M47" i="1"/>
  <c r="J47" i="1"/>
  <c r="A17" i="1"/>
  <c r="A18" i="1" s="1"/>
  <c r="A19" i="1" s="1"/>
  <c r="A20" i="1" s="1"/>
  <c r="A21" i="1" s="1"/>
  <c r="A22" i="1" s="1"/>
  <c r="A23" i="1" s="1"/>
  <c r="A24" i="1" s="1"/>
  <c r="A25" i="1" s="1"/>
  <c r="A26" i="1" s="1"/>
  <c r="A27" i="1" s="1"/>
  <c r="A28" i="1" s="1"/>
  <c r="A29" i="1" l="1"/>
  <c r="A30" i="1" s="1"/>
  <c r="A31" i="1" s="1"/>
  <c r="A32" i="1" s="1"/>
  <c r="A33" i="1" s="1"/>
  <c r="A34" i="1" s="1"/>
  <c r="A35" i="1" s="1"/>
  <c r="A36" i="1" s="1"/>
  <c r="A37" i="1" s="1"/>
  <c r="A39" i="1" s="1"/>
  <c r="A40" i="1" s="1"/>
  <c r="A41" i="1" s="1"/>
  <c r="A42" i="1" s="1"/>
  <c r="A44" i="1" s="1"/>
  <c r="A45" i="1" s="1"/>
  <c r="A46" i="1" s="1"/>
  <c r="A47" i="1" s="1"/>
  <c r="A48" i="1" s="1"/>
  <c r="A50" i="1" s="1"/>
  <c r="A51" i="1" s="1"/>
  <c r="A52" i="1" s="1"/>
  <c r="A53" i="1" s="1"/>
  <c r="A54" i="1" s="1"/>
</calcChain>
</file>

<file path=xl/comments1.xml><?xml version="1.0" encoding="utf-8"?>
<comments xmlns="http://schemas.openxmlformats.org/spreadsheetml/2006/main">
  <authors>
    <author>Степанов Евгений Борисович</author>
  </authors>
  <commentList>
    <comment ref="E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F4" authorId="0" shapeId="0">
      <text>
        <r>
          <rPr>
            <sz val="9"/>
            <color indexed="81"/>
            <rFont val="Tahoma"/>
            <family val="2"/>
            <charset val="204"/>
          </rPr>
          <t>Здесь и далее количество включает верхний возрастной порог, т.е. 29,1, 29,2 и т.д. до 29,9 лет. включительно.</t>
        </r>
      </text>
    </comment>
    <comment ref="G4" authorId="0" shapeId="0">
      <text>
        <r>
          <rPr>
            <sz val="9"/>
            <color indexed="81"/>
            <rFont val="Tahoma"/>
            <family val="2"/>
            <charset val="204"/>
          </rPr>
          <t>Столбец не заполняется! Значения считаются автоматически!</t>
        </r>
      </text>
    </comment>
    <comment ref="H4" authorId="0" shapeId="0">
      <text>
        <r>
          <rPr>
            <sz val="9"/>
            <color indexed="81"/>
            <rFont val="Tahoma"/>
            <family val="2"/>
            <charset val="204"/>
          </rPr>
          <t>Здесь и далее указывается % изменения показателя по отношению к прошлому году. Отношение вычисляется делением значение отчетного года к значению предыдущего года и умножением на 100. Значение показателя менее 100% - уменьшение, более 100% - увеличение. Отрицательных значений быть не может!</t>
        </r>
      </text>
    </comment>
    <comment ref="J4" authorId="0" shapeId="0">
      <text>
        <r>
          <rPr>
            <sz val="9"/>
            <color indexed="81"/>
            <rFont val="Tahoma"/>
            <family val="2"/>
            <charset val="204"/>
          </rPr>
          <t>Столбец не заполняется! Значения считаются автоматически!</t>
        </r>
      </text>
    </comment>
    <comment ref="M4" authorId="0" shapeId="0">
      <text>
        <r>
          <rPr>
            <sz val="9"/>
            <color indexed="81"/>
            <rFont val="Tahoma"/>
            <family val="2"/>
            <charset val="204"/>
          </rPr>
          <t>Столбец не заполняется! Значения считаются автоматически!</t>
        </r>
      </text>
    </comment>
    <comment ref="P4" authorId="0" shapeId="0">
      <text>
        <r>
          <rPr>
            <sz val="9"/>
            <color indexed="81"/>
            <rFont val="Tahoma"/>
            <family val="2"/>
            <charset val="204"/>
          </rPr>
          <t>Столбец не заполняется! Значения считаются автоматически!</t>
        </r>
      </text>
    </comment>
    <comment ref="S4" authorId="0" shapeId="0">
      <text>
        <r>
          <rPr>
            <sz val="9"/>
            <color indexed="81"/>
            <rFont val="Tahoma"/>
            <family val="2"/>
            <charset val="204"/>
          </rPr>
          <t>Столбец не заполняется! Значения считаются автоматически!</t>
        </r>
      </text>
    </comment>
    <comment ref="U4" authorId="0" shapeId="0">
      <text>
        <r>
          <rPr>
            <sz val="9"/>
            <color indexed="81"/>
            <rFont val="Tahoma"/>
            <family val="2"/>
            <charset val="204"/>
          </rPr>
          <t>Только работники, имеющие право на трудовую пенсию по старости, т.е. мужчины, достигшие возраста 60 лет, и женщины, достигшие возраста 55 лет.</t>
        </r>
      </text>
    </comment>
    <comment ref="V4" authorId="0" shapeId="0">
      <text>
        <r>
          <rPr>
            <sz val="9"/>
            <color indexed="81"/>
            <rFont val="Tahoma"/>
            <family val="2"/>
            <charset val="204"/>
          </rPr>
          <t>Столбец не заполняется! Значения считаются автоматически! % лиц пенсионного возраста не может быть более 100%!</t>
        </r>
      </text>
    </comment>
    <comment ref="X4" authorId="0" shapeId="0">
      <text>
        <r>
          <rPr>
            <sz val="9"/>
            <color indexed="81"/>
            <rFont val="Tahoma"/>
            <family val="2"/>
            <charset val="204"/>
          </rPr>
          <t>Столбец не заполняется! Значения считаются автоматически!</t>
        </r>
      </text>
    </comment>
    <comment ref="D6" authorId="0" shapeId="0">
      <text>
        <r>
          <rPr>
            <u/>
            <sz val="9"/>
            <color indexed="81"/>
            <rFont val="Tahoma"/>
            <family val="2"/>
            <charset val="204"/>
          </rPr>
          <t>Руководители:</t>
        </r>
        <r>
          <rPr>
            <sz val="9"/>
            <color indexed="81"/>
            <rFont val="Tahoma"/>
            <family val="2"/>
            <charset val="204"/>
          </rPr>
          <t xml:space="preserve"> Президент и его заместители, генеральный директор и его заместители, генеральный и главный конструктор и их заместители, директора и главные специалисты  прямого подчинения генеральному директору или президенту, директора направлений деятельности, директора программ, Главные специалисты (гл. технолог,  гл. металлург и их замы, гл. научный сотрудник, гл. экономист, гл. бухгалтер и т.д.), начальники управления, департамента, службы, отдела, бюро, сектора, группы.
</t>
        </r>
        <r>
          <rPr>
            <u/>
            <sz val="9"/>
            <color indexed="81"/>
            <rFont val="Tahoma"/>
            <family val="2"/>
            <charset val="204"/>
          </rPr>
          <t>Специалисты:</t>
        </r>
        <r>
          <rPr>
            <sz val="9"/>
            <color indexed="81"/>
            <rFont val="Tahoma"/>
            <family val="2"/>
            <charset val="204"/>
          </rPr>
          <t xml:space="preserve"> Советники, консультанты, эксперты, специалисты по направлению деятельности, конструкторы и технологи общезаводских подразделений, инженер по качеству, инженер по нормированию труда, инженер по подготовке кадров, юрист, бухгалтер, инженер по эксплуатации зданий, экономисты, юристы, программисты (офисные приложения, а именно - бухгалтерские, кадровые системы, техническая поддержка пользователей ПК).
</t>
        </r>
        <r>
          <rPr>
            <u/>
            <sz val="9"/>
            <color indexed="81"/>
            <rFont val="Tahoma"/>
            <family val="2"/>
            <charset val="204"/>
          </rPr>
          <t>Служащие:</t>
        </r>
        <r>
          <rPr>
            <sz val="9"/>
            <color indexed="81"/>
            <rFont val="Tahoma"/>
            <family val="2"/>
            <charset val="204"/>
          </rPr>
          <t xml:space="preserve">  экспедитор, агент, комендант. табельщик, кассир, секретарь, делопроизводитель, архивариус, машинистка, копировщик.</t>
        </r>
      </text>
    </comment>
    <comment ref="D9" authorId="0" shapeId="0">
      <text>
        <r>
          <rPr>
            <u/>
            <sz val="9"/>
            <color indexed="81"/>
            <rFont val="Tahoma"/>
            <family val="2"/>
            <charset val="204"/>
          </rPr>
          <t xml:space="preserve">Руководители: </t>
        </r>
        <r>
          <rPr>
            <sz val="9"/>
            <color indexed="81"/>
            <rFont val="Tahoma"/>
            <family val="2"/>
            <charset val="204"/>
          </rPr>
          <t xml:space="preserve">Начальники цехов и их замы, нач. производства цеха, нач. участка, мастер, нач. цеховых лабораторий, нач. транспортного цеха, нач. смены, нач. дворово-хоз. цеха.
</t>
        </r>
        <r>
          <rPr>
            <u/>
            <sz val="9"/>
            <color indexed="81"/>
            <rFont val="Tahoma"/>
            <family val="2"/>
            <charset val="204"/>
          </rPr>
          <t>Специалисты:</t>
        </r>
        <r>
          <rPr>
            <sz val="9"/>
            <color indexed="81"/>
            <rFont val="Tahoma"/>
            <family val="2"/>
            <charset val="204"/>
          </rPr>
          <t xml:space="preserve"> Инженер по подготовке производства, механик, энергетик, экономист, зав архивом, диспетчер и т.п.
</t>
        </r>
        <r>
          <rPr>
            <u/>
            <sz val="9"/>
            <color indexed="81"/>
            <rFont val="Tahoma"/>
            <family val="2"/>
            <charset val="204"/>
          </rPr>
          <t>Служащие:</t>
        </r>
        <r>
          <rPr>
            <sz val="9"/>
            <color indexed="81"/>
            <rFont val="Tahoma"/>
            <family val="2"/>
            <charset val="204"/>
          </rPr>
          <t xml:space="preserve"> Охранник (но только не для ФГУП "Охрана"), оперативный дежурный ВОХР, дежурный бюро пропусков, др. Комендант цеха, табельщик, кассир, секретарь, делопроизводитель, архивариус, машинистка, копировщик, др.</t>
        </r>
      </text>
    </comment>
    <comment ref="C17"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(Проектирование и конструирование изделия)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электроники (САПР), инженеры и техники (по подготовке технической документации)</t>
        </r>
      </text>
    </comment>
    <comment ref="C19"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(Технология изготовления изделия) 
</t>
        </r>
        <r>
          <rPr>
            <u/>
            <sz val="9"/>
            <color indexed="81"/>
            <rFont val="Tahoma"/>
            <family val="2"/>
            <charset val="204"/>
          </rPr>
          <t>Специалисты:</t>
        </r>
        <r>
          <rPr>
            <sz val="9"/>
            <color indexed="81"/>
            <rFont val="Tahoma"/>
            <family val="2"/>
            <charset val="204"/>
          </rPr>
          <t xml:space="preserve"> Программисты, электроники (САПР, ЧПУ) , инженер-технолог, техник-технолог, инженеры и техники по подготовке технологической документации.</t>
        </r>
      </text>
    </comment>
    <comment ref="C21"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(Разработка заводской конструкторской документации на изделие, оснастку, инструмент)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инженеры-программисты, электроники (САПР, ЧПУ) , инженеры и техники (по подготовке технической документации),инженеры по эксплуатации, ТО, ремонту др.</t>
        </r>
      </text>
    </comment>
    <comment ref="C23"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(Технология изготовления изделия).
</t>
        </r>
        <r>
          <rPr>
            <u/>
            <sz val="9"/>
            <color indexed="81"/>
            <rFont val="Tahoma"/>
            <family val="2"/>
            <charset val="204"/>
          </rPr>
          <t>Специалисты:</t>
        </r>
        <r>
          <rPr>
            <sz val="9"/>
            <color indexed="81"/>
            <rFont val="Tahoma"/>
            <family val="2"/>
            <charset val="204"/>
          </rPr>
          <t xml:space="preserve"> Программисты, инженеры-программисты, электроники (САПР, ЧПУ) , инженер-технолог, техник-технолог, инженеры и техники по подготовке технологической документации.</t>
        </r>
      </text>
    </comment>
    <comment ref="C25"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(Разработка  конструкторской документации на испытательные стенды, методики проведения испытания, обработки данных).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инженеры - программисты, электроники (САПР, ЧПУ), инженеры и техники (по подготовке технической документации).</t>
        </r>
      </text>
    </comment>
    <comment ref="C27"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(Технология изготовления испытательных стендов и оборудования).
</t>
        </r>
        <r>
          <rPr>
            <u/>
            <sz val="9"/>
            <color indexed="81"/>
            <rFont val="Tahoma"/>
            <family val="2"/>
            <charset val="204"/>
          </rPr>
          <t>Специалисты:</t>
        </r>
        <r>
          <rPr>
            <sz val="9"/>
            <color indexed="81"/>
            <rFont val="Tahoma"/>
            <family val="2"/>
            <charset val="204"/>
          </rPr>
          <t xml:space="preserve"> Программисты, электроники (САПР, ЧПУ) , инженер-технолог, инженер-испытатель, техник-технолог, инженеры и техники по подготовке технологической документации, инженеры по эксплуатации, ТО, ремонту и др.</t>
        </r>
      </text>
    </comment>
    <comment ref="C29" authorId="0" shapeId="0">
      <text>
        <r>
          <rPr>
            <sz val="9"/>
            <color indexed="81"/>
            <rFont val="Tahoma"/>
            <family val="2"/>
            <charset val="204"/>
          </rPr>
          <t>Руководители и специалисты научных, научно-исследовательских подразделений и экспериментальных лабораторий, руководители и специалисты научно исследовательских институтов, научно производственных объединений и предприятий, деятельность которых невозможно отнести к вышеперечисленным категориям, занятые исследованиями и моделированием условий электромагнитной совместимости, тепловых процессов и т.д.</t>
        </r>
      </text>
    </comment>
    <comment ref="D31" authorId="0" shapeId="0">
      <text>
        <r>
          <rPr>
            <u/>
            <sz val="9"/>
            <color indexed="81"/>
            <rFont val="Tahoma"/>
            <family val="2"/>
            <charset val="204"/>
          </rPr>
          <t>Основные рабочие:</t>
        </r>
        <r>
          <rPr>
            <sz val="9"/>
            <color indexed="81"/>
            <rFont val="Tahoma"/>
            <family val="2"/>
            <charset val="204"/>
          </rPr>
          <t xml:space="preserve"> Рабочие комплексов горячих, заготовительно-штамповочных, механических и механосборочных, слесарно-сварочных, обработки неметаллических материалов, защитных покрытий, агрегатно-сборочных  и окончательной сборки, занятые непосредственным изготовлением, сборкой основной продукции предприятия, а также цехов основного производства, в т.ч. стартового, непосредственно занятые доработками и доводкой изделий  при проведении всех видов испытаний, приготовители масс, клеев, красок, смесей, герметика, техники и механики всех специальностей испытательной и доводочной базы и гарантийные бригады, непосредственно занятые периодическим  и гарантийным ТО в процессе  испытаний и доработки космической техники, комплекса служб испытаний (цехи типовых испытаний, контрольно-испытательной станции), осуществляющие типовые испытания основного изделия, как завершающей стадии изготовления основного изделия, рабочие экспедиции, занятые на процессах консервации и упаковки готовой продукции предприятия, рабочие эксплуатационно-ремонтного цеха (отдела), занятые конструктивными доработками и гарантийным  и послегарантийным ремонтом и основной продукции предприятия.
</t>
        </r>
        <r>
          <rPr>
            <u/>
            <sz val="9"/>
            <color indexed="81"/>
            <rFont val="Tahoma"/>
            <family val="2"/>
            <charset val="204"/>
          </rPr>
          <t>Охранники - только для ФГУП "Охрана"</t>
        </r>
      </text>
    </comment>
    <comment ref="D32" authorId="0" shapeId="0">
      <text>
        <r>
          <rPr>
            <u/>
            <sz val="9"/>
            <color indexed="81"/>
            <rFont val="Tahoma"/>
            <family val="2"/>
            <charset val="204"/>
          </rPr>
          <t>Производственные рабочие:</t>
        </r>
        <r>
          <rPr>
            <sz val="9"/>
            <color indexed="81"/>
            <rFont val="Tahoma"/>
            <family val="2"/>
            <charset val="204"/>
          </rPr>
          <t xml:space="preserve"> Рабочие комплекса цехов и участков подготовки производства (инструментального, приспособлений, технологической оснастки и нестандартного оборудования, цеха механизации и автоматизации и т.п.), занятые изготовлением основной продукции предприятия, предназначенной для реализации на сторону (барокамеры, турбины для нефтегазовой отрасли, сейсмические датчики для атомных станций и т.п.), а также инструмента, принадлежностей и т.п., идущих на комплектование основной продукции предприятия, комплекса вспомогательных цехов (деревообрабатывающего, нестандартного оборудования). Рабочие цехов и участков производства тепла, электричества, воздушно-коллекторных станций и т.д. Рабочие комплекса вспомогательных цехов (деревообрабатывающего, нестандартного оборудования), занятые изготовлением тары и упаковки постоянного применения для основной продукции предприятия. Рабочие комплекса общезаводских складов, занятые подготовкой (расконсервацией, маркировкой, клеймением, предварительным раскроем) материалов, которые образуют основу изготавливаемой продукции или являются необходимыми компонентами при ее изготовлении комплекса заводских лабораторий и лабораторно-стендового комплекса КБ, занятые изготовлением оборудования испытательных комплексов, подготовкой, дополнительной обработкой и сборкой, приведением в работоспособное состояние полуфабрикатов и комплектующих изделий и их группировкой для селективной сборки. 
</t>
        </r>
      </text>
    </comment>
    <comment ref="C33" authorId="0" shapeId="0">
      <text>
        <r>
          <rPr>
            <sz val="9"/>
            <color indexed="81"/>
            <rFont val="Tahoma"/>
            <family val="2"/>
            <charset val="204"/>
          </rPr>
          <t>Рабочие занятые перемещением, транспортировкой, хранением и складированием предметов и продуктов труда, техническим контролем качества продукции, наладкой оборудования, поддержанием в рабочем состоянии орудий труда, уборкой производственных помещений и др. Рабочие занятые подготовкой производства, обслуживанием и ремонтом технологического и энергетического оборудования, ремонтом производственных зданий и сооружений, перемещением, транспортировкой, хранением и складированием предметов и продуктов труда и т.п., хозяйственным обслуживанием и уборкой офисных и производственных помещений, автотранспортным обслуживаниям и др.</t>
        </r>
      </text>
    </comment>
    <comment ref="C39" authorId="0" shapeId="0">
      <text>
        <r>
          <rPr>
            <u/>
            <sz val="9"/>
            <color indexed="81"/>
            <rFont val="Tahoma"/>
            <family val="2"/>
            <charset val="204"/>
          </rPr>
          <t>Руководители:</t>
        </r>
        <r>
          <rPr>
            <sz val="9"/>
            <color indexed="81"/>
            <rFont val="Tahoma"/>
            <family val="2"/>
            <charset val="204"/>
          </rPr>
          <t xml:space="preserve"> Руководители непромышленных  подразделений предприятия,  (в т.ч. обособленных)  социально-бытовой, жилищно-коммунальной  сферы и здравоохранения, детские учреждения, спортивно-оздоровительные подразделения, подразделения общественного питания, и т.п.), их заместители (начальник (директор, заведующий) медсанчасти, детского сада, столовой,  гостиницы, прачечной (кроме спецодежды), директор дворца культуры, музея и его заместители).
</t>
        </r>
        <r>
          <rPr>
            <u/>
            <sz val="9"/>
            <color indexed="81"/>
            <rFont val="Tahoma"/>
            <family val="2"/>
            <charset val="204"/>
          </rPr>
          <t>Специалисты:</t>
        </r>
        <r>
          <rPr>
            <sz val="9"/>
            <color indexed="81"/>
            <rFont val="Tahoma"/>
            <family val="2"/>
            <charset val="204"/>
          </rPr>
          <t xml:space="preserve"> Специалисты  всех наименований в подразделениях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 обеспечивающие поддержку предприятия за рамками текущего производственного  процесса (врач, фельдшер, медицинская сестра,  воспитатель, вожатый, инструктор по физкультуре (плаванию), бухгалтер, и др.)
</t>
        </r>
        <r>
          <rPr>
            <u/>
            <sz val="9"/>
            <color indexed="81"/>
            <rFont val="Tahoma"/>
            <family val="2"/>
            <charset val="204"/>
          </rPr>
          <t>Служащие:</t>
        </r>
        <r>
          <rPr>
            <sz val="9"/>
            <color indexed="81"/>
            <rFont val="Tahoma"/>
            <family val="2"/>
            <charset val="204"/>
          </rPr>
          <t xml:space="preserve"> Комендант, официант и др.
</t>
        </r>
        <r>
          <rPr>
            <u/>
            <sz val="9"/>
            <color indexed="81"/>
            <rFont val="Tahoma"/>
            <family val="2"/>
            <charset val="204"/>
          </rPr>
          <t>Рабочие:</t>
        </r>
        <r>
          <rPr>
            <sz val="9"/>
            <color indexed="81"/>
            <rFont val="Tahoma"/>
            <family val="2"/>
            <charset val="204"/>
          </rPr>
          <t xml:space="preserve"> Рабочие всех наименований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t>
        </r>
      </text>
    </comment>
    <comment ref="X44" authorId="0" shapeId="0">
      <text>
        <r>
          <rPr>
            <sz val="9"/>
            <color indexed="81"/>
            <rFont val="Tahoma"/>
            <family val="2"/>
            <charset val="204"/>
          </rPr>
          <t>Итоговое число руководителей, специалистов, служащих и рабочих должно быть идентично в формах 1-к и 2-к!</t>
        </r>
      </text>
    </comment>
  </commentList>
</comments>
</file>

<file path=xl/comments2.xml><?xml version="1.0" encoding="utf-8"?>
<comments xmlns="http://schemas.openxmlformats.org/spreadsheetml/2006/main">
  <authors>
    <author>Степанов Евгений Борисович</author>
  </authors>
  <commentList>
    <comment ref="E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F4" authorId="0" shapeId="0">
      <text>
        <r>
          <rPr>
            <sz val="9"/>
            <color indexed="81"/>
            <rFont val="Tahoma"/>
            <family val="2"/>
            <charset val="204"/>
          </rPr>
          <t>Здесь и далее верхний порог стажа не включается в численность.</t>
        </r>
      </text>
    </comment>
    <comment ref="G4" authorId="0" shapeId="0">
      <text>
        <r>
          <rPr>
            <sz val="9"/>
            <color indexed="81"/>
            <rFont val="Tahoma"/>
            <family val="2"/>
            <charset val="204"/>
          </rPr>
          <t>Столбец не заполняется! Значения считаются автоматически!</t>
        </r>
      </text>
    </comment>
    <comment ref="H4" authorId="0" shapeId="0">
      <text>
        <r>
          <rPr>
            <sz val="9"/>
            <color indexed="81"/>
            <rFont val="Tahoma"/>
            <family val="2"/>
            <charset val="204"/>
          </rPr>
          <t>Здесь и далее указывается % изменения показателя по отношению к прошлому году. Отношение вычисляется делением значение отчетного года к значению предыдущего года и умножением на 100. Значение показателя менее 100% - уменьшение, более 100% - увеличение. Отрицательных значений быть не может!</t>
        </r>
      </text>
    </comment>
    <comment ref="I4" authorId="0" shapeId="0">
      <text>
        <r>
          <rPr>
            <sz val="9"/>
            <color indexed="81"/>
            <rFont val="Tahoma"/>
            <family val="2"/>
            <charset val="204"/>
          </rPr>
          <t>Здесь и далее верхний порог стажа не включается в численность.</t>
        </r>
      </text>
    </comment>
    <comment ref="J4" authorId="0" shapeId="0">
      <text>
        <r>
          <rPr>
            <sz val="9"/>
            <color indexed="81"/>
            <rFont val="Tahoma"/>
            <family val="2"/>
            <charset val="204"/>
          </rPr>
          <t>Столбец не заполняется! Значения считаются автоматически!</t>
        </r>
      </text>
    </comment>
    <comment ref="M4" authorId="0" shapeId="0">
      <text>
        <r>
          <rPr>
            <sz val="9"/>
            <color indexed="81"/>
            <rFont val="Tahoma"/>
            <family val="2"/>
            <charset val="204"/>
          </rPr>
          <t>Столбец не заполняется! Значения считаются автоматически!</t>
        </r>
      </text>
    </comment>
    <comment ref="P4" authorId="0" shapeId="0">
      <text>
        <r>
          <rPr>
            <sz val="9"/>
            <color indexed="81"/>
            <rFont val="Tahoma"/>
            <family val="2"/>
            <charset val="204"/>
          </rPr>
          <t>Столбец не заполняется! Значения считаются автоматически!</t>
        </r>
      </text>
    </comment>
    <comment ref="S4" authorId="0" shapeId="0">
      <text>
        <r>
          <rPr>
            <sz val="9"/>
            <color indexed="81"/>
            <rFont val="Tahoma"/>
            <family val="2"/>
            <charset val="204"/>
          </rPr>
          <t>Столбец не заполняется! Значения считаются автоматически!</t>
        </r>
      </text>
    </comment>
    <comment ref="V4" authorId="0" shapeId="0">
      <text>
        <r>
          <rPr>
            <sz val="9"/>
            <color indexed="81"/>
            <rFont val="Tahoma"/>
            <family val="2"/>
            <charset val="204"/>
          </rPr>
          <t>Столбец не заполняется! Значения считаются автоматически!</t>
        </r>
      </text>
    </comment>
    <comment ref="X4" authorId="0" shapeId="0">
      <text>
        <r>
          <rPr>
            <sz val="9"/>
            <color indexed="81"/>
            <rFont val="Tahoma"/>
            <family val="2"/>
            <charset val="204"/>
          </rPr>
          <t>Столбец не заполняется! Значения считаются автоматически!</t>
        </r>
      </text>
    </comment>
    <comment ref="D6" authorId="0" shapeId="0">
      <text>
        <r>
          <rPr>
            <u/>
            <sz val="9"/>
            <color indexed="81"/>
            <rFont val="Tahoma"/>
            <family val="2"/>
            <charset val="204"/>
          </rPr>
          <t>Руководители:</t>
        </r>
        <r>
          <rPr>
            <sz val="9"/>
            <color indexed="81"/>
            <rFont val="Tahoma"/>
            <family val="2"/>
            <charset val="204"/>
          </rPr>
          <t xml:space="preserve"> Президент и его заместители, генеральный директор и его заместители, генеральный и главный конструктор и их заместители, директора и главные специалисты  прямого подчинения генеральному директору или президенту, директора направлений деятельности, директора программ, Главные специалисты (гл. технолог,  гл. металлург и их замы, гл. научный сотрудник, гл. экономист, гл. бухгалтер и т.д.), начальники управления, департамента, службы, отдела, бюро, сектора, группы.
</t>
        </r>
        <r>
          <rPr>
            <u/>
            <sz val="9"/>
            <color indexed="81"/>
            <rFont val="Tahoma"/>
            <family val="2"/>
            <charset val="204"/>
          </rPr>
          <t>Специалисты:</t>
        </r>
        <r>
          <rPr>
            <sz val="9"/>
            <color indexed="81"/>
            <rFont val="Tahoma"/>
            <family val="2"/>
            <charset val="204"/>
          </rPr>
          <t xml:space="preserve"> Советники, консультанты, эксперты, специалисты по направлению деятельности, конструкторы и технологи общезаводских подразделений, инженер по качеству, инженер по нормированию труда, инженер по подготовке кадров, юрист, бухгалтер, инженер по эксплуатации зданий, экономисты, юристы, программисты (офисные приложения, а именно - бухгалтерские, кадровые системы, техническая поддержка пользователей ПК).
</t>
        </r>
        <r>
          <rPr>
            <u/>
            <sz val="9"/>
            <color indexed="81"/>
            <rFont val="Tahoma"/>
            <family val="2"/>
            <charset val="204"/>
          </rPr>
          <t>Служащие:</t>
        </r>
        <r>
          <rPr>
            <sz val="9"/>
            <color indexed="81"/>
            <rFont val="Tahoma"/>
            <family val="2"/>
            <charset val="204"/>
          </rPr>
          <t xml:space="preserve">  экспедитор, агент, комендант. табельщик, кассир, секретарь, делопроизводитель, архивариус, машинистка, копировщик.</t>
        </r>
      </text>
    </comment>
    <comment ref="D9" authorId="0" shapeId="0">
      <text>
        <r>
          <rPr>
            <u/>
            <sz val="9"/>
            <color indexed="81"/>
            <rFont val="Tahoma"/>
            <family val="2"/>
            <charset val="204"/>
          </rPr>
          <t xml:space="preserve">Руководители: </t>
        </r>
        <r>
          <rPr>
            <sz val="9"/>
            <color indexed="81"/>
            <rFont val="Tahoma"/>
            <family val="2"/>
            <charset val="204"/>
          </rPr>
          <t xml:space="preserve">Начальники цехов и их замы, нач. производства цеха, нач. участка, мастер, нач. цеховых лабораторий, нач. транспортного цеха, нач. смены, нач. дворово-хоз. цеха.
</t>
        </r>
        <r>
          <rPr>
            <u/>
            <sz val="9"/>
            <color indexed="81"/>
            <rFont val="Tahoma"/>
            <family val="2"/>
            <charset val="204"/>
          </rPr>
          <t>Специалисты:</t>
        </r>
        <r>
          <rPr>
            <sz val="9"/>
            <color indexed="81"/>
            <rFont val="Tahoma"/>
            <family val="2"/>
            <charset val="204"/>
          </rPr>
          <t xml:space="preserve"> Инженер по подготовке производства, механик, энергетик, экономист, зав архивом, диспетчер и т.п.
</t>
        </r>
        <r>
          <rPr>
            <u/>
            <sz val="9"/>
            <color indexed="81"/>
            <rFont val="Tahoma"/>
            <family val="2"/>
            <charset val="204"/>
          </rPr>
          <t>Служащие:</t>
        </r>
        <r>
          <rPr>
            <sz val="9"/>
            <color indexed="81"/>
            <rFont val="Tahoma"/>
            <family val="2"/>
            <charset val="204"/>
          </rPr>
          <t xml:space="preserve"> Охранник (но только не для ФГУП "Охрана"), оперативный дежурный ВОХР, дежурный бюро пропусков, др. Комендант цеха, табельщик, кассир, секретарь, делопроизводитель, архивариус, машинистка, копировщик, др.</t>
        </r>
      </text>
    </comment>
    <comment ref="C17"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(Проектирование и конструирование изделия)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электроники (САПР), инженеры и техники (по подготовке технической документации)</t>
        </r>
      </text>
    </comment>
    <comment ref="C19"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(Технология изготовления изделия) 
</t>
        </r>
        <r>
          <rPr>
            <u/>
            <sz val="9"/>
            <color indexed="81"/>
            <rFont val="Tahoma"/>
            <family val="2"/>
            <charset val="204"/>
          </rPr>
          <t>Специалисты:</t>
        </r>
        <r>
          <rPr>
            <sz val="9"/>
            <color indexed="81"/>
            <rFont val="Tahoma"/>
            <family val="2"/>
            <charset val="204"/>
          </rPr>
          <t xml:space="preserve"> Программисты, электроники (САПР, ЧПУ) , инженер-технолог, техник-технолог, инженеры и техники по подготовке технологической документации.</t>
        </r>
      </text>
    </comment>
    <comment ref="C21"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(Разработка заводской конструкторской документации на изделие, оснастку, инструмент)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инженеры-программисты, электроники (САПР, ЧПУ) , инженеры и техники (по подготовке технической документации),инженеры по эксплуатации, ТО, ремонту др.</t>
        </r>
      </text>
    </comment>
    <comment ref="C23"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др. (Технология изготовления изделия).
</t>
        </r>
        <r>
          <rPr>
            <u/>
            <sz val="9"/>
            <color indexed="81"/>
            <rFont val="Tahoma"/>
            <family val="2"/>
            <charset val="204"/>
          </rPr>
          <t>Специалисты:</t>
        </r>
        <r>
          <rPr>
            <sz val="9"/>
            <color indexed="81"/>
            <rFont val="Tahoma"/>
            <family val="2"/>
            <charset val="204"/>
          </rPr>
          <t xml:space="preserve"> Программисты, инженеры-программисты, электроники (САПР, ЧПУ) , инженер-технолог, техник-технолог, инженеры и техники по подготовке технологической документации.</t>
        </r>
      </text>
    </comment>
    <comment ref="C25"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(Разработка  конструкторской документации на испытательные стенды, методики проведения испытания, обработки данных). 
</t>
        </r>
        <r>
          <rPr>
            <u/>
            <sz val="9"/>
            <color indexed="81"/>
            <rFont val="Tahoma"/>
            <family val="2"/>
            <charset val="204"/>
          </rPr>
          <t>Специалисты:</t>
        </r>
        <r>
          <rPr>
            <sz val="9"/>
            <color indexed="81"/>
            <rFont val="Tahoma"/>
            <family val="2"/>
            <charset val="204"/>
          </rPr>
          <t xml:space="preserve"> Инженер-конструктор, техник-конструктор, инженеры расчетчики, инженеры (специалисты) по сертификации, надежности и др. программисты, инженеры - программисты, электроники (САПР, ЧПУ), инженеры и техники (по подготовке технической документации).</t>
        </r>
      </text>
    </comment>
    <comment ref="C27" authorId="0" shapeId="0">
      <text>
        <r>
          <rPr>
            <u/>
            <sz val="9"/>
            <color indexed="81"/>
            <rFont val="Tahoma"/>
            <family val="2"/>
            <charset val="204"/>
          </rPr>
          <t>Руководители:</t>
        </r>
        <r>
          <rPr>
            <sz val="9"/>
            <color indexed="81"/>
            <rFont val="Tahoma"/>
            <family val="2"/>
            <charset val="204"/>
          </rPr>
          <t xml:space="preserve"> Начальник отдела, бригады, сектора, бюро, группы, лаборатории, стенда, их заместители и др. (Технология изготовления испытательных стендов и оборудования).
</t>
        </r>
        <r>
          <rPr>
            <u/>
            <sz val="9"/>
            <color indexed="81"/>
            <rFont val="Tahoma"/>
            <family val="2"/>
            <charset val="204"/>
          </rPr>
          <t>Специалисты:</t>
        </r>
        <r>
          <rPr>
            <sz val="9"/>
            <color indexed="81"/>
            <rFont val="Tahoma"/>
            <family val="2"/>
            <charset val="204"/>
          </rPr>
          <t xml:space="preserve"> Программисты, электроники (САПР, ЧПУ) , инженер-технолог, инженер-испытатель, техник-технолог, инженеры и техники по подготовке технологической документации, инженеры по эксплуатации, ТО, ремонту и др.</t>
        </r>
      </text>
    </comment>
    <comment ref="C29" authorId="0" shapeId="0">
      <text>
        <r>
          <rPr>
            <sz val="9"/>
            <color indexed="81"/>
            <rFont val="Tahoma"/>
            <family val="2"/>
            <charset val="204"/>
          </rPr>
          <t>Руководители и специалисты научных, научно-исследовательских подразделений и экспериментальных лабораторий, руководители и специалисты научно исследовательских институтов, научно производственных объединений и предприятий, деятельность которых невозможно отнести к вышеперечисленным категориям, занятые исследованиями и моделированием условий электромагнитной совместимости, тепловых процессов и т.д.</t>
        </r>
      </text>
    </comment>
    <comment ref="D31" authorId="0" shapeId="0">
      <text>
        <r>
          <rPr>
            <u/>
            <sz val="9"/>
            <color indexed="81"/>
            <rFont val="Tahoma"/>
            <family val="2"/>
            <charset val="204"/>
          </rPr>
          <t>Основные рабочие:</t>
        </r>
        <r>
          <rPr>
            <sz val="9"/>
            <color indexed="81"/>
            <rFont val="Tahoma"/>
            <family val="2"/>
            <charset val="204"/>
          </rPr>
          <t xml:space="preserve"> Рабочие комплексов горячих, заготовительно-штамповочных, механических и механосборочных, слесарно-сварочных, обработки неметаллических материалов, защитных покрытий, агрегатно-сборочных  и окончательной сборки, занятые непосредственным изготовлением, сборкой основной продукции предприятия, а также цехов основного производства, в т.ч. стартового, непосредственно занятые доработками и доводкой изделий  при проведении всех видов испытаний, приготовители масс, клеев, красок, смесей, герметика, техники и механики всех специальностей испытательной и доводочной базы и гарантийные бригады, непосредственно занятые периодическим  и гарантийным ТО в процессе  испытаний и доработки космической техники, комплекса служб испытаний (цехи типовых испытаний, контрольно-испытательной станции), осуществляющие типовые испытания основного изделия, как завершающей стадии изготовления основного изделия, рабочие экспедиции, занятые на процессах консервации и упаковки готовой продукции предприятия, рабочие эксплуатационно-ремонтного цеха (отдела), занятые конструктивными доработками и гарантийным  и послегарантийным ремонтом и основной продукции предприятия.
</t>
        </r>
        <r>
          <rPr>
            <u/>
            <sz val="9"/>
            <color indexed="81"/>
            <rFont val="Tahoma"/>
            <family val="2"/>
            <charset val="204"/>
          </rPr>
          <t>Охранники - только для ФГУП "Охрана"</t>
        </r>
      </text>
    </comment>
    <comment ref="D32" authorId="0" shapeId="0">
      <text>
        <r>
          <rPr>
            <u/>
            <sz val="9"/>
            <color indexed="81"/>
            <rFont val="Tahoma"/>
            <family val="2"/>
            <charset val="204"/>
          </rPr>
          <t>Производственные рабочие:</t>
        </r>
        <r>
          <rPr>
            <sz val="9"/>
            <color indexed="81"/>
            <rFont val="Tahoma"/>
            <family val="2"/>
            <charset val="204"/>
          </rPr>
          <t xml:space="preserve"> Рабочие комплекса цехов и участков подготовки производства (инструментального, приспособлений, технологической оснастки и нестандартного оборудования, цеха механизации и автоматизации и т.п.), занятые изготовлением основной продукции предприятия, предназначенной для реализации на сторону (барокамеры, турбины для нефтегазовой отрасли, сейсмические датчики для атомных станций и т.п.), а также инструмента, принадлежностей и т.п., идущих на комплектование основной продукции предприятия, комплекса вспомогательных цехов (деревообрабатывающего, нестандартного оборудования). Рабочие цехов и участков производства тепла, электричества, воздушно-коллекторных станций и т.д. Рабочие комплекса вспомогательных цехов (деревообрабатывающего, нестандартного оборудования), занятые изготовлением тары и упаковки постоянного применения для основной продукции предприятия. Рабочие комплекса общезаводских складов, занятые подготовкой (расконсервацией, маркировкой, клеймением, предварительным раскроем) материалов, которые образуют основу изготавливаемой продукции или являются необходимыми компонентами при ее изготовлении комплекса заводских лабораторий и лабораторно-стендового комплекса КБ, занятые изготовлением оборудования испытательных комплексов, подготовкой, дополнительной обработкой и сборкой, приведением в работоспособное состояние полуфабрикатов и комплектующих изделий и их группировкой для селективной сборки. 
</t>
        </r>
      </text>
    </comment>
    <comment ref="C33" authorId="0" shapeId="0">
      <text>
        <r>
          <rPr>
            <sz val="9"/>
            <color indexed="81"/>
            <rFont val="Tahoma"/>
            <family val="2"/>
            <charset val="204"/>
          </rPr>
          <t>Рабочие занятые перемещением, транспортировкой, хранением и складированием предметов и продуктов труда, техническим контролем качества продукции, наладкой оборудования, поддержанием в рабочем состоянии орудий труда, уборкой производственных помещений и др. Рабочие занятые подготовкой производства, обслуживанием и ремонтом технологического и энергетического оборудования, ремонтом производственных зданий и сооружений, перемещением, транспортировкой, хранением и складированием предметов и продуктов труда и т.п., хозяйственным обслуживанием и уборкой офисных и производственных помещений, автотранспортным обслуживаниям и др.</t>
        </r>
      </text>
    </comment>
    <comment ref="C39" authorId="0" shapeId="0">
      <text>
        <r>
          <rPr>
            <u/>
            <sz val="9"/>
            <color indexed="81"/>
            <rFont val="Tahoma"/>
            <family val="2"/>
            <charset val="204"/>
          </rPr>
          <t>Руководители:</t>
        </r>
        <r>
          <rPr>
            <sz val="9"/>
            <color indexed="81"/>
            <rFont val="Tahoma"/>
            <family val="2"/>
            <charset val="204"/>
          </rPr>
          <t xml:space="preserve"> Руководители непромышленных  подразделений предприятия,  (в т.ч. обособленных)  социально-бытовой, жилищно-коммунальной  сферы и здравоохранения, детские учреждения, спортивно-оздоровительные подразделения, подразделения общественного питания, и т.п.), их заместители (начальник (директор, заведующий) медсанчасти, детского сада, столовой,  гостиницы, прачечной (кроме спецодежды), директор дворца культуры, музея и его заместители).
</t>
        </r>
        <r>
          <rPr>
            <u/>
            <sz val="9"/>
            <color indexed="81"/>
            <rFont val="Tahoma"/>
            <family val="2"/>
            <charset val="204"/>
          </rPr>
          <t>Специалисты:</t>
        </r>
        <r>
          <rPr>
            <sz val="9"/>
            <color indexed="81"/>
            <rFont val="Tahoma"/>
            <family val="2"/>
            <charset val="204"/>
          </rPr>
          <t xml:space="preserve"> Специалисты  всех наименований в подразделениях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 обеспечивающие поддержку предприятия за рамками текущего производственного  процесса (врач, фельдшер, медицинская сестра,  воспитатель, вожатый, инструктор по физкультуре (плаванию), бухгалтер, и др.)
</t>
        </r>
        <r>
          <rPr>
            <u/>
            <sz val="9"/>
            <color indexed="81"/>
            <rFont val="Tahoma"/>
            <family val="2"/>
            <charset val="204"/>
          </rPr>
          <t>Служащие:</t>
        </r>
        <r>
          <rPr>
            <sz val="9"/>
            <color indexed="81"/>
            <rFont val="Tahoma"/>
            <family val="2"/>
            <charset val="204"/>
          </rPr>
          <t xml:space="preserve"> Комендант, официант и др.
</t>
        </r>
        <r>
          <rPr>
            <u/>
            <sz val="9"/>
            <color indexed="81"/>
            <rFont val="Tahoma"/>
            <family val="2"/>
            <charset val="204"/>
          </rPr>
          <t>Рабочие:</t>
        </r>
        <r>
          <rPr>
            <sz val="9"/>
            <color indexed="81"/>
            <rFont val="Tahoma"/>
            <family val="2"/>
            <charset val="204"/>
          </rPr>
          <t xml:space="preserve"> Рабочие всех наименований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t>
        </r>
      </text>
    </comment>
    <comment ref="X44" authorId="0" shapeId="0">
      <text>
        <r>
          <rPr>
            <sz val="9"/>
            <color indexed="81"/>
            <rFont val="Tahoma"/>
            <family val="2"/>
            <charset val="204"/>
          </rPr>
          <t>Итоговое число руководителей, специалистов, служащих и рабочих должно быть идентично в формах 1-к и 2-к!</t>
        </r>
      </text>
    </comment>
  </commentList>
</comments>
</file>

<file path=xl/comments3.xml><?xml version="1.0" encoding="utf-8"?>
<comments xmlns="http://schemas.openxmlformats.org/spreadsheetml/2006/main">
  <authors>
    <author>Степанов Евгений Борисович</author>
  </authors>
  <commentList>
    <comment ref="D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6" authorId="0" shapeId="0">
      <text>
        <r>
          <rPr>
            <sz val="9"/>
            <color indexed="81"/>
            <rFont val="Tahoma"/>
            <family val="2"/>
            <charset val="204"/>
          </rPr>
          <t>Показатель рассчитывается в соответствие с Приказом Росстата от 28.10.2013 № 428</t>
        </r>
      </text>
    </comment>
    <comment ref="B7" authorId="0" shapeId="0">
      <text>
        <r>
          <rPr>
            <sz val="9"/>
            <color indexed="81"/>
            <rFont val="Tahoma"/>
            <family val="2"/>
            <charset val="204"/>
          </rPr>
          <t>Здесь и далее по форме под "к предыдущему году", понимается процент, получаемый делением значения показателя за отчетный период к показателю за аналогичный отчетный период в прошлом году.</t>
        </r>
      </text>
    </comment>
    <comment ref="B9" authorId="0" shapeId="0">
      <text>
        <r>
          <rPr>
            <sz val="9"/>
            <color indexed="81"/>
            <rFont val="Tahoma"/>
            <family val="2"/>
            <charset val="204"/>
          </rPr>
          <t>Заполняется данными за период предшествующий отчетному, т.е. если отчетность представляется за 2014 год, в данные строки (6-11) подставляются цифры на отчетную дату из отчетности за 2013 год.</t>
        </r>
      </text>
    </comment>
    <comment ref="B22" authorId="0" shapeId="0">
      <text>
        <r>
          <rPr>
            <sz val="9"/>
            <color indexed="81"/>
            <rFont val="Tahoma"/>
            <family val="2"/>
            <charset val="204"/>
          </rPr>
          <t>Показатель рассчитывается в соответствие с Приказом Росстата от 28.10.2013 № 428. Средняя численность не может быть меньше среднесписочной!</t>
        </r>
      </text>
    </comment>
    <comment ref="B23" authorId="0" shapeId="0">
      <text>
        <r>
          <rPr>
            <sz val="9"/>
            <color indexed="81"/>
            <rFont val="Tahoma"/>
            <family val="2"/>
            <charset val="204"/>
          </rPr>
          <t>Здесь и далее указывается % изменения показателя по отношению к прошлому году. Отношение вычисляется делением значение отчетного года к значению предыдущего года и умножением на 100. Значение показателя менее 100% - уменьшение, более 100% - увеличение. Отрицательных значений быть не может!</t>
        </r>
      </text>
    </comment>
    <comment ref="B24" authorId="0" shapeId="0">
      <text>
        <r>
          <rPr>
            <sz val="9"/>
            <color indexed="81"/>
            <rFont val="Tahoma"/>
            <family val="2"/>
            <charset val="204"/>
          </rPr>
          <t xml:space="preserve">Указывается общее количество человек, прошедших стажировку на предприятии за отчетный период, вне зависимости от количество дней стажировки. </t>
        </r>
      </text>
    </comment>
    <comment ref="B26" authorId="0" shapeId="0">
      <text>
        <r>
          <rPr>
            <sz val="9"/>
            <color indexed="81"/>
            <rFont val="Tahoma"/>
            <family val="2"/>
            <charset val="204"/>
          </rPr>
          <t>Считается сумма всех дней стажировки по всем стажерам за обозначенный период, полученное значение делится на количество стажеров из стр.9 настоящей формы. Днем стажировки зачитывается любой день, вне зависимости от количества отработанных часов стажером в этот день, кроме дней неявки.</t>
        </r>
      </text>
    </comment>
    <comment ref="B27" authorId="0" shapeId="0">
      <text>
        <r>
          <rPr>
            <sz val="9"/>
            <color indexed="81"/>
            <rFont val="Tahoma"/>
            <family val="2"/>
            <charset val="204"/>
          </rPr>
          <t xml:space="preserve">Указывается общее количество человек, прошедших практику на предприятии за отчетный период, вне зависимости от количество дней практики. </t>
        </r>
      </text>
    </comment>
    <comment ref="B29" authorId="0" shapeId="0">
      <text>
        <r>
          <rPr>
            <sz val="9"/>
            <color indexed="81"/>
            <rFont val="Tahoma"/>
            <family val="2"/>
            <charset val="204"/>
          </rPr>
          <t>Считается сумма всех дней практики по всем практикантам за обозначенный период, полученное значение делится на количество практикантов из стр.23 настоящей формы. Днем практики зачитывается любой день, вне зависимости от количества отработанных часов практикантом в этот день, кроме дней неявки. Срок практики за год не может быть более 366 дней.</t>
        </r>
      </text>
    </comment>
    <comment ref="B30" authorId="0" shapeId="0">
      <text>
        <r>
          <rPr>
            <sz val="9"/>
            <color indexed="81"/>
            <rFont val="Tahoma"/>
            <family val="2"/>
            <charset val="204"/>
          </rPr>
          <t>Считается количество мужчин от списочной численности персонала на отчетную дату.</t>
        </r>
      </text>
    </comment>
    <comment ref="B32" authorId="0" shapeId="0">
      <text>
        <r>
          <rPr>
            <sz val="9"/>
            <color indexed="81"/>
            <rFont val="Tahoma"/>
            <family val="2"/>
            <charset val="204"/>
          </rPr>
          <t>Считается количество женщин от списочной численности персонала на отчетную дату.</t>
        </r>
      </text>
    </comment>
    <comment ref="B34" authorId="0" shapeId="0">
      <text>
        <r>
          <rPr>
            <sz val="9"/>
            <color indexed="81"/>
            <rFont val="Tahoma"/>
            <family val="2"/>
            <charset val="204"/>
          </rPr>
          <t>Указывается списочная численность принятых работников за отчетный период.</t>
        </r>
      </text>
    </comment>
    <comment ref="B40" authorId="0" shapeId="0">
      <text>
        <r>
          <rPr>
            <sz val="9"/>
            <color indexed="81"/>
            <rFont val="Tahoma"/>
            <family val="2"/>
            <charset val="204"/>
          </rPr>
          <t xml:space="preserve">Численность уволенных работников  за отчетный период по всем основаниям ТК РФ, за исключением следующих оснований:
1. Cоглашение сторон – ст. 78 ТК РФ;
2. Ликвидация организации либо прекращение деятельности индивидуальным предпринимателем – п. 1 ст. 81 ТК РФ;
3. Сокращение численности или штата работников организации, индивидуального предпринимателя – п. 2 ст. 81 ТК РФ.
Процент текучести рассчитывается автоматически. Обратите внимание, что текучесть </t>
        </r>
        <r>
          <rPr>
            <b/>
            <sz val="9"/>
            <color indexed="81"/>
            <rFont val="Tahoma"/>
            <family val="2"/>
            <charset val="204"/>
          </rPr>
          <t>всегда меньше или равна выбытию!</t>
        </r>
      </text>
    </comment>
    <comment ref="B54" authorId="0" shapeId="0">
      <text>
        <r>
          <rPr>
            <sz val="9"/>
            <color indexed="81"/>
            <rFont val="Tahoma"/>
            <family val="2"/>
            <charset val="204"/>
          </rPr>
          <t xml:space="preserve">Численность уволенных работников по всем основаниям ТК РФ за отчетный период. Выбытие всегда </t>
        </r>
        <r>
          <rPr>
            <b/>
            <sz val="9"/>
            <color indexed="81"/>
            <rFont val="Tahoma"/>
            <family val="2"/>
            <charset val="204"/>
          </rPr>
          <t>должно быть больше или равно текучести</t>
        </r>
        <r>
          <rPr>
            <sz val="9"/>
            <color indexed="81"/>
            <rFont val="Tahoma"/>
            <family val="2"/>
            <charset val="204"/>
          </rPr>
          <t>!</t>
        </r>
      </text>
    </comment>
    <comment ref="B68" authorId="0" shapeId="0">
      <text>
        <r>
          <rPr>
            <sz val="9"/>
            <color indexed="81"/>
            <rFont val="Tahoma"/>
            <family val="2"/>
            <charset val="204"/>
          </rPr>
          <t>Средняя заработная плата рассчитывается делением фонда начисленной заработной платы соответствующей категории работников на среднюю численность той же категории работников (среднемесячная заработная плата) или на количество отработанных ими человеко-часов (среднечасовая заработная плата) за определенные периоды времени (период с начала года, год). При определении среднемесячной заработной платы на одного работника с начала года, за год необходимо полученное число разделить на количество месяцев в периоде.</t>
        </r>
      </text>
    </comment>
    <comment ref="B78" authorId="0" shapeId="0">
      <text>
        <r>
          <rPr>
            <sz val="9"/>
            <color indexed="81"/>
            <rFont val="Tahoma"/>
            <family val="2"/>
            <charset val="204"/>
          </rPr>
          <t>Выручка из формы "Отчет о финансовых результатах" бухгалтерской отчетности предприятия, деленная на среднесписочную численность работников за отчетный период.</t>
        </r>
      </text>
    </comment>
    <comment ref="B80" authorId="0" shapeId="0">
      <text>
        <r>
          <rPr>
            <sz val="9"/>
            <color indexed="81"/>
            <rFont val="Tahoma"/>
            <family val="2"/>
            <charset val="204"/>
          </rPr>
          <t>Выручка от собственных работ (без кооперации), деленная на среднесписочную численность работников за отчетный период.</t>
        </r>
      </text>
    </comment>
  </commentList>
</comments>
</file>

<file path=xl/comments4.xml><?xml version="1.0" encoding="utf-8"?>
<comments xmlns="http://schemas.openxmlformats.org/spreadsheetml/2006/main">
  <authors>
    <author>Степанов Евгений Борисович</author>
  </authors>
  <commentList>
    <comment ref="B6" authorId="0" shapeId="0">
      <text>
        <r>
          <rPr>
            <sz val="9"/>
            <color indexed="81"/>
            <rFont val="Tahoma"/>
            <family val="2"/>
            <charset val="204"/>
          </rPr>
          <t>Сотрудник, пришедший на работу не более чем через 3 месяца после окончания образовательной организации и не имеющий предыдущих мест работы после окончания образовательной организации.</t>
        </r>
      </text>
    </comment>
    <comment ref="C7" authorId="0" shapeId="0">
      <text>
        <r>
          <rPr>
            <sz val="9"/>
            <color indexed="81"/>
            <rFont val="Tahoma"/>
            <family val="2"/>
            <charset val="204"/>
          </rPr>
          <t>Здесь и далее верхний предел срока не входит в категорию.</t>
        </r>
      </text>
    </comment>
    <comment ref="B21" authorId="0" shapeId="0">
      <text>
        <r>
          <rPr>
            <sz val="9"/>
            <color indexed="81"/>
            <rFont val="Tahoma"/>
            <family val="2"/>
            <charset val="204"/>
          </rPr>
          <t>Сотрудник, пришедший на работу не более чем через 3 месяца после окончания образовательной организации и не имеющий предыдущих мест работы после окончания образовательной организации.</t>
        </r>
      </text>
    </comment>
    <comment ref="C22" authorId="0" shapeId="0">
      <text>
        <r>
          <rPr>
            <sz val="9"/>
            <color indexed="81"/>
            <rFont val="Tahoma"/>
            <family val="2"/>
            <charset val="204"/>
          </rPr>
          <t>Здесь и далее верхний предел срока не входит в категорию.</t>
        </r>
      </text>
    </comment>
  </commentList>
</comments>
</file>

<file path=xl/comments5.xml><?xml version="1.0" encoding="utf-8"?>
<comments xmlns="http://schemas.openxmlformats.org/spreadsheetml/2006/main">
  <authors>
    <author>Степанов Евгений Борисович</author>
  </authors>
  <commentList>
    <comment ref="B6" authorId="0" shapeId="0">
      <text>
        <r>
          <rPr>
            <sz val="9"/>
            <color indexed="81"/>
            <rFont val="Tahoma"/>
            <family val="2"/>
            <charset val="204"/>
          </rPr>
          <t>Здесь и далее по форме указываются только работники (неработающие пенсионеры), получившие гарантии и компенсации за отчетный период.</t>
        </r>
      </text>
    </comment>
    <comment ref="C7" authorId="0" shapeId="0">
      <text>
        <r>
          <rPr>
            <sz val="9"/>
            <color indexed="81"/>
            <rFont val="Tahoma"/>
            <family val="2"/>
            <charset val="204"/>
          </rPr>
          <t>Здесь и далее указывается % изменения показателя по отношению к прошлому году. Отношение вычисляется делением значение отчетного года к значению предыдущего года и умножением на 100. Значение показателя менее 100% - уменьшение, более 100% - увеличение. Отрицательных значений быть не может!</t>
        </r>
      </text>
    </comment>
    <comment ref="B14" authorId="0" shapeId="0">
      <text>
        <r>
          <rPr>
            <sz val="9"/>
            <color indexed="81"/>
            <rFont val="Tahoma"/>
            <family val="2"/>
            <charset val="204"/>
          </rPr>
          <t>НПО - Негосударственное пенсионное обеспечение. Указывается только в случае наличия на предприятии договора негосударственного пенсионного обеспечения работников. Если договора нет, проставляются нули.</t>
        </r>
      </text>
    </comment>
  </commentList>
</comments>
</file>

<file path=xl/comments6.xml><?xml version="1.0" encoding="utf-8"?>
<comments xmlns="http://schemas.openxmlformats.org/spreadsheetml/2006/main">
  <authors>
    <author>Степанов Евгений Борисович</author>
  </authors>
  <commentList>
    <comment ref="C1" authorId="0" shapeId="0">
      <text>
        <r>
          <rPr>
            <sz val="9"/>
            <color indexed="81"/>
            <rFont val="Tahoma"/>
            <family val="2"/>
            <charset val="204"/>
          </rPr>
          <t xml:space="preserve">В списке указываются руководитель предприятия, генеральный (главный) конструктор, заместители руководителя предприятия, главный бухгалтер, начальник кадровой службы (отдела кадров), руководитель подразделения ответственного за обучение персонала, руководитель подразделения ответственного за труд и заработную плату, а также все остальные руководители прямого подчинения руководителю предприятия. </t>
        </r>
      </text>
    </commen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4" authorId="0" shapeId="0">
      <text>
        <r>
          <rPr>
            <sz val="9"/>
            <color indexed="81"/>
            <rFont val="Tahoma"/>
            <family val="2"/>
            <charset val="204"/>
          </rPr>
          <t>Указывается Фамилия имя и отчество полностью, без сокращений</t>
        </r>
      </text>
    </comment>
    <comment ref="C4" authorId="0" shapeId="0">
      <text>
        <r>
          <rPr>
            <sz val="9"/>
            <color indexed="81"/>
            <rFont val="Tahoma"/>
            <family val="2"/>
            <charset val="204"/>
          </rPr>
          <t>Указывается полная должность без сокращений.</t>
        </r>
      </text>
    </comment>
    <comment ref="D4" authorId="0" shapeId="0">
      <text>
        <r>
          <rPr>
            <b/>
            <sz val="9"/>
            <color indexed="81"/>
            <rFont val="Tahoma"/>
            <family val="2"/>
            <charset val="204"/>
          </rPr>
          <t>Например:</t>
        </r>
        <r>
          <rPr>
            <sz val="9"/>
            <color indexed="81"/>
            <rFont val="Tahoma"/>
            <family val="2"/>
            <charset val="204"/>
          </rPr>
          <t xml:space="preserve"> Московский электротехнический институт связи, 1985, радиотехника.</t>
        </r>
      </text>
    </comment>
    <comment ref="F4" authorId="0" shapeId="0">
      <text>
        <r>
          <rPr>
            <sz val="9"/>
            <color indexed="81"/>
            <rFont val="Tahoma"/>
            <family val="2"/>
            <charset val="204"/>
          </rPr>
          <t>Указывается полная дата рождения - число.месяц. год.</t>
        </r>
      </text>
    </comment>
    <comment ref="G4" authorId="0" shapeId="0">
      <text>
        <r>
          <rPr>
            <sz val="9"/>
            <color indexed="81"/>
            <rFont val="Tahoma"/>
            <family val="2"/>
            <charset val="204"/>
          </rPr>
          <t>Телефон указывается в следующем формате:
(код города) ХХХ-ХХХХ</t>
        </r>
      </text>
    </comment>
    <comment ref="H4" authorId="0" shapeId="0">
      <text>
        <r>
          <rPr>
            <sz val="9"/>
            <color indexed="81"/>
            <rFont val="Tahoma"/>
            <family val="2"/>
            <charset val="204"/>
          </rPr>
          <t>Телефон указывается в следующем формате:
(код города) ХХХ-ХХХХ</t>
        </r>
      </text>
    </comment>
    <comment ref="I4" authorId="0" shapeId="0">
      <text>
        <r>
          <rPr>
            <sz val="9"/>
            <color indexed="81"/>
            <rFont val="Tahoma"/>
            <family val="2"/>
            <charset val="204"/>
          </rPr>
          <t xml:space="preserve">Указывается полная дата в формате число.месяц.год. В случае перезаключения контракта, указывается дата самого первого назначения на должность. </t>
        </r>
      </text>
    </comment>
  </commentList>
</comments>
</file>

<file path=xl/comments7.xml><?xml version="1.0" encoding="utf-8"?>
<comments xmlns="http://schemas.openxmlformats.org/spreadsheetml/2006/main">
  <authors>
    <author>Копченкова Юлия Александровна</author>
    <author>Степанов Евгений Борисович</author>
  </authors>
  <commentList>
    <comment ref="D5" authorId="0" shapeId="0">
      <text>
        <r>
          <rPr>
            <sz val="8"/>
            <color indexed="81"/>
            <rFont val="Tahoma"/>
            <family val="2"/>
            <charset val="204"/>
          </rPr>
          <t xml:space="preserve">в соответствии с утвержденным бюджетом
</t>
        </r>
      </text>
    </comment>
    <comment ref="B29" authorId="1" shapeId="0">
      <text>
        <r>
          <rPr>
            <sz val="9"/>
            <color indexed="81"/>
            <rFont val="Tahoma"/>
            <family val="2"/>
            <charset val="204"/>
          </rPr>
          <t>В том числе доплаты и надбавки выплачиваемые наставникам</t>
        </r>
      </text>
    </comment>
    <comment ref="B51" authorId="1" shapeId="0">
      <text>
        <r>
          <rPr>
            <sz val="9"/>
            <color indexed="81"/>
            <rFont val="Tahoma"/>
            <family val="2"/>
            <charset val="204"/>
          </rPr>
          <t>Выплаты при выходе на пенсию, к юбилею, к праздничным датам, при награждении.</t>
        </r>
      </text>
    </comment>
    <comment ref="B52" authorId="1" shapeId="0">
      <text>
        <r>
          <rPr>
            <sz val="9"/>
            <color indexed="81"/>
            <rFont val="Tahoma"/>
            <family val="2"/>
            <charset val="204"/>
          </rPr>
          <t>Материальная помощь/выплаты работникам к отпуску, в связи с рождением ребенка, вступлением в брак, смертью работника/близкого родственника, на лечение, в чрезвычайных ситуациях и т.п. Не включаются расходы за счет средств ФСС.</t>
        </r>
      </text>
    </comment>
    <comment ref="B53" authorId="1" shapeId="0">
      <text>
        <r>
          <rPr>
            <sz val="9"/>
            <color indexed="81"/>
            <rFont val="Tahoma"/>
            <family val="2"/>
            <charset val="204"/>
          </rPr>
          <t>Оплата/компенсация посещения детьми работников образовательных учреждений (детсады, школы) и т.п.</t>
        </r>
      </text>
    </comment>
    <comment ref="B54" authorId="1" shapeId="0">
      <text>
        <r>
          <rPr>
            <sz val="9"/>
            <color indexed="81"/>
            <rFont val="Tahoma"/>
            <family val="2"/>
            <charset val="204"/>
          </rPr>
          <t>Расходы на организацию и проведение корпоративных мероприятий для работников/детей работников, приобретение подарков работникам/детям работников к праздникам и т.п.</t>
        </r>
      </text>
    </comment>
    <comment ref="B55" authorId="1" shapeId="0">
      <text>
        <r>
          <rPr>
            <sz val="9"/>
            <color indexed="81"/>
            <rFont val="Tahoma"/>
            <family val="2"/>
            <charset val="204"/>
          </rPr>
          <t>Материальная помощь/выплаты неработающим пенсионерам, оплата санаторно-курортных путевок/ медицинской помощи, расходы на организацию досуга/проведение культурно-массовых мероприятий, выделение денежных средств советам ветеранов и т.п. Не включаются расходы на содержание зданий, оргтехники для Советов ветеранов.</t>
        </r>
      </text>
    </comment>
    <comment ref="B56" authorId="1" shapeId="0">
      <text>
        <r>
          <rPr>
            <sz val="9"/>
            <color indexed="81"/>
            <rFont val="Tahoma"/>
            <family val="2"/>
            <charset val="204"/>
          </rPr>
          <t>Оплата по договорам негосударственного пенсионного обеспечения работников.</t>
        </r>
      </text>
    </comment>
    <comment ref="B57" authorId="1" shapeId="0">
      <text>
        <r>
          <rPr>
            <sz val="9"/>
            <color indexed="81"/>
            <rFont val="Tahoma"/>
            <family val="2"/>
            <charset val="204"/>
          </rPr>
          <t>Расходы на организацию и проведение спортивных мероприятий, компенсация стоимости посещения спортивных/физкультурно-оздоровительных учреждений (в т.ч. фитнес-клубов, бассейнов и т.п.)</t>
        </r>
      </text>
    </comment>
    <comment ref="B58" authorId="1" shapeId="0">
      <text>
        <r>
          <rPr>
            <sz val="9"/>
            <color indexed="81"/>
            <rFont val="Tahoma"/>
            <family val="2"/>
            <charset val="204"/>
          </rPr>
          <t>Оплата/компенсация стоимости питания в столовой, дотации/субсидии на питание и т.п. Не включаются расходы на спецпитание при работе во вредных условиях труда.</t>
        </r>
      </text>
    </comment>
    <comment ref="B59" authorId="1" shapeId="0">
      <text>
        <r>
          <rPr>
            <sz val="9"/>
            <color indexed="81"/>
            <rFont val="Tahoma"/>
            <family val="2"/>
            <charset val="204"/>
          </rPr>
          <t>Компенсация стоимости проезда до места работы и обратно, оплата по договору с транспортной компанией на доставку работников к месту работы и т.п.</t>
        </r>
      </text>
    </comment>
    <comment ref="B60" authorId="1" shapeId="0">
      <text>
        <r>
          <rPr>
            <sz val="9"/>
            <color indexed="81"/>
            <rFont val="Tahoma"/>
            <family val="2"/>
            <charset val="204"/>
          </rPr>
          <t>Оплата/компенсация работникам стоимости путевок в санаторно-курортные учреждения, пансионаты и т.п., доставка работников к месту отдыха, дотации/субсидии учреждениям для организации отдыха работников</t>
        </r>
      </text>
    </comment>
    <comment ref="B61" authorId="1" shapeId="0">
      <text>
        <r>
          <rPr>
            <sz val="9"/>
            <color indexed="81"/>
            <rFont val="Tahoma"/>
            <family val="2"/>
            <charset val="204"/>
          </rPr>
          <t>Оплата/компенсация работникам стоимости путевок для детей работников в санаторно-курортные учреждения, детские оздоровительные лагеря и т.п., доставка к месту отдыха, дотации/субсидии учреждениям для организации отдыха детей работников.</t>
        </r>
      </text>
    </comment>
    <comment ref="B62" authorId="1" shapeId="0">
      <text>
        <r>
          <rPr>
            <sz val="9"/>
            <color indexed="81"/>
            <rFont val="Tahoma"/>
            <family val="2"/>
            <charset val="204"/>
          </rPr>
          <t>Оплата по договорам с медицинскими учреждениями на проведение медосмотров/медицинское обслуживание работников, приобретение медикаментов, дотации/субсидии для медпунктов/здравпунктов.</t>
        </r>
      </text>
    </comment>
    <comment ref="B63" authorId="1" shapeId="0">
      <text>
        <r>
          <rPr>
            <sz val="9"/>
            <color indexed="81"/>
            <rFont val="Tahoma"/>
            <family val="2"/>
            <charset val="204"/>
          </rPr>
          <t>Оплата по договорам со страховыми компаниями на добровольное медицинское обслуживание.</t>
        </r>
      </text>
    </comment>
    <comment ref="B64" authorId="1" shapeId="0">
      <text>
        <r>
          <rPr>
            <sz val="9"/>
            <color indexed="81"/>
            <rFont val="Tahoma"/>
            <family val="2"/>
            <charset val="204"/>
          </rPr>
          <t xml:space="preserve">Оплата по договорам на добровольное страхование жизни/здоровья/от несчастных случаев. </t>
        </r>
      </text>
    </comment>
    <comment ref="B65" authorId="1" shapeId="0">
      <text>
        <r>
          <rPr>
            <sz val="9"/>
            <color indexed="81"/>
            <rFont val="Tahoma"/>
            <family val="2"/>
            <charset val="204"/>
          </rPr>
          <t>Компенсация аренды жилья, льготы по ипотеке, предоставляемые предприятием, расходы на предоставление целевых займов и т.п.</t>
        </r>
      </text>
    </comment>
    <comment ref="B66" authorId="1" shapeId="0">
      <text>
        <r>
          <rPr>
            <b/>
            <sz val="9"/>
            <color indexed="81"/>
            <rFont val="Tahoma"/>
            <family val="2"/>
            <charset val="204"/>
          </rPr>
          <t>Степанов Евгений Борисович:</t>
        </r>
        <r>
          <rPr>
            <sz val="9"/>
            <color indexed="81"/>
            <rFont val="Tahoma"/>
            <family val="2"/>
            <charset val="204"/>
          </rPr>
          <t xml:space="preserve">
Выплаты по уходу за ребенком до достижения 3-х лет </t>
        </r>
        <r>
          <rPr>
            <u/>
            <sz val="9"/>
            <color indexed="81"/>
            <rFont val="Tahoma"/>
            <family val="2"/>
            <charset val="204"/>
          </rPr>
          <t>за исключением выплат из ФСС.</t>
        </r>
      </text>
    </comment>
    <comment ref="B67" authorId="1" shapeId="0">
      <text>
        <r>
          <rPr>
            <sz val="9"/>
            <color indexed="81"/>
            <rFont val="Tahoma"/>
            <family val="2"/>
            <charset val="204"/>
          </rPr>
          <t>Выделение денежных средств профсоюзной организации. Не включаются: членские взносы из зарплаты работников, расходы на содержание помещений, предоставление оргтехники и т.п.</t>
        </r>
      </text>
    </comment>
    <comment ref="B68" authorId="1" shapeId="0">
      <text>
        <r>
          <rPr>
            <sz val="9"/>
            <color indexed="81"/>
            <rFont val="Tahoma"/>
            <family val="2"/>
            <charset val="204"/>
          </rPr>
          <t>Оплата проезда к месту работы, провоза багажа, суточные за время нахождения в пути и т.п. в связи с переездом на работу в другую местность.</t>
        </r>
      </text>
    </comment>
    <comment ref="B69" authorId="1" shapeId="0">
      <text>
        <r>
          <rPr>
            <sz val="9"/>
            <color indexed="81"/>
            <rFont val="Tahoma"/>
            <family val="2"/>
            <charset val="204"/>
          </rPr>
          <t>Оплата проезда к месту отдыха, оплата переезда к месту постоянного проживания после увольнения работникам Крайнего севера и приравненных к нему местностей.</t>
        </r>
      </text>
    </comment>
    <comment ref="B70" authorId="1" shapeId="0">
      <text>
        <r>
          <rPr>
            <sz val="9"/>
            <color indexed="81"/>
            <rFont val="Tahoma"/>
            <family val="2"/>
            <charset val="204"/>
          </rPr>
          <t xml:space="preserve">Оплата проезда к месту отдыха/лечения из удаленных местностей в соответствии с Колдоговором. </t>
        </r>
      </text>
    </comment>
    <comment ref="B71" authorId="1" shapeId="0">
      <text>
        <r>
          <rPr>
            <sz val="9"/>
            <color indexed="81"/>
            <rFont val="Tahoma"/>
            <family val="2"/>
            <charset val="204"/>
          </rPr>
          <t>Другие выплаты, не отнесенные к перечню социальных гарантий и компенсаций (стр. с 46 по 66). Все выплаты, отражаемые по данной строке,</t>
        </r>
        <r>
          <rPr>
            <u/>
            <sz val="9"/>
            <color indexed="81"/>
            <rFont val="Tahoma"/>
            <family val="2"/>
            <charset val="204"/>
          </rPr>
          <t xml:space="preserve"> должны быть поименованы в строке 76 настоящей формы.</t>
        </r>
      </text>
    </comment>
    <comment ref="B72" authorId="1" shapeId="0">
      <text>
        <r>
          <rPr>
            <sz val="9"/>
            <color indexed="81"/>
            <rFont val="Tahoma"/>
            <family val="2"/>
            <charset val="204"/>
          </rPr>
          <t>Оплата по договорам на обучение персонала, на разработку учебных программ, на целевое обучение.</t>
        </r>
      </text>
    </comment>
    <comment ref="B73" authorId="1" shapeId="0">
      <text>
        <r>
          <rPr>
            <sz val="9"/>
            <color indexed="81"/>
            <rFont val="Tahoma"/>
            <family val="2"/>
            <charset val="204"/>
          </rPr>
          <t>Оплата услуг кадровых агентств, оплата размещения информации о вакансиях в печатных изданиях, в сети интернет, оплата доступа к базе резюме, расходы на профориентационные мероприятия и т.п.</t>
        </r>
      </text>
    </comment>
    <comment ref="B74" authorId="1" shapeId="0">
      <text>
        <r>
          <rPr>
            <sz val="9"/>
            <color indexed="81"/>
            <rFont val="Tahoma"/>
            <family val="2"/>
            <charset val="204"/>
          </rPr>
          <t>Отраслевые олимпиады/конкурсы среди школьников, студентов, стипендии школьникам и студентам, затраты на организацию специализированных секций и кружков детского творчества. И т.д.</t>
        </r>
      </text>
    </comment>
    <comment ref="B75" authorId="1" shapeId="0">
      <text>
        <r>
          <rPr>
            <sz val="9"/>
            <color indexed="81"/>
            <rFont val="Tahoma"/>
            <family val="2"/>
            <charset val="204"/>
          </rPr>
          <t>Расходы на приобретение оценочных инструментов, оплата по договорам на проведение оценки персонала.</t>
        </r>
      </text>
    </comment>
    <comment ref="B76" authorId="1" shapeId="0">
      <text>
        <r>
          <rPr>
            <sz val="9"/>
            <color indexed="81"/>
            <rFont val="Tahoma"/>
            <family val="2"/>
            <charset val="204"/>
          </rPr>
          <t>В том числе различных стратегических сессий, инновационных сессий, тематических чтений и т.д.</t>
        </r>
      </text>
    </comment>
    <comment ref="B77" authorId="1" shapeId="0">
      <text>
        <r>
          <rPr>
            <sz val="9"/>
            <color indexed="81"/>
            <rFont val="Tahoma"/>
            <family val="2"/>
            <charset val="204"/>
          </rPr>
          <t>Суммы, выплаченные за счет средств организации, в возмещение вреда, причиненного работникам увечьем, профессиональным заболеванием либо иным повреждением их здоровья; компенсация работникам морального вреда, определяемая соглашением сторон трудового договора или судом, за счет средств организации.</t>
        </r>
      </text>
    </comment>
    <comment ref="B78" authorId="1" shapeId="0">
      <text>
        <r>
          <rPr>
            <sz val="9"/>
            <color indexed="81"/>
            <rFont val="Tahoma"/>
            <family val="2"/>
            <charset val="204"/>
          </rPr>
          <t>Оплата по договорам на оказание информационно-консультационных услуг в области управления персоналом.</t>
        </r>
      </text>
    </comment>
    <comment ref="B79" authorId="1" shapeId="0">
      <text>
        <r>
          <rPr>
            <sz val="9"/>
            <color indexed="81"/>
            <rFont val="Tahoma"/>
            <family val="2"/>
            <charset val="204"/>
          </rPr>
          <t>Оплата больничных более 3-х дней, пособие по беременности и родам, пособие при рождении ребенка и т.п.</t>
        </r>
      </text>
    </comment>
    <comment ref="B80" authorId="1" shapeId="0">
      <text>
        <r>
          <rPr>
            <sz val="9"/>
            <color indexed="81"/>
            <rFont val="Tahoma"/>
            <family val="2"/>
            <charset val="204"/>
          </rPr>
          <t>Взносы в ФСС, ФОМС, ПФР</t>
        </r>
      </text>
    </comment>
  </commentList>
</comments>
</file>

<file path=xl/comments8.xml><?xml version="1.0" encoding="utf-8"?>
<comments xmlns="http://schemas.openxmlformats.org/spreadsheetml/2006/main">
  <authors>
    <author>Попов Яков Сергеевич</author>
  </authors>
  <commentList>
    <comment ref="B8" authorId="0" shapeId="0">
      <text>
        <r>
          <rPr>
            <sz val="10"/>
            <color indexed="81"/>
            <rFont val="Tahoma"/>
            <family val="2"/>
            <charset val="204"/>
          </rPr>
          <t>За 2016 г. считать без учета работников, зачисленных в отраслевой кадровый резерв по итогам обучения в Сколково</t>
        </r>
      </text>
    </comment>
    <comment ref="B9" authorId="0" shapeId="0">
      <text>
        <r>
          <rPr>
            <sz val="10"/>
            <color indexed="81"/>
            <rFont val="Tahoma"/>
            <family val="2"/>
            <charset val="204"/>
          </rPr>
          <t>Должности, на которые распространяется действие отраслевого кадрового резерва:
Генеральный директор, заместитель генерального директора, генеральный/главный конструктор</t>
        </r>
      </text>
    </comment>
    <comment ref="B11" authorId="0" shapeId="0">
      <text>
        <r>
          <rPr>
            <sz val="10"/>
            <color indexed="81"/>
            <rFont val="Tahoma"/>
            <family val="2"/>
            <charset val="204"/>
          </rPr>
          <t>В расчет не включаются:
- работники, назначенные на какие-либо должности внутренним переводом внутри организации;
- работники, исключенные из кадрового резерва по всем остальным основаниям.
Численность в Строке 7 должна быть равной сумме численности в строках 8-12</t>
        </r>
      </text>
    </comment>
    <comment ref="B17" authorId="0" shapeId="0">
      <text>
        <r>
          <rPr>
            <sz val="10"/>
            <color indexed="81"/>
            <rFont val="Tahoma"/>
            <family val="2"/>
            <charset val="204"/>
          </rPr>
          <t>К примеру, в начале 2016 г. происходит сбор кадровой отчетности за 2015 г. и в данной графе необходимо указывать потребность в резервистах в 2016 г.</t>
        </r>
      </text>
    </comment>
    <comment ref="B18" authorId="0" shapeId="0">
      <text>
        <r>
          <rPr>
            <sz val="10"/>
            <color indexed="81"/>
            <rFont val="Tahoma"/>
            <family val="2"/>
            <charset val="204"/>
          </rPr>
          <t>Показатель рассчитывается автоматически в соответствии с формулой:
        Строка 7
------------------------------- * 100%
(Строка 7 + Строка 13)</t>
        </r>
        <r>
          <rPr>
            <sz val="9"/>
            <color indexed="81"/>
            <rFont val="Tahoma"/>
            <family val="2"/>
            <charset val="204"/>
          </rPr>
          <t xml:space="preserve">
</t>
        </r>
      </text>
    </comment>
    <comment ref="B20" authorId="0" shapeId="0">
      <text>
        <r>
          <rPr>
            <sz val="10"/>
            <color indexed="81"/>
            <rFont val="Tahoma"/>
            <family val="2"/>
            <charset val="204"/>
          </rPr>
          <t>Необходимо вычислить средний возраст работников, находящихся в кадровом резерве организации, с учетом месяцев и отразить количество лет и месяцев в соответствующих колонках. Итоговая колонка автоматически переведет цифры в десятичные.</t>
        </r>
        <r>
          <rPr>
            <sz val="9"/>
            <color indexed="81"/>
            <rFont val="Tahoma"/>
            <family val="2"/>
            <charset val="204"/>
          </rPr>
          <t xml:space="preserve">
</t>
        </r>
      </text>
    </comment>
    <comment ref="B23" authorId="0" shapeId="0">
      <text>
        <r>
          <rPr>
            <sz val="10"/>
            <color indexed="81"/>
            <rFont val="Tahoma"/>
            <family val="2"/>
            <charset val="204"/>
          </rPr>
          <t>Показатель рассчитывается автоматически в соответствии с формулой:
                     Строка 18
---------------------------------------------------- * 100%
(Строка 7 + Строка 18+ Строка 20)</t>
        </r>
        <r>
          <rPr>
            <sz val="9"/>
            <color indexed="81"/>
            <rFont val="Tahoma"/>
            <family val="2"/>
            <charset val="204"/>
          </rPr>
          <t xml:space="preserve">
</t>
        </r>
      </text>
    </comment>
    <comment ref="B25" authorId="0" shapeId="0">
      <text>
        <r>
          <rPr>
            <sz val="10"/>
            <color indexed="81"/>
            <rFont val="Tahoma"/>
            <family val="2"/>
            <charset val="204"/>
          </rPr>
          <t>Показатель рассчитывается автоматически в соответствии с формулой:
                     Строка 20
---------------------------------------------------- * 100%
(Строка 7 + Строка 18 + Строка 20)</t>
        </r>
        <r>
          <rPr>
            <sz val="9"/>
            <color indexed="81"/>
            <rFont val="Tahoma"/>
            <family val="2"/>
            <charset val="204"/>
          </rPr>
          <t xml:space="preserve">
</t>
        </r>
      </text>
    </comment>
    <comment ref="B27" authorId="0" shapeId="0">
      <text>
        <r>
          <rPr>
            <sz val="10"/>
            <color indexed="81"/>
            <rFont val="Tahoma"/>
            <family val="2"/>
            <charset val="204"/>
          </rPr>
          <t xml:space="preserve">Сумма времени между датой зачисления в кадровый резерв и датой назначения на должность по каждому резервисту, деленная на количество резервистов. Если на момент сбора кадровой отчетности резервист не назначен на какие-либо должности в организации, данные по нему учитываются с даты зачисления в кадровой резерв до дня сбора кадровой отчетности. </t>
        </r>
        <r>
          <rPr>
            <sz val="9"/>
            <color indexed="81"/>
            <rFont val="Tahoma"/>
            <family val="2"/>
            <charset val="204"/>
          </rPr>
          <t xml:space="preserve">
</t>
        </r>
      </text>
    </comment>
  </commentList>
</comments>
</file>

<file path=xl/comments9.xml><?xml version="1.0" encoding="utf-8"?>
<comments xmlns="http://schemas.openxmlformats.org/spreadsheetml/2006/main">
  <authors>
    <author>Степанов Евгений Борисович</author>
  </authors>
  <commentList>
    <comment ref="D6" authorId="0" shapeId="0">
      <text>
        <r>
          <rPr>
            <sz val="9"/>
            <color indexed="81"/>
            <rFont val="Tahoma"/>
            <family val="2"/>
            <charset val="204"/>
          </rPr>
          <t>Указать какие конкретно практики по профориентационной работе созданы и функционируют за отчетный период, описать полученный результат от новых и внедренных ранее практик по профориентационной работе.</t>
        </r>
      </text>
    </comment>
    <comment ref="D7" authorId="0" shapeId="0">
      <text>
        <r>
          <rPr>
            <sz val="9"/>
            <color indexed="81"/>
            <rFont val="Tahoma"/>
            <family val="2"/>
            <charset val="204"/>
          </rPr>
          <t>Описать в каком количестве олимпиад, конкурсов для школьников и студентов предприятие приняло участие за отчетный период. Описать количество выявленной талантливой молодёжи, по результатам конкурсов и олимпиад привлеченной на бюджетные места для обучения инженерным специальностям в образовательных организациях ВО и СПО за отчетный период.</t>
        </r>
      </text>
    </comment>
    <comment ref="D8" authorId="0" shapeId="0">
      <text>
        <r>
          <rPr>
            <sz val="9"/>
            <color indexed="81"/>
            <rFont val="Tahoma"/>
            <family val="2"/>
            <charset val="204"/>
          </rPr>
          <t>Количество созданных молодежно-творческие бюро, наличие планов работы в целях увеличения вовлеченности персонала в формирование перспективных направлений разработки РКТ молодыми специалистами. Указать тематику работы созданных молодежно творческих бюро и цели, поставленные перед ними.</t>
        </r>
      </text>
    </comment>
    <comment ref="D9" authorId="0" shapeId="0">
      <text>
        <r>
          <rPr>
            <sz val="9"/>
            <color indexed="81"/>
            <rFont val="Tahoma"/>
            <family val="2"/>
            <charset val="204"/>
          </rPr>
          <t>Описать статус внедрения системы мотивации на основе ключевых показателей эффективности (КПЭ) для руководителя предприятия, его заместителей, а также других работников. По каждой из описанных групп написать статус - "внедрено", "внедряется" либо "внедрение не начато" и описать сроки предполагаемого внедрения, а также перечень мероприятий со сроками исполнения. В случае, если система мотивации внедрена, описать перечень выполненных мероприятий и достигнутых результатов.</t>
        </r>
      </text>
    </comment>
  </commentList>
</comments>
</file>

<file path=xl/comments10.xml><?xml version="1.0" encoding="utf-8"?>
<comments xmlns="http://schemas.openxmlformats.org/spreadsheetml/2006/main">
  <authors>
    <author>Степанов Евгений Борисович</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35" authorId="0" shapeId="0">
      <text>
        <r>
          <rPr>
            <sz val="9"/>
            <color indexed="81"/>
            <rFont val="Tahoma"/>
            <family val="2"/>
            <charset val="204"/>
          </rPr>
          <t>В случае отсутствия фактических данных по ФОТ за отчетный период, показатель рассчитывается по прогнозному значению.</t>
        </r>
      </text>
    </comment>
  </commentList>
</comments>
</file>

<file path=xl/comments11.xml><?xml version="1.0" encoding="utf-8"?>
<comments xmlns="http://schemas.openxmlformats.org/spreadsheetml/2006/main">
  <authors>
    <author>Степанов Евгений Борисович</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C21" authorId="0" shapeId="0">
      <text>
        <r>
          <rPr>
            <sz val="9"/>
            <color indexed="81"/>
            <rFont val="Tahoma"/>
            <family val="2"/>
            <charset val="204"/>
          </rPr>
          <t>Обучение, необходимое для допуска к выполнению работ, например, охране труда и технике безопасности, обучение, связанное с допуском по электробезопасности, допуском к работе с сосудами под давлением и т.д.</t>
        </r>
      </text>
    </comment>
    <comment ref="B62" authorId="0" shapeId="0">
      <text>
        <r>
          <rPr>
            <sz val="9"/>
            <color indexed="81"/>
            <rFont val="Tahoma"/>
            <family val="2"/>
            <charset val="204"/>
          </rPr>
          <t>В случае отсутствия фактических данных по ФОТ за отчетный период, показатель рассчитывается по прогнозному значению.</t>
        </r>
      </text>
    </comment>
  </commentList>
</comments>
</file>

<file path=xl/comments12.xml><?xml version="1.0" encoding="utf-8"?>
<comments xmlns="http://schemas.openxmlformats.org/spreadsheetml/2006/main">
  <authors>
    <author>Степанов Евгений Борисович</author>
    <author>Попов Яков Сергеевич</author>
  </authors>
  <commentList>
    <comment ref="D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L4" authorId="1" shapeId="0">
      <text>
        <r>
          <rPr>
            <sz val="9"/>
            <color indexed="81"/>
            <rFont val="Tahoma"/>
            <family val="2"/>
            <charset val="204"/>
          </rPr>
          <t>Руководители: Руководители непромышленных  подразделений предприятия,  (в т.ч. обособленных)  социально-бытовой, жилищно-коммунальной  сферы и здравоохранения, детские учреждения, спортивно-оздоровительные подразделения, подразделения общественного питания, и т.п.), их заместители (начальник (директор, заведующий) медсанчасти, детского сада, столовой,  гостиницы, прачечной (кроме спецодежды), директор дворца культуры, музея и его заместители).
Специалисты: Специалисты  всех наименований в подразделениях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 обеспечивающие поддержку предприятия за рамками текущего производственного  процесса (врач, фельдшер, медицинская сестра,  воспитатель, вожатый, инструктор по физкультуре (плаванию), бухгалтер, и др.)
Служащие: Комендант, официант и др.
Рабочие: Рабочие всех наименований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t>
        </r>
      </text>
    </comment>
    <comment ref="G5" authorId="0" shapeId="0">
      <text>
        <r>
          <rPr>
            <u/>
            <sz val="9"/>
            <color indexed="81"/>
            <rFont val="Tahoma"/>
            <family val="2"/>
            <charset val="204"/>
          </rPr>
          <t xml:space="preserve">Руководители: </t>
        </r>
        <r>
          <rPr>
            <sz val="9"/>
            <color indexed="81"/>
            <rFont val="Tahoma"/>
            <family val="2"/>
            <charset val="204"/>
          </rPr>
          <t xml:space="preserve">- начальник отдела, бригады, сектора, бюро, группы, лаборатории, стенда; их заместители; др. (Проектирование и конструирование изделия)
</t>
        </r>
        <r>
          <rPr>
            <u/>
            <sz val="9"/>
            <color indexed="81"/>
            <rFont val="Tahoma"/>
            <family val="2"/>
            <charset val="204"/>
          </rPr>
          <t>Специалисты:</t>
        </r>
        <r>
          <rPr>
            <sz val="9"/>
            <color indexed="81"/>
            <rFont val="Tahoma"/>
            <family val="2"/>
            <charset val="204"/>
          </rPr>
          <t xml:space="preserve"> - инженер-конструктор, техник-конструктор, инженеры расчетчики, инженеры (специалисты) по сертификации, надежности и др. программисты, электроники (САПР) ,инженеры и техники (по подготовке технической документации),инженеры по эксплуатации, ТО, ремонту др.</t>
        </r>
      </text>
    </comment>
    <comment ref="I5" authorId="0" shapeId="0">
      <text>
        <r>
          <rPr>
            <u/>
            <sz val="9"/>
            <color indexed="81"/>
            <rFont val="Tahoma"/>
            <family val="2"/>
            <charset val="204"/>
          </rPr>
          <t>Основные рабочие:</t>
        </r>
        <r>
          <rPr>
            <sz val="9"/>
            <color indexed="81"/>
            <rFont val="Tahoma"/>
            <family val="2"/>
            <charset val="204"/>
          </rPr>
          <t xml:space="preserve"> рабочие комплексов горячих, заготовительно-штамповочных, механических и механосборочных, слесарно-сварочных, обработки неметаллических материалов, защитных покрытий, агрегатно-сборочных  и окончательной сборки, занятые непосредственным изготовлением, сборкой основной продукции предприятия, а также цехов основного производства, в т.ч. стартового, непосредственно занятые доработками и доводкой изделий  при проведении всех видов испытаний, приготовители масс, клеев, красок, смесей, герметика, техники и механики всех специальностей испытательной и доводочной базы и гарантийные бригады, непосредственно занятые периодическим  и гарантийным ТО в процессе  испытаний и доработки космической техники, комплекса служб испытаний (цехи типовых испытаний, контрольно-испытательной станции), осуществляющие типовые испытания основного изделия, как завершающей стадии изготовления основного изделия, рабочие экспедиции, занятые на процессах консервации и упаковки готовой продукции предприятия, рабочие эксплуатационно-ремонтного цеха (отдела), занятые конструктивными доработками и гарантийным  и послегарантийным ремонтом и основной продукции предприятия.</t>
        </r>
      </text>
    </comment>
    <comment ref="J5" authorId="0" shapeId="0">
      <text>
        <r>
          <rPr>
            <u/>
            <sz val="9"/>
            <color indexed="81"/>
            <rFont val="Tahoma"/>
            <family val="2"/>
            <charset val="204"/>
          </rPr>
          <t>Производственные рабочие:</t>
        </r>
        <r>
          <rPr>
            <sz val="9"/>
            <color indexed="81"/>
            <rFont val="Tahoma"/>
            <family val="2"/>
            <charset val="204"/>
          </rPr>
          <t xml:space="preserve"> Рабочие комплекса цехов и участков подготовки производства (инструментального, приспособлений, технологической оснастки и нестандартного оборудования, цеха механизации и автоматизации и т.п.), занятые изготовлением основной продукции предприятия, предназначенной для реализации на сторону, а также инструмента, принадлежностей и т.п., идущих на комплектование основной продукции предприятия, комплекса вспомогательных цехов (деревообрабатывающего, нестандартного оборудования). Рабочие цехов и участков производства тепла, электричества, воздушно-коллекторных станций и т.д.</t>
        </r>
      </text>
    </comment>
    <comment ref="K5" authorId="0" shapeId="0">
      <text>
        <r>
          <rPr>
            <u/>
            <sz val="9"/>
            <color indexed="81"/>
            <rFont val="Tahoma"/>
            <family val="2"/>
            <charset val="204"/>
          </rPr>
          <t>Рабочие:</t>
        </r>
        <r>
          <rPr>
            <sz val="9"/>
            <color indexed="81"/>
            <rFont val="Tahoma"/>
            <family val="2"/>
            <charset val="204"/>
          </rPr>
          <t xml:space="preserve"> занятые перемещением, транспортировкой, хранением и складированием предметов и продуктов труда, техническим контролем качества продукции, наладкой оборудования, поддержанием в рабочем состоянии орудий труда, уборкой производственных помещений и др. Рабочие занятые подготовкой производства, обслуживанием и ремонтом технологического и энергетического оборудования, ремонтом производственных зданий и сооружений, перемещением, транспортировкой, хранением и складированием предметов и продуктов труда и т.п., хозяйственным обслуживанием и уборкой офисных и производственных помещений, автотранспортным обслуживаниям и др.</t>
        </r>
      </text>
    </comment>
    <comment ref="C11" authorId="0" shapeId="0">
      <text>
        <r>
          <rPr>
            <sz val="9"/>
            <color indexed="81"/>
            <rFont val="Tahoma"/>
            <family val="2"/>
            <charset val="204"/>
          </rPr>
          <t>В данную категорию, здесь и далее, включаются также и работники, имеющие начальное профессиональное образование.</t>
        </r>
      </text>
    </comment>
    <comment ref="C26" authorId="0" shapeId="0">
      <text>
        <r>
          <rPr>
            <sz val="9"/>
            <color indexed="81"/>
            <rFont val="Tahoma"/>
            <family val="2"/>
            <charset val="204"/>
          </rPr>
          <t>В данную категорию, здесь и далее, включаются также и работники, имеющие начальное профессиональное образование.</t>
        </r>
      </text>
    </comment>
    <comment ref="C41" authorId="0" shapeId="0">
      <text>
        <r>
          <rPr>
            <sz val="9"/>
            <color indexed="81"/>
            <rFont val="Tahoma"/>
            <family val="2"/>
            <charset val="204"/>
          </rPr>
          <t>В данную категорию, здесь и далее, включаются также и работники, имеющие начальное профессиональное образование.</t>
        </r>
      </text>
    </comment>
    <comment ref="C56" authorId="0" shapeId="0">
      <text>
        <r>
          <rPr>
            <sz val="9"/>
            <color indexed="81"/>
            <rFont val="Tahoma"/>
            <family val="2"/>
            <charset val="204"/>
          </rPr>
          <t>В данную категорию, здесь и далее, включаются также и работники, имеющие начальное профессиональное образование.</t>
        </r>
      </text>
    </comment>
  </commentList>
</comments>
</file>

<file path=xl/comments13.xml><?xml version="1.0" encoding="utf-8"?>
<comments xmlns="http://schemas.openxmlformats.org/spreadsheetml/2006/main">
  <authors>
    <author>Степанов Евгений Борисович</author>
    <author>Автор</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4" authorId="1" shapeId="0">
      <text>
        <r>
          <rPr>
            <sz val="9"/>
            <color indexed="81"/>
            <rFont val="Tahoma"/>
            <family val="2"/>
            <charset val="204"/>
          </rPr>
          <t>Допускаются наименования ОУ только из списка выбора.</t>
        </r>
      </text>
    </comment>
    <comment ref="C4" authorId="1" shapeId="0">
      <text>
        <r>
          <rPr>
            <sz val="9"/>
            <color indexed="81"/>
            <rFont val="Tahoma"/>
            <family val="2"/>
            <charset val="204"/>
          </rPr>
          <t xml:space="preserve">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
</t>
        </r>
        <r>
          <rPr>
            <b/>
            <sz val="9"/>
            <color indexed="81"/>
            <rFont val="Tahoma"/>
            <family val="2"/>
            <charset val="204"/>
          </rPr>
          <t>Формат:</t>
        </r>
        <r>
          <rPr>
            <sz val="9"/>
            <color indexed="81"/>
            <rFont val="Tahoma"/>
            <family val="2"/>
            <charset val="204"/>
          </rPr>
          <t xml:space="preserve">
*.02.* - Направления СПО
*.03.* - Бакалавриат
*.04.* - Магистратура
*.05.* - Специалитет
*.06.* - Аспирантура</t>
        </r>
      </text>
    </comment>
    <comment ref="D4" authorId="1" shapeId="0">
      <text>
        <r>
          <rPr>
            <sz val="9"/>
            <color indexed="81"/>
            <rFont val="Tahoma"/>
            <family val="2"/>
            <charset val="204"/>
          </rPr>
          <t>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t>
        </r>
      </text>
    </comment>
    <comment ref="E4" authorId="0" shapeId="0">
      <text>
        <r>
          <rPr>
            <sz val="9"/>
            <color indexed="81"/>
            <rFont val="Tahoma"/>
            <family val="2"/>
            <charset val="204"/>
          </rPr>
          <t>В данный показатель также входят работники, обучающиеся по заочной форме за свой счет или за счет предприятия.</t>
        </r>
      </text>
    </comment>
    <comment ref="F4" authorId="0" shapeId="0">
      <text>
        <r>
          <rPr>
            <sz val="9"/>
            <color indexed="81"/>
            <rFont val="Tahoma"/>
            <family val="2"/>
            <charset val="204"/>
          </rPr>
          <t>В данный показатель также входят работники, обучающиеся по заочной форме за свой счет или за счет предприятия.</t>
        </r>
      </text>
    </comment>
    <comment ref="M4" authorId="0" shapeId="0">
      <text>
        <r>
          <rPr>
            <sz val="9"/>
            <color indexed="81"/>
            <rFont val="Tahoma"/>
            <family val="2"/>
            <charset val="204"/>
          </rPr>
          <t>ППС - Профессорско-преподавательский состав</t>
        </r>
      </text>
    </comment>
    <comment ref="O4" authorId="1" shapeId="0">
      <text>
        <r>
          <rPr>
            <sz val="9"/>
            <color indexed="81"/>
            <rFont val="Tahoma"/>
            <family val="2"/>
            <charset val="204"/>
          </rPr>
          <t>Учитываются программы, реализованные непосредственно подразделениями (факультетами) образовательного учреждения</t>
        </r>
        <r>
          <rPr>
            <sz val="8"/>
            <color indexed="81"/>
            <rFont val="Tahoma"/>
            <family val="2"/>
            <charset val="204"/>
          </rPr>
          <t xml:space="preserve">
</t>
        </r>
      </text>
    </comment>
    <comment ref="I5" authorId="1" shapeId="0">
      <text>
        <r>
          <rPr>
            <sz val="9"/>
            <color indexed="81"/>
            <rFont val="Tahoma"/>
            <family val="2"/>
            <charset val="204"/>
          </rPr>
          <t>как правило, на основании срочного договора или по совместительству</t>
        </r>
      </text>
    </comment>
    <comment ref="K5" authorId="1" shapeId="0">
      <text>
        <r>
          <rPr>
            <sz val="9"/>
            <color indexed="81"/>
            <rFont val="Tahoma"/>
            <family val="2"/>
            <charset val="204"/>
          </rPr>
          <t xml:space="preserve">полное закрытие договора (подписаны все акты выполненных работ) по всем обязательствам
</t>
        </r>
      </text>
    </comment>
    <comment ref="L5" authorId="1" shapeId="0">
      <text>
        <r>
          <rPr>
            <sz val="9"/>
            <color indexed="81"/>
            <rFont val="Tahoma"/>
            <family val="2"/>
            <charset val="204"/>
          </rPr>
          <t>полная стоимость договора со всеми приложениями</t>
        </r>
      </text>
    </comment>
    <comment ref="M5" authorId="1" shapeId="0">
      <text>
        <r>
          <rPr>
            <sz val="9"/>
            <color indexed="81"/>
            <rFont val="Tahoma"/>
            <family val="2"/>
            <charset val="204"/>
          </rPr>
          <t>учитывается только ППС вуза без совместителей и работников предприятия</t>
        </r>
      </text>
    </comment>
    <comment ref="N5" authorId="1" shapeId="0">
      <text>
        <r>
          <rPr>
            <sz val="9"/>
            <color indexed="81"/>
            <rFont val="Tahoma"/>
            <family val="2"/>
            <charset val="204"/>
          </rPr>
          <t xml:space="preserve"> 1 академический час - 45 минут.</t>
        </r>
      </text>
    </comment>
  </commentList>
</comments>
</file>

<file path=xl/comments14.xml><?xml version="1.0" encoding="utf-8"?>
<comments xmlns="http://schemas.openxmlformats.org/spreadsheetml/2006/main">
  <authors>
    <author>Степанов Евгений Борисович</author>
    <author>Автор</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4" authorId="1" shapeId="0">
      <text>
        <r>
          <rPr>
            <sz val="9"/>
            <color indexed="81"/>
            <rFont val="Tahoma"/>
            <family val="2"/>
            <charset val="204"/>
          </rPr>
          <t>Допускаются наименования ОУ только из списка выбора.</t>
        </r>
      </text>
    </comment>
    <comment ref="C4" authorId="1" shapeId="0">
      <text>
        <r>
          <rPr>
            <sz val="9"/>
            <color indexed="81"/>
            <rFont val="Tahoma"/>
            <family val="2"/>
            <charset val="204"/>
          </rPr>
          <t xml:space="preserve">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
</t>
        </r>
        <r>
          <rPr>
            <b/>
            <sz val="9"/>
            <color indexed="81"/>
            <rFont val="Tahoma"/>
            <family val="2"/>
            <charset val="204"/>
          </rPr>
          <t>Формат:</t>
        </r>
        <r>
          <rPr>
            <sz val="9"/>
            <color indexed="81"/>
            <rFont val="Tahoma"/>
            <family val="2"/>
            <charset val="204"/>
          </rPr>
          <t xml:space="preserve">
*.02.* - Направления СПО
*.03.* - Бакалавриат
*.04.* - Магистратура
*.05.* - Специалитет
*.06.* - Аспирантура</t>
        </r>
      </text>
    </comment>
    <comment ref="D4" authorId="1" shapeId="0">
      <text>
        <r>
          <rPr>
            <sz val="9"/>
            <color indexed="81"/>
            <rFont val="Tahoma"/>
            <family val="2"/>
            <charset val="204"/>
          </rPr>
          <t>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t>
        </r>
      </text>
    </comment>
    <comment ref="E4" authorId="0" shapeId="0">
      <text>
        <r>
          <rPr>
            <sz val="9"/>
            <color indexed="81"/>
            <rFont val="Tahoma"/>
            <family val="2"/>
            <charset val="204"/>
          </rPr>
          <t>В данный показатель также входят работники, обучающиеся по заочной форме за свой счет или за счет предприятия.</t>
        </r>
      </text>
    </comment>
    <comment ref="F4" authorId="0" shapeId="0">
      <text>
        <r>
          <rPr>
            <sz val="9"/>
            <color indexed="81"/>
            <rFont val="Tahoma"/>
            <family val="2"/>
            <charset val="204"/>
          </rPr>
          <t>В данный показатель также входят работники, обучающиеся по заочной форме за свой счет или за счет предприятия.</t>
        </r>
      </text>
    </comment>
    <comment ref="M4" authorId="0" shapeId="0">
      <text>
        <r>
          <rPr>
            <sz val="9"/>
            <color indexed="81"/>
            <rFont val="Tahoma"/>
            <family val="2"/>
            <charset val="204"/>
          </rPr>
          <t>ППС - Профессорско-преподавательский состав</t>
        </r>
      </text>
    </comment>
    <comment ref="O4" authorId="1" shapeId="0">
      <text>
        <r>
          <rPr>
            <sz val="9"/>
            <color indexed="81"/>
            <rFont val="Tahoma"/>
            <family val="2"/>
            <charset val="204"/>
          </rPr>
          <t>Учитываются программы, реализованные непосредственно подразделениями (факультетами) образовательного учреждения</t>
        </r>
        <r>
          <rPr>
            <sz val="8"/>
            <color indexed="81"/>
            <rFont val="Tahoma"/>
            <family val="2"/>
            <charset val="204"/>
          </rPr>
          <t xml:space="preserve">
</t>
        </r>
      </text>
    </comment>
    <comment ref="I5" authorId="1" shapeId="0">
      <text>
        <r>
          <rPr>
            <sz val="9"/>
            <color indexed="81"/>
            <rFont val="Tahoma"/>
            <family val="2"/>
            <charset val="204"/>
          </rPr>
          <t>как правило, на основании срочного договора или по совместительству</t>
        </r>
      </text>
    </comment>
    <comment ref="K5" authorId="1" shapeId="0">
      <text>
        <r>
          <rPr>
            <sz val="9"/>
            <color indexed="81"/>
            <rFont val="Tahoma"/>
            <family val="2"/>
            <charset val="204"/>
          </rPr>
          <t xml:space="preserve">полное закрытие договора (подписаны все акты выполненных работ) по всем обязательствам
</t>
        </r>
      </text>
    </comment>
    <comment ref="L5" authorId="1" shapeId="0">
      <text>
        <r>
          <rPr>
            <sz val="9"/>
            <color indexed="81"/>
            <rFont val="Tahoma"/>
            <family val="2"/>
            <charset val="204"/>
          </rPr>
          <t>полная стоимость договора со всеми приложениями</t>
        </r>
      </text>
    </comment>
    <comment ref="M5" authorId="1" shapeId="0">
      <text>
        <r>
          <rPr>
            <sz val="9"/>
            <color indexed="81"/>
            <rFont val="Tahoma"/>
            <family val="2"/>
            <charset val="204"/>
          </rPr>
          <t>учитывается только ППС вуза без совместителей и работников предприятия</t>
        </r>
      </text>
    </comment>
    <comment ref="N5" authorId="1" shapeId="0">
      <text>
        <r>
          <rPr>
            <sz val="9"/>
            <color indexed="81"/>
            <rFont val="Tahoma"/>
            <family val="2"/>
            <charset val="204"/>
          </rPr>
          <t xml:space="preserve"> 1 академический час - 45 минут.</t>
        </r>
      </text>
    </comment>
  </commentList>
</comments>
</file>

<file path=xl/comments15.xml><?xml version="1.0" encoding="utf-8"?>
<comments xmlns="http://schemas.openxmlformats.org/spreadsheetml/2006/main">
  <authors>
    <author>Степанов Евгений Борисович</author>
    <author>Автор</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4" authorId="0" shapeId="0">
      <text>
        <r>
          <rPr>
            <sz val="9"/>
            <color indexed="81"/>
            <rFont val="Tahoma"/>
            <family val="2"/>
            <charset val="204"/>
          </rPr>
          <t>Допускаются наименования ОУ только из списка выбора.</t>
        </r>
      </text>
    </comment>
    <comment ref="C4" authorId="0" shapeId="0">
      <text>
        <r>
          <rPr>
            <sz val="9"/>
            <color indexed="81"/>
            <rFont val="Tahoma"/>
            <family val="2"/>
            <charset val="204"/>
          </rPr>
          <t xml:space="preserve">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
</t>
        </r>
        <r>
          <rPr>
            <b/>
            <sz val="9"/>
            <color indexed="81"/>
            <rFont val="Tahoma"/>
            <family val="2"/>
            <charset val="204"/>
          </rPr>
          <t>Формат:</t>
        </r>
        <r>
          <rPr>
            <sz val="9"/>
            <color indexed="81"/>
            <rFont val="Tahoma"/>
            <family val="2"/>
            <charset val="204"/>
          </rPr>
          <t xml:space="preserve">
*.02.* - Направления СПО
*.03.* - Бакалавриат
*.04.* - Магистратура
*.05.* - Специалитет
*.06.* - Аспирантура
</t>
        </r>
      </text>
    </comment>
    <comment ref="D4" authorId="0" shapeId="0">
      <text>
        <r>
          <rPr>
            <sz val="9"/>
            <color indexed="81"/>
            <rFont val="Tahoma"/>
            <family val="2"/>
            <charset val="204"/>
          </rPr>
          <t xml:space="preserve">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
</t>
        </r>
      </text>
    </comment>
    <comment ref="F4" authorId="1" shapeId="0">
      <text>
        <r>
          <rPr>
            <sz val="9"/>
            <color indexed="81"/>
            <rFont val="Tahoma"/>
            <family val="2"/>
            <charset val="204"/>
          </rPr>
          <t xml:space="preserve">В соответствии с приказом о зачислении
</t>
        </r>
      </text>
    </comment>
    <comment ref="M4" authorId="1" shapeId="0">
      <text>
        <r>
          <rPr>
            <sz val="9"/>
            <color indexed="81"/>
            <rFont val="Tahoma"/>
            <family val="2"/>
            <charset val="204"/>
          </rPr>
          <t>в соответствии с приказом об отчислении в связи с окончанием обучения</t>
        </r>
        <r>
          <rPr>
            <sz val="8"/>
            <color indexed="81"/>
            <rFont val="Tahoma"/>
            <family val="2"/>
            <charset val="204"/>
          </rPr>
          <t xml:space="preserve">
</t>
        </r>
      </text>
    </comment>
    <comment ref="Q4" authorId="1" shapeId="0">
      <text>
        <r>
          <rPr>
            <sz val="9"/>
            <color indexed="81"/>
            <rFont val="Tahoma"/>
            <family val="2"/>
            <charset val="204"/>
          </rPr>
          <t>например: количество бакалавров-целевиков, поступивших на целевые места магистратуры без трудоустройства</t>
        </r>
        <r>
          <rPr>
            <sz val="8"/>
            <color indexed="81"/>
            <rFont val="Tahoma"/>
            <family val="2"/>
            <charset val="204"/>
          </rPr>
          <t xml:space="preserve">
</t>
        </r>
      </text>
    </comment>
  </commentList>
</comments>
</file>

<file path=xl/comments16.xml><?xml version="1.0" encoding="utf-8"?>
<comments xmlns="http://schemas.openxmlformats.org/spreadsheetml/2006/main">
  <authors>
    <author>Степанов Евгений Борисович</author>
    <author>Автор</author>
  </authors>
  <commentList>
    <comment ref="C2" authorId="0" shapeId="0">
      <text>
        <r>
          <rPr>
            <sz val="9"/>
            <color indexed="81"/>
            <rFont val="Tahoma"/>
            <family val="2"/>
            <charset val="204"/>
          </rPr>
          <t>Форма заполняется на каждый филиал и/или ОСП в отдельности, в соответствие со сводным перечнем предприятий. В случае, если у организации имеется несколько подразделений, обособленных структурных подразделений (цехов, участков) на территории одного субъекта Российской Федерации (района, города), занимающихся одним видом деятельности, то данные по ним приводятся суммарно.</t>
        </r>
      </text>
    </comment>
    <comment ref="B4" authorId="0" shapeId="0">
      <text>
        <r>
          <rPr>
            <sz val="9"/>
            <color indexed="81"/>
            <rFont val="Tahoma"/>
            <family val="2"/>
            <charset val="204"/>
          </rPr>
          <t>Допускаются наименования ОУ только из списка выбора.</t>
        </r>
      </text>
    </comment>
    <comment ref="C4" authorId="0" shapeId="0">
      <text>
        <r>
          <rPr>
            <sz val="9"/>
            <color indexed="81"/>
            <rFont val="Tahoma"/>
            <family val="2"/>
            <charset val="204"/>
          </rPr>
          <t xml:space="preserve">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
</t>
        </r>
        <r>
          <rPr>
            <b/>
            <sz val="9"/>
            <color indexed="81"/>
            <rFont val="Tahoma"/>
            <family val="2"/>
            <charset val="204"/>
          </rPr>
          <t>Формат:</t>
        </r>
        <r>
          <rPr>
            <sz val="9"/>
            <color indexed="81"/>
            <rFont val="Tahoma"/>
            <family val="2"/>
            <charset val="204"/>
          </rPr>
          <t xml:space="preserve">
*.02.* - Направления СПО
*.03.* - Бакалавриат
*.04.* - Магистратура
*.05.* - Специалитет
*.06.* - Аспирантура</t>
        </r>
      </text>
    </comment>
    <comment ref="D4" authorId="0" shapeId="0">
      <text>
        <r>
          <rPr>
            <sz val="9"/>
            <color indexed="81"/>
            <rFont val="Tahoma"/>
            <family val="2"/>
            <charset val="204"/>
          </rPr>
          <t>В соответствии с Приказом Минобрнауки России от 12 сентября 2013 г. N 1061 г. Москва
"Об утверждении перечней специальностей и направлений подготовки высшего образования"</t>
        </r>
      </text>
    </comment>
    <comment ref="AD4" authorId="0" shapeId="0">
      <text>
        <r>
          <rPr>
            <sz val="9"/>
            <color indexed="81"/>
            <rFont val="Tahoma"/>
            <family val="2"/>
            <charset val="204"/>
          </rPr>
          <t>В данном случае имеются ввиду количество защит кандидатских или докторских диссертаций, прошедших на базовой кафедре за отчетный период.</t>
        </r>
      </text>
    </comment>
    <comment ref="AE4" authorId="1" shapeId="0">
      <text>
        <r>
          <rPr>
            <sz val="9"/>
            <color indexed="81"/>
            <rFont val="Tahoma"/>
            <family val="2"/>
            <charset val="204"/>
          </rPr>
          <t>количество штатных единиц по нормативным документам ОУ</t>
        </r>
        <r>
          <rPr>
            <sz val="8"/>
            <color indexed="81"/>
            <rFont val="Tahoma"/>
            <family val="2"/>
            <charset val="204"/>
          </rPr>
          <t xml:space="preserve">
</t>
        </r>
      </text>
    </comment>
    <comment ref="AO4" authorId="1" shapeId="0">
      <text>
        <r>
          <rPr>
            <sz val="9"/>
            <color indexed="81"/>
            <rFont val="Tahoma"/>
            <family val="2"/>
            <charset val="204"/>
          </rPr>
          <t>фактическое количество сотрудников, в том числе работающих по совместительству</t>
        </r>
        <r>
          <rPr>
            <sz val="8"/>
            <color indexed="81"/>
            <rFont val="Tahoma"/>
            <family val="2"/>
            <charset val="204"/>
          </rPr>
          <t xml:space="preserve">
</t>
        </r>
      </text>
    </comment>
    <comment ref="F5" authorId="1"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I5" authorId="0"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L5" authorId="0"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O5" authorId="0"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R5" authorId="0"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U5" authorId="0" shapeId="0">
      <text>
        <r>
          <rPr>
            <sz val="9"/>
            <color indexed="81"/>
            <rFont val="Tahoma"/>
            <family val="2"/>
            <charset val="204"/>
          </rPr>
          <t xml:space="preserve">Год обучения считается с момента зачисления студента на базовую кафедру и начала обучения по учебным планам базовой кафедры. Может не совпадать с курсом на котором учится студент. </t>
        </r>
      </text>
    </comment>
    <comment ref="F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H6" authorId="0" shapeId="0">
      <text>
        <r>
          <rPr>
            <sz val="9"/>
            <color indexed="81"/>
            <rFont val="Tahoma"/>
            <family val="2"/>
            <charset val="204"/>
          </rPr>
          <t>Договор возмездного оказания образовательных услуг</t>
        </r>
      </text>
    </comment>
    <comment ref="I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K6" authorId="0" shapeId="0">
      <text>
        <r>
          <rPr>
            <sz val="9"/>
            <color indexed="81"/>
            <rFont val="Tahoma"/>
            <family val="2"/>
            <charset val="204"/>
          </rPr>
          <t>Договор возмездного оказания образовательных услуг</t>
        </r>
      </text>
    </comment>
    <comment ref="L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N6" authorId="0" shapeId="0">
      <text>
        <r>
          <rPr>
            <sz val="9"/>
            <color indexed="81"/>
            <rFont val="Tahoma"/>
            <family val="2"/>
            <charset val="204"/>
          </rPr>
          <t>Договор возмездного оказания образовательных услуг</t>
        </r>
      </text>
    </comment>
    <comment ref="O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Q6" authorId="0" shapeId="0">
      <text>
        <r>
          <rPr>
            <sz val="9"/>
            <color indexed="81"/>
            <rFont val="Tahoma"/>
            <family val="2"/>
            <charset val="204"/>
          </rPr>
          <t>Договор возмездного оказания образовательных услуг</t>
        </r>
      </text>
    </comment>
    <comment ref="R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T6" authorId="0" shapeId="0">
      <text>
        <r>
          <rPr>
            <sz val="9"/>
            <color indexed="81"/>
            <rFont val="Tahoma"/>
            <family val="2"/>
            <charset val="204"/>
          </rPr>
          <t>Договор возмездного оказания образовательных услуг</t>
        </r>
      </text>
    </comment>
    <comment ref="U6" authorId="0" shapeId="0">
      <text>
        <r>
          <rPr>
            <sz val="9"/>
            <color indexed="81"/>
            <rFont val="Tahoma"/>
            <family val="2"/>
            <charset val="204"/>
          </rPr>
          <t>Общий конкурс – конкурс на бюджетные места, за исключением мест входящих в квоту целевого приема.</t>
        </r>
      </text>
    </comment>
    <comment ref="W6" authorId="0" shapeId="0">
      <text>
        <r>
          <rPr>
            <sz val="9"/>
            <color indexed="81"/>
            <rFont val="Tahoma"/>
            <family val="2"/>
            <charset val="204"/>
          </rPr>
          <t>Договор возмездного оказания образовательных услуг</t>
        </r>
      </text>
    </comment>
    <comment ref="AP7" authorId="1" shapeId="0">
      <text>
        <r>
          <rPr>
            <sz val="9"/>
            <color indexed="81"/>
            <rFont val="Tahoma"/>
            <family val="2"/>
            <charset val="204"/>
          </rPr>
          <t xml:space="preserve">полное закрытие договора по всем обязательствам
</t>
        </r>
      </text>
    </comment>
    <comment ref="AQ7" authorId="1" shapeId="0">
      <text>
        <r>
          <rPr>
            <sz val="9"/>
            <color indexed="81"/>
            <rFont val="Tahoma"/>
            <family val="2"/>
            <charset val="204"/>
          </rPr>
          <t>полная стоимость договора со всеми приложениями</t>
        </r>
      </text>
    </comment>
  </commentList>
</comments>
</file>

<file path=xl/comments17.xml><?xml version="1.0" encoding="utf-8"?>
<comments xmlns="http://schemas.openxmlformats.org/spreadsheetml/2006/main">
  <authors>
    <author>Степанов Евгений Борисович</author>
  </authors>
  <commentList>
    <comment ref="C8" authorId="0" shapeId="0">
      <text>
        <r>
          <rPr>
            <sz val="9"/>
            <color indexed="81"/>
            <rFont val="Tahoma"/>
            <family val="2"/>
            <charset val="204"/>
          </rPr>
          <t>Здесь и далее количество включает верхний возрастной порог, т.е. 29,1, 29,2 и т.д. до 29,9 лет. включительно.</t>
        </r>
      </text>
    </comment>
    <comment ref="C35" authorId="0" shapeId="0">
      <text>
        <r>
          <rPr>
            <sz val="9"/>
            <color indexed="81"/>
            <rFont val="Tahoma"/>
            <family val="2"/>
            <charset val="204"/>
          </rPr>
          <t>В данную категорию, здесь и далее, включаются также и работники, имеющие начальное профессиональное образование.</t>
        </r>
      </text>
    </comment>
  </commentList>
</comments>
</file>

<file path=xl/sharedStrings.xml><?xml version="1.0" encoding="utf-8"?>
<sst xmlns="http://schemas.openxmlformats.org/spreadsheetml/2006/main" count="16218" uniqueCount="7469">
  <si>
    <t>Наименование категорий</t>
  </si>
  <si>
    <r>
      <rPr>
        <b/>
        <sz val="11"/>
        <color indexed="8"/>
        <rFont val="Calibri"/>
        <family val="2"/>
        <charset val="204"/>
      </rPr>
      <t xml:space="preserve">ОПП </t>
    </r>
    <r>
      <rPr>
        <sz val="11"/>
        <color indexed="8"/>
        <rFont val="Calibri"/>
        <family val="2"/>
        <charset val="204"/>
      </rPr>
      <t xml:space="preserve">
Основной производственный персонал</t>
    </r>
  </si>
  <si>
    <r>
      <t xml:space="preserve">ОР 
</t>
    </r>
    <r>
      <rPr>
        <sz val="11"/>
        <color indexed="8"/>
        <rFont val="Calibri"/>
        <family val="2"/>
        <charset val="204"/>
      </rPr>
      <t>Основные Рабочие</t>
    </r>
  </si>
  <si>
    <t>№</t>
  </si>
  <si>
    <t>Итого</t>
  </si>
  <si>
    <t>Руководителей</t>
  </si>
  <si>
    <t>Специалистов</t>
  </si>
  <si>
    <t>Служащих</t>
  </si>
  <si>
    <t>Рабочих</t>
  </si>
  <si>
    <t>Служащие</t>
  </si>
  <si>
    <t>Специалисты</t>
  </si>
  <si>
    <t>Руководители</t>
  </si>
  <si>
    <t>Рабочие</t>
  </si>
  <si>
    <t>Основные рабочие</t>
  </si>
  <si>
    <t>Производственные рабочие</t>
  </si>
  <si>
    <t>Категория должности</t>
  </si>
  <si>
    <t>ИТОГО</t>
  </si>
  <si>
    <t>%%</t>
  </si>
  <si>
    <t>Форма № 1-к</t>
  </si>
  <si>
    <t>Форма № 2-к</t>
  </si>
  <si>
    <t>Форма № 3-к</t>
  </si>
  <si>
    <t>Среднесписочная численность</t>
  </si>
  <si>
    <t>Средняя численность</t>
  </si>
  <si>
    <t>Средняя заработная плата</t>
  </si>
  <si>
    <t>Принято на работу</t>
  </si>
  <si>
    <t>Форма № 4-к</t>
  </si>
  <si>
    <t>Форма № 5-к</t>
  </si>
  <si>
    <t>Всего, чел.</t>
  </si>
  <si>
    <t>Работников, участников программ НПО, чел.</t>
  </si>
  <si>
    <t>Всего, кроме обязательного профосмотра, чел.</t>
  </si>
  <si>
    <t>На последнюю дату отчетного периода, чел.</t>
  </si>
  <si>
    <t>Форма</t>
  </si>
  <si>
    <t>Периодичность</t>
  </si>
  <si>
    <t>Данные на дату</t>
  </si>
  <si>
    <t>№ 1-к</t>
  </si>
  <si>
    <t>№ 2-к</t>
  </si>
  <si>
    <t>№ 3-к</t>
  </si>
  <si>
    <t>№ 4-к</t>
  </si>
  <si>
    <t>№ 5-к</t>
  </si>
  <si>
    <t>Годовая</t>
  </si>
  <si>
    <t>Полугодовая, годовая</t>
  </si>
  <si>
    <t>Срок представления</t>
  </si>
  <si>
    <t>30 июн и 31 дек</t>
  </si>
  <si>
    <t>до 31 янв</t>
  </si>
  <si>
    <t>до 31 июл и до 31 янв</t>
  </si>
  <si>
    <t>Предприятие:</t>
  </si>
  <si>
    <t>Показатель</t>
  </si>
  <si>
    <t>Определение</t>
  </si>
  <si>
    <t>Списочная численность</t>
  </si>
  <si>
    <t>Текучесть персонала</t>
  </si>
  <si>
    <t>Выбытие персонала</t>
  </si>
  <si>
    <t>Сведения о списочной численности работников в разрезе категорий и возрастных групп персонала</t>
  </si>
  <si>
    <t>До 29 лет, чел.</t>
  </si>
  <si>
    <t>Уволенных работников, получающих негосударственную пенсию от предприятия, чел.</t>
  </si>
  <si>
    <t>Списочная численность, чел.</t>
  </si>
  <si>
    <t>Среднесписочная численность, ед.</t>
  </si>
  <si>
    <t>Средняя численность, ед.</t>
  </si>
  <si>
    <t>Показатели</t>
  </si>
  <si>
    <t>Вспомогательные рабочие</t>
  </si>
  <si>
    <t>К предыдущему году, %%</t>
  </si>
  <si>
    <t>30 - 39 лет, чел.</t>
  </si>
  <si>
    <t>40 - 49 лет, чел.</t>
  </si>
  <si>
    <t>50 - 59 лет, чел.</t>
  </si>
  <si>
    <t>Лиц пенсионного возраста, чел.</t>
  </si>
  <si>
    <t>До 1 года, чел.</t>
  </si>
  <si>
    <t>От 1 года до 3 лет, чел.</t>
  </si>
  <si>
    <t>От 3 до 5 лет, чел.</t>
  </si>
  <si>
    <t>20 и более лет, чел.</t>
  </si>
  <si>
    <t>к предыдущему году, %%</t>
  </si>
  <si>
    <t>Наименование</t>
  </si>
  <si>
    <t>в т.ч. Руководителей, чел.</t>
  </si>
  <si>
    <t>в т.ч. Специалистов, чел.</t>
  </si>
  <si>
    <t>в т.ч. Рабочих, чел.</t>
  </si>
  <si>
    <t>в т.ч. Служащих, чел.</t>
  </si>
  <si>
    <t>Всего, руб.</t>
  </si>
  <si>
    <t>Руководителей, руб.</t>
  </si>
  <si>
    <t>Специалистов, руб.</t>
  </si>
  <si>
    <t>Рабочих, руб.</t>
  </si>
  <si>
    <t>Служащих, руб.</t>
  </si>
  <si>
    <t>Всего, %%</t>
  </si>
  <si>
    <t>Стажеров, чел.</t>
  </si>
  <si>
    <t>Средний срок стажировки, дней</t>
  </si>
  <si>
    <t>Практикантов, чел.</t>
  </si>
  <si>
    <t>Средний срок практики, дней</t>
  </si>
  <si>
    <t>Во всех формах заполняются только ячейки, выделенные зеленым цветом, вот таким:</t>
  </si>
  <si>
    <t>Из стр.15, по программе ДМС, чел.</t>
  </si>
  <si>
    <t>Из стр. 3 в возрасте до 29 лет, чел.</t>
  </si>
  <si>
    <t>Из стр.3 в возрасте 30 - 49 лет, чел.</t>
  </si>
  <si>
    <t>Дата представления:</t>
  </si>
  <si>
    <t>Мужчин, чел.</t>
  </si>
  <si>
    <t>Женщин, чел.</t>
  </si>
  <si>
    <t>Общее количество за отчетный период, чел.</t>
  </si>
  <si>
    <t>Должность</t>
  </si>
  <si>
    <t>Фамилия, имя отчество</t>
  </si>
  <si>
    <t>Дата рождения</t>
  </si>
  <si>
    <t>Номер контактного телефона</t>
  </si>
  <si>
    <t>Номер факса</t>
  </si>
  <si>
    <t>Дата назначения на должность</t>
  </si>
  <si>
    <t>Список руководящего состава</t>
  </si>
  <si>
    <t>№ 6-к</t>
  </si>
  <si>
    <t>Ежеквартальная</t>
  </si>
  <si>
    <t>Лица пенсионного возраста</t>
  </si>
  <si>
    <t>из стр. 36 работников в возрасте до 29 лет, чел.</t>
  </si>
  <si>
    <t>из стр.36 работников со стажем до 3 лет, чел.</t>
  </si>
  <si>
    <t>из стр.50 работников в возрасте до 29 лет, чел.</t>
  </si>
  <si>
    <t>из стр.50 работников со стажем до 3 лет, чел.</t>
  </si>
  <si>
    <t>текучесть, %%</t>
  </si>
  <si>
    <t>выбытие %%</t>
  </si>
  <si>
    <t>Везде по формам, где единицы измерения указаны "чел.", указывается списочная численность, либо численность указанной группы сотрудников.</t>
  </si>
  <si>
    <t>60 лет и старше, чел.</t>
  </si>
  <si>
    <t>Средняя заработная плата рассчитывается делением фонда начисленной заработной платы соответствующей категории работников на среднюю численность той же категории работников (среднемесячная заработная плата) или на количество отработанных ими человеко-часов (среднечасовая заработная плата) за определенные периоды времени (период с начала года, год). При определении среднемесячной заработной платы на одного работника с начала года, за год необходимо полученное число разделить на количество месяцев в периоде.</t>
  </si>
  <si>
    <t>Доплаты и надбавки</t>
  </si>
  <si>
    <t>Административный персонал - Руководители</t>
  </si>
  <si>
    <t>Административный персонал - Специалисты и служащие</t>
  </si>
  <si>
    <t>Цеховой персонал (кроме ИТР) - Руководители</t>
  </si>
  <si>
    <t>Цеховой персонал (кроме ИТР) - Специалисты и служащие</t>
  </si>
  <si>
    <t>ИТР - Инженеры-конструкторы КБ</t>
  </si>
  <si>
    <t>ИТР - Инженеры-технологи КБ</t>
  </si>
  <si>
    <t>ИТР - Инженеры-конструкторы завод</t>
  </si>
  <si>
    <t>ИТР - Инженеры-технологи завод</t>
  </si>
  <si>
    <t>Руководители непромышленной сферы</t>
  </si>
  <si>
    <t>Специалисты и служащие непромышленной сферы</t>
  </si>
  <si>
    <t>Вспомогательные рабочие непромышленной сферы</t>
  </si>
  <si>
    <r>
      <rPr>
        <u/>
        <sz val="11"/>
        <color theme="1"/>
        <rFont val="Calibri"/>
        <family val="2"/>
        <charset val="204"/>
        <scheme val="minor"/>
      </rPr>
      <t>Руководители:</t>
    </r>
    <r>
      <rPr>
        <sz val="11"/>
        <color theme="1"/>
        <rFont val="Calibri"/>
        <family val="2"/>
        <charset val="204"/>
        <scheme val="minor"/>
      </rPr>
      <t xml:space="preserve"> Начальники цехов и их замы, нач. производства цеха, нач. участка, мастер, нач. цеховых лабораторий, нач. транспортного цеха, нач. смены, нач. дворово-хоз. цеха.</t>
    </r>
  </si>
  <si>
    <r>
      <rPr>
        <b/>
        <sz val="11"/>
        <color indexed="8"/>
        <rFont val="Calibri"/>
        <family val="2"/>
        <charset val="204"/>
      </rPr>
      <t>ВР</t>
    </r>
    <r>
      <rPr>
        <sz val="11"/>
        <color indexed="8"/>
        <rFont val="Calibri"/>
        <family val="2"/>
        <charset val="204"/>
      </rPr>
      <t xml:space="preserve"> 
Вспомогательные рабочие</t>
    </r>
  </si>
  <si>
    <r>
      <rPr>
        <b/>
        <sz val="11"/>
        <color indexed="8"/>
        <rFont val="Calibri"/>
        <family val="2"/>
        <charset val="204"/>
      </rPr>
      <t>ПР</t>
    </r>
    <r>
      <rPr>
        <sz val="11"/>
        <color indexed="8"/>
        <rFont val="Calibri"/>
        <family val="2"/>
        <charset val="204"/>
      </rPr>
      <t xml:space="preserve">
Производственные рабочие</t>
    </r>
  </si>
  <si>
    <t>Премиальные выплаты</t>
  </si>
  <si>
    <t>Доплаты за сверхурочные, работу в выходные и праздничные дни</t>
  </si>
  <si>
    <t>Заработная плата, начисленная работникам по тарифным ставкам/должностным окладам/сдельным расценкам за отработанное время.</t>
  </si>
  <si>
    <t>Доплата за работу на тяжелых работах, работах с вредными и (или) опасными и иными особыми условиями труда, за работу в ночное и вечернее время, разница в окладах при временном заместительстве, доплаты и надбавки к тарифным ставкам (должностным окладам) за профессиональное мастерство, классность, выслугу лет (стаж работы), ученую степень, ученое звание, знание иностранного языка, работу со сведениями, составляющими государственную тайну, совмещение профессий (должностей), расширение зон обслуживания, увеличения объема выполняемых работ, многосменный режим работы, исполнение обязанностей временно отсутствующего работника без освобождения от своей основной работы, руководство бригадой, выплаты, обусловленные районным регулированием оплаты труда: по коэффициентам и процентным надбавкам,  надбавки к заработной плате, начисленные работникам в связи с разъездным характером работы, надбавки за вахтовый метод работы за каждый календарный день пребывания в местах производства работ в период вахты, а также за фактические дни нахождения в пути от места нахождения организации (пункта сбора) до места выполнения работы и обратно.</t>
  </si>
  <si>
    <t>Неработающих пенсионеров, получивших социальные гарантии и компенсации за счет предприятия, чел.</t>
  </si>
  <si>
    <t>Работников, воспользовавшихся медицинским обслуживанием за счет средств предприятия, чел.</t>
  </si>
  <si>
    <t>Работников, получивших различные социальные гарантии и компенсации на посещение спортивных учреждений, чел.</t>
  </si>
  <si>
    <t>Работников, получивших социальные гарантии и компенсации от предприятия на приобретение путевок в пансионаты, санатории, дома отдыха, чел.</t>
  </si>
  <si>
    <t>Работников, получивших кредиты, ссуды или другие социальные гарантии и компенсации на улучшение жилищных условий, за счет средств предприятия</t>
  </si>
  <si>
    <t>так</t>
  </si>
  <si>
    <t>значит при введении данных была произведена ошибка, следует перепроверить данные на правильность.</t>
  </si>
  <si>
    <t>После введения правильных данных красный цвет ячейки и текста должен пропасть.</t>
  </si>
  <si>
    <t>Формы 1-к, 2-к, 3-к, 4-к и 5-к не предполагают введение текстовых или отрицательных значений в какие либо ячейки кроме наименования организации/подразделения</t>
  </si>
  <si>
    <t>Форма № 6-к</t>
  </si>
  <si>
    <t>Сведения о количестве работников, получивших социальные гарантии и компенсации, а также о награждении работников</t>
  </si>
  <si>
    <t>Сведения о списочной численности работников в разрезе категорий персонала и стажа работы на предприятии</t>
  </si>
  <si>
    <t>Категория</t>
  </si>
  <si>
    <t>1 полугодие</t>
  </si>
  <si>
    <t>2 полугодие</t>
  </si>
  <si>
    <t>Всего за год</t>
  </si>
  <si>
    <t>план</t>
  </si>
  <si>
    <t>факт</t>
  </si>
  <si>
    <t>отклонение</t>
  </si>
  <si>
    <t>Фонд оплаты труда всего, тыс.руб</t>
  </si>
  <si>
    <t>всего работающие, в т.ч.:</t>
  </si>
  <si>
    <t>руководители</t>
  </si>
  <si>
    <t>специалисты, служащие</t>
  </si>
  <si>
    <t>рабочие</t>
  </si>
  <si>
    <t>в том числе:</t>
  </si>
  <si>
    <t>Оплата по окладу, тарифу, тыс.руб.</t>
  </si>
  <si>
    <t>Премии (без учета годовой премии), тыс.руб.</t>
  </si>
  <si>
    <t>Годовая премия, тыс.руб.</t>
  </si>
  <si>
    <t>Оплата сверхурочной работы, работы в выходные и праздничные дни тыс.руб.</t>
  </si>
  <si>
    <t>Доплаты и надбавки, тыс.руб.</t>
  </si>
  <si>
    <t>Прочие выплаты, тыс.руб.</t>
  </si>
  <si>
    <t>Среднемесячная з/пл., руб.</t>
  </si>
  <si>
    <t>Выходное пособие, тыс.руб.</t>
  </si>
  <si>
    <t>Социальные гарантии и компенсации, тыс.руб.</t>
  </si>
  <si>
    <t>Выплата единовременных пособий и премий, тыс.руб.</t>
  </si>
  <si>
    <t>Материальная помощь работникам, тыс.руб.</t>
  </si>
  <si>
    <t>Компенсация посещения детьми образовательных учреждений, тыс.руб.</t>
  </si>
  <si>
    <t>Организация и проведение корпоративных мероприятий, тыс.руб.</t>
  </si>
  <si>
    <t>Льготы для неработающих пенсионеров, тыс.руб.</t>
  </si>
  <si>
    <t>Негосударственное пенсионное обеспечение работников, тыс.руб.</t>
  </si>
  <si>
    <t>Проведение спортивно-массовых мероприятий, тыс.руб.</t>
  </si>
  <si>
    <t>Организация питания, тыс.руб.</t>
  </si>
  <si>
    <t>Оплата проезда/доставка работников до места работы и обратно, тыс.руб.</t>
  </si>
  <si>
    <t>Организация отдыха работников, тыс.руб.</t>
  </si>
  <si>
    <t>Организация детского отдыха, тыс.руб.</t>
  </si>
  <si>
    <t>Медицинское обслуживание работников, тыс.руб.</t>
  </si>
  <si>
    <t xml:space="preserve"> ДМС, тыс.руб.</t>
  </si>
  <si>
    <t>Страхование жизни/здоровья/от несчастных случаев, тыс.руб.</t>
  </si>
  <si>
    <t>Обеспечение жильем работников предприятия, тыс.руб.</t>
  </si>
  <si>
    <t>Выплаты по уходу за ребенком до достижения 3-х лет (за счет средств предприятия), тыс.руб.</t>
  </si>
  <si>
    <t>Права и гарантии профсоюзной организации, тыс.руб.</t>
  </si>
  <si>
    <t>Выплаты работникам в связи с переездом на работу в другую местность (релокация), тыс.руб.</t>
  </si>
  <si>
    <t>Гарантии и компенсации работникам Крайнего севера и приравненных к нему местностей, тыс.руб.</t>
  </si>
  <si>
    <t>Оплата проезда к месту отдыха/лечения, тыс.руб.</t>
  </si>
  <si>
    <t>Обучение персонала, тыс.руб.</t>
  </si>
  <si>
    <t>Подбор и адаптация персонала, тыс.руб.</t>
  </si>
  <si>
    <t>Оценка персонала, тыс.руб.</t>
  </si>
  <si>
    <t>Организация и проведение конференций работников, конкурсов профмастерства, тыс.руб.</t>
  </si>
  <si>
    <t>Компенсация вреда, причиненного работнику, тыс.руб.</t>
  </si>
  <si>
    <t>Консалтинг (в области управления персоналом)</t>
  </si>
  <si>
    <t>Социальные выплаты за счет средств ФСС, тыс.руб.</t>
  </si>
  <si>
    <t>Социальные взносы, тыс.руб.</t>
  </si>
  <si>
    <t>Форма № 7-к</t>
  </si>
  <si>
    <t>Строка 19 формы 3-к по умолчанию выделяется как ошибка, если Вы начали вводить среднесписочную численность раньше средней, т.к. средняя численность не может быть меньше среднесписочной. После ввода данных по среднесписочной и средней численности правильно, красный цвет должен исчезнуть.</t>
  </si>
  <si>
    <t>Состояние работы с кадровым резервом</t>
  </si>
  <si>
    <t>% сформированности резерва</t>
  </si>
  <si>
    <t>% обученных из резерва</t>
  </si>
  <si>
    <t>% уволенных резервистов</t>
  </si>
  <si>
    <t>% резервистов повышенных в должности за исключением назначенных на целевые должности</t>
  </si>
  <si>
    <t>% Отчисленных из резерва (кроме увольнений)</t>
  </si>
  <si>
    <t>% развитости компетенций от необходимого уровня по каждой из групп резервистов</t>
  </si>
  <si>
    <t>Форма № 8-к</t>
  </si>
  <si>
    <t>№ 7-к</t>
  </si>
  <si>
    <t>№ 8-к</t>
  </si>
  <si>
    <t>Окладная (тарифная) часть, оплата по окладу, тарифу</t>
  </si>
  <si>
    <t>Годовая премия</t>
  </si>
  <si>
    <t>Премия по итогам работы за год.</t>
  </si>
  <si>
    <t>Оплата работ физических лиц по договорам гражданско-правового характера.</t>
  </si>
  <si>
    <t>Оплата по договорам гражданско-правового характера</t>
  </si>
  <si>
    <t>Объем денежных средств, проходящий по следующим статьям бюджета: Окладная (тарифная) часть, Доплаты и надбавки, премиальные выплаты, доплаты за сверхурочные, работу в выходные и праздничные дни, а также прочие выплаты.</t>
  </si>
  <si>
    <t>Прочие выплаты</t>
  </si>
  <si>
    <t>Выходное пособие</t>
  </si>
  <si>
    <t>Форма № 9-к</t>
  </si>
  <si>
    <t>Дата представления</t>
  </si>
  <si>
    <t>Предприятие</t>
  </si>
  <si>
    <t>Номер пункта Плана</t>
  </si>
  <si>
    <t>Формулировка пункта плана</t>
  </si>
  <si>
    <t>Полученный результат</t>
  </si>
  <si>
    <t>Отчет по комплексу мер, направленных на обеспечение организаций ракетно-космической промышленности высококвалифицированными кадрами
(пункт 5 Перечня поручений Президента Российской Федерации по итогам совещания по вопросу создания открытого акционерного общества «Объединенная ракетно-космическая корпорация» 21 июля 2014 г. (г. Самара) от 16.08.2014 № Пр-1954)</t>
  </si>
  <si>
    <t>1.1.</t>
  </si>
  <si>
    <t>Анализ и тиражирование лучших практик по профориентационной работе в ракетно-космической промышленности (РКП). Создание интернет-портала, сообществ в социальных сетях для продвижения профориентационных программ</t>
  </si>
  <si>
    <t>1.2.</t>
  </si>
  <si>
    <t>Участие в разработке и проведении олимпиад, профильных конкурсов для школьников и студентов</t>
  </si>
  <si>
    <t>1.20.</t>
  </si>
  <si>
    <t>Создание в организациях РКП молодежно-творческих бюро, с целью раскрытия творческого потенциала и формирование перспективных направлений разработки ракетно-космической техники (РКТ) молодыми специалистами</t>
  </si>
  <si>
    <t>№ 9-к</t>
  </si>
  <si>
    <t>Назначенных на целевые должности из резерва</t>
  </si>
  <si>
    <t>Средний возраст резерва</t>
  </si>
  <si>
    <t>Средний стаж резервистов на предприятии</t>
  </si>
  <si>
    <t>Средний срок нахождения в резерве</t>
  </si>
  <si>
    <t>Hi-Po резервисты</t>
  </si>
  <si>
    <t>Среднее количество резервистов на должность</t>
  </si>
  <si>
    <t>Резервируемые должности</t>
  </si>
  <si>
    <t>Номенклатура должностей, на которые формируется кадровый резерв.</t>
  </si>
  <si>
    <t>Показатель получаемый делением количества должностей, по которым значится, что сформирован резерв, на общее количество резервируемых должностей.</t>
  </si>
  <si>
    <t>Работники, назначенные на должности переводом внутри организации, стоявшие в резерве на обозначенные целевые должности.</t>
  </si>
  <si>
    <t>Средний возраст работников стоящих в кадровом резерве.</t>
  </si>
  <si>
    <t>Средний срок нахождения работников в кадровом резерве, вычисляемый с даты постановки работника в резерв на должность и до отчетной даты. Срок вычисляется как среднее сроков нахождения в резерве всех работников стоящих в кадровом резерве.</t>
  </si>
  <si>
    <t>Процент работников стоящих в кадровом резерве, которые прошли обучение в текущем году. В случае если работник, состоящий в резерве, в течение года, проходил обучение более одного раза, то такой работник все равно считается как один.</t>
  </si>
  <si>
    <t>Количество работников, отработавших более года и менее двух лет, имеющих оценки по компетенциям, оценки от руководителей и коллег выше определенного значения, а также имеющих высокие результаты труда. Полученное число делится на количество работников в возрасте до 29 лет.</t>
  </si>
  <si>
    <t>Количество работников, стоящих в кадровом резерве и назначенных на вышестоящие должности, не являющиеся их целевыми должностями, переводом внутри организации. Полученное количество делится на среднюю численность работников стоящих в резерве за отчетный период. В данном показателе не учитываются назначения резервистов на целевые должности.</t>
  </si>
  <si>
    <t>Среднее количество работников, стоящих в целевом резерве на каждую из резервируемых должностей.</t>
  </si>
  <si>
    <t>Количество работников, которые были исключены из резерва в силу максимального срока пребывания в резерве или по иному другому основанию, кроме увольнения. Полученное число делится на среднюю численность работников, стоявших в резерве за отчетный год.</t>
  </si>
  <si>
    <t>Оплата труда</t>
  </si>
  <si>
    <t>Категории персонала</t>
  </si>
  <si>
    <t>Кадровый резерв</t>
  </si>
  <si>
    <t>Везде по формам приведены подсказки в ячейках по описанию показателей или порядку заполнения</t>
  </si>
  <si>
    <t xml:space="preserve">В случае, если ячейка автоматического подсчета выделяется красным цветом с красным текстом - </t>
  </si>
  <si>
    <t>Премии и вознаграждения (включая премии в неденежной форме), имеющие систематический характер, независимо от источников их выплаты: месячные, квартальные, единовременные премии за производственные показатели, включая премии за содействие изобретательству и рационализаторству.</t>
  </si>
  <si>
    <t>Оплата за работу сверхурочно, за работу в выходные и нерабочие праздничные дни.</t>
  </si>
  <si>
    <t>Разница в должностных окладах работников, перешедших на нижеоплачиваемую работу (должность) с сохранением размера должностного оклада по предыдущему месту работы (должности)
оплата женщинам, имеющим детей в возрасте до полутора лет, дополнительных перерывов в работе для кормления ребенка (детей), а также других специальных перерывов в работе в соответствии с законодательством Российской Федерации
денежная компенсация за нарушение установленных сроков выплаты заработной платы
оплата ежегодных основных/дополнительных/учебных отпусков, денежная компенсация за неиспользованный отпуск,  оплата (кроме стипендии) на период обучения работников, направленных на профессиональную подготовку, переподготовку, повышение квалификации или обучение вторым профессиям с отрывом от работы
оплата (компенсация) работникам, привлекаемым к исполнению государственных или общественных обязанностей
оплата работникам за время медицинского обследования, дней сдачи крови и ее компонентов и предоставленных в связи с этим дней отдыха;
оплата времени простоя по вине работодателя, оплата времени простоя по причинам, не зависящим от работодателя и работника;
оплата за время приостановки работы из-за нарушения норм охраны труда не по вине работника;
оплата времени вынужденного прогула;
оплата дней невыхода на работу по болезни за счет средств организации, не оформленных листками временной нетрудоспособности;
доплаты до среднего заработка, начисленные сверх сумм пособий по временной нетрудоспособности
единовременное вознаграждение за выслугу лет
оплата по среднему заработку за время нахождения в командировке
оплата труда при сокращенной продолжительности работы работников в возрасте до восемнадцати лет, инвалидов I и II групп, женщин, работающих в сельской местности, женщин, работающих в районах Крайнего Севера и приравненных к ним местностях
суммы пособий по временной нетрудоспособности, выплачиваемые за счет средств организации в соответствии с законодательством Российской Федерации, в том числе за первые три дня временной нетрудоспособности
оплата работникам дней отдыха, предоставленных в связи с переработкой рабочего времени при вахтовом методе работ, и в других случаях в соответствии с законодательством Российской Федерации;
суммы, начисленные работникам в размере дневной тарифной ставки (части оклада за день работы) при выполнении работ вахтовым методом, за каждый день нахождения в пути от места нахождения организации (пункта сбора) до места выполнения работы и обратно, предусмотренные графиком работы на вахте, а также за дни задержки в пути по метеорологическим условиям или вине транспортных организаций и т.п.</t>
  </si>
  <si>
    <t>Выходное пособие при увольнении по сокращению, по соглашению сторон, дополнительные выплаты при увольнении на пенсию сверх предусмотренных колдоговором.</t>
  </si>
  <si>
    <t>Количество работников, находившихся в кадровом резерве и уволенных в отчетном периоде по любому основанию, деленное на среднюю численность работников стоявших в резерве за год.</t>
  </si>
  <si>
    <t>Оплата по договорам гражданско-правового характера, тыс.руб.</t>
  </si>
  <si>
    <t>Образование (учебное заведение, год окончания, специальность по диплому)</t>
  </si>
  <si>
    <t>Стаж работы в текущей должности на предприятии, лет</t>
  </si>
  <si>
    <t>Сведения о молодых специалистах, поступивших на работу после окончания учебных заведений, и о призыве работников в Вооруженные силы РФ</t>
  </si>
  <si>
    <t>Общее количество выпускников вузов и ссузов, за последние 5 лет уволенных в связи с призывом в ряды ВС РФ, чел.</t>
  </si>
  <si>
    <t>Все остальные ячейки являются защищенными и неизменяемыми, изменить их не получится, что бы вы не делали.</t>
  </si>
  <si>
    <t>Некоторые пустые ячейки также не заполняются. Они выделены светло-серым цветом, вот таким:</t>
  </si>
  <si>
    <t>Примечание</t>
  </si>
  <si>
    <r>
      <t>Форма заполняется данными</t>
    </r>
    <r>
      <rPr>
        <b/>
        <sz val="11"/>
        <color theme="1"/>
        <rFont val="Calibri"/>
        <family val="2"/>
        <charset val="204"/>
        <scheme val="minor"/>
      </rPr>
      <t xml:space="preserve"> на последнюю дату </t>
    </r>
    <r>
      <rPr>
        <sz val="11"/>
        <color theme="1"/>
        <rFont val="Calibri"/>
        <family val="2"/>
        <charset val="204"/>
        <scheme val="minor"/>
      </rPr>
      <t>отчетного периода</t>
    </r>
  </si>
  <si>
    <t>Средняя заработная плата за отчетный период</t>
  </si>
  <si>
    <t>Всего за отчетный период, чел.</t>
  </si>
  <si>
    <r>
      <t>Форма заполняется данными</t>
    </r>
    <r>
      <rPr>
        <b/>
        <sz val="11"/>
        <color theme="1"/>
        <rFont val="Calibri"/>
        <family val="2"/>
        <charset val="204"/>
        <scheme val="minor"/>
      </rPr>
      <t xml:space="preserve"> за отчетный период</t>
    </r>
  </si>
  <si>
    <t>физлица по договорам ГПХ</t>
  </si>
  <si>
    <t>Выручка на работника, тыс.руб.</t>
  </si>
  <si>
    <t>Выручка от собственных работ на работника, тыс.руб.</t>
  </si>
  <si>
    <t>Сведения о средней численности, текучести, заработной плате и выручке на работника</t>
  </si>
  <si>
    <t>Форма 10-к</t>
  </si>
  <si>
    <t>Всего чел.</t>
  </si>
  <si>
    <t>%% от среднесписочной численности</t>
  </si>
  <si>
    <t>%% к прошлому году</t>
  </si>
  <si>
    <t>Численность работников прошедших оценку по управленческим/корпоративным компетенциям</t>
  </si>
  <si>
    <t>Численность работников, прошедших оценку по профессиональным компетенциям (в т.ч. аттестация)</t>
  </si>
  <si>
    <t>к зачислению к кадровый резерв, чел.</t>
  </si>
  <si>
    <t>к прохождению дополнительного обучения, чел.</t>
  </si>
  <si>
    <t>к увольнению с занимаемой должности, чел.</t>
  </si>
  <si>
    <t>к поощрению, чел.</t>
  </si>
  <si>
    <t>иное</t>
  </si>
  <si>
    <t>дистанционная оценка, чел.</t>
  </si>
  <si>
    <t>очная оценка, чел.</t>
  </si>
  <si>
    <t>Сведения об оценке персонала</t>
  </si>
  <si>
    <t>№ 10-к</t>
  </si>
  <si>
    <t>%% от числа оцененных</t>
  </si>
  <si>
    <t>к назначению на должность, чел.</t>
  </si>
  <si>
    <t>Сведения об обучении</t>
  </si>
  <si>
    <t>Форма 11-к</t>
  </si>
  <si>
    <t>Численность работников прошедших обучение в любой форме за отчетный период</t>
  </si>
  <si>
    <t>Численность работников прошедших обучение в любой форме более одного раза за отчетный период</t>
  </si>
  <si>
    <t>обязательное обучение, чел.</t>
  </si>
  <si>
    <t>%% обученных к прошлому году</t>
  </si>
  <si>
    <t>%% от общего числа обученных</t>
  </si>
  <si>
    <t>стоимость обучения на 1 участника, руб.</t>
  </si>
  <si>
    <t>в очной форме, чел.</t>
  </si>
  <si>
    <t>в очно-заочной форме, чел.</t>
  </si>
  <si>
    <t>в заочной (дистанционной) форме, чел.</t>
  </si>
  <si>
    <t>собственными силами предприятия, чел.</t>
  </si>
  <si>
    <t>отраслевыми учебными центрами, чел.</t>
  </si>
  <si>
    <t>внешними провайдерами на территории РФ, чел.</t>
  </si>
  <si>
    <t>внешними провайдерами за рубежом, чел.</t>
  </si>
  <si>
    <t>внешними провайдерами оценки, чел.</t>
  </si>
  <si>
    <t>программы повышения квалификации и краткосрочного обучения, чел.</t>
  </si>
  <si>
    <t>Руководителей, чел.</t>
  </si>
  <si>
    <t>Специалистов, чел.</t>
  </si>
  <si>
    <t>Рабочих, чел.</t>
  </si>
  <si>
    <t>Служащих, чел.</t>
  </si>
  <si>
    <t>программы подготовки кадрового резерва, чел.</t>
  </si>
  <si>
    <t>обучение в рамках Федеральных программ, чел.</t>
  </si>
  <si>
    <t>обучение по долгосрочным программам, чел.</t>
  </si>
  <si>
    <t>второе высшее образование, чел.</t>
  </si>
  <si>
    <t>аспирантура, чел.</t>
  </si>
  <si>
    <t>MBA, чел.</t>
  </si>
  <si>
    <t>другие долгосрочные программы, чел.</t>
  </si>
  <si>
    <t>Форма № 12-к</t>
  </si>
  <si>
    <t>Общее образование, чел.</t>
  </si>
  <si>
    <t>Среднее профессиональное образование, чел.</t>
  </si>
  <si>
    <t>Высшее образование, чел.</t>
  </si>
  <si>
    <r>
      <t xml:space="preserve">АУП 
</t>
    </r>
    <r>
      <rPr>
        <sz val="11"/>
        <color indexed="8"/>
        <rFont val="Calibri"/>
        <family val="2"/>
        <charset val="204"/>
      </rPr>
      <t>Административно управленческий персонал</t>
    </r>
  </si>
  <si>
    <t>Работники до 39 лет, из них имеют:</t>
  </si>
  <si>
    <t>Работники 40 и более лет, из них имеют :</t>
  </si>
  <si>
    <t>В целом по предприятию работников имеющих:</t>
  </si>
  <si>
    <t>№ 11-к</t>
  </si>
  <si>
    <t>№ 12-к</t>
  </si>
  <si>
    <t>Наименование ОУ</t>
  </si>
  <si>
    <t>Наименование НП и С</t>
  </si>
  <si>
    <t>Объем НИОКР реализованных вузом по заказу предприятия:</t>
  </si>
  <si>
    <t>Программы стажировок ППС на предприятии:</t>
  </si>
  <si>
    <t>на сумму (тыс. руб. )</t>
  </si>
  <si>
    <t>ИТОГО:</t>
  </si>
  <si>
    <t>24.03.03</t>
  </si>
  <si>
    <t>24.03.05</t>
  </si>
  <si>
    <t>09.03.01</t>
  </si>
  <si>
    <t>09.03.02</t>
  </si>
  <si>
    <t>15.03.05</t>
  </si>
  <si>
    <t>12.03.05</t>
  </si>
  <si>
    <t>15.03.01</t>
  </si>
  <si>
    <t>15.03.06</t>
  </si>
  <si>
    <t>12.03.02</t>
  </si>
  <si>
    <t>12.03.01</t>
  </si>
  <si>
    <t>15.03.03</t>
  </si>
  <si>
    <t>09.03.04</t>
  </si>
  <si>
    <t>11.03.01</t>
  </si>
  <si>
    <t>24.03.01</t>
  </si>
  <si>
    <t>27.03.01</t>
  </si>
  <si>
    <t>13.03.01</t>
  </si>
  <si>
    <t>20.03.01</t>
  </si>
  <si>
    <t>27.03.04</t>
  </si>
  <si>
    <t>12.03.03</t>
  </si>
  <si>
    <t>13.03.03</t>
  </si>
  <si>
    <t>17.05.01</t>
  </si>
  <si>
    <t>24.05.04</t>
  </si>
  <si>
    <t>24.05.02</t>
  </si>
  <si>
    <t>24.05.01</t>
  </si>
  <si>
    <t>11.05.01</t>
  </si>
  <si>
    <t>24.05.06</t>
  </si>
  <si>
    <t>27.05.01</t>
  </si>
  <si>
    <t>11.05.02</t>
  </si>
  <si>
    <t>17.05.02</t>
  </si>
  <si>
    <t>24.04.03</t>
  </si>
  <si>
    <t>24.04.05</t>
  </si>
  <si>
    <t>09.04.01</t>
  </si>
  <si>
    <t>15.04.06</t>
  </si>
  <si>
    <t>12.04.01</t>
  </si>
  <si>
    <t>15.04.03</t>
  </si>
  <si>
    <t>11.04.01</t>
  </si>
  <si>
    <t>24.04.01</t>
  </si>
  <si>
    <t>27.04.04</t>
  </si>
  <si>
    <t>21.03.02</t>
  </si>
  <si>
    <t>11.03.02</t>
  </si>
  <si>
    <t>10.03.01</t>
  </si>
  <si>
    <t>03.03.03</t>
  </si>
  <si>
    <t>08.03.01</t>
  </si>
  <si>
    <t>23.03.01</t>
  </si>
  <si>
    <t>10.05.01</t>
  </si>
  <si>
    <t>11.04.02</t>
  </si>
  <si>
    <t>23.04.01</t>
  </si>
  <si>
    <t>09.03.03</t>
  </si>
  <si>
    <t>11.03.04</t>
  </si>
  <si>
    <t>19.03.01</t>
  </si>
  <si>
    <t>22.03.01</t>
  </si>
  <si>
    <t>16.03.01</t>
  </si>
  <si>
    <t>15.03.02</t>
  </si>
  <si>
    <t>27.03.02</t>
  </si>
  <si>
    <t>18.03.01</t>
  </si>
  <si>
    <t>23.03.03</t>
  </si>
  <si>
    <t>15.04.02</t>
  </si>
  <si>
    <t>15.03.04</t>
  </si>
  <si>
    <t>07.03.01</t>
  </si>
  <si>
    <t>23.03.02</t>
  </si>
  <si>
    <t>13.03.02</t>
  </si>
  <si>
    <t>18.03.02</t>
  </si>
  <si>
    <t>10.05.03</t>
  </si>
  <si>
    <t>23.05.01</t>
  </si>
  <si>
    <t>21.05.01</t>
  </si>
  <si>
    <t>15.05.01</t>
  </si>
  <si>
    <t>08.05.01</t>
  </si>
  <si>
    <t>15.04.04</t>
  </si>
  <si>
    <t>15.04.05</t>
  </si>
  <si>
    <t>23.04.02</t>
  </si>
  <si>
    <t>09.04.04</t>
  </si>
  <si>
    <t>27.04.01</t>
  </si>
  <si>
    <t>08.04.01</t>
  </si>
  <si>
    <t>13.04.01</t>
  </si>
  <si>
    <t>27.04.02</t>
  </si>
  <si>
    <t>18.04.01</t>
  </si>
  <si>
    <t>23.04.03</t>
  </si>
  <si>
    <t>13.04.02</t>
  </si>
  <si>
    <t>27.03.05</t>
  </si>
  <si>
    <t>10.05.04</t>
  </si>
  <si>
    <t>27.04.05</t>
  </si>
  <si>
    <t>09.04.02</t>
  </si>
  <si>
    <t>13.04.03</t>
  </si>
  <si>
    <t>12.03.04</t>
  </si>
  <si>
    <t>11.03.03</t>
  </si>
  <si>
    <t>28.03.02</t>
  </si>
  <si>
    <t>28.03.01</t>
  </si>
  <si>
    <t>12.04.04</t>
  </si>
  <si>
    <t>11.04.03</t>
  </si>
  <si>
    <t>12.04.05</t>
  </si>
  <si>
    <t>22.04.02</t>
  </si>
  <si>
    <t>12.04.02</t>
  </si>
  <si>
    <t>22.03.02</t>
  </si>
  <si>
    <t>22.04.01</t>
  </si>
  <si>
    <t>15.04.01</t>
  </si>
  <si>
    <t>14.03.01</t>
  </si>
  <si>
    <t>10.05.02</t>
  </si>
  <si>
    <t>24.05.07</t>
  </si>
  <si>
    <t>16.04.01</t>
  </si>
  <si>
    <t>11.04.04</t>
  </si>
  <si>
    <t>01.03.03</t>
  </si>
  <si>
    <t>14.03.02</t>
  </si>
  <si>
    <t>01.04.03</t>
  </si>
  <si>
    <t>04.04.02</t>
  </si>
  <si>
    <t>27.04.07</t>
  </si>
  <si>
    <t>24.03.04</t>
  </si>
  <si>
    <t>26.03.02</t>
  </si>
  <si>
    <t>18.05.02</t>
  </si>
  <si>
    <t>26.05.07</t>
  </si>
  <si>
    <t>26.05.06</t>
  </si>
  <si>
    <t>26.04.02</t>
  </si>
  <si>
    <t>16.03.03</t>
  </si>
  <si>
    <t>27.03.03</t>
  </si>
  <si>
    <t>14.05.02</t>
  </si>
  <si>
    <t>27.04.03</t>
  </si>
  <si>
    <t>25.03.01</t>
  </si>
  <si>
    <t>21.03.03</t>
  </si>
  <si>
    <t>21.04.03</t>
  </si>
  <si>
    <t>24.03.02</t>
  </si>
  <si>
    <t>25.05.03</t>
  </si>
  <si>
    <t>24.04.04</t>
  </si>
  <si>
    <t>27.04.06</t>
  </si>
  <si>
    <t>18.05.01</t>
  </si>
  <si>
    <t>28.04.02</t>
  </si>
  <si>
    <t>14.04.01</t>
  </si>
  <si>
    <t>16.04.03</t>
  </si>
  <si>
    <t>26.05.03</t>
  </si>
  <si>
    <t>16.05.01</t>
  </si>
  <si>
    <t>23.05.02</t>
  </si>
  <si>
    <t>24.05.03</t>
  </si>
  <si>
    <t>24.05.05</t>
  </si>
  <si>
    <t>16.03.02</t>
  </si>
  <si>
    <t>10.05.07</t>
  </si>
  <si>
    <t>12.05.01</t>
  </si>
  <si>
    <t>14.05.01</t>
  </si>
  <si>
    <t>16.04.02</t>
  </si>
  <si>
    <t>24.04.02</t>
  </si>
  <si>
    <t>28.04.01</t>
  </si>
  <si>
    <t>28.03.03</t>
  </si>
  <si>
    <t>14.05.04</t>
  </si>
  <si>
    <t>14.04.02</t>
  </si>
  <si>
    <t>09.05.01</t>
  </si>
  <si>
    <t>14.05.03</t>
  </si>
  <si>
    <t>25.03.02</t>
  </si>
  <si>
    <t>25.04.02</t>
  </si>
  <si>
    <t>17.03.01</t>
  </si>
  <si>
    <t>26.05.04</t>
  </si>
  <si>
    <t>17.04.01</t>
  </si>
  <si>
    <t>25.05.02</t>
  </si>
  <si>
    <t>12.04.03</t>
  </si>
  <si>
    <t>25.04.01</t>
  </si>
  <si>
    <t>Форма № 13-к</t>
  </si>
  <si>
    <t>из них (столбец 6):</t>
  </si>
  <si>
    <t>Программы повышения квалификации работников предприятия в вузе-партнере:</t>
  </si>
  <si>
    <t>Количество выпускников ОУ по данному НП (С), трудоустроившихся на постоянной основе на предприятие в отчетный период, чел.</t>
  </si>
  <si>
    <t>Количество обучающихся в ОУ по данному НП (С), прошедших практику на предприятии в отчетном периоде, чел.</t>
  </si>
  <si>
    <t>прошедших преддипломную практику (на последнем году обучения), чел.</t>
  </si>
  <si>
    <t>Принятых на работу во время обучения в отчетный период</t>
  </si>
  <si>
    <t>из них (столбец 9):</t>
  </si>
  <si>
    <t>Количество обучающихся по целевым договорам из числа зачисленных в предыдущие годы по состоянию на 30 сентября текущего года</t>
  </si>
  <si>
    <t>Количество работников,  завершивших ранее обучение по целевому договору, стаж которых на предприятии  составляет:</t>
  </si>
  <si>
    <t>Количество работников, уволенных в отчетном периоде из числа работников,  завершивших ранее обучение по целевому договору, со стажем:</t>
  </si>
  <si>
    <t xml:space="preserve">ИТОГО: </t>
  </si>
  <si>
    <t>Форма № 14-к</t>
  </si>
  <si>
    <t>Название кафедры</t>
  </si>
  <si>
    <t>Количество обучающихся на базовой кафедре на дату окончания отчетного периода</t>
  </si>
  <si>
    <t>1-й год обучения</t>
  </si>
  <si>
    <t>2-й год обучения</t>
  </si>
  <si>
    <t>3-й год обучения</t>
  </si>
  <si>
    <t>4-й год обучения</t>
  </si>
  <si>
    <t>5-й год обучения</t>
  </si>
  <si>
    <t xml:space="preserve">в т.ч ученую степень </t>
  </si>
  <si>
    <t>в т.ч ученое звание</t>
  </si>
  <si>
    <t>Объем НИОКР реализованных по заказу базового предприятия в отчетный период</t>
  </si>
  <si>
    <t>Форма № 15-к</t>
  </si>
  <si>
    <t>Адыгейский гос. ун-т., г. Майкоп</t>
  </si>
  <si>
    <t>Алтайская гос. академия образования им. В.М. Шукшина, г. Бийск</t>
  </si>
  <si>
    <t>Алтайская гос. педагогическая академия, г. Барнаул</t>
  </si>
  <si>
    <t>Алтайский гос. аграрный ун-т., г. Барнаул</t>
  </si>
  <si>
    <t>Алтайский гос. медицинский ун-т., г. Барнаул </t>
  </si>
  <si>
    <t>Алтайский гос. техн. ун-т. им. И.И. Ползунова, г. Барнаул</t>
  </si>
  <si>
    <t>Алтайский гос. ун-т., г. Барнаул</t>
  </si>
  <si>
    <t>Альметьевский гос. нефтяной ин-т.</t>
  </si>
  <si>
    <t>Амурская гос. медицинская академия, г. Благовещенск</t>
  </si>
  <si>
    <t>Амурский гос. ун-т., г. Благовещенск</t>
  </si>
  <si>
    <t>Амурский гуманитарно-педагогический гос. ун-т., г. Комсомольск-на-Амуре</t>
  </si>
  <si>
    <t>Ангарская гос. техническая академия</t>
  </si>
  <si>
    <t>Армавирская гос. педагогическая академия</t>
  </si>
  <si>
    <t>Астраханская гос. медицинская академия</t>
  </si>
  <si>
    <t>Астраханский гос. техн. ун-т.</t>
  </si>
  <si>
    <t>Астраханский гос. ун-т.</t>
  </si>
  <si>
    <t>Астраханский инженерно-строительный ин-т.</t>
  </si>
  <si>
    <t>Байкальский гос. ун-т. экономики и права, г. Иркутск</t>
  </si>
  <si>
    <t>Балтийская гос. академия рыбопромыслового флота, г. Калининград</t>
  </si>
  <si>
    <t>Балтийский гос. техн. ун-т. "Военмех" им. Д.Ф. Устинова, г. Санкт-Петербург </t>
  </si>
  <si>
    <t>Балтийский федеральный ун-т. им. И. Канта</t>
  </si>
  <si>
    <t>Башкирский гос. аграрный ун-т., г. Уфа</t>
  </si>
  <si>
    <t>Башкирский гос. медицинский ун-т., г. Уфа</t>
  </si>
  <si>
    <t>Башкирский гос. педагогический ун-т. им. М. Акмуллы, г. Уфа</t>
  </si>
  <si>
    <t>Башкирский гос. ун-т., г. Уфа</t>
  </si>
  <si>
    <t>Белгородская гос. сельскохозяйственная академия</t>
  </si>
  <si>
    <t>Белгородский гос. ин-т. культуры и искусств</t>
  </si>
  <si>
    <t>Белгородский гос. национальный исследовательский ун-т.</t>
  </si>
  <si>
    <t>Белгородский гос. технол. ун-т. им. В.Г. Шухова</t>
  </si>
  <si>
    <t>Благовещенский гос. педагогический ун-т.</t>
  </si>
  <si>
    <t>Борисоглебский гос. педагогический ин-т.</t>
  </si>
  <si>
    <t>Братский гос. ун-т.</t>
  </si>
  <si>
    <t>Брянская гос. инженерно-технологическая академия</t>
  </si>
  <si>
    <t>Брянская гос. сельскохозяйственная академия</t>
  </si>
  <si>
    <t>Брянский гос. техн. ун-т.</t>
  </si>
  <si>
    <t>Брянский гос. ун-т. им. И.Г. Петровского</t>
  </si>
  <si>
    <t>Бурятская гос. сельскохозяйственная академия им. В.Р. Филиппова, г. Улан-Удэ</t>
  </si>
  <si>
    <t>Великолукская гос. сельскохозяйственная академия</t>
  </si>
  <si>
    <t>Владивостокский гос. ун-т. экономики и сервиса</t>
  </si>
  <si>
    <t>Владимирский гос. ун-т.</t>
  </si>
  <si>
    <t>Волгоградский гос. аграрный ун-т.</t>
  </si>
  <si>
    <t>Волгоградский гос. архитектурно-строительный ун-т.</t>
  </si>
  <si>
    <t>Волгоградский гос. медицинский ун-т.</t>
  </si>
  <si>
    <t>Волгоградский гос. социально-педагогический ун-т.</t>
  </si>
  <si>
    <t>Волгоградский гос. техн. ун-т.</t>
  </si>
  <si>
    <t>Волгоградский гос. ун-т.</t>
  </si>
  <si>
    <t>Волгоградский филиал РАНХиГС</t>
  </si>
  <si>
    <t>Волжский ин-т. экономики, педагогики и права</t>
  </si>
  <si>
    <t>Вологодская гос. молочнохозяйственная академия им. Н.В. Верещагина</t>
  </si>
  <si>
    <t>Вологодский гос. ун-т.</t>
  </si>
  <si>
    <t>Воронежская гос. лесотехническая академия</t>
  </si>
  <si>
    <t>Воронежская гос. медицинская академия им. Н.Н. Бурденко </t>
  </si>
  <si>
    <t>Воронежский гос. архитектурно-строительный ун-т.</t>
  </si>
  <si>
    <t>Воронежский гос. техн. ун-т.</t>
  </si>
  <si>
    <t>Воронежский гос. ун-т.</t>
  </si>
  <si>
    <t>Воронежский гос. ун-т. инженерных технологий</t>
  </si>
  <si>
    <t>Восточно-Сибирская гос. академия образования, г. Иркутск</t>
  </si>
  <si>
    <t>Восточно-Сибирский гос. ун-т. технологий и управления, г. Улан-Удэ </t>
  </si>
  <si>
    <t>Всероссийская академия внешней торговли, г. Москва</t>
  </si>
  <si>
    <t>Вятская гос. сельскохозяйственная академия, г. Киров</t>
  </si>
  <si>
    <t>Вятский гос. гуманитарный ун-т., г. Киров</t>
  </si>
  <si>
    <t>Вятский гос. ун-т., г. Киров</t>
  </si>
  <si>
    <t>Глазовский гос. педагогический ин-т. им. В.Г. Короленко</t>
  </si>
  <si>
    <t>Горский гос. аграрный ун-т., г. Владикавказ</t>
  </si>
  <si>
    <t>Гос. аграрный ун-т. Северного Зауралья, г. Тюмень</t>
  </si>
  <si>
    <t>Гос. академический ун-т. гуманитарных наук, г. Москва</t>
  </si>
  <si>
    <t>Гос. ин-т. русского языка им. А.С. Пушкина, г. Москва</t>
  </si>
  <si>
    <t>Гос. ин-т. экономики, финансов, права и технологий, г. Гатчина</t>
  </si>
  <si>
    <t>Гос. классическая академия им. Маймонида, г. Москва</t>
  </si>
  <si>
    <t>Гос. морской ун-т. им. адмирала Ф.Ф. Ушакова, г. Новороссийск</t>
  </si>
  <si>
    <t>Гос. полярная академия, г. Санкт-Петербург</t>
  </si>
  <si>
    <t>Гос. ун-т. — учебно-научно-производственный комплекс, г. Орел</t>
  </si>
  <si>
    <t>Гос. ун-т. морского и речного флота им. адмирала С.О. Макарова, г. Санкт-Петербург</t>
  </si>
  <si>
    <t>Гос. ун-т. по землеустройству, г. Москва</t>
  </si>
  <si>
    <t>Гос. ун-т. управления, г. Москва</t>
  </si>
  <si>
    <t>Грозненский гос. нефтяной техн. ун-т. им. академика М.Д. Миллионщикова</t>
  </si>
  <si>
    <t>Дагестанская гос. медицинская академия, г. Махачкала</t>
  </si>
  <si>
    <t>Дагестанский гос. аграрный ун-т., г. Махачкала</t>
  </si>
  <si>
    <t>Дагестанский гос. ин-т. народного хозяйства, г. Махачкала</t>
  </si>
  <si>
    <t>Дагестанский гос. педагогический ун-т., г. Махачкала</t>
  </si>
  <si>
    <t>Дагестанский гос. техн. ун-т., г. Махачкала</t>
  </si>
  <si>
    <t>Дагестанский гос. ун-т., г. Махачкала</t>
  </si>
  <si>
    <t>Дальневосточный гос. аграрный ун-т., г. Благовещенск</t>
  </si>
  <si>
    <t>Дальневосточный гос. гуманитарный ун-т., г. Хабаровск</t>
  </si>
  <si>
    <t>Дальневосточный гос. медицинский ун-т., г. Хабаровск </t>
  </si>
  <si>
    <t>Дальневосточный гос. техн. рыбохозяйственный ун-т., г. Владивосток</t>
  </si>
  <si>
    <t>Дальневосточный гос. ун-т. путей сообщения, г. Хабаровск</t>
  </si>
  <si>
    <t>Дальневосточный ин-т., филиал РАНХиГС, г. Хабаровск</t>
  </si>
  <si>
    <t>Дальневосточный федеральный ун-т.</t>
  </si>
  <si>
    <t>Донской гос. аграрный ун-т., пос. Персиановский</t>
  </si>
  <si>
    <t>Донской гос. техн. ун-т., г. Ростов-на-Дону</t>
  </si>
  <si>
    <t>Елецкий гос. ун-т. им. И.А. Бунина</t>
  </si>
  <si>
    <t>Забайкальский гос. ун-т.</t>
  </si>
  <si>
    <t>Ивановская гос. медицинская академия</t>
  </si>
  <si>
    <t>Ивановская гос. сельскохозяйственная академия им. Д.К. Беляева</t>
  </si>
  <si>
    <t>Ивановский гос. политехн. ун-т.</t>
  </si>
  <si>
    <t>Ивановский гос. ун-т.</t>
  </si>
  <si>
    <t>Ивановский гос. химико-технол. ун-т.</t>
  </si>
  <si>
    <t>Ивановский гос. энергетический ун-т.</t>
  </si>
  <si>
    <t>Ижевская гос. медицинская академия</t>
  </si>
  <si>
    <t>Ижевская гос. сельскохозяйственная академия</t>
  </si>
  <si>
    <t>Ижевский гос. техн. ун-т.</t>
  </si>
  <si>
    <t>Ингушский гос. ун-т., г. Магас</t>
  </si>
  <si>
    <t>Иркутская гос. сельскохозяйственная академия</t>
  </si>
  <si>
    <t>Иркутский гос. медицинский ун-т.</t>
  </si>
  <si>
    <t>Иркутский гос. ун-т.</t>
  </si>
  <si>
    <t>Иркутский гос. ун-т. путей сообщения</t>
  </si>
  <si>
    <t>Ишимский гос. педагогический ин-т. им. П.П. Ершова</t>
  </si>
  <si>
    <t>Кабардино-Балкарский гос. аграрный ун-т. им. В.М. Кокова</t>
  </si>
  <si>
    <t>Кабардино-Балкарский гос. ун-т. им. Х.М. Бербекова, г. Нальчик</t>
  </si>
  <si>
    <t>Казанская гос. академия ветеринарной медицины им. Н.Э. Баумана</t>
  </si>
  <si>
    <t>Казанский (Приволжский) федеральный ун-т.</t>
  </si>
  <si>
    <t>Казанский гос. аграрный ун-т.</t>
  </si>
  <si>
    <t>Казанский гос. архитектурно-строительный ун-т.</t>
  </si>
  <si>
    <t>Казанский гос. медицинский ун-т.</t>
  </si>
  <si>
    <t>Казанский гос. энергетический ун-т.</t>
  </si>
  <si>
    <t>Казанский национальный исследовательский техн. ун-т. им. А.Н.Туполева</t>
  </si>
  <si>
    <t>Казанский национальный исследовательский технол. ун-т.</t>
  </si>
  <si>
    <t>Калининградский гос. техн. ун-т.</t>
  </si>
  <si>
    <t>Калмыцкий гос. ун-т., г. Элиста</t>
  </si>
  <si>
    <t>Калужский гос. ун-т. им. К.Э. Циолковского</t>
  </si>
  <si>
    <t>Камчатский гос. техн. ун-т., г. Петропавловск-Камчатский</t>
  </si>
  <si>
    <t>Карачаево-Черкесский гос. ун-т. им. У.Д. Алиева</t>
  </si>
  <si>
    <t>Кемеровская гос. медицинская академия</t>
  </si>
  <si>
    <t>Кемеровский гос. сельскохозяйственный ин-т.</t>
  </si>
  <si>
    <t>Кемеровский гос. ун-т.</t>
  </si>
  <si>
    <t>Кемеровский технол. ин-т. пищевой промышленности</t>
  </si>
  <si>
    <t>Кировская гос. медицинская академия </t>
  </si>
  <si>
    <t>Ковровская гос. технологическая академия им. В.А. Дегтярева</t>
  </si>
  <si>
    <t>Коми республиканская академия государственной службы и управления, г. Сыктывкар</t>
  </si>
  <si>
    <t>Комсомольский-на-Амуре гос. техн. ун-т.</t>
  </si>
  <si>
    <t>Костромская гос. сельскохозяйственная академия</t>
  </si>
  <si>
    <t>Костромской гос. технол. ун-т.</t>
  </si>
  <si>
    <t>Костромской гос. ун-т. им. Н.А. Некрасова</t>
  </si>
  <si>
    <t>Красноярский гос. аграрный ун-т.</t>
  </si>
  <si>
    <t>Красноярский гос. медицинский ун-т. им. В.Ф. Войно-Ясенецкого</t>
  </si>
  <si>
    <t>Красноярский гос. педагогический ун-т. им. В.П. Астафьева</t>
  </si>
  <si>
    <t>Кубанский гос. аграрный ун-т., г. Краснодар</t>
  </si>
  <si>
    <t>Кубанский гос. медицинский ун-т., г. Краснодар </t>
  </si>
  <si>
    <t>Кубанский гос. технол. ун-т., г. Краснодар</t>
  </si>
  <si>
    <t>Кубанский гос. ун-т., г. Краснодар</t>
  </si>
  <si>
    <t>Кузбасский гос. техн. ун-т. им. Т.Ф. Горбачева, г. Кемерово</t>
  </si>
  <si>
    <t>Курганская гос. сельскохозяйственная академия им. Т.С. Мальцева, г. Лесниково</t>
  </si>
  <si>
    <t>Курганский гос. ун-т.</t>
  </si>
  <si>
    <t>Курская академия государственной и муниципальной службы</t>
  </si>
  <si>
    <t>Курская гос. сельскохозяйственная академия</t>
  </si>
  <si>
    <t>Курский гос. медицинский ун-т.</t>
  </si>
  <si>
    <t>Курский гос. ун-т.</t>
  </si>
  <si>
    <t>Ленинградский гос. ун-т. им. А.С. Пушкина, г. Санкт-Петербург</t>
  </si>
  <si>
    <t>Липецкий гос. педагогический ун-т.</t>
  </si>
  <si>
    <t>Липецкий гос. техн. ун-т.</t>
  </si>
  <si>
    <t>Литературный ин-т. им. А.М. Горького, г. Москва</t>
  </si>
  <si>
    <t>Магнитогорский гос. техн. ун-т. им. Г.И. Носова</t>
  </si>
  <si>
    <t>Майкопский гос. технол. ун-т.</t>
  </si>
  <si>
    <t>Марийский гос. ун-т., г. Йошкар-Ола</t>
  </si>
  <si>
    <t>МАТИ — Российский гос. технол. ун-т. им. К.Э. Циолковского, г. Москва</t>
  </si>
  <si>
    <t>Международный ун-т. природы, общества и человека "Дубна"</t>
  </si>
  <si>
    <t>Мичуринский гос. аграрный ун-т.</t>
  </si>
  <si>
    <t>Мордовский гос. педагогический ин-т. им. М.Е. Евсевьева, г. Саранск</t>
  </si>
  <si>
    <t>Морской гос. ун-т. им. адмирала Г.И. Невельского, г. Владивосток</t>
  </si>
  <si>
    <t>Моск. авиационный ин-т. (гос. техн. ун-т.)</t>
  </si>
  <si>
    <t>Моск. автомобильно-дорожный ин-т. (гос. техн. ун-т.)</t>
  </si>
  <si>
    <t>Моск. городской педагогический ун-т.</t>
  </si>
  <si>
    <t>Моск. городской психолого-педагогический ун-т.</t>
  </si>
  <si>
    <t>Моск. гос. академия ветеринарной медицины и биотехнологии им. К.И. Скрябина</t>
  </si>
  <si>
    <t>Моск. гос. академия водного транспорта</t>
  </si>
  <si>
    <t>Моск. гос. гуманитарный ун-т. им. М.А. Шолохова</t>
  </si>
  <si>
    <t>Моск. гос. гуманитарный экономический ин-т.</t>
  </si>
  <si>
    <t>Моск. гос. индустриальный ун-т.</t>
  </si>
  <si>
    <t>Моск. гос. ин-т. индустрии туризма им. Ю.А. Сенкевича</t>
  </si>
  <si>
    <t>Моск. гос. ин-т. международных отношений</t>
  </si>
  <si>
    <t>Моск. гос. лингвистический ун-т.</t>
  </si>
  <si>
    <t>Моск. гос. машиностроительный ун-т.</t>
  </si>
  <si>
    <t>Моск. гос. медико-стоматологический ун-т.</t>
  </si>
  <si>
    <t>Моск. гос. областной гуманитарный ин-т.</t>
  </si>
  <si>
    <t>Моск. гос. областной социально-гуманитарный ин-т.</t>
  </si>
  <si>
    <t>Моск. гос. строительный ун-т. (национальный исследовательский ун-т.)</t>
  </si>
  <si>
    <t>Моск. гос. техн. ун-т. гражданской авиации</t>
  </si>
  <si>
    <t>Моск. гос. техн. ун-т. им. Н.Э. Баумана</t>
  </si>
  <si>
    <t>Моск. гос. техн. ун-т. радиотехники, электроники и автоматики</t>
  </si>
  <si>
    <t>Моск. гос. технол. ун-т. "Станкин"</t>
  </si>
  <si>
    <t>Моск. гос. ун-т. геодезии и картографии</t>
  </si>
  <si>
    <t>Моск. гос. ун-т. дизайна и технологии</t>
  </si>
  <si>
    <t>Моск. гос. ун-т. им. М.В. Ломоносова</t>
  </si>
  <si>
    <t>Моск. гос. ун-т. леса, г. Мытищи</t>
  </si>
  <si>
    <t>Моск. гос. ун-т. печати</t>
  </si>
  <si>
    <t>Моск. гос. ун-т. пищевых производств</t>
  </si>
  <si>
    <t>Моск. гос. ун-т. приборостроения и информатики</t>
  </si>
  <si>
    <t>Моск. гос. ун-т. путей сообщения</t>
  </si>
  <si>
    <t>Моск. гос. ун-т. технологий и управления</t>
  </si>
  <si>
    <t>Моск. гос. ун-т. тонких химических технологий им. М.В. Ломоносова</t>
  </si>
  <si>
    <t>Моск. гос. ун-т. экономики, статистики и информатики</t>
  </si>
  <si>
    <t>Моск. гос. юридический ун-т. им. О.Е. Кутафина</t>
  </si>
  <si>
    <t>Моск. ин-т. электроники и математики НИУ "Высшей школы экономики"</t>
  </si>
  <si>
    <t>Моск. педагогический гос. ун-т.</t>
  </si>
  <si>
    <t>Моск. техн. ун-т. связи и информатики</t>
  </si>
  <si>
    <t>Моск. физико-техн. ин-т.</t>
  </si>
  <si>
    <t>Мурманский гос. гуманитарный ун-т.</t>
  </si>
  <si>
    <t>Мурманский гос. техн. ун-т.</t>
  </si>
  <si>
    <t>Национальный исследовательский Иркутский гос. техн. ун-т.</t>
  </si>
  <si>
    <t>Национальный исследовательский Мордовский гос. ун-т. им. Н.П. Огарева, г. Саранск</t>
  </si>
  <si>
    <t>Национальный исследовательский технол. ун-т. "МИСиС", г. Москва</t>
  </si>
  <si>
    <t>Национальный исследовательский Томский гос. ун-т.</t>
  </si>
  <si>
    <t>Национальный исследовательский Томский политехн. ун-т.</t>
  </si>
  <si>
    <t>Национальный исследовательский ун-т. "Высшая школа экономики", г. Москва</t>
  </si>
  <si>
    <t>Национальный исследовательский ун-т. "Высшая школа экономики", филиал, г. Нижний Новгород</t>
  </si>
  <si>
    <t>Национальный исследовательский ун-т. "Высшая школа экономики", филиал, г. Пермь</t>
  </si>
  <si>
    <t>Национальный исследовательский ун-т. "Высшая школа экономики", филиал, г. Санкт-Петербург</t>
  </si>
  <si>
    <t>Национальный исследовательский ун-т. "Моск. энергетический ин-т."</t>
  </si>
  <si>
    <t>Национальный исследовательский ун-т. «МИЭТ» (Моск. гос. ин-т. электронной техники)</t>
  </si>
  <si>
    <t>Национальный исследовательский Южно-Уральский гос. ун-т.</t>
  </si>
  <si>
    <t>Национальный исследовательский ядерный ун-т. "МИФИ", г. Москва</t>
  </si>
  <si>
    <t>Национальный минерально-сырьевой ун-т. "Горный", г. Санкт-Петербург</t>
  </si>
  <si>
    <t>Невинномысский гос. гуманитарно-техн. ин-т.</t>
  </si>
  <si>
    <t>Нижегородская гос. медицинская академия</t>
  </si>
  <si>
    <t>Нижегородская гос. сельскохозяйственная академия</t>
  </si>
  <si>
    <t>Нижегородский гос. архитектурно-строительный ун-т.</t>
  </si>
  <si>
    <t>Нижегородский гос. инженерно-экономический ин-т., г. Княгинино</t>
  </si>
  <si>
    <t>Нижегородский гос. лингвистический ун-т. им. Н.А. Добролюбова</t>
  </si>
  <si>
    <t>Нижегородский гос. педагогический ун-т. им. Козьмы Минина</t>
  </si>
  <si>
    <t>Нижегородский гос. техн. ун-т. им. Р.Е. Алексеева</t>
  </si>
  <si>
    <t>Нижегородский гос. ун-т. им. Н.И. Лобачевского</t>
  </si>
  <si>
    <t>Нижегородский ин-т. управления, филиал РАНХиГС</t>
  </si>
  <si>
    <t>Нижневартовский гос. ун-т.</t>
  </si>
  <si>
    <t>Нижнетагильская гос. социально-педагогическая академия</t>
  </si>
  <si>
    <t>Новгородский гос. ун-т. им. Ярослава Мудрого</t>
  </si>
  <si>
    <t>Новосибирская гос. академия водного транспорта</t>
  </si>
  <si>
    <t>Новосибирская гос. архитектурно-художественная академия</t>
  </si>
  <si>
    <t>Новосибирский гос. аграрный ун-т.</t>
  </si>
  <si>
    <t>Новосибирский гос. архитектурно-строительный ун-т.</t>
  </si>
  <si>
    <t>Новосибирский гос. медицинский ун-т.</t>
  </si>
  <si>
    <t>Новосибирский гос. педагогический ун-т.</t>
  </si>
  <si>
    <t>Новосибирский гос. техн. ун-т.</t>
  </si>
  <si>
    <t>Новосибирский гос. ун-т. экономики и управления</t>
  </si>
  <si>
    <t>Новосибирский национальный исследовательский гос. ун-т.</t>
  </si>
  <si>
    <t>Омская гос. медицинская академия</t>
  </si>
  <si>
    <t>Омский гос. аграрный ун-т.</t>
  </si>
  <si>
    <t>Омский гос. ин-т. сервиса</t>
  </si>
  <si>
    <t>Омский гос. педагогический ун-т.</t>
  </si>
  <si>
    <t>Омский гос. техн. ун-т.</t>
  </si>
  <si>
    <t>Омский гос. ун-т. им. Ф.М. Достоевского</t>
  </si>
  <si>
    <t>Омский гос. ун-т. путей сообщения</t>
  </si>
  <si>
    <t>Оренбургская гос. медицинская академия</t>
  </si>
  <si>
    <t>Оренбургский гос. ин-т. менеджмента</t>
  </si>
  <si>
    <t>Оренбургский гос. педагогический ун-т.</t>
  </si>
  <si>
    <t>Оренбургский гос. ун-т.</t>
  </si>
  <si>
    <t>Орловский гос. аграрный ун-т.</t>
  </si>
  <si>
    <t>Орловский филиал РАНХиГС</t>
  </si>
  <si>
    <t>Пензенская гос. сельскохозяйственная академия</t>
  </si>
  <si>
    <t>Пензенский гос. технол. ун-т.</t>
  </si>
  <si>
    <t>Пензенский гос. ун-т.</t>
  </si>
  <si>
    <t>Пензенский гос. ун-т. архитектуры и строительства</t>
  </si>
  <si>
    <t>Первый гос. московский медицинский ун-т. им. И.М. Сеченова</t>
  </si>
  <si>
    <t>Первый Санкт-Петербургский гос. медицинский ун-т. им. И.П. Павлова</t>
  </si>
  <si>
    <t>Пермская гос. медицинская академия</t>
  </si>
  <si>
    <t>Пермская гос. сельскохозяйственная академия им. Д.Н. Прянишникова</t>
  </si>
  <si>
    <t>Пермская гос. фармацевтическая академия</t>
  </si>
  <si>
    <t>Пермский гос. гуманитарно-педагогический ун-т.</t>
  </si>
  <si>
    <t>Пермский гос. национальный исследовательский ун-т.</t>
  </si>
  <si>
    <t>Пермский национальный исследовательский политехн. ун-т.</t>
  </si>
  <si>
    <t>Петербургский гос. ун-т. путей сообщения</t>
  </si>
  <si>
    <t>Петрозаводский гос. ун-т.</t>
  </si>
  <si>
    <t>Поволжская гос. социально-гуманитарная академия, г. Самара</t>
  </si>
  <si>
    <t>Поволжский гос. технол. ун-т., г. Йошкар-Ола</t>
  </si>
  <si>
    <t>Поволжский гос. ун-т. сервиса, г. Тольятти</t>
  </si>
  <si>
    <t>Поволжский гос. ун-т. телекоммуникаций и информатики, г. Самара</t>
  </si>
  <si>
    <t>Поволжский ин-т. управления им. П.А. Столыпина, филиал РАНХиГС, г. Саратов</t>
  </si>
  <si>
    <t>Приамурский гос. ун-т. им. Шолом-Алейхема, г. Биробиджан</t>
  </si>
  <si>
    <t>Приморская гос. сельскохозяйственная академия, г. Уссурийск</t>
  </si>
  <si>
    <t>Псковский гос. ун-т.</t>
  </si>
  <si>
    <t>Пятигорский гос. лингвистический ун-т.</t>
  </si>
  <si>
    <t>Российская академия народного хозяйства и государственной службы при Президенте РФ, г. Москва</t>
  </si>
  <si>
    <t>Российская академия правосудия, г. Москва</t>
  </si>
  <si>
    <t>Российская гос. академия интеллектуальной собственности, г. Москва</t>
  </si>
  <si>
    <t>Российская правовая академия Министерства юстиции РФ, г. Москва</t>
  </si>
  <si>
    <t>Российская таможенная академия, г. Люберцы</t>
  </si>
  <si>
    <t>Российский гос. аграрный ун-т. "МСХА" им. К.А. Тимирязева, г. Москва</t>
  </si>
  <si>
    <t>Российский гос. геологоразведочный ун-т. им. Серго Орджоникидзе, г. Москва</t>
  </si>
  <si>
    <t>Российский гос. гидрометеорологический ун-т., г. Санкт-Петербург</t>
  </si>
  <si>
    <t>Российский гос. гуманитарный ун-т., г. Москва</t>
  </si>
  <si>
    <t>Российский гос. педагогический ун-т. им. А.И. Герцена, г. Санкт-Петербург</t>
  </si>
  <si>
    <t>Российский гос. профессионально-педагогический ун-т., г. Екатеринбург</t>
  </si>
  <si>
    <t>Российский гос. социальный ун-т., г . Москва</t>
  </si>
  <si>
    <t>Российский гос. ун-т. инновационных технологий и предпринимательства, г. Москва</t>
  </si>
  <si>
    <t>Российский гос. ун-т. нефти и газа им. И.М. Губкина, г. Москва</t>
  </si>
  <si>
    <t>Российский гос. ун-т. туризма и сервиса, г. Черкизово</t>
  </si>
  <si>
    <t>Российский национальный исследовательский медицинский ун-т. им. Н.И. Пирогова, г. Москва</t>
  </si>
  <si>
    <t>Российский ун-т. дружбы народов, г. Москва</t>
  </si>
  <si>
    <t>Российский химико-технол. ун-т. им. Д.И. Менделеева, г.Москва</t>
  </si>
  <si>
    <t>Российский экономический ун-т. им. Г.В. Плеханова, г. Москва</t>
  </si>
  <si>
    <t>Ростовский гос. медицинский ун-т.</t>
  </si>
  <si>
    <t>Ростовский гос. строительный ун-т.</t>
  </si>
  <si>
    <t>Ростовский гос. ун-т. путей сообщения</t>
  </si>
  <si>
    <t>Ростовский гос. экономический ун-т. "РИНХ"</t>
  </si>
  <si>
    <t>Рыбинский гос. авиационный техн. ун-т. им. П.А. Соловьева</t>
  </si>
  <si>
    <t>Рязанский гос. агротехнол. ун-т. им. П.А. Костычева</t>
  </si>
  <si>
    <t>Рязанский гос. медицинский ун-т. им. И.П. Павлова</t>
  </si>
  <si>
    <t>Рязанский гос. радиотехн. ун-т.</t>
  </si>
  <si>
    <t>Рязанский гос. ун-т. им. С.А. Есенина</t>
  </si>
  <si>
    <t>Самарская гос. областная академия (Наяновой)</t>
  </si>
  <si>
    <t>Самарская гос. сельскохозяйственная академия</t>
  </si>
  <si>
    <t>Самарский гос. архитектурно-строительный ун-т.</t>
  </si>
  <si>
    <t>Самарский гос. аэрокосмический ун-т. им. С.П. Королева</t>
  </si>
  <si>
    <t>Самарский гос. медицинский ун-т.</t>
  </si>
  <si>
    <t>Самарский гос. техн. ун-т.</t>
  </si>
  <si>
    <t>Самарский гос. ун-т.</t>
  </si>
  <si>
    <t>Самарский гос. ун-т. путей сообщения</t>
  </si>
  <si>
    <t>Самарский гос. экономический ун-т.</t>
  </si>
  <si>
    <t>Санкт-Петербургская гос. академия ветеринарной медицины</t>
  </si>
  <si>
    <t>Санкт-Петербургская гос. химико-фармацевтическая академия</t>
  </si>
  <si>
    <t>Санкт-Петербургский гос. аграрный ун-т.</t>
  </si>
  <si>
    <t>Санкт-Петербургский гос. архитектурно-строительный ун-т.</t>
  </si>
  <si>
    <t>Санкт-Петербургский гос. лесотехн. ун-т. им. С.М. Кирова</t>
  </si>
  <si>
    <t>Санкт-Петербургский гос. морской техн. ун-т.</t>
  </si>
  <si>
    <t>Санкт-Петербургский гос. педиатрический медицинский ун-т.</t>
  </si>
  <si>
    <t>Санкт-Петербургский гос. политехн. ун-т.</t>
  </si>
  <si>
    <t>Санкт-Петербургский гос. технол. ин-т. (техн. ун-т.)</t>
  </si>
  <si>
    <t>Санкт-Петербургский гос. технол. ун-т. растительных полимеров</t>
  </si>
  <si>
    <t>Санкт-Петербургский гос. торгово-экономический ун-т.</t>
  </si>
  <si>
    <t>Санкт-Петербургский гос. ун-т.</t>
  </si>
  <si>
    <t>Санкт-Петербургский гос. ун-т. аэрокосмического приборостроения</t>
  </si>
  <si>
    <t>Санкт-Петербургский гос. ун-т. гражданской авиации</t>
  </si>
  <si>
    <t>Санкт-Петербургский гос. ун-т. телекоммуникаций им. М.А. Бонч-Бруевича</t>
  </si>
  <si>
    <t>Санкт-Петербургский гос. ун-т. технологии и дизайна</t>
  </si>
  <si>
    <t>Санкт-Петербургский гос. экономический ун-т.</t>
  </si>
  <si>
    <t>Санкт-Петербургский гос. электротехн. ун-т. “ЛЭТИ”</t>
  </si>
  <si>
    <t>Санкт-Петербургский национальный исследовательский ун-т. информационных технологий, механики и оптики</t>
  </si>
  <si>
    <t>Саратовский гос. аграрный ун-т. им. Н.И. Вавилова</t>
  </si>
  <si>
    <t>Саратовский гос. медицинский ун-т.</t>
  </si>
  <si>
    <t>Саратовский гос. социально-экономический ун-т.</t>
  </si>
  <si>
    <t>Саратовский гос. техн. ун-т.</t>
  </si>
  <si>
    <t>Саратовский гос. ун-т. им. Н.Г. Чернышевского</t>
  </si>
  <si>
    <t>Сахалинский гос. ун-т., г. Южно-Сахалинск</t>
  </si>
  <si>
    <t>Северный (Арктический) федеральный ун-т. им. М.В. Ломоносова</t>
  </si>
  <si>
    <t>Северный гос. медицинский ун-т., г. Архангельск</t>
  </si>
  <si>
    <t>Северо-Восточный гос. ун-т., г. Магадан</t>
  </si>
  <si>
    <t>Северо-восточный федеральный ун-т. им. М.К. Аммосова</t>
  </si>
  <si>
    <t>Северо-Западный гос. медицинский ун-т. им. И.И.Мечникова, г. Санкт-Петербург</t>
  </si>
  <si>
    <t>Северо-Западный ин-т., филиал РАНХиГС, г. Санкт-Петербург</t>
  </si>
  <si>
    <t>Северо-Кавказская гос. гуманитарно-технологическая академия, г. Черкесск</t>
  </si>
  <si>
    <t>Северо-Кавказский горно-металлургический ин-т. (гос. технол. ун-т.) , г. Владикавказ</t>
  </si>
  <si>
    <t>Северо-Кавказский федеральный ун-т.</t>
  </si>
  <si>
    <t>Северо-Осетинская гос. медицинская академия, г. Владикавказ</t>
  </si>
  <si>
    <t>Северо-Осетинский гос. педагогический ин-т., г. Владикавказ</t>
  </si>
  <si>
    <t>Северо-Осетинский гос. ун-т. им. К.Л. Хетагурова, г. Владикавказ</t>
  </si>
  <si>
    <t>Сибирская гос. автомобильно-дорожная академия, г. Омск</t>
  </si>
  <si>
    <t>Сибирский гос. аэрокосмический ун-т. им. М.Ф. Решетнева, г. Красноярск</t>
  </si>
  <si>
    <t>Сибирский гос. индустриальный ун-т., г. Новокузнецк</t>
  </si>
  <si>
    <t>Сибирский гос. медицинский ун-т.,  г. Томск </t>
  </si>
  <si>
    <t>Сибирский гос. технол. ун-т., г. Красноярск</t>
  </si>
  <si>
    <t>Сибирский гос. ун-т. путей сообщения, г. Новосибирск</t>
  </si>
  <si>
    <t>Сибирский гос. ун-т. телекоммуникаций и информатики, г. Новосибирск</t>
  </si>
  <si>
    <t>Сибирский ин-т. управления, филиал РАНХиГС, г. Новосибирск</t>
  </si>
  <si>
    <t>Сибирский федеральный ун-т.</t>
  </si>
  <si>
    <t>Смоленская гос. медицинская академия</t>
  </si>
  <si>
    <t>Смоленская гос. сельскохозяйственная академия</t>
  </si>
  <si>
    <t>Смоленский гос. ун-т.</t>
  </si>
  <si>
    <t>Сочинский гос. ун-т.</t>
  </si>
  <si>
    <t>Ставропольский гос. аграрный ун-т.</t>
  </si>
  <si>
    <t>Ставропольский гос. медицинский ун-т.</t>
  </si>
  <si>
    <t>Ставропольский гос. педагогический ин-т.</t>
  </si>
  <si>
    <t>Сургутский гос. педагогический ун-т.</t>
  </si>
  <si>
    <t>Сургутский гос. ун-т. Ханты-Мансийского автономного округа — Югры</t>
  </si>
  <si>
    <t>Сыктывкарский гос. ун-т.</t>
  </si>
  <si>
    <t>Тамбовский гос. техн. ун-т.</t>
  </si>
  <si>
    <t>Тамбовский гос. ун-т. им. Г.Р. Державина</t>
  </si>
  <si>
    <t>Тверская гос. медицинская академия</t>
  </si>
  <si>
    <t>Тверская гос. сельскохозяйственная академия</t>
  </si>
  <si>
    <t>Тверской гос. техн. ун-т.</t>
  </si>
  <si>
    <t>Тверской гос. ун-т.</t>
  </si>
  <si>
    <t>Тихоокеанский гос. медицинский ун-т., г. Владивосток</t>
  </si>
  <si>
    <t>Тихоокеанский гос. ун-т., г. Хабаровск</t>
  </si>
  <si>
    <t>Тольяттинский гос. ун-т.</t>
  </si>
  <si>
    <t>Томский гос. архитектурно-строительный ун-т.</t>
  </si>
  <si>
    <t>Томский гос. педагогический ун-т.</t>
  </si>
  <si>
    <t>Томский гос. ун-т. систем управления и радиоэлектроники</t>
  </si>
  <si>
    <t>Тувинский гос. ун-т., г. Кызыл</t>
  </si>
  <si>
    <t>Тульский гос. педагогический ун-т. им. Л.Н. Толстого</t>
  </si>
  <si>
    <t>Тульский гос. ун-т.</t>
  </si>
  <si>
    <t>Тюменская гос. академия культуры, искусств и социальных технологий</t>
  </si>
  <si>
    <t>Тюменская гос. медицинская академия </t>
  </si>
  <si>
    <t>Тюменский гос. архитектурно-строительный ун-т.</t>
  </si>
  <si>
    <t>Тюменский гос. нефтегазовый ун-т.</t>
  </si>
  <si>
    <t>Удмуртский гос. ун-т., г. Ижевск</t>
  </si>
  <si>
    <t>Ульяновская гос. сельскохозяйственная академия</t>
  </si>
  <si>
    <t>Ульяновский гос. педагогический ун-т. им. И.Н. Ульянова</t>
  </si>
  <si>
    <t>Ульяновский гос. техн. ун-т.</t>
  </si>
  <si>
    <t>Ульяновский гос. ун-т.</t>
  </si>
  <si>
    <t>Ульяновское высшее авиационное училище гражданской авиации</t>
  </si>
  <si>
    <t>Уральская гос. академия ветеринарной медицины, г. Троицк</t>
  </si>
  <si>
    <t>Уральская гос. архитектурно-художественная академия, г. Екатеринбург</t>
  </si>
  <si>
    <t>Уральский гос. аграрный ун-т., г. Екатеринбург</t>
  </si>
  <si>
    <t>Уральский гос. горный ун-т., г. Екатеринбург</t>
  </si>
  <si>
    <t>Уральский гос. лесотехн. ун-т., г. Екатеринбург</t>
  </si>
  <si>
    <t>Уральский гос. медицинский ун-т., г. Екатеринбург</t>
  </si>
  <si>
    <t>Уральский гос. педагогический ун-т., г. Екатеринбург</t>
  </si>
  <si>
    <t>Уральский гос. ун-т. путей сообщения, г. Екатеринбург</t>
  </si>
  <si>
    <t>Уральский гос. экономический ун-т., г. Екатеринбург</t>
  </si>
  <si>
    <t>Уральский гос. юридический универститет, г. Екатеринбург</t>
  </si>
  <si>
    <t>Уральский ин-т., филиал РАНХиГС, г. Екатеринбург</t>
  </si>
  <si>
    <t>Уральский федеральный ун-т. им. Б.Н. Ельцина</t>
  </si>
  <si>
    <t>Уфимский гос. авиационный техн. ун-т.</t>
  </si>
  <si>
    <t>Уфимский гос. нефтяной техн. ун-т.</t>
  </si>
  <si>
    <t>Уфимский гос. ун-т. экономики и сервиса</t>
  </si>
  <si>
    <t>Ухтинский гос. техн. ун-т.</t>
  </si>
  <si>
    <t>Финансово-технологическая академия, г. Королев</t>
  </si>
  <si>
    <t>Финансовый ун-т. при Правительстве РФ, г. Москва</t>
  </si>
  <si>
    <t>Хабаровская гос. академия экономики и права</t>
  </si>
  <si>
    <t>Хакасский гос. ун-т. им. Н.Ф. Катанова, г. Абакан</t>
  </si>
  <si>
    <t>Ханты-Мансийская гос. медицинская академия</t>
  </si>
  <si>
    <t>Челябинская гос. агроинженерная академия</t>
  </si>
  <si>
    <t>Челябинский гос. педагогический ун-т.</t>
  </si>
  <si>
    <t>Челябинский гос. ун-т.</t>
  </si>
  <si>
    <t>Череповецкий гос. ун-т.</t>
  </si>
  <si>
    <t>Чеченский гос. педагогический ин-т., г. Грозный</t>
  </si>
  <si>
    <t>Чеченский гос. ун-т., г. Грозный</t>
  </si>
  <si>
    <t>Читинская гос. медицинская академия</t>
  </si>
  <si>
    <t>Чувашская гос. сельскохозяйственная академия, г. Чебоксары</t>
  </si>
  <si>
    <t>Чувашский гос. педагогический ун-т. им. И.Я. Яковлева, г. Чебоксары</t>
  </si>
  <si>
    <t>Чувашский гос. ун-т. им. И.Н. Ульянова, г. Чебоксары </t>
  </si>
  <si>
    <t>Шадринский гос. педагогический ин-т.</t>
  </si>
  <si>
    <t>Юго-Западный гос. ун-т., г. Курск</t>
  </si>
  <si>
    <t>Югорский гос. ун-т., г. Ханты-Мансийск </t>
  </si>
  <si>
    <t>Южно-Российский гос. политехн. ун-т. им. М.И. Платова, г. Новочеркасск</t>
  </si>
  <si>
    <t>Южно-Российский ин-т., филиал РАНХиГС, г. Ростов-на-Дону</t>
  </si>
  <si>
    <t>Южно-Уральский гос. медицинский ун-т., г. Челябинск</t>
  </si>
  <si>
    <t>Южный федеральный ун-т.</t>
  </si>
  <si>
    <t>Ярославская гос. медицинская академия </t>
  </si>
  <si>
    <t>Ярославская гос. сельскохозяйственная академия</t>
  </si>
  <si>
    <t>Ярославский гос. педагогический ун-т. им. К.Д. Ушинского</t>
  </si>
  <si>
    <t>Ярославский гос. техн. ун-т.</t>
  </si>
  <si>
    <t>Ярославский гос. ун-т. им. П.Г. Демидова</t>
  </si>
  <si>
    <t>Перечень ВУЗов</t>
  </si>
  <si>
    <t>Коды специальностей</t>
  </si>
  <si>
    <t>Наименования специальностей профессионального образования</t>
  </si>
  <si>
    <t>СПО</t>
  </si>
  <si>
    <t>Количество граждан, заключивших договор с предприятием на целевое обучение в отчетном периоде, чел.</t>
  </si>
  <si>
    <t>Количество граждан, зачисленных в ОУ по квоте целевого приема текущего года, чел.</t>
  </si>
  <si>
    <t>2 год обучения, чел.</t>
  </si>
  <si>
    <t>3 год обучения, чел.</t>
  </si>
  <si>
    <t>4 год обучения, чел.</t>
  </si>
  <si>
    <t>5 год обучения, чел.</t>
  </si>
  <si>
    <t>Количество аспирантов, обучающихся по целевым договорам, защитивших диссертацию в отчетном периоде, чел.</t>
  </si>
  <si>
    <t>Количество призванных в Вооруженные Силы РФ по окончании обучения за отчетный период, чел.</t>
  </si>
  <si>
    <t>Количество выпускников,  завершивших обучение по целевому договору, трудоустроившихся на постоянной основе на предприятие по окончании обучения в отчетный период, чел.</t>
  </si>
  <si>
    <t>Количество выпускников, завершивших обучение по целевому договору в отчетный период и поступивших на следующую ступень образования по квоте целевого приема текущего года, чел.</t>
  </si>
  <si>
    <t>более 3-х лет, чел.</t>
  </si>
  <si>
    <t>менее 1 года, чел.</t>
  </si>
  <si>
    <t>менее 3-х лет, чел.</t>
  </si>
  <si>
    <t>На последнем году обучения, чел.</t>
  </si>
  <si>
    <t>трудоустроившихся на постоянной основе на предприятие по окончании обучения в отчетный период, чел.</t>
  </si>
  <si>
    <t>кол-во договоров, завершенных за отчетный период, ед.</t>
  </si>
  <si>
    <t>количество ППС, чел.</t>
  </si>
  <si>
    <t>количество работников, чел.</t>
  </si>
  <si>
    <t>общий конкурс, чел.</t>
  </si>
  <si>
    <t>целевики, чел.</t>
  </si>
  <si>
    <t>по договору, чел.</t>
  </si>
  <si>
    <t>всего, чел.</t>
  </si>
  <si>
    <t>Количество обучающихся на базовой кафедре, прошедших практику на предприятии в отчетном периоде, чел.</t>
  </si>
  <si>
    <t>Количество обучающихся, отчисленных с базовой кафедры в отчетном периоде, чел.</t>
  </si>
  <si>
    <t>обучающихся по договору о целевом обучении, чел.</t>
  </si>
  <si>
    <t>Количество выпускников базовой кафедры, трудоустроившихся на постоянной основе на предприятие после окончания обучения (в отчетном периоде), чел.</t>
  </si>
  <si>
    <t>Количество обучающихся на базовой кафедре, защитивших кандидатскую или докторскую диссертацию в отчетном периоде, чел.</t>
  </si>
  <si>
    <t>Работники предприятия, чел.</t>
  </si>
  <si>
    <t>ППС вуза, чел.</t>
  </si>
  <si>
    <t>ППС других организаций, чел.</t>
  </si>
  <si>
    <t>АУП базовой кафедры, чел.</t>
  </si>
  <si>
    <t>Высшее, чел.</t>
  </si>
  <si>
    <t>кандидата наук, чел.</t>
  </si>
  <si>
    <t>доктора наук, чел.</t>
  </si>
  <si>
    <t>профессора, чел.</t>
  </si>
  <si>
    <t>доцента, чел.</t>
  </si>
  <si>
    <t>№ 13-к</t>
  </si>
  <si>
    <t>№ 14-к</t>
  </si>
  <si>
    <t>№ 15-к</t>
  </si>
  <si>
    <t>количество (академических) часов, ак.час.</t>
  </si>
  <si>
    <t>Штатная численность ППС базовой кафедры по состоянию на по состоянию на 30 сентября, всего, ед.</t>
  </si>
  <si>
    <t>НИОКР</t>
  </si>
  <si>
    <t>Код НП и С</t>
  </si>
  <si>
    <t>НП и С</t>
  </si>
  <si>
    <t>Направление подготовки и специальность</t>
  </si>
  <si>
    <t>ОО</t>
  </si>
  <si>
    <t>Основное общее (9 классов) или среднее (полное, 11 классов) общее образование</t>
  </si>
  <si>
    <t>ОУ</t>
  </si>
  <si>
    <t>ППС</t>
  </si>
  <si>
    <t>Профессорско-преподавательский состав ОУ</t>
  </si>
  <si>
    <t>Образования</t>
  </si>
  <si>
    <t>29.02.01</t>
  </si>
  <si>
    <t>29.02.02</t>
  </si>
  <si>
    <t>29.02.03</t>
  </si>
  <si>
    <t>29.02.05</t>
  </si>
  <si>
    <t>29.02.06</t>
  </si>
  <si>
    <t>29.02.07</t>
  </si>
  <si>
    <t>31.02.01</t>
  </si>
  <si>
    <t>31.02.02</t>
  </si>
  <si>
    <t>31.02.03</t>
  </si>
  <si>
    <t>31.02.04</t>
  </si>
  <si>
    <t>31.02.05</t>
  </si>
  <si>
    <t>31.02.06</t>
  </si>
  <si>
    <t>32.02.01</t>
  </si>
  <si>
    <t>33.02.01</t>
  </si>
  <si>
    <t>34.02.01</t>
  </si>
  <si>
    <t>34.02.02</t>
  </si>
  <si>
    <t>35.02.01</t>
  </si>
  <si>
    <t>35.02.02</t>
  </si>
  <si>
    <t>35.02.03</t>
  </si>
  <si>
    <t>35.02.04</t>
  </si>
  <si>
    <t>35.02.05</t>
  </si>
  <si>
    <t>35.02.06</t>
  </si>
  <si>
    <t>35.02.07</t>
  </si>
  <si>
    <t>35.02.08</t>
  </si>
  <si>
    <t>35.02.09</t>
  </si>
  <si>
    <t>35.02.10</t>
  </si>
  <si>
    <t>35.02.11</t>
  </si>
  <si>
    <t>35.02.12</t>
  </si>
  <si>
    <t>35.02.13</t>
  </si>
  <si>
    <t>35.02.14</t>
  </si>
  <si>
    <t>35.02.15</t>
  </si>
  <si>
    <t>36.02.01</t>
  </si>
  <si>
    <t>36.02.02</t>
  </si>
  <si>
    <t>38.02.01</t>
  </si>
  <si>
    <t>38.02.02</t>
  </si>
  <si>
    <t>38.02.03</t>
  </si>
  <si>
    <t>38.02.04</t>
  </si>
  <si>
    <t>38.02.05</t>
  </si>
  <si>
    <t>38.02.06</t>
  </si>
  <si>
    <t>38.02.07</t>
  </si>
  <si>
    <t>39.02.01</t>
  </si>
  <si>
    <t>39.02.02</t>
  </si>
  <si>
    <t>40.02.01</t>
  </si>
  <si>
    <t>40.02.02</t>
  </si>
  <si>
    <t>42.02.01</t>
  </si>
  <si>
    <t>42.02.02</t>
  </si>
  <si>
    <t>43.02.01</t>
  </si>
  <si>
    <t>43.02.02</t>
  </si>
  <si>
    <t>43.02.03</t>
  </si>
  <si>
    <t>43.02.04</t>
  </si>
  <si>
    <t>43.02.05</t>
  </si>
  <si>
    <t>43.02.06</t>
  </si>
  <si>
    <t>43.02.07</t>
  </si>
  <si>
    <t>43.02.08</t>
  </si>
  <si>
    <t>43.02.09</t>
  </si>
  <si>
    <t>43.02.10</t>
  </si>
  <si>
    <t>43.02.11</t>
  </si>
  <si>
    <t>44.02.01</t>
  </si>
  <si>
    <t>44.02.02</t>
  </si>
  <si>
    <t>44.02.03</t>
  </si>
  <si>
    <t>44.02.04</t>
  </si>
  <si>
    <t>44.02.05</t>
  </si>
  <si>
    <t>44.02.06</t>
  </si>
  <si>
    <t>46.02.01</t>
  </si>
  <si>
    <t>49.02.01</t>
  </si>
  <si>
    <t>49.02.02</t>
  </si>
  <si>
    <t>50.02.01</t>
  </si>
  <si>
    <t>51.02.01</t>
  </si>
  <si>
    <t>51.02.02</t>
  </si>
  <si>
    <t>51.02.03</t>
  </si>
  <si>
    <t>52.02.01</t>
  </si>
  <si>
    <t>52.02.02</t>
  </si>
  <si>
    <t>52.02.03</t>
  </si>
  <si>
    <t>52.02.04</t>
  </si>
  <si>
    <t>52.02.05</t>
  </si>
  <si>
    <t>53.02.01</t>
  </si>
  <si>
    <t>53.02.02</t>
  </si>
  <si>
    <t>53.02.03</t>
  </si>
  <si>
    <t>53.02.04</t>
  </si>
  <si>
    <t>53.02.05</t>
  </si>
  <si>
    <t>53.02.06</t>
  </si>
  <si>
    <t>53.02.07</t>
  </si>
  <si>
    <t>53.02.08</t>
  </si>
  <si>
    <t>53.02.09</t>
  </si>
  <si>
    <t>54.02.01</t>
  </si>
  <si>
    <t>54.02.02</t>
  </si>
  <si>
    <t>54.02.03</t>
  </si>
  <si>
    <t>54.02.04</t>
  </si>
  <si>
    <t>54.02.05</t>
  </si>
  <si>
    <t>54.02.06</t>
  </si>
  <si>
    <t>54.02.07</t>
  </si>
  <si>
    <t>54.02.08</t>
  </si>
  <si>
    <t>55.02.01</t>
  </si>
  <si>
    <t>55.02.02</t>
  </si>
  <si>
    <t>01.03.01</t>
  </si>
  <si>
    <t>01.03.02</t>
  </si>
  <si>
    <t>01.03.04</t>
  </si>
  <si>
    <t>02.03.01</t>
  </si>
  <si>
    <t>02.03.02</t>
  </si>
  <si>
    <t>02.03.03</t>
  </si>
  <si>
    <t>03.03.01</t>
  </si>
  <si>
    <t>03.03.02</t>
  </si>
  <si>
    <t>04.03.01</t>
  </si>
  <si>
    <t>04.03.02</t>
  </si>
  <si>
    <t>05.03.06</t>
  </si>
  <si>
    <t>05.03.01</t>
  </si>
  <si>
    <t>05.03.02</t>
  </si>
  <si>
    <t>05.03.03</t>
  </si>
  <si>
    <t>05.03.04</t>
  </si>
  <si>
    <t>05.03.05</t>
  </si>
  <si>
    <t>06.03.01</t>
  </si>
  <si>
    <t>06.03.02</t>
  </si>
  <si>
    <t>07.03.02</t>
  </si>
  <si>
    <t>07.03.03</t>
  </si>
  <si>
    <t>07.03.04</t>
  </si>
  <si>
    <t>19.03.02</t>
  </si>
  <si>
    <t>19.03.03</t>
  </si>
  <si>
    <t>19.03.04</t>
  </si>
  <si>
    <t>20.03.02</t>
  </si>
  <si>
    <t>21.03.01</t>
  </si>
  <si>
    <t>25.03.03</t>
  </si>
  <si>
    <t>25.03.04</t>
  </si>
  <si>
    <t>26.03.01</t>
  </si>
  <si>
    <t>29.03.01</t>
  </si>
  <si>
    <t>29.03.02</t>
  </si>
  <si>
    <t>29.03.03</t>
  </si>
  <si>
    <t>29.03.04</t>
  </si>
  <si>
    <t>29.03.05</t>
  </si>
  <si>
    <t>34.03.01</t>
  </si>
  <si>
    <t>35.03.01</t>
  </si>
  <si>
    <t>35.03.02</t>
  </si>
  <si>
    <t>35.03.10</t>
  </si>
  <si>
    <t>35.03.03</t>
  </si>
  <si>
    <t>35.03.04</t>
  </si>
  <si>
    <t>35.03.05</t>
  </si>
  <si>
    <t>35.03.06</t>
  </si>
  <si>
    <t>35.03.07</t>
  </si>
  <si>
    <t>35.03.08</t>
  </si>
  <si>
    <t>35.03.09</t>
  </si>
  <si>
    <t>36.03.01</t>
  </si>
  <si>
    <t>36.03.02</t>
  </si>
  <si>
    <t>37.03.01</t>
  </si>
  <si>
    <t>37.03.02</t>
  </si>
  <si>
    <t>38.03.01</t>
  </si>
  <si>
    <t>38.03.02</t>
  </si>
  <si>
    <t>38.03.03</t>
  </si>
  <si>
    <t>38.03.04</t>
  </si>
  <si>
    <t>38.03.05</t>
  </si>
  <si>
    <t>38.03.06</t>
  </si>
  <si>
    <t>38.03.07</t>
  </si>
  <si>
    <t>39.03.03</t>
  </si>
  <si>
    <t>39.03.01</t>
  </si>
  <si>
    <t>39.03.02</t>
  </si>
  <si>
    <t>40.03.01</t>
  </si>
  <si>
    <t>41.03.06</t>
  </si>
  <si>
    <t>41.03.01</t>
  </si>
  <si>
    <t>41.03.02</t>
  </si>
  <si>
    <t>41.03.03</t>
  </si>
  <si>
    <t>41.03.04</t>
  </si>
  <si>
    <t>41.03.05</t>
  </si>
  <si>
    <t>42.03.04</t>
  </si>
  <si>
    <t>42.03.01</t>
  </si>
  <si>
    <t>42.03.02</t>
  </si>
  <si>
    <t>42.03.03</t>
  </si>
  <si>
    <t>42.03.05</t>
  </si>
  <si>
    <t>43.03.02</t>
  </si>
  <si>
    <t>43.03.01</t>
  </si>
  <si>
    <t>43.03.03</t>
  </si>
  <si>
    <t>44.03.01</t>
  </si>
  <si>
    <t>44.03.02</t>
  </si>
  <si>
    <t>44.03.03</t>
  </si>
  <si>
    <t>44.03.04</t>
  </si>
  <si>
    <t>44.03.05</t>
  </si>
  <si>
    <t>45.03.01</t>
  </si>
  <si>
    <t>45.03.02</t>
  </si>
  <si>
    <t>45.03.03</t>
  </si>
  <si>
    <t>45.03.04</t>
  </si>
  <si>
    <t>46.03.02</t>
  </si>
  <si>
    <t>46.03.01</t>
  </si>
  <si>
    <t>46.03.03</t>
  </si>
  <si>
    <t>47.03.02</t>
  </si>
  <si>
    <t>47.03.03</t>
  </si>
  <si>
    <t>47.03.01</t>
  </si>
  <si>
    <t>48.03.01</t>
  </si>
  <si>
    <t>49.03.01</t>
  </si>
  <si>
    <t>49.03.02</t>
  </si>
  <si>
    <t>49.03.03</t>
  </si>
  <si>
    <t>50.03.01</t>
  </si>
  <si>
    <t>50.03.02</t>
  </si>
  <si>
    <t>50.03.03</t>
  </si>
  <si>
    <t>50.03.04</t>
  </si>
  <si>
    <t>51.03.01</t>
  </si>
  <si>
    <t>51.03.02</t>
  </si>
  <si>
    <t>51.03.03</t>
  </si>
  <si>
    <t>51.03.04</t>
  </si>
  <si>
    <t>51.03.05</t>
  </si>
  <si>
    <t>51.03.06</t>
  </si>
  <si>
    <t>52.03.01</t>
  </si>
  <si>
    <t>52.03.02</t>
  </si>
  <si>
    <t>52.03.03</t>
  </si>
  <si>
    <t>52.03.04</t>
  </si>
  <si>
    <t>52.03.05</t>
  </si>
  <si>
    <t>52.03.06</t>
  </si>
  <si>
    <t>53.03.01</t>
  </si>
  <si>
    <t>53.03.02</t>
  </si>
  <si>
    <t>53.03.03</t>
  </si>
  <si>
    <t>53.03.04</t>
  </si>
  <si>
    <t>53.03.05</t>
  </si>
  <si>
    <t>53.03.06</t>
  </si>
  <si>
    <t>54.03.01</t>
  </si>
  <si>
    <t>54.03.02</t>
  </si>
  <si>
    <t>54.03.03</t>
  </si>
  <si>
    <t>54.03.04</t>
  </si>
  <si>
    <t>01.04.01</t>
  </si>
  <si>
    <t>01.04.02</t>
  </si>
  <si>
    <t>01.04.04</t>
  </si>
  <si>
    <t>01.05.01</t>
  </si>
  <si>
    <t>02.04.01</t>
  </si>
  <si>
    <t>02.04.02</t>
  </si>
  <si>
    <t>02.04.03</t>
  </si>
  <si>
    <t>03.04.01</t>
  </si>
  <si>
    <t>03.04.02</t>
  </si>
  <si>
    <t>03.04.03</t>
  </si>
  <si>
    <t>03.05.01</t>
  </si>
  <si>
    <t>04.04.01</t>
  </si>
  <si>
    <t>04.05.01</t>
  </si>
  <si>
    <t>05.05.01</t>
  </si>
  <si>
    <t>05.05.02</t>
  </si>
  <si>
    <t>05.04.06</t>
  </si>
  <si>
    <t>05.04.01</t>
  </si>
  <si>
    <t>05.04.02</t>
  </si>
  <si>
    <t>05.04.03</t>
  </si>
  <si>
    <t>05.04.04</t>
  </si>
  <si>
    <t>05.04.05</t>
  </si>
  <si>
    <t>06.04.01</t>
  </si>
  <si>
    <t>06.04.02</t>
  </si>
  <si>
    <t>06.05.01</t>
  </si>
  <si>
    <t>07.04.01</t>
  </si>
  <si>
    <t>07.04.02</t>
  </si>
  <si>
    <t>07.04.03</t>
  </si>
  <si>
    <t>07.04.04</t>
  </si>
  <si>
    <t>08.05.02</t>
  </si>
  <si>
    <t>09.04.03</t>
  </si>
  <si>
    <t>10.04.01</t>
  </si>
  <si>
    <t>10.05.05</t>
  </si>
  <si>
    <t>10.05.06</t>
  </si>
  <si>
    <t>11.05.04</t>
  </si>
  <si>
    <t>11.05.03</t>
  </si>
  <si>
    <t>13.05.01</t>
  </si>
  <si>
    <t>13.05.02</t>
  </si>
  <si>
    <t>17.05.03</t>
  </si>
  <si>
    <t>17.05.04</t>
  </si>
  <si>
    <t>18.04.02</t>
  </si>
  <si>
    <t>19.04.01</t>
  </si>
  <si>
    <t>19.04.02</t>
  </si>
  <si>
    <t>19.04.03</t>
  </si>
  <si>
    <t>19.04.04</t>
  </si>
  <si>
    <t>19.04.05</t>
  </si>
  <si>
    <t>20.04.02</t>
  </si>
  <si>
    <t>20.04.01</t>
  </si>
  <si>
    <t>20.05.01</t>
  </si>
  <si>
    <t>21.04.01</t>
  </si>
  <si>
    <t>21.05.02</t>
  </si>
  <si>
    <t>21.05.03</t>
  </si>
  <si>
    <t>21.05.04</t>
  </si>
  <si>
    <t>21.05.05</t>
  </si>
  <si>
    <t>21.05.06</t>
  </si>
  <si>
    <t>21.04.02</t>
  </si>
  <si>
    <t>23.05.03</t>
  </si>
  <si>
    <t>23.05.04</t>
  </si>
  <si>
    <t>23.05.05</t>
  </si>
  <si>
    <t>23.05.06</t>
  </si>
  <si>
    <t>25.04.03</t>
  </si>
  <si>
    <t>25.04.04</t>
  </si>
  <si>
    <t>25.05.05</t>
  </si>
  <si>
    <t>25.05.01</t>
  </si>
  <si>
    <t>25.05.04</t>
  </si>
  <si>
    <t>26.04.01</t>
  </si>
  <si>
    <t>26.05.05</t>
  </si>
  <si>
    <t>26.05.01</t>
  </si>
  <si>
    <t>26.05.02</t>
  </si>
  <si>
    <t>27.04.08</t>
  </si>
  <si>
    <t>27.05.02</t>
  </si>
  <si>
    <t>28.04.03</t>
  </si>
  <si>
    <t>28.04.04</t>
  </si>
  <si>
    <t>29.04.01</t>
  </si>
  <si>
    <t>29.04.02</t>
  </si>
  <si>
    <t>29.04.03</t>
  </si>
  <si>
    <t>29.04.04</t>
  </si>
  <si>
    <t>29.04.05</t>
  </si>
  <si>
    <t>30.05.01</t>
  </si>
  <si>
    <t>30.05.02</t>
  </si>
  <si>
    <t>30.05.03</t>
  </si>
  <si>
    <t>31.05.01</t>
  </si>
  <si>
    <t>31.05.02</t>
  </si>
  <si>
    <t>31.05.03</t>
  </si>
  <si>
    <t>32.04.01</t>
  </si>
  <si>
    <t>32.05.01</t>
  </si>
  <si>
    <t>33.05.01</t>
  </si>
  <si>
    <t>35.04.01</t>
  </si>
  <si>
    <t>35.04.02</t>
  </si>
  <si>
    <t>35.04.09</t>
  </si>
  <si>
    <t>35.04.03</t>
  </si>
  <si>
    <t>35.04.04</t>
  </si>
  <si>
    <t>35.04.05</t>
  </si>
  <si>
    <t>35.04.06</t>
  </si>
  <si>
    <t>35.04.07</t>
  </si>
  <si>
    <t>35.04.08</t>
  </si>
  <si>
    <t>36.04.01</t>
  </si>
  <si>
    <t>36.04.02</t>
  </si>
  <si>
    <t>36.05.01</t>
  </si>
  <si>
    <t>37.05.01</t>
  </si>
  <si>
    <t>37.04.01</t>
  </si>
  <si>
    <t>37.04.02</t>
  </si>
  <si>
    <t>37.05.02</t>
  </si>
  <si>
    <t>38.04.01</t>
  </si>
  <si>
    <t>38.04.02</t>
  </si>
  <si>
    <t>38.04.03</t>
  </si>
  <si>
    <t>38.04.04</t>
  </si>
  <si>
    <t>38.04.05</t>
  </si>
  <si>
    <t>38.04.06</t>
  </si>
  <si>
    <t>38.04.07</t>
  </si>
  <si>
    <t>38.04.08</t>
  </si>
  <si>
    <t>38.04.09</t>
  </si>
  <si>
    <t>38.05.01</t>
  </si>
  <si>
    <t>38.05.02</t>
  </si>
  <si>
    <t>39.04.03</t>
  </si>
  <si>
    <t>39.04.01</t>
  </si>
  <si>
    <t>39.04.02</t>
  </si>
  <si>
    <t>40.04.01</t>
  </si>
  <si>
    <t>40.05.01</t>
  </si>
  <si>
    <t>40.05.02</t>
  </si>
  <si>
    <t>40.05.03</t>
  </si>
  <si>
    <t>41.04.01</t>
  </si>
  <si>
    <t>41.04.02</t>
  </si>
  <si>
    <t>41.04.03</t>
  </si>
  <si>
    <t>41.04.04</t>
  </si>
  <si>
    <t>41.04.05</t>
  </si>
  <si>
    <t>42.04.04</t>
  </si>
  <si>
    <t>42.04.01</t>
  </si>
  <si>
    <t>42.04.02</t>
  </si>
  <si>
    <t>42.04.03</t>
  </si>
  <si>
    <t>42.04.05</t>
  </si>
  <si>
    <t>43.04.02</t>
  </si>
  <si>
    <t>43.04.01</t>
  </si>
  <si>
    <t>43.04.03</t>
  </si>
  <si>
    <t>44.04.01</t>
  </si>
  <si>
    <t>44.04.02</t>
  </si>
  <si>
    <t>44.04.03</t>
  </si>
  <si>
    <t>44.04.04</t>
  </si>
  <si>
    <t>44.05.01</t>
  </si>
  <si>
    <t>45.04.01</t>
  </si>
  <si>
    <t>45.04.02</t>
  </si>
  <si>
    <t>45.04.03</t>
  </si>
  <si>
    <t>45.04.04</t>
  </si>
  <si>
    <t>45.05.01</t>
  </si>
  <si>
    <t>46.04.02</t>
  </si>
  <si>
    <t>46.04.01</t>
  </si>
  <si>
    <t>46.04.03</t>
  </si>
  <si>
    <t>47.04.02</t>
  </si>
  <si>
    <t>47.04.03</t>
  </si>
  <si>
    <t>47.04.01</t>
  </si>
  <si>
    <t>48.04.01</t>
  </si>
  <si>
    <t>49.04.01</t>
  </si>
  <si>
    <t>49.04.02</t>
  </si>
  <si>
    <t>49.04.03</t>
  </si>
  <si>
    <t>50.04.01</t>
  </si>
  <si>
    <t>50.04.02</t>
  </si>
  <si>
    <t>50.04.03</t>
  </si>
  <si>
    <t>50.04.04</t>
  </si>
  <si>
    <t>51.04.01</t>
  </si>
  <si>
    <t>51.04.02</t>
  </si>
  <si>
    <t>51.04.03</t>
  </si>
  <si>
    <t>51.04.04</t>
  </si>
  <si>
    <t>51.04.05</t>
  </si>
  <si>
    <t>51.04.06</t>
  </si>
  <si>
    <t>51.05.01</t>
  </si>
  <si>
    <t>52.04.01</t>
  </si>
  <si>
    <t>52.04.02</t>
  </si>
  <si>
    <t>52.04.03</t>
  </si>
  <si>
    <t>52.05.01</t>
  </si>
  <si>
    <t>52.05.02</t>
  </si>
  <si>
    <t>52.05.03</t>
  </si>
  <si>
    <t>52.05.04</t>
  </si>
  <si>
    <t>53.04.01</t>
  </si>
  <si>
    <t>53.04.02</t>
  </si>
  <si>
    <t>53.04.03</t>
  </si>
  <si>
    <t>53.04.04</t>
  </si>
  <si>
    <t>53.04.05</t>
  </si>
  <si>
    <t>53.04.06</t>
  </si>
  <si>
    <t>53.05.01</t>
  </si>
  <si>
    <t>53.05.02</t>
  </si>
  <si>
    <t>53.05.03</t>
  </si>
  <si>
    <t>53.05.04</t>
  </si>
  <si>
    <t>53.05.05</t>
  </si>
  <si>
    <t>53.05.06</t>
  </si>
  <si>
    <t>53.05.07</t>
  </si>
  <si>
    <t>54.04.01</t>
  </si>
  <si>
    <t>54.04.02</t>
  </si>
  <si>
    <t>54.04.03</t>
  </si>
  <si>
    <t>54.04.04</t>
  </si>
  <si>
    <t>54.05.01</t>
  </si>
  <si>
    <t>54.05.02</t>
  </si>
  <si>
    <t>54.05.03</t>
  </si>
  <si>
    <t>54.05.04</t>
  </si>
  <si>
    <t>54.05.05</t>
  </si>
  <si>
    <t>55.05.01</t>
  </si>
  <si>
    <t>55.05.02</t>
  </si>
  <si>
    <t>55.05.03</t>
  </si>
  <si>
    <t>55.05.04</t>
  </si>
  <si>
    <t>55.05.05</t>
  </si>
  <si>
    <t>56.05.02</t>
  </si>
  <si>
    <t>56.05.05</t>
  </si>
  <si>
    <t>05.02.01</t>
  </si>
  <si>
    <t>05.02.02</t>
  </si>
  <si>
    <t>05.02.03</t>
  </si>
  <si>
    <t>07.02.01</t>
  </si>
  <si>
    <t>08.02.01</t>
  </si>
  <si>
    <t>08.02.02</t>
  </si>
  <si>
    <t>08.02.03</t>
  </si>
  <si>
    <t>08.02.04</t>
  </si>
  <si>
    <t>08.02.05</t>
  </si>
  <si>
    <t>08.02.06</t>
  </si>
  <si>
    <t>08.02.07</t>
  </si>
  <si>
    <t>08.02.08</t>
  </si>
  <si>
    <t>08.02.09</t>
  </si>
  <si>
    <t>08.02.10</t>
  </si>
  <si>
    <t>09.02.01</t>
  </si>
  <si>
    <t>09.02.02</t>
  </si>
  <si>
    <t>09.02.03</t>
  </si>
  <si>
    <t>09.02.04</t>
  </si>
  <si>
    <t>09.02.05</t>
  </si>
  <si>
    <t>10.02.01</t>
  </si>
  <si>
    <t>10.02.02</t>
  </si>
  <si>
    <t>10.02.03</t>
  </si>
  <si>
    <t>11.02.01</t>
  </si>
  <si>
    <t>11.02.02</t>
  </si>
  <si>
    <t>11.02.03</t>
  </si>
  <si>
    <t>11.02.04</t>
  </si>
  <si>
    <t>11.02.05</t>
  </si>
  <si>
    <t>11.02.06</t>
  </si>
  <si>
    <t>11.02.07</t>
  </si>
  <si>
    <t>11.02.08</t>
  </si>
  <si>
    <t>11.02.09</t>
  </si>
  <si>
    <t>11.02.10</t>
  </si>
  <si>
    <t>11.02.11</t>
  </si>
  <si>
    <t>11.02.12</t>
  </si>
  <si>
    <t>11.02.13</t>
  </si>
  <si>
    <t>11.02.14</t>
  </si>
  <si>
    <t>12.02.01</t>
  </si>
  <si>
    <t>12.02.02</t>
  </si>
  <si>
    <t>12.02.03</t>
  </si>
  <si>
    <t>12.02.04</t>
  </si>
  <si>
    <t>12.02.05</t>
  </si>
  <si>
    <t>12.02.06</t>
  </si>
  <si>
    <t>12.02.07</t>
  </si>
  <si>
    <t>12.02.08</t>
  </si>
  <si>
    <t>13.02.01</t>
  </si>
  <si>
    <t>13.02.02</t>
  </si>
  <si>
    <t>13.02.03</t>
  </si>
  <si>
    <t>13.02.04</t>
  </si>
  <si>
    <t>13.02.05</t>
  </si>
  <si>
    <t>13.02.06</t>
  </si>
  <si>
    <t>13.02.07</t>
  </si>
  <si>
    <t>13.02.08</t>
  </si>
  <si>
    <t>13.02.09</t>
  </si>
  <si>
    <t>13.02.10</t>
  </si>
  <si>
    <t>13.02.11</t>
  </si>
  <si>
    <t>14.02.01</t>
  </si>
  <si>
    <t>14.02.02</t>
  </si>
  <si>
    <t>14.02.03</t>
  </si>
  <si>
    <t>15.02.01</t>
  </si>
  <si>
    <t>15.02.02</t>
  </si>
  <si>
    <t>15.02.03</t>
  </si>
  <si>
    <t>15.02.04</t>
  </si>
  <si>
    <t>15.02.05</t>
  </si>
  <si>
    <t>15.02.06</t>
  </si>
  <si>
    <t>15.02.07</t>
  </si>
  <si>
    <t>15.02.08</t>
  </si>
  <si>
    <t>18.02.01</t>
  </si>
  <si>
    <t>18.02.02</t>
  </si>
  <si>
    <t>18.02.03</t>
  </si>
  <si>
    <t>18.02.04</t>
  </si>
  <si>
    <t>18.02.05</t>
  </si>
  <si>
    <t>18.02.06</t>
  </si>
  <si>
    <t>18.02.07</t>
  </si>
  <si>
    <t>18.02.08</t>
  </si>
  <si>
    <t>18.02.09</t>
  </si>
  <si>
    <t>18.02.10</t>
  </si>
  <si>
    <t>18.02.11</t>
  </si>
  <si>
    <t>19.02.01</t>
  </si>
  <si>
    <t>19.02.02</t>
  </si>
  <si>
    <t>19.02.03</t>
  </si>
  <si>
    <t>19.02.04</t>
  </si>
  <si>
    <t>19.02.05</t>
  </si>
  <si>
    <t>19.02.06</t>
  </si>
  <si>
    <t>19.02.07</t>
  </si>
  <si>
    <t>19.02.08</t>
  </si>
  <si>
    <t>19.02.09</t>
  </si>
  <si>
    <t>19.02.10</t>
  </si>
  <si>
    <t>20.02.01</t>
  </si>
  <si>
    <t>20.02.02</t>
  </si>
  <si>
    <t>20.02.03</t>
  </si>
  <si>
    <t>20.02.04</t>
  </si>
  <si>
    <t>21.02.01</t>
  </si>
  <si>
    <t>21.02.02</t>
  </si>
  <si>
    <t>21.02.03</t>
  </si>
  <si>
    <t>21.02.04</t>
  </si>
  <si>
    <t>21.02.05</t>
  </si>
  <si>
    <t>21.02.06</t>
  </si>
  <si>
    <t>21.02.07</t>
  </si>
  <si>
    <t>21.02.08</t>
  </si>
  <si>
    <t>21.02.09</t>
  </si>
  <si>
    <t>21.02.10</t>
  </si>
  <si>
    <t>21.02.11</t>
  </si>
  <si>
    <t>21.02.12</t>
  </si>
  <si>
    <t>21.02.13</t>
  </si>
  <si>
    <t>21.02.14</t>
  </si>
  <si>
    <t>21.02.15</t>
  </si>
  <si>
    <t>21.02.16</t>
  </si>
  <si>
    <t>21.02.17</t>
  </si>
  <si>
    <t>21.02.18</t>
  </si>
  <si>
    <t>22.02.01</t>
  </si>
  <si>
    <t>22.02.02</t>
  </si>
  <si>
    <t>22.02.03</t>
  </si>
  <si>
    <t>22.02.04</t>
  </si>
  <si>
    <t>22.02.05</t>
  </si>
  <si>
    <t>22.02.06</t>
  </si>
  <si>
    <t>22.02.07</t>
  </si>
  <si>
    <t>23.02.01</t>
  </si>
  <si>
    <t>23.02.02</t>
  </si>
  <si>
    <t>23.02.03</t>
  </si>
  <si>
    <t>23.02.04</t>
  </si>
  <si>
    <t>23.02.05</t>
  </si>
  <si>
    <t>23.02.06</t>
  </si>
  <si>
    <t>24.02.01</t>
  </si>
  <si>
    <t>24.02.02</t>
  </si>
  <si>
    <t>24.02.03</t>
  </si>
  <si>
    <t>25.02.01</t>
  </si>
  <si>
    <t>25.02.02</t>
  </si>
  <si>
    <t>25.02.03</t>
  </si>
  <si>
    <t>25.02.04</t>
  </si>
  <si>
    <t>25.02.05</t>
  </si>
  <si>
    <t>26.02.01</t>
  </si>
  <si>
    <t>26.02.02</t>
  </si>
  <si>
    <t>26.02.03</t>
  </si>
  <si>
    <t>26.02.04</t>
  </si>
  <si>
    <t>26.02.05</t>
  </si>
  <si>
    <t>26.02.06</t>
  </si>
  <si>
    <t>27.02.01</t>
  </si>
  <si>
    <t>27.02.02</t>
  </si>
  <si>
    <t>27.02.03</t>
  </si>
  <si>
    <t>27.02.04</t>
  </si>
  <si>
    <t>27.02.05</t>
  </si>
  <si>
    <t>29.02.04</t>
  </si>
  <si>
    <t>29.02.08</t>
  </si>
  <si>
    <t>01.06.01</t>
  </si>
  <si>
    <t>02.06.01</t>
  </si>
  <si>
    <t>03.06.01</t>
  </si>
  <si>
    <t>04.06.01</t>
  </si>
  <si>
    <t>05.06.01</t>
  </si>
  <si>
    <t>06.06.01</t>
  </si>
  <si>
    <t>07.06.01</t>
  </si>
  <si>
    <t>08.06.01</t>
  </si>
  <si>
    <t>09.06.01</t>
  </si>
  <si>
    <t>10.06.01</t>
  </si>
  <si>
    <t>11.06.01</t>
  </si>
  <si>
    <t>12.06.01</t>
  </si>
  <si>
    <t>13.06.01</t>
  </si>
  <si>
    <t>14.06.01</t>
  </si>
  <si>
    <t>15.06.01</t>
  </si>
  <si>
    <t>16.06.01</t>
  </si>
  <si>
    <t>18.06.01</t>
  </si>
  <si>
    <t>19.06.01</t>
  </si>
  <si>
    <t>20.06.01</t>
  </si>
  <si>
    <t>21.06.01</t>
  </si>
  <si>
    <t>21.06.02</t>
  </si>
  <si>
    <t>22.06.01</t>
  </si>
  <si>
    <t>23.06.01</t>
  </si>
  <si>
    <t>24.06.01</t>
  </si>
  <si>
    <t>25.06.01</t>
  </si>
  <si>
    <t>26.06.01</t>
  </si>
  <si>
    <t>27.06.01</t>
  </si>
  <si>
    <t>28.06.01</t>
  </si>
  <si>
    <t>29.06.01</t>
  </si>
  <si>
    <t>30.06.01</t>
  </si>
  <si>
    <t>31.06.01</t>
  </si>
  <si>
    <t>32.06.01</t>
  </si>
  <si>
    <t>33.06.01</t>
  </si>
  <si>
    <t>35.06.01</t>
  </si>
  <si>
    <t>35.06.02</t>
  </si>
  <si>
    <t>35.06.03</t>
  </si>
  <si>
    <t>35.06.04</t>
  </si>
  <si>
    <t>36.06.01</t>
  </si>
  <si>
    <t>37.06.01</t>
  </si>
  <si>
    <t>38.06.01</t>
  </si>
  <si>
    <t>39.06.01</t>
  </si>
  <si>
    <t>40.06.01</t>
  </si>
  <si>
    <t>41.06.01</t>
  </si>
  <si>
    <t>42.06.01</t>
  </si>
  <si>
    <t>44.06.01</t>
  </si>
  <si>
    <t>45.06.01</t>
  </si>
  <si>
    <t>46.06.01</t>
  </si>
  <si>
    <t>47.06.01</t>
  </si>
  <si>
    <t>48.06.01</t>
  </si>
  <si>
    <t>49.06.01</t>
  </si>
  <si>
    <t>50.06.01</t>
  </si>
  <si>
    <t>51.06.01</t>
  </si>
  <si>
    <t>кол-во часов, ак. час.</t>
  </si>
  <si>
    <t>На всех курсах, чел.</t>
  </si>
  <si>
    <t>Последовательность заполнения форм по каждому из предприятий/филиалов должна быть идентичная во всех формах, т.е. если в форме 3-к данные по филиалу "123" заносятся в столбец №4, а по филиалу "456" в столбец №5</t>
  </si>
  <si>
    <t>то и в формах 4-к, 5-к, 10-к и т.д. данные по филиалу "123" заносятся в столбец №4, а по филиалу "456" в столбец №5</t>
  </si>
  <si>
    <t>Сведения по организации работы базовых кафедр (отраслевых факультетов, филиалов базовых кафедр) предприятий ОПК</t>
  </si>
  <si>
    <t>Структурное подразделение ОУ, реализующее углубленную подготовку по образовательным программам, разработанным с учетом специфики базового предприятия. Руководитель кафедры и большинство ППС являются работниками базового предприятия</t>
  </si>
  <si>
    <t xml:space="preserve">Базовая кафедра (отраслевой факультет, филиал базовой кафедры) </t>
  </si>
  <si>
    <t>Справочники учебных заведений и кодов подготовки, используемых в формах 13-к, 14-к и 15-к ведутся в листе "УЗиНП" и будут обновляться централизовано в процессе выхода изменений от Минобрнауки</t>
  </si>
  <si>
    <t>Данные "Итого" по категориям работников в формах 1-к и 2-к должны совпадать. В случае несовпадения здесь высветится сообщение об ошибке и сообщение о том, что данные совпадают в обратном случае:</t>
  </si>
  <si>
    <t>Средний стаж работников на предприятии, находящихся в кадровом резерве.</t>
  </si>
  <si>
    <t>Отчет о ходе реализации государственного плана  подготовки кадров со средним профессиональным и высшим образованием организаций оборонно-промышленного комплекса по образовательным программам СПО и ВО</t>
  </si>
  <si>
    <t>Количество выпускников ОУ в отчетном периоде из числа поступивших по квоте целевого приема в предыдущие годы, чел.</t>
  </si>
  <si>
    <t>2.1.</t>
  </si>
  <si>
    <t>Из стр.3 и 6 по результатам оценки в отношении сотрудников оформлены следующие рекомендации:</t>
  </si>
  <si>
    <t>Из стр.3 и 6 оценка проведена следующими методами:</t>
  </si>
  <si>
    <t>Из стр.3 и 6 оценка проведена следующими ресурсами:</t>
  </si>
  <si>
    <t>Из стр. 19 перечислить принятые рекомендации</t>
  </si>
  <si>
    <t>Из стр.3 прошли обучение по следующим программам:</t>
  </si>
  <si>
    <t>Из стр.3 прошли обучение в следующей форме:</t>
  </si>
  <si>
    <t>Из стр.3 проведено обучение следующими поставщиками услуг:</t>
  </si>
  <si>
    <t>Из стр.21 прошли обучение по категориям:</t>
  </si>
  <si>
    <t>Из стр.33 прошли обучение по следующим долгосрочным программам:</t>
  </si>
  <si>
    <t>Из стр.3 руководителей, чел.</t>
  </si>
  <si>
    <t>Из стр.3 специалистов, чел.</t>
  </si>
  <si>
    <t>Из стр.3 рабочих, чел.</t>
  </si>
  <si>
    <t>Из стр.3 служащих, чел.</t>
  </si>
  <si>
    <t>Отраслевой факультет</t>
  </si>
  <si>
    <t>Совокупность базовых кафедр</t>
  </si>
  <si>
    <t>Степень развитости компетенций от эталонного уровня, определяемая оценочными процедурами.</t>
  </si>
  <si>
    <t>Научно исследовательские и опытно-конструкторские работы.</t>
  </si>
  <si>
    <t>Выплаты, включенные в строку № 66</t>
  </si>
  <si>
    <t>Численность уволенных работников по всем основаниям ТК РФ за отчетный период</t>
  </si>
  <si>
    <t>Численность уволенных работников по всем основаниям ТК РФ за отчетный период, деленная на среднесписочную численность персонала за отчетный период.</t>
  </si>
  <si>
    <t>Сведения об образовании в разрезе категорий персонала</t>
  </si>
  <si>
    <t>Показатель рассчитывается в соответствии с Приказом Росстата от 28.10.2013 № 428</t>
  </si>
  <si>
    <t>Только работники, имеющие право на трудовую пенсию по старости, т.е. мужчины, достигшие возраста 60 лет, и женщины, достигшие возраста 55 лет.</t>
  </si>
  <si>
    <t>Из стр.68 - расходы на профориентационные мероприятия</t>
  </si>
  <si>
    <t>15 апр, 31 июл, 15 окт и 31 янв</t>
  </si>
  <si>
    <t>До 15 апр, 31 июл, 15 окт и 31 янв</t>
  </si>
  <si>
    <t>Из стр. 17-31 работников пенсионного возраста имеющих:</t>
  </si>
  <si>
    <t>От 5 до 10 лет, чел.</t>
  </si>
  <si>
    <t>От 10 до 20 лет, чел.</t>
  </si>
  <si>
    <t>Работников, награжденных любыми наградами, включая ведомственные награды, награды субъектов Российской Федерации, награды предприятия, территориальных образований и предприятий и т.д., чел.</t>
  </si>
  <si>
    <t>Руководящий состав</t>
  </si>
  <si>
    <t>В контексте данной отчетности - руководители предприятий и филиалов, их заместители, руководители прямого подчинения руководителю предприятия, главный бухгалтер, главный инженер, руководители кадрового подразделения, подразделения ответственного за труд и заработную плату, подразделения ответственного за социальную работу.</t>
  </si>
  <si>
    <t>Расходы на обучение персонала в % от ФОТ</t>
  </si>
  <si>
    <t>Фонд заработной платы (ФОТ)</t>
  </si>
  <si>
    <t>Расходы на оценку персонала в % от ФОТ</t>
  </si>
  <si>
    <t>Поступивших на работу непосредственно после окончания образовательной организации высшего образования в течение последних 5 лет, чел.</t>
  </si>
  <si>
    <t>Из числа поступивших на работу непосредственно после окончания образовательной организации высшего образования в течение последних 5 лет, проработали в организации, чел.</t>
  </si>
  <si>
    <t>Менее года, чел.</t>
  </si>
  <si>
    <t>От года до 2 лет, чел.</t>
  </si>
  <si>
    <t>От 2 до 3 лет, чел.</t>
  </si>
  <si>
    <t>Работают по настоящее время, чел.</t>
  </si>
  <si>
    <t>Из числа поступивших на работу за последние 5 лет уволено в связи призывом в ряды ВС РФ, чел.</t>
  </si>
  <si>
    <t>Из числа призванных в ряды ВС РФ работников за последние 5 лет вернулись на предприятие, чел.</t>
  </si>
  <si>
    <t>Поступивших на работу непосредственно после окончания средней профессиональной образовательной организации в течение последних 5 лет, чел.</t>
  </si>
  <si>
    <t>Из числа поступивших на работу непосредственно после окончания средней профессиональной образовательной организации в течение последних 5 лет, проработали в организации, чел.</t>
  </si>
  <si>
    <t>Образовательная организация</t>
  </si>
  <si>
    <t>Наименование образовательной организации (ОУ)</t>
  </si>
  <si>
    <t>Стажер</t>
  </si>
  <si>
    <t>Практикант</t>
  </si>
  <si>
    <t>Учащиеся средних и высших ОУ, получающие практический навык работы на предприятиях в рамках программы обучения.</t>
  </si>
  <si>
    <t>ИТР</t>
  </si>
  <si>
    <t>Работники, ППС, получающие навык работы или получающие общее представление о характере работы в рамках программы повышения квалификации/переподготовки или введения в должность на предприятии и/или в цеху, отделе и т.д.</t>
  </si>
  <si>
    <t>Среднее профессиональное образование.</t>
  </si>
  <si>
    <t>Внедрение единых принципов материальной мотивации и политики оплаты труда в организациях РКП, входящих в состав  ОАО «ОРКК», включая систему материального стимулирования топ-менеджеров на основе ключевого показателя эффективности (КПЭ)</t>
  </si>
  <si>
    <t>переподготовка (свыше 250 час.), чел.</t>
  </si>
  <si>
    <t>Обязательное обучение</t>
  </si>
  <si>
    <t>Обучение, необходимое для допуска к выполнению работ, например, охране труда и технике безопасности, обучение, связанное с допуском по электробезопасности, допуском к работе с сосудами под давлением и т.д.</t>
  </si>
  <si>
    <t>6 год обучения, чел.</t>
  </si>
  <si>
    <t>Фактическая численность ППС базовой кафедры по состоянию на 30 сентября, из них:</t>
  </si>
  <si>
    <t>Итого численность ППС базовой кафедры по состоянию на 30 сентября, чел.</t>
  </si>
  <si>
    <t>6-й год обучения</t>
  </si>
  <si>
    <t>Федеральные программы обучения</t>
  </si>
  <si>
    <t>Долгосрочна программа обучения</t>
  </si>
  <si>
    <t>первое высшее образование, чел.</t>
  </si>
  <si>
    <t>магистратура, чел.</t>
  </si>
  <si>
    <t>Программы обучения и/или повышения квалификации, утвержденные на федеральном уровне, например, президентская программа подготовки управленческих кадров, президентская программа повышения квалификации инженерных кадров и т.д.</t>
  </si>
  <si>
    <t>Программа обучения / переподготовки, длительностью свыше 250 часов.</t>
  </si>
  <si>
    <t>Общее количество вернувшихся на предприятие из числа призванных в ряды ВС РФ работников за последние 5 лет, чел.</t>
  </si>
  <si>
    <t>Отчетный период по форме - с 01.11. по 30.10</t>
  </si>
  <si>
    <t>до 15 нояб</t>
  </si>
  <si>
    <t>4. Предприятия, входящие в интегрированные структуры, представляют отчетность в головные структуры, а те, в свою очередь, представляют отчеты по всем предприятиям, входящим в интегрированную структуру.</t>
  </si>
  <si>
    <t>3. В случае если у предприятия (учреждения) существует несколько филиалов в одном населенном пункте, информация представляется консолидировано по всем филиалам, находящимся в данном населенном пункте. Такому "филиалу" дается обобщенное географическое</t>
  </si>
  <si>
    <t>Предприятие/Филиал:</t>
  </si>
  <si>
    <t>Филиал</t>
  </si>
  <si>
    <t>Порядок заполнения форм по предприятиям/филиалам</t>
  </si>
  <si>
    <t>1. Каждое предприятие (учреждение) - юридическое лицо, заполняет  формы отчетности по своему предприятию.</t>
  </si>
  <si>
    <t>2. В случае наличия у предприятия (учреждения) филиалов, отчетность представляется по каждому филиалу и головному предприятию (офису) отдельно. Суммирование данных не производится за исключением случаев, описанных ниже.</t>
  </si>
  <si>
    <t>Всего работников в возрасте до 29 лет, чел.</t>
  </si>
  <si>
    <t>Всего работников со стажем до 3 лет, чел.</t>
  </si>
  <si>
    <t>Всего руководителей, чел.</t>
  </si>
  <si>
    <t>Всего специалистов, чел.</t>
  </si>
  <si>
    <t>Всего рабочих, чел.</t>
  </si>
  <si>
    <t>Всего служащих, чел.</t>
  </si>
  <si>
    <t>Численность работников на последнюю дату периода, предшествующего отчетному, чел.</t>
  </si>
  <si>
    <t>Всего руководителей, %%</t>
  </si>
  <si>
    <t>Всего специалистов, %%</t>
  </si>
  <si>
    <t>Всего рабочих, %%</t>
  </si>
  <si>
    <t>Всего служащих, %%</t>
  </si>
  <si>
    <t>Всего работников в возрасте до 29 лет, %%</t>
  </si>
  <si>
    <t>Всего работников со стажем до 3 лет, %%</t>
  </si>
  <si>
    <r>
      <rPr>
        <b/>
        <u/>
        <sz val="11"/>
        <color theme="1"/>
        <rFont val="Calibri"/>
        <family val="2"/>
        <charset val="204"/>
        <scheme val="minor"/>
      </rPr>
      <t>Пример к пп.1 и 2</t>
    </r>
    <r>
      <rPr>
        <sz val="11"/>
        <color theme="1"/>
        <rFont val="Calibri"/>
        <family val="2"/>
        <charset val="204"/>
        <scheme val="minor"/>
      </rPr>
      <t xml:space="preserve"> -ФГУП НПЦАП им. Н.А. Пилюгина представляет информацию:
* отдельно по Московской площадке (предприятие)
* отдельно по заводу "Звезда" (филиал)
* отдельно по "Сосенскому приборостроительному заводу" 
* отдельно по "ПО Корпус". 
Суммирования данных не производится.</t>
    </r>
  </si>
  <si>
    <r>
      <rPr>
        <b/>
        <u/>
        <sz val="11"/>
        <rFont val="Calibri"/>
        <family val="2"/>
        <charset val="204"/>
        <scheme val="minor"/>
      </rPr>
      <t>Исключения</t>
    </r>
    <r>
      <rPr>
        <sz val="11"/>
        <color theme="1"/>
        <rFont val="Calibri"/>
        <family val="2"/>
        <charset val="204"/>
        <scheme val="minor"/>
      </rPr>
      <t xml:space="preserve"> - Форма 6-к заполняется в целом по всем должностям предприятия, включая филиалы. Форма 9-к заполняется в целом по предприятию, включая филиалы.</t>
    </r>
  </si>
  <si>
    <r>
      <rPr>
        <b/>
        <u/>
        <sz val="11"/>
        <color theme="1"/>
        <rFont val="Calibri"/>
        <family val="2"/>
        <charset val="204"/>
        <scheme val="minor"/>
      </rPr>
      <t>Пример к п.4 на примере ОАО "РКС"</t>
    </r>
    <r>
      <rPr>
        <sz val="11"/>
        <color theme="1"/>
        <rFont val="Calibri"/>
        <family val="2"/>
        <charset val="204"/>
        <scheme val="minor"/>
      </rPr>
      <t xml:space="preserve"> - НИИТП, ОКБ МЭИ, НПО ИТ, НИИФИ и НПО Орион (все дочки) представляют информацию в головное предприятие ОАО "РКС". ОАО "РКС", в свою очередь, представляет информацию по НИИТП, ОКБ МЭИ, НПО ИТ, НИИФИ и НПО Орион а также по самому ОАО "РКС". Информация представляется отдельно по каждому из предприятий с их филиалами, консолидация не производится.</t>
    </r>
  </si>
  <si>
    <t>5. В случае предоставления отдельных форм (6-к, 7-к) в рамках квартальной, полугодовой отчетности, представляется весь пакет форм, в котором заполняются только необходимые формы, остальные формы остаются пустыми.</t>
  </si>
  <si>
    <t>ОКСО</t>
  </si>
  <si>
    <t>перечни 1136, 337</t>
  </si>
  <si>
    <t>перечень 1061</t>
  </si>
  <si>
    <t>код и направление подготовки</t>
  </si>
  <si>
    <t>УГСН</t>
  </si>
  <si>
    <t>010100 Математика (бакалавриат)</t>
  </si>
  <si>
    <t>010000 Физико-математические науки</t>
  </si>
  <si>
    <t>01.03.01 Математика (бакалавриат)</t>
  </si>
  <si>
    <t>01.00.00 Математика и механика</t>
  </si>
  <si>
    <t>010101 Математика (специалитет)</t>
  </si>
  <si>
    <t>010200 Математика. Прикладная математика (бакалавриат)</t>
  </si>
  <si>
    <t>010200 Математика и компьютерные науки (бакалавриат)</t>
  </si>
  <si>
    <t>02.03.01 Математика и компьютерные науки (бакалавриат)</t>
  </si>
  <si>
    <t>02.00.00 Компьютерные и информационные науки</t>
  </si>
  <si>
    <t>010300 Математика. Компьютерные науки (бакалавриат)</t>
  </si>
  <si>
    <t>010400 Информационные технологии (бакалавриат)</t>
  </si>
  <si>
    <t>010300 Фундаментальные информатика и информационные технологии (бакалавриат)</t>
  </si>
  <si>
    <t>02.03.02 Фундаментальная информатика и информационные технологии (бакалавриат)</t>
  </si>
  <si>
    <t>010500 Прикладная математика и информатика (бакалавриат)</t>
  </si>
  <si>
    <t>010400 Прикладная математика и информатика (бакалавриат)</t>
  </si>
  <si>
    <t>01.03.02 Прикладная математика и информатика (бакалавриат)</t>
  </si>
  <si>
    <t>010501 Прикладная математика и информатика (специалитет)</t>
  </si>
  <si>
    <t>010503 Математическое обеспечение и администрирование информационных систем (специалитет)</t>
  </si>
  <si>
    <t>010500 Математическое обеспечение и администрирование информационных систем (бакалавриат)</t>
  </si>
  <si>
    <t>02.03.03 Математическое обеспечение и администрирование информационных систем (бакалавриат)</t>
  </si>
  <si>
    <t>010600 Прикладные математики и физика (бакалавриат)</t>
  </si>
  <si>
    <t>010900 Прикладные математика и физика (бакалавриат)</t>
  </si>
  <si>
    <t>03.03.01 Прикладные математика и физика (бакалавриат)</t>
  </si>
  <si>
    <t>03.00.00 Физика и астрономия</t>
  </si>
  <si>
    <t>010700 Физика (бакалавриат)</t>
  </si>
  <si>
    <t>011200 Физика (бакалавриат)</t>
  </si>
  <si>
    <t>03.03.02 Физика (бакалавриат)</t>
  </si>
  <si>
    <t>010701 Физика (специалитет)</t>
  </si>
  <si>
    <t>010703 Физика Земли и планет (специалитет)</t>
  </si>
  <si>
    <t>010704 Физика конденсированного состояния вещества (специалитет)</t>
  </si>
  <si>
    <t>010705 Физика атомного ядра и частиц (специалитет)</t>
  </si>
  <si>
    <t>010706 Физика кинетических явлений (специалитет)</t>
  </si>
  <si>
    <t>010707 Медицинская физика (специалитет)</t>
  </si>
  <si>
    <t>010708 Биохимическая физика (специалитет)</t>
  </si>
  <si>
    <t>010710 Физика открытых нелинейных систем (специалитет)</t>
  </si>
  <si>
    <t>010800 Радиофизика (бакалавриат)</t>
  </si>
  <si>
    <t>011800 Радиофизика (бакалавриат)</t>
  </si>
  <si>
    <t>03.03.03 Радиофизика (бакалавриат)</t>
  </si>
  <si>
    <t>010801 Радиофизика и электроника (специалитет)</t>
  </si>
  <si>
    <t>010802 Фундаментальная радиофизика и физическая электроника (специалитет)</t>
  </si>
  <si>
    <t>010803 Микроэлектроника и полупроводниковые приборы (специалитет)</t>
  </si>
  <si>
    <t>010900 Механика (бакалавриат)</t>
  </si>
  <si>
    <t>010800 Механика и математическое моделирование (бакалавриат)</t>
  </si>
  <si>
    <t>01.03.03 Механика и математическое моделирование (бакалавриат)</t>
  </si>
  <si>
    <t>010901 Механика (специалитет)</t>
  </si>
  <si>
    <t>011000 Механика. Прикладная математика (бакалавриат)</t>
  </si>
  <si>
    <t>020100 Химия (бакалавриат)</t>
  </si>
  <si>
    <t>020000 Естественные науки</t>
  </si>
  <si>
    <t>04.03.01 Химия (бакалавриат)</t>
  </si>
  <si>
    <t>04.00.00 Химия</t>
  </si>
  <si>
    <t>020101 Химия (специалитет)</t>
  </si>
  <si>
    <t>020200 Биология (бакалавриат)</t>
  </si>
  <si>
    <t>020400 Биология (бакалавриат)</t>
  </si>
  <si>
    <t>06.03.01 Биология (бакалавриат)</t>
  </si>
  <si>
    <t>06.00.00 Биологические науки</t>
  </si>
  <si>
    <t>020201 Биология (специалитет)</t>
  </si>
  <si>
    <t>020202 Антропология (специалитет)</t>
  </si>
  <si>
    <t>020203 Зоология (специалитет)</t>
  </si>
  <si>
    <t>020204 Ботаника (специалитет)</t>
  </si>
  <si>
    <t>020205 Физиология (специалитет)</t>
  </si>
  <si>
    <t>020000 естественные науки</t>
  </si>
  <si>
    <t>020206 Генетика (специалитет)</t>
  </si>
  <si>
    <t>020207 Биофизика (специалитет)</t>
  </si>
  <si>
    <t>020208 Биохимия (специалитет)</t>
  </si>
  <si>
    <t>020209 Микробиология (специалитет)</t>
  </si>
  <si>
    <t>020300 Геология (бакалавриат)</t>
  </si>
  <si>
    <t>020700 Геология (бакалавриат)</t>
  </si>
  <si>
    <t>05.03.01 Геология (бакалавриат)</t>
  </si>
  <si>
    <t>05.00.00 Науки о Земле</t>
  </si>
  <si>
    <t>020301 Геология (специалитет)</t>
  </si>
  <si>
    <t>020302 Геофизика (специалитет)</t>
  </si>
  <si>
    <t>020303 Геохимия (специалитет)</t>
  </si>
  <si>
    <t>020304 Гидрогеология и инженерная геология (специалитет)</t>
  </si>
  <si>
    <t>020305 Геология и геохимия горючих ископаемых (специалитет)</t>
  </si>
  <si>
    <t>020306 Экологическая геология (специалитет)</t>
  </si>
  <si>
    <t>020400 География (бакалавриат)</t>
  </si>
  <si>
    <t>021000 География (бакалавриат)</t>
  </si>
  <si>
    <t>05.03.02 География (бакалавриат)</t>
  </si>
  <si>
    <t>020401 География (специалитет)</t>
  </si>
  <si>
    <t>020500 География и картография (бакалавриат)</t>
  </si>
  <si>
    <t>021300 Картография и геоинформатика (бакалавриат)</t>
  </si>
  <si>
    <t>05.03.03 Картография и геоинформатика (бакалавриат)</t>
  </si>
  <si>
    <t>020501 Картография (специалитет)</t>
  </si>
  <si>
    <t>020600 Гидрометеорология (бакалавриат)</t>
  </si>
  <si>
    <t>021600 Гидрометеорология (бакалавриат)</t>
  </si>
  <si>
    <t>05.03.04 Гидрометеорология (бакалавриат)</t>
  </si>
  <si>
    <t>280400 Прикладная гидрометеорология (бакалавриат)</t>
  </si>
  <si>
    <t>280000 Безопасность жизнедеятельности, природообустройство и защита окружающей среды</t>
  </si>
  <si>
    <t>05.03.05 Прикладная гидрометеорология (бакалавриат)</t>
  </si>
  <si>
    <t>020601 Гидрология (специалитет)</t>
  </si>
  <si>
    <t>020602 Метеорология (специалист)</t>
  </si>
  <si>
    <t>020602 Метеорология (специалитет)</t>
  </si>
  <si>
    <t>020603 Океанология (специалитет)</t>
  </si>
  <si>
    <t>020700 Почвоведение (бакалавриат)</t>
  </si>
  <si>
    <t>021900 Почвоведение (бакалавриат)</t>
  </si>
  <si>
    <t>06.03.02 Почвоведение (бакалавриат)</t>
  </si>
  <si>
    <t>020701 Почвоведение (специалитет)</t>
  </si>
  <si>
    <t>020800 Экология и природопользование (бакалавриат)</t>
  </si>
  <si>
    <t>022000 Экология и природопользование (бакалавриат)</t>
  </si>
  <si>
    <t>05.03.06 Экология и природопользование (бакалавриат)</t>
  </si>
  <si>
    <t>020801 Экология (специалитет)</t>
  </si>
  <si>
    <t>020802 Природопользование (специалитет)</t>
  </si>
  <si>
    <t>020803 Биология (специалитет)</t>
  </si>
  <si>
    <t>020804 Геоэкология (специалитет)</t>
  </si>
  <si>
    <t>020900 Химия, физика и механика материалов (бакалавриат)</t>
  </si>
  <si>
    <t>020300 Химия, физика и механика материалов (бакалавриат)</t>
  </si>
  <si>
    <t>04.03.02 Химия, физика и механика материалов (бакалавриат)</t>
  </si>
  <si>
    <t>030100 Философия (бакалавриат)</t>
  </si>
  <si>
    <t>030000 Гуманитарные науки</t>
  </si>
  <si>
    <t>47.03.01 Философия (бакалавриат)</t>
  </si>
  <si>
    <t>47.00.00 Философия, этика и религиоведение</t>
  </si>
  <si>
    <t>030101 Философия (специалитет)</t>
  </si>
  <si>
    <t>030200 Политология (бакалавриат)</t>
  </si>
  <si>
    <t>41.03.04 Политология (бакалавриат)</t>
  </si>
  <si>
    <t>41.00.00 Политические науки и регионоведение</t>
  </si>
  <si>
    <t>41.03.06 Публичная политика и социальные науки (бакалавриат)</t>
  </si>
  <si>
    <t>030201 Политология (специалитет)</t>
  </si>
  <si>
    <t>030300 Психология (бакалавриат)</t>
  </si>
  <si>
    <t>37.03.01 Психология (бакалавриат)</t>
  </si>
  <si>
    <t>37.00.00 Психологические науки</t>
  </si>
  <si>
    <t>030301 Психология (специалитет)</t>
  </si>
  <si>
    <t>030400 История (бакалавриат)</t>
  </si>
  <si>
    <t>030600 История (бакалавриат)</t>
  </si>
  <si>
    <t>46.03.01 История (бакалавриат)</t>
  </si>
  <si>
    <t>46.00.00 История и археология</t>
  </si>
  <si>
    <t>030401 История (специалитет)</t>
  </si>
  <si>
    <t>030402 Историко-архивоведение (специалитет)</t>
  </si>
  <si>
    <t>034700 Документоведение и архивоведение (бакалавриат)</t>
  </si>
  <si>
    <t>46.03.02 Документоведение и архивоведение (бакалавриат)</t>
  </si>
  <si>
    <t>030500 Юриспруденция (бакалавриат)</t>
  </si>
  <si>
    <t>030900 Юриспруденция (бакалавриат)</t>
  </si>
  <si>
    <t>40.03.01 Юриспруденция (бакалавриат)</t>
  </si>
  <si>
    <t>40.00.00 Юриспруденция</t>
  </si>
  <si>
    <t>030501 Юриспруденция (специалитет)</t>
  </si>
  <si>
    <t>030600 Журналистика (бакалавриат)</t>
  </si>
  <si>
    <t>031300 Журналистика (бакалавриат)</t>
  </si>
  <si>
    <t>42.03.02 Журналистика (бакалавриат)</t>
  </si>
  <si>
    <t>42.00.00 Средства массовой информации и информационно-библиотечное дело</t>
  </si>
  <si>
    <t>030601 Журналистика (специалитет)</t>
  </si>
  <si>
    <t>42.00.00 Средства массовой информации и библиотечное дело</t>
  </si>
  <si>
    <t>030602 Связи с общественностью (специалитет)</t>
  </si>
  <si>
    <t>031600 Реклама и связи с общественностью (бакалавриат)</t>
  </si>
  <si>
    <t>42.03.01 Реклама и связи с общественностью (бакалавриат)</t>
  </si>
  <si>
    <t>030700 Международные отношения (бакалавриат)</t>
  </si>
  <si>
    <t>031900 Международные отношения (бакалавриат)</t>
  </si>
  <si>
    <t>41.03.05 Международные отношения (бакалавриат)</t>
  </si>
  <si>
    <t>030701 Международные отношения (специалитет)</t>
  </si>
  <si>
    <t>030800 Востоковедение, африканистика (бакалавриат)</t>
  </si>
  <si>
    <t>032100 Востоковедение и африканистика (бакалавриат)</t>
  </si>
  <si>
    <t>41.03.03 Востоковедение и африканистика (бакалавриат)</t>
  </si>
  <si>
    <t>030801 Востоковедение, африканистика (специалитет)</t>
  </si>
  <si>
    <t>41.00.00 1 Политические науки и регионоведение</t>
  </si>
  <si>
    <t>030900 Книжное дело (бакалавриат)</t>
  </si>
  <si>
    <t>035000 Издательское дело (бакалавриат)</t>
  </si>
  <si>
    <t>42.03.03 Издательское дело (бакалавриат)</t>
  </si>
  <si>
    <t>030901 Издательское дело и редактирование (специалитет)</t>
  </si>
  <si>
    <t>030903 Книгораспространение (специалитет)</t>
  </si>
  <si>
    <t>031000 Филология (бакалавриат)</t>
  </si>
  <si>
    <t>032700 Филология (бакалавриат)</t>
  </si>
  <si>
    <t>45.03.01 Филология (бакалавриат)</t>
  </si>
  <si>
    <t>45.00.00 Языкознание и литературоведение</t>
  </si>
  <si>
    <t>031001 Филология (специалитет)</t>
  </si>
  <si>
    <t>031100 Лингвистика (бакалавриат)</t>
  </si>
  <si>
    <t>035700 Лингвистика (бакалавриат)</t>
  </si>
  <si>
    <t>45.03.02 Лингвистика (бакалавриат)</t>
  </si>
  <si>
    <t>031201 Теория и методика преподавания иностранных языков и культур (специалитет)</t>
  </si>
  <si>
    <t>031202 Перевод и переводоведение (специалитет)</t>
  </si>
  <si>
    <t>031203 Теория и практика межкультурной коммуникации (специалитет)</t>
  </si>
  <si>
    <t>031301 Теоретическая и прикладная лингвистика (специалитет)</t>
  </si>
  <si>
    <t>035800 Фундаментальная и прикладная лингвистика (бакалавриат)</t>
  </si>
  <si>
    <t>45.03.03 Фундаментальная и прикладная лингвистика (бакалавриат)</t>
  </si>
  <si>
    <t>031302 Интеллектуальные системы в гуманитарной сфере (специалитет)</t>
  </si>
  <si>
    <t>036000 Интеллектуальные системы в гуманитарной сфере (бакалавриат)</t>
  </si>
  <si>
    <t>45.03.04 Интеллектуальные системы в гуманитарной сфере (бакалавриат)</t>
  </si>
  <si>
    <t>031400 Культурология (бакалавриат)</t>
  </si>
  <si>
    <t>033000 Культурология (бакалавриат)</t>
  </si>
  <si>
    <t>51.03.01 Культурология (бакалавриат)</t>
  </si>
  <si>
    <t>51.00.00 Культуроведение и социокультурные проекты</t>
  </si>
  <si>
    <t>031401 Культурология (специалитет)</t>
  </si>
  <si>
    <t>031500 Искусствоведение (по видам) (бакалавриат)</t>
  </si>
  <si>
    <t>035300 Искусства и гуманитарные науки (бакалавриат)</t>
  </si>
  <si>
    <t>50.03.01 Искусства и гуманитарные науки (бакалавриат)</t>
  </si>
  <si>
    <t>50.00.00 Искусствознание</t>
  </si>
  <si>
    <t>035400 История искусств (бакалавриат)</t>
  </si>
  <si>
    <t>50.03.03 История искусств (бакалавриат)</t>
  </si>
  <si>
    <t>031501 Искусствоведение (специалитет)</t>
  </si>
  <si>
    <t>031502 Музеология (специалитет)</t>
  </si>
  <si>
    <t>072300 Музеология и охрана объектов культурного и природного наследия (бакалавриат)</t>
  </si>
  <si>
    <t>070000 Культура и искусство</t>
  </si>
  <si>
    <t>51.03.04 Музеология и охрана объектов культурного и природного наследия (бакалавриат)</t>
  </si>
  <si>
    <t>031600 Искусства и гуманитарные науки (бакалавриат)</t>
  </si>
  <si>
    <t>073900 Теория и история искусств (бакалавриат)</t>
  </si>
  <si>
    <t>50.03.04 Теория и история искусств (бакалавриат)</t>
  </si>
  <si>
    <t>071200 Хореографическое искусство (бакалавриат)</t>
  </si>
  <si>
    <t>52.03.01 Хореографическое искусство (бакалавриат)</t>
  </si>
  <si>
    <t>52.00.00 Сценические искусства и литературное творчество</t>
  </si>
  <si>
    <t>031700 Изящные искусства (бакалавриат)</t>
  </si>
  <si>
    <t>035200 Изящные искусства (бакалавриат)</t>
  </si>
  <si>
    <t>50.03.02 Изящные искусства (бакалавриат)</t>
  </si>
  <si>
    <t>031800 Религиоведение (бакалавриат)</t>
  </si>
  <si>
    <t>033300 Религиоведение (бакалавриат)</t>
  </si>
  <si>
    <t>47.03.03 Религиоведение (бакалавриат)</t>
  </si>
  <si>
    <t>47.00.00 Философия. этика и религиоведение</t>
  </si>
  <si>
    <t>031801 Религиоведение (специалитет)</t>
  </si>
  <si>
    <t>031900 Теология (бакалавриат)</t>
  </si>
  <si>
    <t>033400 Теология (бакалавриат)</t>
  </si>
  <si>
    <t>48.03.01 Теология (бакалавриат)</t>
  </si>
  <si>
    <t>48.00.00 Теология</t>
  </si>
  <si>
    <t>031901 Теология (специалитет)</t>
  </si>
  <si>
    <t>032000 Документоведение и архивоведение (бакалавриат)</t>
  </si>
  <si>
    <t>032001 Документоведение и документационное обеспечение управления (специалитет)</t>
  </si>
  <si>
    <t>032100 Физическая культура (бакалавриат)</t>
  </si>
  <si>
    <t>034300 Физическая культура (бакалавриат)</t>
  </si>
  <si>
    <t>49.03.01 Физическая культура (бакалавриат)</t>
  </si>
  <si>
    <t>49.00.00 Физическая культура и спорт</t>
  </si>
  <si>
    <t>032101 Физическая культура и спорт (специалитет)</t>
  </si>
  <si>
    <t>032102 Физическая культура для лиц с отклонениями в состоянии здоровья (адаптивная физическая культура) (специалитет)</t>
  </si>
  <si>
    <t>034400 Физическая культура для лиц с отклонениями в состоянии здоровья (адаптивная физическая культура) (бакалавриат)</t>
  </si>
  <si>
    <t>49.03.02 Физическая культура для лиц с отклонениями в состоянии здоровья (адаптивная физическая культура) (бакалавриат)</t>
  </si>
  <si>
    <t>032103 Рекреация и спортивно-оздоровительный туризм (специалитет)</t>
  </si>
  <si>
    <t>034600 Рекреация и спортивно-оздоровительный туризм (бакалавриат)</t>
  </si>
  <si>
    <t>49.03.03 Рекреация и спортивно-оздоровительный туризм (бакалавриат)</t>
  </si>
  <si>
    <t>032200 Прикладная этика (бакалавриат)</t>
  </si>
  <si>
    <t>033700 Прикладная этика (бакалавриат)</t>
  </si>
  <si>
    <t>47.03.02 Прикладная этика (бакалавриат)</t>
  </si>
  <si>
    <t>47.00.00 Философия этика и религиоведение</t>
  </si>
  <si>
    <t>032300 Регионоведение (бакалавриат)</t>
  </si>
  <si>
    <t>032000 Зарубежное регионоведение (бакалавриат)</t>
  </si>
  <si>
    <t>41.03.01 Зарубежное регионоведение (бакалавриат)</t>
  </si>
  <si>
    <t>032200 Регионоведение России (бакалавриат)</t>
  </si>
  <si>
    <t>41.03.02 Регионоведение России (бакалавриат)</t>
  </si>
  <si>
    <t>032301 Регионоведение (специалитет)</t>
  </si>
  <si>
    <t>032401 Реклама (специалитет)</t>
  </si>
  <si>
    <t>100700 Торговое дело (бакалавриат)</t>
  </si>
  <si>
    <t>100000 Сфера обслуживания</t>
  </si>
  <si>
    <t>38.03.06 Торговое дело (бакалавриат)</t>
  </si>
  <si>
    <t>38.00.00 Экономика и управление</t>
  </si>
  <si>
    <t>032400 Антропология и этнология (бакалавриат)</t>
  </si>
  <si>
    <t>46.03.03 Антропология и этнология (бакалавриат)</t>
  </si>
  <si>
    <t>035100 Телевидение (бакалавриат)</t>
  </si>
  <si>
    <t>42.03.04 Телевидение (бакалавриат)</t>
  </si>
  <si>
    <t>040100 Социальная работа (бакалавриат)</t>
  </si>
  <si>
    <t>040000 Социальные науки</t>
  </si>
  <si>
    <t>040400 Социальная работа (бакалавриат)</t>
  </si>
  <si>
    <t>39.03.02 Социальная работа (бакалавриат)</t>
  </si>
  <si>
    <t>39.00.00 Социология и социальная работа</t>
  </si>
  <si>
    <t>040101 Социальная работа (специалитет)</t>
  </si>
  <si>
    <t>39.03.02 Социальная работ (бакалавриат)</t>
  </si>
  <si>
    <t>040104 Организация работы с молодежью (специалист)</t>
  </si>
  <si>
    <t>040700 Организация работы с молодежью (бакалавриат)</t>
  </si>
  <si>
    <t>39.03.03 Организация работы с молодежью (бакалавриат)</t>
  </si>
  <si>
    <t>040200 Социология (бакалавриат)</t>
  </si>
  <si>
    <t>040100 Социология (бакалавриат)</t>
  </si>
  <si>
    <t>39.03.01 Социология (бакалавриат)</t>
  </si>
  <si>
    <t>040201 Социология (специалитет)</t>
  </si>
  <si>
    <t>040300 Конфликтология (бакалавриат)</t>
  </si>
  <si>
    <t>034000 Конфликтология (бакалавриат)</t>
  </si>
  <si>
    <t>37.03.02 Конфликтология (бакалавриат)</t>
  </si>
  <si>
    <t>050100 Естественнонаучное образование (бакалавриат)</t>
  </si>
  <si>
    <t>050000 Образование и педагогика</t>
  </si>
  <si>
    <t>050100 Педагогическое образование (бакалавриат)</t>
  </si>
  <si>
    <t>44.03.01 Педагогическое образование (бакалавриат)</t>
  </si>
  <si>
    <t>44.00.00 Образование и педагогические науки</t>
  </si>
  <si>
    <t>050100 Педагогическое образование &lt;*&gt; (бакалавриат)</t>
  </si>
  <si>
    <t>44.03.05 Педагогическое образование (с двумя профилям и подготовки) (бакалавриат)</t>
  </si>
  <si>
    <t>050101 Химия (специалитет)</t>
  </si>
  <si>
    <t>44.03.05 Педагогическое образование (с двумя профилями подготовки) (бакалавриат)</t>
  </si>
  <si>
    <t>050102 Биология (специалитет)</t>
  </si>
  <si>
    <t>44.03.05 Педагогическое образование (с двумя профилями подготовки (бакалавриат)</t>
  </si>
  <si>
    <t>050103 География (специалитет)</t>
  </si>
  <si>
    <t>050104 Безопасность жизнедеятельности (специалитет)</t>
  </si>
  <si>
    <t>050200 Физико-математическое образование (бакалавриат)</t>
  </si>
  <si>
    <t>050201 Математика (специалитет)</t>
  </si>
  <si>
    <t>050202 Информатика (специалитет)</t>
  </si>
  <si>
    <t>050100 Педагогическое образование</t>
  </si>
  <si>
    <t>050000 Образование и педагогика (бакалавриат)</t>
  </si>
  <si>
    <t>050203 Физика (специалитет)</t>
  </si>
  <si>
    <t>050300 Филологическое образование (бакалавриат)</t>
  </si>
  <si>
    <t>050301 Русский язык и литература (специалитет)</t>
  </si>
  <si>
    <t>050302 Родной язык и литература (специалитет)</t>
  </si>
  <si>
    <t>050303 Иностранный язык (специалитет)</t>
  </si>
  <si>
    <t>050400 Социально-экономическое образование (бакалавриат)</t>
  </si>
  <si>
    <t>050401 История (специалитет)</t>
  </si>
  <si>
    <t>050402 Юриспруденция (специалитет)</t>
  </si>
  <si>
    <t>050403 Культурология (бакалавриат)</t>
  </si>
  <si>
    <t>050403 Культурология (специалитет)</t>
  </si>
  <si>
    <t>050500 Технологическое образование (бакалавриат)</t>
  </si>
  <si>
    <t>050501 Профессиональное обучение (по отраслям) (специалитет)</t>
  </si>
  <si>
    <t>051000 Профессиональное обучение (по отраслям) (бакалавриат)</t>
  </si>
  <si>
    <t>44.03.04 Профессиональное обучение (по отраслям) (бакалавриат)</t>
  </si>
  <si>
    <t>050502 Технология и предпринимательство (специалитет)</t>
  </si>
  <si>
    <t>050600 Художественное образование (бакалавриат)</t>
  </si>
  <si>
    <t>050100 Педагогическое образование* (бакалавриат)</t>
  </si>
  <si>
    <t>050601 Музыкальное образование (специалитет)</t>
  </si>
  <si>
    <t>050602 Изобразительное искусство (специалитет)</t>
  </si>
  <si>
    <t>050700 Педагогика (бакалавриат)</t>
  </si>
  <si>
    <t>050400 Психолого-педагогическое образование (бакалавриат)</t>
  </si>
  <si>
    <t>44.03.02 Психолого-педагогическое образование (бакалавриат)</t>
  </si>
  <si>
    <t>050700 Специальное (дефектологическое) образование (бакалавриат)</t>
  </si>
  <si>
    <t>44.03.03 Специальное (дефектологическое) образование (бакалавриат)</t>
  </si>
  <si>
    <t>050701 Педагогика (специалитет)</t>
  </si>
  <si>
    <t>444.03.05 Педагогическое образование (с двумя профилями подготовки) (бакалавриат)</t>
  </si>
  <si>
    <t>050703 Дошкольная педагогика и психология (специалитет)</t>
  </si>
  <si>
    <t>050706 Педагогика и психология (специалитет)</t>
  </si>
  <si>
    <t>44.03.02 Психолого-педагогическое образование (бакалавриат</t>
  </si>
  <si>
    <t>050707 Педагогика и методика дошкольного образования (специалитет)</t>
  </si>
  <si>
    <t>050708 Педагогика и методика начального образования (специалитет)</t>
  </si>
  <si>
    <t>050711 Социальная педагогика (специалитет)</t>
  </si>
  <si>
    <t>050712 Тифлопедагогика (специалитет)</t>
  </si>
  <si>
    <t>050713 Сурдопедагогика (специалитет)</t>
  </si>
  <si>
    <t>050714 Олигофренопедагогика (специалитет)</t>
  </si>
  <si>
    <t>050715 Логопедия (специалитет)</t>
  </si>
  <si>
    <t>050716 Специальная психология (специалитет)</t>
  </si>
  <si>
    <t>050717 Специальная дошкольная педагогика и психология (специалитет)</t>
  </si>
  <si>
    <t>050720 Физическая культура (специалитет)</t>
  </si>
  <si>
    <t>060109 Сестринское дело (бакалавриат)</t>
  </si>
  <si>
    <t>060000 Здравоохранение</t>
  </si>
  <si>
    <t>060500 Сестринское дело (бакалавриат)</t>
  </si>
  <si>
    <t>34.03.01 Сестринское дело (бакалавриат)</t>
  </si>
  <si>
    <t>34.00.00 Сестринское дело</t>
  </si>
  <si>
    <t>070100 Музыкальное искусство (бакалавриат)</t>
  </si>
  <si>
    <t>071600 Музыкальное искусство эстрады (бакалавриат)</t>
  </si>
  <si>
    <t>53.03.01 Музыкальное искусство эстрады (бакалавриат)</t>
  </si>
  <si>
    <t>53.00.00 Музыкальное искусство</t>
  </si>
  <si>
    <t>071700 Цирковое искусство (бакалавриат)</t>
  </si>
  <si>
    <t>52.03.03 Цирковое искусство (бакалавриат)</t>
  </si>
  <si>
    <t>073400 Вокальное искусство (бакалавриат)</t>
  </si>
  <si>
    <t>53.03.03 Вокальное искусство (бакалавриат)</t>
  </si>
  <si>
    <t>073500 Дирижирование (бакалавриат)</t>
  </si>
  <si>
    <t>53.03.05 Дирижирование (бакалавриат)</t>
  </si>
  <si>
    <t>073700 Искусство народного пения (бакалавриат)</t>
  </si>
  <si>
    <t>53.03.04 Искусство народного пения (бакалавриат)</t>
  </si>
  <si>
    <t>073100 Музыкально-инструментальное искусство (бакалавриат)</t>
  </si>
  <si>
    <t>53.03.02 Музыкально-инструментальное искусство (бакалавриат)</t>
  </si>
  <si>
    <t>073000 Музыкознание и музыкально-прикладное искусство (бакалавриат)</t>
  </si>
  <si>
    <t>53.03.06 Музыкознание и музыкально-прикладное искусство (бакалавриат)</t>
  </si>
  <si>
    <t>070101 Инструментальное исполнительство (по видам инструментов: фортепиано, орган; оркестровые струнные инструменты; оркестровые духовые и ударные инструменты; оркестровые народные инструменты) (специалитет)</t>
  </si>
  <si>
    <t>070103 Вокальное искусство (по видам вокального искусства: академическое пение;</t>
  </si>
  <si>
    <t>народное пение) (специалитет)</t>
  </si>
  <si>
    <t>070111 Музыковедение (специалитет)</t>
  </si>
  <si>
    <t>070112 Этномузыкология (специалитет)</t>
  </si>
  <si>
    <t>070200 Театральное искусство (специалитет)</t>
  </si>
  <si>
    <t>074100 Театроведение (бакалавриат)</t>
  </si>
  <si>
    <t>52.03.05 Театроведение (бакалавриат)</t>
  </si>
  <si>
    <t>070205 Технология художественного оформления спектакля (специалитет)</t>
  </si>
  <si>
    <t>073600 Технология художественного оформления спектакля (бакалавриат)</t>
  </si>
  <si>
    <t>52.03.04 Технология художественного оформления спектакля (бакалавриат)</t>
  </si>
  <si>
    <t>070209 Режиссура театрализованных представлений и праздников (специалитет)</t>
  </si>
  <si>
    <t>071400 Режиссура театрализованных представлений и праздников (бакалавриат)</t>
  </si>
  <si>
    <t>51.03.05 Режиссура театрализованных представлений и праздников (бакалавриат)</t>
  </si>
  <si>
    <t>070210 Драматургия (специалитет)</t>
  </si>
  <si>
    <t>070800 Драматургия (бакалавриат)</t>
  </si>
  <si>
    <t>52.03.06 Драматургия (бакалавриат)</t>
  </si>
  <si>
    <t>070211 Театроведение (специалитет)</t>
  </si>
  <si>
    <t>070300 Хореографическое искусство (бакалавриат)</t>
  </si>
  <si>
    <t>071300 Хореографическое исполнительство (бакалавриат)</t>
  </si>
  <si>
    <t>52.03.02 Хореографическое исполнительство (бакалавриат)</t>
  </si>
  <si>
    <t>070301 Хореографическое исполнительство (специалитет)</t>
  </si>
  <si>
    <t>071300 Хореографическое искусство (бакалавриат)</t>
  </si>
  <si>
    <t>070303 Искусство хореографа (специалитет)</t>
  </si>
  <si>
    <t>070304 Педагогика балета (специалитет)</t>
  </si>
  <si>
    <t>070305 История и теория хореографического искусства (специалитет)</t>
  </si>
  <si>
    <t>070500 Реставрация (бакалавриат)</t>
  </si>
  <si>
    <t>072200 Реставрация (бакалавриат)</t>
  </si>
  <si>
    <t>54.03.04 Реставрация (бакалавриат)</t>
  </si>
  <si>
    <t>54.00.00 Изобразительное и прикладные виды искусств</t>
  </si>
  <si>
    <t>070501 Реставрация (специалист)</t>
  </si>
  <si>
    <t>070503 Музейное дело и охрана памятников (специалитет)</t>
  </si>
  <si>
    <t>070600 Дизайн (бакалавриат)</t>
  </si>
  <si>
    <t>072500 Дизайн (бакалавриат)</t>
  </si>
  <si>
    <t>54.03.01 Дизайн (бакалавриат)</t>
  </si>
  <si>
    <t>070601 Дизайн (специалитет)</t>
  </si>
  <si>
    <t>070603 Искусство интерьера (специалитет)</t>
  </si>
  <si>
    <t>070800 Декоративно-прикладное искусство и народные промыслы (бакалавриат)</t>
  </si>
  <si>
    <t>072600 Декоративно-прикладное искусство и народные промыслы (бакалавриат)</t>
  </si>
  <si>
    <t>54.03.02 Декоративно-прикладное искусство и народные промыслы (бакалавриат)</t>
  </si>
  <si>
    <t>070801 Декоративно-прикладное искусство (специалитет)</t>
  </si>
  <si>
    <t>070900 Изобразительное искусство (бакалавриат)</t>
  </si>
  <si>
    <t>070905 Зодчество (специалитет)</t>
  </si>
  <si>
    <t>270100 Архитектура (бакалавриат)</t>
  </si>
  <si>
    <t>270000 Архитектура и строительство</t>
  </si>
  <si>
    <t>07.03.01 Архитектура (бакалавриат)</t>
  </si>
  <si>
    <t>07.00.00 Архитектура</t>
  </si>
  <si>
    <t>070906 История и теория изобразительного искусства (специалитет)</t>
  </si>
  <si>
    <t>071000 Литературное творчество (бакалавриат)</t>
  </si>
  <si>
    <t>071100 Киноискусство (бакалавриат)</t>
  </si>
  <si>
    <t>071200 Библиотечно-информационные ресурсы (бакалавриат)</t>
  </si>
  <si>
    <t>071900 Библиотечно-информационная деятельность (бакалавриат)</t>
  </si>
  <si>
    <t>51.03.06 Библиотечно-информационная деятельность (бакалавриат)</t>
  </si>
  <si>
    <t>071201 Библиотечно-информационная деятельность (специалитет)</t>
  </si>
  <si>
    <t>51.00.00 Культуроведение и социалькультурные проекты</t>
  </si>
  <si>
    <t>071300 Народная художественная культура (бакалавриат)</t>
  </si>
  <si>
    <t>071500 Народная художественная культура (бакалавриат)</t>
  </si>
  <si>
    <t>51.03.02 Народная художественная культура (бакалавриат)</t>
  </si>
  <si>
    <t>071301 Народное художественное творчество (специалитет)</t>
  </si>
  <si>
    <t>53.03.04 Искусство народного нения (бакалавриат)</t>
  </si>
  <si>
    <t>071400 Социально-культурная деятельность (бакалавриат)</t>
  </si>
  <si>
    <t>071800 Социально-культурная деятельность (бакалавриат)</t>
  </si>
  <si>
    <t>51.03.03 Социально-культурная деятельность (бакалавриат)</t>
  </si>
  <si>
    <t>071401 Социально-культурная деятельность (специалитет)</t>
  </si>
  <si>
    <t>071501 Художественное проектирование костюма (специалитет)</t>
  </si>
  <si>
    <t>072700 Искусство костюма и текстиля (бакалавриат)</t>
  </si>
  <si>
    <t>54.03.03 Искусство костюма и текстиля (бакалавриат)</t>
  </si>
  <si>
    <t>54.00.00 Изобразительные и прикладные виды искусств</t>
  </si>
  <si>
    <t>071502 Художественное проектирование текстильных изделий (специалитет)</t>
  </si>
  <si>
    <t>071503 Художественное проектирование изделий из кожи (специалитет)</t>
  </si>
  <si>
    <t>071504 Художественное проектирование ювелирных изделий (специалитет)</t>
  </si>
  <si>
    <t>080100 Экономика (бакалавриат)</t>
  </si>
  <si>
    <t>080000 Экономика и управление</t>
  </si>
  <si>
    <t>38.03.01 Экономика (бакалавриат)</t>
  </si>
  <si>
    <t>080101 Экономическая теория (специалитет)</t>
  </si>
  <si>
    <t>080102 Мировая экономика (специалитет)</t>
  </si>
  <si>
    <t>38.03.01 Экономика (бакалавриат</t>
  </si>
  <si>
    <t>080103 Национальная экономика (специалитет)</t>
  </si>
  <si>
    <t>080104 Экономика труда (специалитет)</t>
  </si>
  <si>
    <t>080400 Управление персоналом (бакалавриат)</t>
  </si>
  <si>
    <t>080105 Финансы и кредит (специалитет)</t>
  </si>
  <si>
    <t>080107 Налоги и налогообложение (специалитет)</t>
  </si>
  <si>
    <t>080109 Бухгалтерский учет, анализ и аудит (специалитет)</t>
  </si>
  <si>
    <t>080111 Маркетинг (специалитет)</t>
  </si>
  <si>
    <t>080200 Менеджмент (бакалавриат)</t>
  </si>
  <si>
    <t>38.03.02 Менеджмент (бакалавриат)</t>
  </si>
  <si>
    <t>080116 Математические методы в экономике (специалитет)</t>
  </si>
  <si>
    <t>080500 Бизнес-информатика (бакалавриат)</t>
  </si>
  <si>
    <t>38.03.05 Бизнес-информатика (бакалавриат)</t>
  </si>
  <si>
    <t>230700 Прикладная информатика (бакалавриат)</t>
  </si>
  <si>
    <t>230000 Информатика и вычислительная техника</t>
  </si>
  <si>
    <t>09.03.03 Прикладная информатика (бакалавриат)</t>
  </si>
  <si>
    <t>09.00.00 Информатика и вычислительная техника</t>
  </si>
  <si>
    <t>080300 Коммерция (бакалавриат)</t>
  </si>
  <si>
    <t>080301 Коммерция (торговое дело) (специалитет)</t>
  </si>
  <si>
    <t>080401 Товароведение и экспертиза товаров (по областям применения) (специалитет)</t>
  </si>
  <si>
    <t>100800 Товароведение (бакалавриат)</t>
  </si>
  <si>
    <t>38.03.07 Товароведение (бакалавриат)</t>
  </si>
  <si>
    <t>080500 Менеджмент (бакалавриат)</t>
  </si>
  <si>
    <t>080502 Экономика и управление на предприятии (по отраслям) (специалитет)</t>
  </si>
  <si>
    <t>080503 Антикризисное управление (специалитет)</t>
  </si>
  <si>
    <t>080504 Государственное и муниципальное управление (специалитет)</t>
  </si>
  <si>
    <t>081100 Государственное и муниципальное управление (бакалавриат)</t>
  </si>
  <si>
    <t>38.03.04 Государственное и муниципальное управление (бакалавриат)</t>
  </si>
  <si>
    <t>080505 Управление персоналом (специалитет)</t>
  </si>
  <si>
    <t>38.03.03 Управление персоналом (бакалавриат)</t>
  </si>
  <si>
    <t>080506 Логистика и управление цепями поставок (специалитет)</t>
  </si>
  <si>
    <t>080507 Менеджмент организации (специалитет)</t>
  </si>
  <si>
    <t>080508 Информационный менеджмент (специалитет)</t>
  </si>
  <si>
    <t>080600 Статистика (бакалавриат)</t>
  </si>
  <si>
    <t>080601 Статистика (специалитет)</t>
  </si>
  <si>
    <t>080700 Бизнес-информатика (бакалавриат)</t>
  </si>
  <si>
    <t>080800 Прикладная информатика (бакалавриат)</t>
  </si>
  <si>
    <t>080801 Прикладная информатика (специалитет)</t>
  </si>
  <si>
    <t>040102 Компьютерная безопасность (специалитет)</t>
  </si>
  <si>
    <t>090000 Информационная безопасность</t>
  </si>
  <si>
    <t>090900 Информационная безопасность (бакалавриат)</t>
  </si>
  <si>
    <t>10.03.01 Информационная безопасность (бакалавриат)</t>
  </si>
  <si>
    <t>10.00.00 Информационная безопасность</t>
  </si>
  <si>
    <t>090103 Организация и технология защиты информации (специалитет)</t>
  </si>
  <si>
    <t>090104 Комплексная защита объектов информатизации (специалитет)</t>
  </si>
  <si>
    <t>090105 Комплексное обеспечение информационной безопасности автоматизированных систем (специалитет)</t>
  </si>
  <si>
    <t>090106 Информационная безопасность телекоммуникационных систем (специалитет)</t>
  </si>
  <si>
    <t>100100 Сервис (бакалавриат)</t>
  </si>
  <si>
    <t>43.03.01 Сервис (бакалавриат)</t>
  </si>
  <si>
    <t>43.0.00 Сервис и туризм</t>
  </si>
  <si>
    <t>100101 Сервис (специалитет)</t>
  </si>
  <si>
    <t>100103 Социально-культурный сервис и туризм (специалитет)</t>
  </si>
  <si>
    <t>100400 Туризм (бакалавриат)</t>
  </si>
  <si>
    <t>43.03.02 Туризм (бакалавриат)</t>
  </si>
  <si>
    <t>101100 Гостиничное дело (бакалавриат)</t>
  </si>
  <si>
    <t>43.03.03 Гостиничное дело (бакалавриат)</t>
  </si>
  <si>
    <t>100110 Домоведение (специалитет)</t>
  </si>
  <si>
    <t>100200 Туризм (бакалавриат)</t>
  </si>
  <si>
    <t>100201 Туризм (специалитет)</t>
  </si>
  <si>
    <t>110100 Агрохимия и агропочвоведение (бакалавриат)</t>
  </si>
  <si>
    <t>110000 Сельское и рыбное хозяйство</t>
  </si>
  <si>
    <t>111000 Сельское и рыбное хозяйство</t>
  </si>
  <si>
    <t>35.03.03 Агрохимия и агропочвоведение (бакалавриат)</t>
  </si>
  <si>
    <t>35.00.00 Сельское, лесное и рыбное хозяйство</t>
  </si>
  <si>
    <t>110101 Агрохимия и агропочвоведение (специалитет)</t>
  </si>
  <si>
    <t>110102 Агроэкология (специалитет)</t>
  </si>
  <si>
    <t>110200 Агрономия (бакалавриат)</t>
  </si>
  <si>
    <t>110400 Агрономия (бакалавриат)</t>
  </si>
  <si>
    <t>35.03.04 Агрономия (бакалавриат)</t>
  </si>
  <si>
    <t>110500 Садоводство (бакалавриат)</t>
  </si>
  <si>
    <t>35.03.05 Садоводство (бакалавриат)</t>
  </si>
  <si>
    <t>110201 Агрономия (специалитет)</t>
  </si>
  <si>
    <t>110202 Плодоовощеводство и виноградарство (специалитет)</t>
  </si>
  <si>
    <t>110203 Защита растений (специалитет)</t>
  </si>
  <si>
    <t>110204 Селекция и генетика сельскохозяйственных культур (специалитет)</t>
  </si>
  <si>
    <t>110300 Агроинженерия (бакалавриат)</t>
  </si>
  <si>
    <t>110800 Агроинженерия (бакалавриат)</t>
  </si>
  <si>
    <t>35.03.06 Агроинженерия (бакалавриат)</t>
  </si>
  <si>
    <t>110301 Механизация сельского хозяйства (специалитет)</t>
  </si>
  <si>
    <t>110302 Электрификация и автоматизация сельского хозяйства (специалитет)</t>
  </si>
  <si>
    <t>110303 Механизация переработки сельскохозяйственной продукции (специалитет)</t>
  </si>
  <si>
    <t>110304 Технология обслуживания и ремонта машин в агропромышленном комплексе (специалитет)</t>
  </si>
  <si>
    <t>110305 Технология производства и переработки сельскохозяйственной продукции (специалитет)</t>
  </si>
  <si>
    <t>110900 Технология производства и переработки сельскохозяйственной продукции (бакалавриат)</t>
  </si>
  <si>
    <t>35.03.07 Технология производства и переработки сельскохозяйственной продукции (бакалавриат)</t>
  </si>
  <si>
    <t>110400 Зоотехния (бакалавриат)</t>
  </si>
  <si>
    <t>111100 Зоотехния (бакалавриат)</t>
  </si>
  <si>
    <t>36.03.02 Зоотехния (бакалавриат)</t>
  </si>
  <si>
    <t>36.0.00 Ветеринария и зоотехния</t>
  </si>
  <si>
    <t>110401 Зоотехния (специалитет)</t>
  </si>
  <si>
    <t>110500 Ветеринарно-санитарная экспертиза (бакалавриат)</t>
  </si>
  <si>
    <t>111900 Ветеринарно-санитарная экспертиза (бакалавриат)</t>
  </si>
  <si>
    <t>36.03.01 Ветеринарно-санитарная экспертиза (бакалавриат)</t>
  </si>
  <si>
    <t>110501 Ветеринарно-санитарная экспертиза (специалитет)</t>
  </si>
  <si>
    <t>110900 Водные биоресурсы и аквакультура (бакалавриат)</t>
  </si>
  <si>
    <t>111400 Водные биоресурсы и аквакультура (бакалавриат)</t>
  </si>
  <si>
    <t>35.03.08 Водные биоресурсы и аквакультура (бакалавриат)</t>
  </si>
  <si>
    <t>110901 Водные биоресурсы и аквакультура (специалитет)</t>
  </si>
  <si>
    <t>111000 Рыболовство (бакалавриат)</t>
  </si>
  <si>
    <t>111500 Промышленное рыболовство (бакалавриат)</t>
  </si>
  <si>
    <t>35.03.09 Промышленное рыболовство (бакалавриат)</t>
  </si>
  <si>
    <t>111001 Промышленное рыболовство (специалитет)</t>
  </si>
  <si>
    <t>111300 Садоводство (бакалавриат)</t>
  </si>
  <si>
    <t>120100 Геодезия (бакалавриат)</t>
  </si>
  <si>
    <t>120000 Геодезия и землеустройство</t>
  </si>
  <si>
    <t>120100 Геодезия и дистанционное зондирование (бакалавриат)</t>
  </si>
  <si>
    <t>21.03.03 Геодезия и дистанционное зондирование (бакалавриат)</t>
  </si>
  <si>
    <t>21.00.00 Прикладная геология, горное дело, нефтегазовое дело и геодезия</t>
  </si>
  <si>
    <t>120102 Астрономогеодезия (специалитет)</t>
  </si>
  <si>
    <t>120103 Космическая геодезия (специалитет)</t>
  </si>
  <si>
    <t>120201 Исследование природных ресурсов агрокосмическими средствами (специалитет)</t>
  </si>
  <si>
    <t>120202 Аэрофотогеодезия (специалитет)</t>
  </si>
  <si>
    <t>120300 Землеустройство и кадастры (бакалавриат)</t>
  </si>
  <si>
    <t>120700 Землеустройство и кадастры (бакалавриат)</t>
  </si>
  <si>
    <t>21.03.02 Землеустройство и кадастры (бакалавриат)</t>
  </si>
  <si>
    <t>120301 Землеустройство</t>
  </si>
  <si>
    <t>120302 Земельный кадастр (специалитет)</t>
  </si>
  <si>
    <t>120303 Городской кадастр (специалитет)</t>
  </si>
  <si>
    <t>130100 Геология и разведка полезных ископаемых (бакалавриат)</t>
  </si>
  <si>
    <t>130000 Геология, разведка и разработка полезных ископаемых</t>
  </si>
  <si>
    <t>130400 Горное дело (бакалавриат)</t>
  </si>
  <si>
    <t>130500 Нефтегазовое дело (бакалавриат)</t>
  </si>
  <si>
    <t>131000 Нефтегазовое дело (бакалавриат)</t>
  </si>
  <si>
    <t>21.03.01 Нефтегазовое дело (бакалавриат)</t>
  </si>
  <si>
    <t>130501 Проектирование, сооружение и эксплуатация газонефтепроводов и газонефтехранилищ (специалитет)</t>
  </si>
  <si>
    <t>130503 Разработка и эксплуатация нефтяных и газовых месторождений (специалитет)</t>
  </si>
  <si>
    <t>130504 Бурение нефтяных и газовых скважин (специалитет)</t>
  </si>
  <si>
    <t>130601 Морские нефтегазовые сооружения (специалитет)</t>
  </si>
  <si>
    <t>151000 Технологические машины и оборудование (бакалавриат)</t>
  </si>
  <si>
    <t>150000 Металлургия, машиностроение и материалообработка</t>
  </si>
  <si>
    <t>15.03.02 Технологические машины и оборудование (бакалавриат)</t>
  </si>
  <si>
    <t>15.00.00 Машиностроение</t>
  </si>
  <si>
    <t>130602 Машины и оборудование нефтяных и газовых промыслов (специалитет)</t>
  </si>
  <si>
    <t>130603 Оборудование нефтегазопереработки (специалитет)</t>
  </si>
  <si>
    <t>140100 Теплоэнергетика (бакалавриат)</t>
  </si>
  <si>
    <t>140000 Энергетика, энергетическое машиностроение и электротехника</t>
  </si>
  <si>
    <t>140100 Теплоэнергетика и теплотехника (бакалавриат)</t>
  </si>
  <si>
    <t>13.03.01 Теплоэнергетика и теплотехника (бакалавриат)</t>
  </si>
  <si>
    <t>13.00.00 Электро- и теплоэнергетика</t>
  </si>
  <si>
    <t>140101 Тепловые электрические станции (специалитет)</t>
  </si>
  <si>
    <t>140103 Технология воды и топлива на тепловых и атомных электрических станциях (специалитет)</t>
  </si>
  <si>
    <t>140104 Промышленная теплоэнергетика (специалитет)</t>
  </si>
  <si>
    <t>140105 Энергетика теплотехнологий (специалитет)</t>
  </si>
  <si>
    <t>140106 Энергообеспечение предприятий (специалитет)</t>
  </si>
  <si>
    <t>140200 Электроэнергетика (бакалавриат)</t>
  </si>
  <si>
    <t>140400 Электроэнергетика и электротехника (бакалавриат)</t>
  </si>
  <si>
    <t>13.03.02 Электроэнергетика и электротехника (бакалавриат)</t>
  </si>
  <si>
    <t>140201 Высоковольтная электроэнергетика и электротехника (специалитет)</t>
  </si>
  <si>
    <t>140202 Нетрадиционные и возобновляемые источники энергии (специалитет)</t>
  </si>
  <si>
    <t>140203 Релейная защита и автоматизация электроэнергетических систем (специалитет)</t>
  </si>
  <si>
    <t>140204 Электрические станции (специалитет)</t>
  </si>
  <si>
    <t>140205 Электроэнергетические системы и сети (специалист)</t>
  </si>
  <si>
    <t>140209 Гидроэлектростанции (специалитет)</t>
  </si>
  <si>
    <t>140211 Электроснабжение (специалитет)</t>
  </si>
  <si>
    <t>140301 Физика конденсированного состояния вещества (специалитет)</t>
  </si>
  <si>
    <t>140800 Ядерные физика и технологии (бакалавриат)</t>
  </si>
  <si>
    <t>14.03.02 Ядерные физика и технологии (бакалавриат)</t>
  </si>
  <si>
    <t>14.00.00 Ядерная энергетика и технологии</t>
  </si>
  <si>
    <t>140302 Физика атомного ядра и частиц (специалитет)</t>
  </si>
  <si>
    <t>140303 Физика кинетических явлений (специалитет)</t>
  </si>
  <si>
    <t>140304 Физика пучков заряженных частиц и ускорительная техника (специалитет)</t>
  </si>
  <si>
    <t>140305 Ядерные реакторы и энергетические установки (специалитет)</t>
  </si>
  <si>
    <t>140306 Электроника и автоматика физических установок (специалитет)</t>
  </si>
  <si>
    <t>140307 Радиационная безопасность человека и окружающей среды (специалитет)</t>
  </si>
  <si>
    <t>140309 Безопасность и нераспространение ядерных материалов (специалитет)</t>
  </si>
  <si>
    <t>140400 Техническая физика (бакалавриат)</t>
  </si>
  <si>
    <t>140700 Ядерная энергетика и теплофизика (бакалавриат)</t>
  </si>
  <si>
    <t>14.03.01 Ядерная энергетика и теплофизика (бакалавриат)</t>
  </si>
  <si>
    <t>223200 Техническая физика (бакалавриат)</t>
  </si>
  <si>
    <t>220000 Автоматика и управление</t>
  </si>
  <si>
    <t>16.03.0 Техническая физика (бакалавриат)</t>
  </si>
  <si>
    <t>16.00.00 Физико-технические науки и технологии</t>
  </si>
  <si>
    <t>140401 Техника и физика низких температур (специалитет)</t>
  </si>
  <si>
    <t>16.03.01 Техническая физика (бакалавриат)</t>
  </si>
  <si>
    <t>140402 Теплофизика (специалитет)</t>
  </si>
  <si>
    <t>140403 Техническая физика термоядерных реакторов и плазменных установок (специалитет)</t>
  </si>
  <si>
    <t>140404 Атомные электрические станции и установки (специалитет)</t>
  </si>
  <si>
    <t>140500 Энергомашиностроение (бакалавриат)</t>
  </si>
  <si>
    <t>140000 Энергетика, энергетическое машиностроение и электроэнергетика</t>
  </si>
  <si>
    <t>140600 Высокотехнологические плазменные и энергетические установки (бакалавриат)</t>
  </si>
  <si>
    <t>16.03.02 Высокотехнологические плазменные и энергетические установки (бакалавриат)</t>
  </si>
  <si>
    <t>141100 Энергетическое машиностроение (бакалавриат)</t>
  </si>
  <si>
    <t>13.03.03 Энергетическое машиностроение (бакалавриат)</t>
  </si>
  <si>
    <t>141200 Холодильная, криогенная техника и системы жизнеобеспечения (бакалавриат)</t>
  </si>
  <si>
    <t>16.03.03 Холодильная, криогенная техника и системы жизнеобеспечения (бакалавриат)</t>
  </si>
  <si>
    <t>140501 Двигатели внутреннего сгорания (специалитет)</t>
  </si>
  <si>
    <t>140502 Котло- и реакторостроение</t>
  </si>
  <si>
    <t>140503 Газотурбинные, паротурбинные установки и двигатели (специалитет)</t>
  </si>
  <si>
    <t>140504 Холодильная, криогенная техника и кондиционирование (специалитет)</t>
  </si>
  <si>
    <t>140505 Плазменные энергетические установки</t>
  </si>
  <si>
    <t>140600 Электротехника, электромеханика и электротехнологии (бакалавриат)</t>
  </si>
  <si>
    <t>140601 Электромеханика (специалитет)</t>
  </si>
  <si>
    <t>140602 Электрические и электронные аппараты (специалитет)</t>
  </si>
  <si>
    <t>140604 Электропривод и автоматика промышленных установок и технологических комплексов (специалитет)</t>
  </si>
  <si>
    <t>140605 Электротехнологические установки и системы (специалитет)</t>
  </si>
  <si>
    <t>140606 Электрический транспорт (специалитет)</t>
  </si>
  <si>
    <t>140607 Электрооборудование автомобилей и тракторов (специалитет)</t>
  </si>
  <si>
    <t>140608 Электрооборудование и автоматика судов (специалитет)</t>
  </si>
  <si>
    <t>140609 Электрооборудование летательных аппаратов (специалитет)</t>
  </si>
  <si>
    <t>140610 Электрооборудование и электрохозяйство предприятий, организаций и учреждений (специалитет)</t>
  </si>
  <si>
    <t>140611 Электроизоляционная, кабельная и конденсаторная техника (специалитет)</t>
  </si>
  <si>
    <t>150100 Металлургия (бакалавриат)</t>
  </si>
  <si>
    <t>150400 Металлургия (бакалавриат)</t>
  </si>
  <si>
    <t>22.03.02 Металлургия (бакалавриат)</t>
  </si>
  <si>
    <t>22.00.00 Технологии материалов</t>
  </si>
  <si>
    <t>150101 Металлургия черных металлов (специалитет)</t>
  </si>
  <si>
    <t>150102 Металлургия цветных металлов (специалитет)</t>
  </si>
  <si>
    <t>150103 Теплофизика, автоматизация и экология промышленных печей (специалитет)</t>
  </si>
  <si>
    <t>150104 Литейное производство черных и цветных металлов (специалитет)</t>
  </si>
  <si>
    <t>150105 Металловедение и термическая обработка металлов (специалитет)</t>
  </si>
  <si>
    <t>150106 Обработка металлов давлением (специалитет)</t>
  </si>
  <si>
    <t>150107 Металлургия сварочного производства (специалитет)</t>
  </si>
  <si>
    <t>150108 Порошковая металлургия, композиционные материалы, покрытия (специалитет)</t>
  </si>
  <si>
    <t>150109 Металлургия техногенных и вторичных ресурсов (специалитет)</t>
  </si>
  <si>
    <t>150201 Машины и технология обработки металлов давлением (специалитет)</t>
  </si>
  <si>
    <t>150700 Машиностроение (бакалавриат)</t>
  </si>
  <si>
    <t>15.03.01 Машиностроение (бакалавриат)</t>
  </si>
  <si>
    <t>150202 Оборудование и технология сварочного производства (специалитет)</t>
  </si>
  <si>
    <t>150204 Машины и технология литейного производства (специалитет)</t>
  </si>
  <si>
    <t>150205 Оборудование и технология повышения износостойкости и восстановление деталей машин и аппаратов (специалитет)</t>
  </si>
  <si>
    <t>150206 Машины и технологии высокоэффективных процессов обработки материалов (специалитет)</t>
  </si>
  <si>
    <t>150207 Реновация средств и объектов материального производства в машиностроении (специалитет)</t>
  </si>
  <si>
    <t>150300 Прикладная механика (бакалавриат)</t>
  </si>
  <si>
    <t>151600 Прикладная механика (бакалавриат)</t>
  </si>
  <si>
    <t>15.03.03 Прикладная механика (бакалавриат)</t>
  </si>
  <si>
    <t>150301 Динамика и прочность машин (специалитет)</t>
  </si>
  <si>
    <t>150302 Триботехника (специалитет)</t>
  </si>
  <si>
    <t>150400 Технологические машины и оборудование (специалитет)</t>
  </si>
  <si>
    <t>150401 Проектирование технических и технологических комплексов (специалитет)</t>
  </si>
  <si>
    <t>150403 Технологические машины и оборудование для разработки торфяных месторождений (специалитет)</t>
  </si>
  <si>
    <t>150404 Металлургические машины и оборудование (специалитет)</t>
  </si>
  <si>
    <t>150405 Машины и оборудование лесного комплекса (специалитет)</t>
  </si>
  <si>
    <t>150406 Машины и аппараты текстильной и легкой промышленности (специалитет)</t>
  </si>
  <si>
    <t>150407 Полиграфические машины и автоматизированные комплексы (специалитет)</t>
  </si>
  <si>
    <t>150408 Бытовые машины и приборы (специалитет)</t>
  </si>
  <si>
    <t>150501 Материаловедение в машиностроении (специалитет)</t>
  </si>
  <si>
    <t>150100 Материаловедение и технологии материалов (бакалавриат)</t>
  </si>
  <si>
    <t>22.03.01 Материаловедение и технологии материалов (бакалавриат)</t>
  </si>
  <si>
    <t>150502 Конструирование и производство изделий из композиционных материалов (специалитет)</t>
  </si>
  <si>
    <t>150600 Материаловедение и технология новых материалов (бакалавриат)</t>
  </si>
  <si>
    <t>150601 Материаловедение и технология новых материалов (специалитет)</t>
  </si>
  <si>
    <t>150701 Физико-химия процессов и материалов (специалитет)</t>
  </si>
  <si>
    <t>150702 Физика металлов (специалитет)</t>
  </si>
  <si>
    <t>150800 Гидравлическая, вакуумная и компрессорная техника (бакалавриат)</t>
  </si>
  <si>
    <t>150801 Вакуумная и компрессорная техника физических установок (специалитет)</t>
  </si>
  <si>
    <t>150802 Гидравлические машины, гидроприводы и гидропневмоавтоматика (специалитет)</t>
  </si>
  <si>
    <t>150900 Технология, оборудование и автоматизация машиностроительных производств (бакалавриат)</t>
  </si>
  <si>
    <t>151900 Конструкторско-технологическое обеспечение машиностроительных производств (бакалавриат)</t>
  </si>
  <si>
    <t>15.03.05 Конструкторско-технологическое обеспечение машиностроительных производств (бакалавриат)</t>
  </si>
  <si>
    <t>151000 Конструкторско-технологическое обеспечение машиностроительных производств (бакалавриат)</t>
  </si>
  <si>
    <t>151001 Технология машиностроения (специалитет)</t>
  </si>
  <si>
    <t>151002 Металлообрабатывающие станки и комплексы (специалитет)</t>
  </si>
  <si>
    <t>151003 Инструментальные системы машиностроительных производств (специалитет)</t>
  </si>
  <si>
    <t>160100 Авиа- и ракетостроение (бакалавриат)</t>
  </si>
  <si>
    <t>160000 Авиационная и ракетно-космическая техника</t>
  </si>
  <si>
    <t>160100 Авиастроение (бакалавриат)</t>
  </si>
  <si>
    <t>24.03.04 Авиастроение (бакалавриат)</t>
  </si>
  <si>
    <t>24.00.00 Авиационная и ракетно-космическая техника</t>
  </si>
  <si>
    <t>160400 Ракетные комплексы и космонавтика (бакалавриат)</t>
  </si>
  <si>
    <t>24.03.01 Ракетные комплексы и космонавтика (бакалавриат)</t>
  </si>
  <si>
    <t>160700 Двигатели летательных аппаратов (бакалавриат)</t>
  </si>
  <si>
    <t>24.03.05 Двигатели летательных аппаратов (бакалавриат)</t>
  </si>
  <si>
    <t>161100 Системы управления движением и навигация (бакалавриат)</t>
  </si>
  <si>
    <t>24.03.02 Системы управления движением и навигация (бакалавриат)</t>
  </si>
  <si>
    <t>161700 Баллистика и гидроаэродинамика (бакалавриат)</t>
  </si>
  <si>
    <t>24.03.03 Баллистика и гидроаэродинамика (бакалавриат)</t>
  </si>
  <si>
    <t>160201 Самолето- и вертолетостроение (специалитет)</t>
  </si>
  <si>
    <t>160202 Системы жизнеобеспечения оборудования летательных аппаратов (специалитет)</t>
  </si>
  <si>
    <t>160301 Авиационные двигатели и энергетические установки (специалитет)</t>
  </si>
  <si>
    <t>160302 Ракетные двигатели (специалитет)</t>
  </si>
  <si>
    <t>160303 Электроракетные двигатели и энергетические установки (специалитет)</t>
  </si>
  <si>
    <t>160304 Авиационная и ракетно-космическая техника (специалитет)</t>
  </si>
  <si>
    <t>160401 Управляющие, пилотажно-гравитационные и электроэнергетические комплексы летательных аппаратов (специалитет)</t>
  </si>
  <si>
    <t>160402 Приборы и системы ориентации, стабилизации и навигации (специалитет)</t>
  </si>
  <si>
    <t>160403 Системы управления летательными аппаратами (специалитет)</t>
  </si>
  <si>
    <t>160501 Эксплуатация воздушных судов и организация воздушного движения (специалитет)</t>
  </si>
  <si>
    <t>161000 Аэронавигация (бакалавриат)</t>
  </si>
  <si>
    <t>25.03.03 Аэронавигация (бакалавриат)</t>
  </si>
  <si>
    <t>25.00.00 Аэронавигация и эксплуатация авиационной и ракетно-космической техники</t>
  </si>
  <si>
    <t>162700 Эксплуатация аэропортов и обеспечение полетов воздушных судов (бакалавриат)</t>
  </si>
  <si>
    <t>25.03.04 Эксплуатация аэропортов и обеспечение полетов воздушных судов (бакалавриат)</t>
  </si>
  <si>
    <t>25.00.00 Аэронавигация и эксплуатация авиационном и ракетно-космической техники</t>
  </si>
  <si>
    <t>160503 Летная эксплуатация воздушных судов (специалитет)</t>
  </si>
  <si>
    <t>160505 Аэронавигационное обслуживание и использование воздушного пространства (специалитет)</t>
  </si>
  <si>
    <t>160701 Баллистика (специалитет)</t>
  </si>
  <si>
    <t>160702 Гидроаэродинамика (специалитет)</t>
  </si>
  <si>
    <t>160703 Динамика полета и управление движением летательных аппаратов (специалитет)</t>
  </si>
  <si>
    <t>160801 Ракетостроение (специалитет)</t>
  </si>
  <si>
    <t>160802 Космические летательные аппараты и разгонные блоки (специалитет)</t>
  </si>
  <si>
    <t>160803 Стартовые и технические комплексы ракет и космических аппаратов (специалитет)</t>
  </si>
  <si>
    <t>160804 Системы жизнеобеспечения и защиты ракетно-космических аппаратов (специалитет)</t>
  </si>
  <si>
    <t>160900 Эксплуатация и испытания авиационной и космической техники (бакалавриат)</t>
  </si>
  <si>
    <t>162300 Техническая эксплуатация летательных аппаратов и двигателей (бакалавриат)</t>
  </si>
  <si>
    <t>25.03.01 Техническая эксплуатация летательных аппаратов и двигателей (бакалавриат)</t>
  </si>
  <si>
    <t>160901 Техническая эксплуатация летательных аппаратов и двигателей (специалитет)</t>
  </si>
  <si>
    <t>160903 Техническая эксплуатация авиационных электросистем и пилотажно-навигационных комплексов (специалитет)</t>
  </si>
  <si>
    <t>162500 Техническая эксплуатация авиационных электросистем и пилотажно-навигационных комплексов (бакалавриат)</t>
  </si>
  <si>
    <t>25.03.02 Техническая эксплуатация авиационных электросистем и пилотажно-навигационных комплексов (бакалавриат)</t>
  </si>
  <si>
    <t>180100 Кораблестроение и океанотехника (бакалавриат)</t>
  </si>
  <si>
    <t>180000 Морская техника</t>
  </si>
  <si>
    <t>180100 Кораблестроение, океанотехника и системотехника объектов морской инфраструктуры (бакалавриат)</t>
  </si>
  <si>
    <t>26.03.02 Кораблестроение, океанотехника и системотехника объектов морской инфраструктуры (бакалавриат)</t>
  </si>
  <si>
    <t>26.00.00 Техника и технологии кораблестроения и водного транспорта</t>
  </si>
  <si>
    <t>180800 Корабельное вооружение (бакалавриат)</t>
  </si>
  <si>
    <t>17.03.01 Корабельное вооружение (бакалавриат)</t>
  </si>
  <si>
    <t>17.00.00 Оружие и системы вооружения</t>
  </si>
  <si>
    <t>180101 Кораблестроение (специалитет)</t>
  </si>
  <si>
    <t>180103 Судовые энергетические установки (специалитет)</t>
  </si>
  <si>
    <t>180104 Судовое оборудование (специалитет)</t>
  </si>
  <si>
    <t>180105 Техническая эксплуатация судов и судового оборудования (специалитет)</t>
  </si>
  <si>
    <t>180106 Океанотехника (специалитет)</t>
  </si>
  <si>
    <t>180201 Системы электроэнергетики и автоматизации судов (специалитет)</t>
  </si>
  <si>
    <t>180202 Системотехника объектов морской инфраструктуры (специалитет)</t>
  </si>
  <si>
    <t>180301 Морская акустика и гидрофизика (специалитет)</t>
  </si>
  <si>
    <t>180302 Подводная техника (специалитет)</t>
  </si>
  <si>
    <t>180303 Автоматические системы управления морской техникой (специалитет)</t>
  </si>
  <si>
    <t>180304 Морские информационные системы и оборудование (специалитет)</t>
  </si>
  <si>
    <t>180305 Корабельные автоматизированные комплексы и информационно-управляющие системы (специалитет)</t>
  </si>
  <si>
    <t>180401 Гидрография и навигационное обеспечение судоходства (специалитет)</t>
  </si>
  <si>
    <t>180500 Управление водным транспортом и гидрографическое обеспечение судоходства (бакалавриат)</t>
  </si>
  <si>
    <t>26.03.01 Управление водным транспортом и гидрографическое обеспечение судоходства (бакалавриат)</t>
  </si>
  <si>
    <t>190100 Наземные транспортные системы (бакалавриат)</t>
  </si>
  <si>
    <t>190000 Транспортные средства</t>
  </si>
  <si>
    <t>190100 Наземные транспортно-технологические комплексы (бакалавриат)</t>
  </si>
  <si>
    <t>23.03.02 Наземные транспортно-технологические комплексы (бакалавриат)</t>
  </si>
  <si>
    <t>23.00.00 Техника и технологии наземного транспорта</t>
  </si>
  <si>
    <t>190201 Автомобиле- и тракторостроение (специалитет)</t>
  </si>
  <si>
    <t>190202 Многоцелевые гусеничные и колесные машины (специалитет)</t>
  </si>
  <si>
    <t>190203 Транспортные комплексы ракетной техники (специалитет)</t>
  </si>
  <si>
    <t>190204 Средства аэродромно-технического обеспечения полетов авиации (специалитет)</t>
  </si>
  <si>
    <t>190205 Подъемно-транспортные, строительные, дорожные машины и оборудование (специалитет)</t>
  </si>
  <si>
    <t>190206 Сельскохозяйственные машины и оборудование (специалитет)</t>
  </si>
  <si>
    <t>190207 Машины и оборудование природообустройства и защиты окружающей среды (специалитет)</t>
  </si>
  <si>
    <t>190500 Эксплуатация транспортных средств (бакалавриат)</t>
  </si>
  <si>
    <t>190600 Эксплуатация транспортно-технологических машин и комплексов (бакалавриат)</t>
  </si>
  <si>
    <t>23.03.03 Эксплуатация транспортно-технологических машин и комплексов (бакалавриат)</t>
  </si>
  <si>
    <t>190700 Технология транспортных процессов (бакалавриат)</t>
  </si>
  <si>
    <t>23.03.01 Технология транспортных процессов (бакалавриат)</t>
  </si>
  <si>
    <t>190601 Автомобили и автомобильное хозяйство (специалитет)</t>
  </si>
  <si>
    <t>190602 Эксплуатация перегрузочного оборудования портов и транспортных терминалов (специалитет)</t>
  </si>
  <si>
    <t>190603 Сервис транспортных и технологических машин и оборудования (по отраслям) (специалитет)</t>
  </si>
  <si>
    <t>190701 Организация перевозок и управление на транспорте (по видам) (специалитет)</t>
  </si>
  <si>
    <t>190702 Организация и безопасность движения (специалитет)</t>
  </si>
  <si>
    <t>200100 Приборостроение (бакалавриат)</t>
  </si>
  <si>
    <t>200000 Приборостроение и оптотехника</t>
  </si>
  <si>
    <t>12.03.01 Приборостроение (бакалавриат)</t>
  </si>
  <si>
    <t>12.00.00 Фотоника, приборостроение, оптические и биотехнические системы и технологии</t>
  </si>
  <si>
    <t>200101 Приборостроение (специалитет)</t>
  </si>
  <si>
    <t>200000 Приборостроение и ото техника</t>
  </si>
  <si>
    <t>200102 Приборы и методы контроля качества и диагностики (специалитет)</t>
  </si>
  <si>
    <t>200103 Авиационные приборы и измерительно-вычислительные комплексы (специалитет)</t>
  </si>
  <si>
    <t>200105 Акустические приборы и системы (специалитет)</t>
  </si>
  <si>
    <t>200106 Информационно-измерительная техника и технологии (специалитет)</t>
  </si>
  <si>
    <t>200107 Технология приборостроения (специалитет)</t>
  </si>
  <si>
    <t>200200 Оптотехника (бакалавриат)</t>
  </si>
  <si>
    <t>200400 Оптотехника (бакалавриат)</t>
  </si>
  <si>
    <t>12.03.02 Оптотехника (бакалавриат)</t>
  </si>
  <si>
    <t>200500 Лазерная техника и лазерные технологии (бакалавриат)</t>
  </si>
  <si>
    <t>12.03.05 Лазерная техника и лазерные технологии (бакалавриат)</t>
  </si>
  <si>
    <t>200201 Лазерная техника и лазерные технологии (специалитет)</t>
  </si>
  <si>
    <t>200202 Лазерные системы в ракетной технике и космонавтике (специалитет)</t>
  </si>
  <si>
    <t>200203 Оптико-электронные приборы и системы (специалитет)</t>
  </si>
  <si>
    <t>2011204 Оптические технологии и материалы (специалитет)</t>
  </si>
  <si>
    <t>200206 Приборы и системы лучевой энергетики (специалитет)</t>
  </si>
  <si>
    <t>200700 Фотоника и оптоинформатика (бакалавриат)</t>
  </si>
  <si>
    <t>12.03.03 Фотоника и оптоинформатика (бакалавриат)</t>
  </si>
  <si>
    <t>200300 Биомедицинская инженерия (бакалавриат)</t>
  </si>
  <si>
    <t>201000 Биотехнические системы и технологии (бакалавриат)</t>
  </si>
  <si>
    <t>12.03.04 Биотехнические системы и технологии (бакалавриат)</t>
  </si>
  <si>
    <t>200401 Биотехнические и медицинские аппараты и системы (специалитет)</t>
  </si>
  <si>
    <t>200402 Инженерное дело в медико-биологической практике (специалитет)</t>
  </si>
  <si>
    <t>200500 Метрология, стандартизация и сертификация (бакалавриат)</t>
  </si>
  <si>
    <t>221700 Стандартизация и метрология (бакалавриат)</t>
  </si>
  <si>
    <t>27.03.01 Стандартизация и метрология (бакалавриат)</t>
  </si>
  <si>
    <t>27.00.00 Управление в технических системах</t>
  </si>
  <si>
    <t>200501 Метрология и метрологическое обеспечение (специалитет)</t>
  </si>
  <si>
    <t>200503 Стандартизация и сертификация (специалитет)</t>
  </si>
  <si>
    <t>200600 Фотоника и оптоинформатика (бакалавриат)</t>
  </si>
  <si>
    <t>210100 Электроника и микроэлектроника (бакалавриат)</t>
  </si>
  <si>
    <t>210000 Электронная техника, радиотехника и связь</t>
  </si>
  <si>
    <t>210100 Электроника и наноэлектроника (бакалавриат)</t>
  </si>
  <si>
    <t>11.03.04 Электроника и наноэлектроника (бакалавриат)</t>
  </si>
  <si>
    <t>11.00.00 Электроника, радиотехника и системы связи</t>
  </si>
  <si>
    <t>210101 Физическая электроника (специалитет)</t>
  </si>
  <si>
    <t>210102 Светотехника и источники света (специалитет)</t>
  </si>
  <si>
    <t>210103 Квантовая и оптическая электроника (специалитет)</t>
  </si>
  <si>
    <t>210104 Микроэлектроника и твердотельная электроника (специалитет)</t>
  </si>
  <si>
    <t>210105 Электронные приборы и устройства (специалитет)</t>
  </si>
  <si>
    <t>210106 Промышленная электроника (специалитет)</t>
  </si>
  <si>
    <t>210107 Электронное машиностроение (специалитет)</t>
  </si>
  <si>
    <t>210108 Микросистемная техника (специалитет)</t>
  </si>
  <si>
    <t>222900 Нанотехнологии и микросистемная техника (бакалавриат)</t>
  </si>
  <si>
    <t>28.03.01 Нанотехнологии и микросистемная техника (бакалавриат)</t>
  </si>
  <si>
    <t>28.00.00 Нанотехнологии и наноматериалы</t>
  </si>
  <si>
    <t>210200 Проектирование и технология электронных средств (бакалавриат)</t>
  </si>
  <si>
    <t>211000 Конструирование и технология электронных средств (бакалавриат)</t>
  </si>
  <si>
    <t>11.03.03 Конструирование и технология электронных средств (бакалавриат)</t>
  </si>
  <si>
    <t>210201 Проецирование и технология радиоэлектронных средств (специалитет)</t>
  </si>
  <si>
    <t>210202 Проектирование и технология электронно-вычислительных средств (специалитет)</t>
  </si>
  <si>
    <t>210300 Радиотехника (бакалавриат)</t>
  </si>
  <si>
    <t>210400 Радиотехника (бакалавриат)</t>
  </si>
  <si>
    <t>11.03.01 Радиотехника (бакалавриат)</t>
  </si>
  <si>
    <t>210301 Радиофизика и электроника (специалитет)</t>
  </si>
  <si>
    <t>210302 Радиотехника (специалитет)</t>
  </si>
  <si>
    <t>210303 Бытовая и радиоэлектронная аппаратура (специалитет)</t>
  </si>
  <si>
    <t>210304 Радиоэлектронные системы (специалитет)</t>
  </si>
  <si>
    <t>210305 Средства радиоэлектронной борьбы (специалитет)</t>
  </si>
  <si>
    <t>210312 Аудиовизуальная техника (специалитет)</t>
  </si>
  <si>
    <t>210400 Телекоммуникации (бакалавриат)</t>
  </si>
  <si>
    <t>210700 Инфокоммуникационные технологии и системы связи (бакалавриат)</t>
  </si>
  <si>
    <t>11.03.02 Инфокоммуникационные технологии и системы связи (бакалавриат)</t>
  </si>
  <si>
    <t>210401 Физика и техника оптической связи (специалитет)</t>
  </si>
  <si>
    <t>210402 Средства связи с подвижными объектами (специалитет)</t>
  </si>
  <si>
    <t>210403 Защищенные системы связи (специалитет)</t>
  </si>
  <si>
    <t>210404 Многоканальные телекоммуникационные системы (специалитет)</t>
  </si>
  <si>
    <t>210405 Радиосвязь, радиовещание и телевидение (специалитет)</t>
  </si>
  <si>
    <t>210406 Сети связи и системы коммутации (специалитет)</t>
  </si>
  <si>
    <t>11.00.00 Электроника, радиотехника и системы</t>
  </si>
  <si>
    <t>210600 Нанотехнология (бакалавриат)</t>
  </si>
  <si>
    <t>152200 Наноинженерия (бакалавриат)</t>
  </si>
  <si>
    <t>28.03.02 Наноинженерия (бакалавриат)</t>
  </si>
  <si>
    <t>210601 Нанотехнология в электронике (специалитет)</t>
  </si>
  <si>
    <t>210602 Наноматериалы (специалитет)</t>
  </si>
  <si>
    <t>152100 Наноматериалы (бакалавриат)</t>
  </si>
  <si>
    <t>28.03.03 Наноматериалы (бакалавриат)</t>
  </si>
  <si>
    <t>220100 Системный анализ и управление (бакалавриат)</t>
  </si>
  <si>
    <t>27.03.03 Системный анализ и управление (бакалавриат)</t>
  </si>
  <si>
    <t>220101 Эргономика (специалитет)</t>
  </si>
  <si>
    <t>220200 Автоматизация и управление (бакалавриат)</t>
  </si>
  <si>
    <t>220400 Управление в технических системах (бакалавриат)</t>
  </si>
  <si>
    <t>27.03.04 Управление в технических системах (бакалавриат)</t>
  </si>
  <si>
    <t>221000 Мехатроника и робототехника (бакалавриат)</t>
  </si>
  <si>
    <t>15.03.06 Мехатроника и робототехника (бакалавриат)</t>
  </si>
  <si>
    <t>220201 Управление и информатика в технических системах (специалитет)</t>
  </si>
  <si>
    <t>220202 Корабельные системы управления (специалитет)</t>
  </si>
  <si>
    <t>220203 Автономные информационные и управляющие системы (специалитет)</t>
  </si>
  <si>
    <t>220301 Автоматизация технологических процессов и производств (по отраслям) (специалитет)</t>
  </si>
  <si>
    <t>220700 Автоматизация технологических процессов и производств (бакалавриат)</t>
  </si>
  <si>
    <t>15.03.04 Автоматизация технологических процессов и производств (бакалавриат)</t>
  </si>
  <si>
    <t>220305 Автоматизированное управление жизненным циклом продукции (специалитет)</t>
  </si>
  <si>
    <t>220306 Компьютерные системы управления качеством для автоматизированных производств (специалитет)</t>
  </si>
  <si>
    <t>220401 Мехатроника (специалитет)</t>
  </si>
  <si>
    <t>220402 Роботы и робототехнические системы (специалитет)</t>
  </si>
  <si>
    <t>220501 Управление качеством (специалитет)</t>
  </si>
  <si>
    <t>221400 Управление качеством (бакалавриат)</t>
  </si>
  <si>
    <t>27.03.02 Управление качеством (бакалавриат)</t>
  </si>
  <si>
    <t>220600 Инноватика (бакалавриат)</t>
  </si>
  <si>
    <t>222000 Инноватика (бакалавриат)</t>
  </si>
  <si>
    <t>27.03.05 Инноватика (бакалавриат)</t>
  </si>
  <si>
    <t>220601 Управление инновациями (специалитет)</t>
  </si>
  <si>
    <t>27.00.00 Управление в технических системах (бакалавриат)</t>
  </si>
  <si>
    <t>220701 Менеджмент высоких технологий (специалитет)</t>
  </si>
  <si>
    <t>230100 Информатика и вычислительная техника (бакалавриат)</t>
  </si>
  <si>
    <t>09.03.01 Информатика и вычислительная техника (бакалавриат)</t>
  </si>
  <si>
    <t>231000 Программная инженерия (бакалавриат)</t>
  </si>
  <si>
    <t>09.03.04 Программная инженерия (бакалавриат)</t>
  </si>
  <si>
    <t>230101 Вычислительные машины, комплексы, системы и сети (специалитет)</t>
  </si>
  <si>
    <t>230102 Автоматизированные системы обработки информации и управления (специалитет)</t>
  </si>
  <si>
    <t>230104 Системы ароматизированного проектирования (специалитет)</t>
  </si>
  <si>
    <t>230105 Программное обеспечение вычислительной техники и автоматизированных систем (специалитет)</t>
  </si>
  <si>
    <t>230200 Информационные системы (бакалавриат)</t>
  </si>
  <si>
    <t>230400 Информационные системы и технологии (бакалавриат)</t>
  </si>
  <si>
    <t>09.03.02 Информационные системы и технологии (бакалавриат)</t>
  </si>
  <si>
    <t>230201 Информационные системы и технологии (специалитет)</t>
  </si>
  <si>
    <t>230202 Информационные технологии в образовании (специалитет)</t>
  </si>
  <si>
    <t>230203 Информационные технологии в дизайне (специалитет)</t>
  </si>
  <si>
    <t>230204 Информационные технологии в медиаиндустрии (специалитет)</t>
  </si>
  <si>
    <t>230301 Моделирование и исследование операций в организационно-технических системах (специалитет)</t>
  </si>
  <si>
    <t>230401 Прикладная математика (специалитет)</t>
  </si>
  <si>
    <t>231300 Прикладная математика (бакалавриат)</t>
  </si>
  <si>
    <t>01.03.04 Прикладная математика (бакалавриат)</t>
  </si>
  <si>
    <t>240100 Химическая технология и биотехнология (бакалавриат)</t>
  </si>
  <si>
    <t>240000 Химическая и биотехнологии</t>
  </si>
  <si>
    <t>240100 Химическая технология (бакалавриат)</t>
  </si>
  <si>
    <t>18.03.01 Химическая технология (бакалавриат)</t>
  </si>
  <si>
    <t>18.00.00 Химические технологии</t>
  </si>
  <si>
    <t>240201 Технология и оборудование производства химических волокон композиционных материалов на их основе (специалитет)</t>
  </si>
  <si>
    <t>240202 Химическая технология и оборудование отделочного производства (специалитет)</t>
  </si>
  <si>
    <t>240301 Химическая технология неорганических веществ (специалитет)</t>
  </si>
  <si>
    <t>240302 Технология электрохимических производств (специалитет)</t>
  </si>
  <si>
    <t>240304 Химическая технология тугоплавких неметаллических и силикатных материалов (специалитет)</t>
  </si>
  <si>
    <t>240306 Химическая технология монокристаллов, материалов и изделий электронной техники (специалитет)</t>
  </si>
  <si>
    <t>240307 Технология среда в химической защиты (специалитет)</t>
  </si>
  <si>
    <t>240401 Химическая технология органических веществ (специалитет)</t>
  </si>
  <si>
    <t>240402 Химическая технология синтетических биологических активных веществ (специалитет)</t>
  </si>
  <si>
    <t>240403 Химическая технология природных энергоносителей и углеродных материалов (специалитет)</t>
  </si>
  <si>
    <t>240406 Технология химической переработки древесины (специалитет)</t>
  </si>
  <si>
    <t>240501 Химическая технология высокомолекулярных соединений (специалитет)</t>
  </si>
  <si>
    <t>240502 Технология переработки пластических масс и эластомеров (специалитет)</t>
  </si>
  <si>
    <t>240504 Технология кинофотоматериалов и магнитных носителей (специалитет)</t>
  </si>
  <si>
    <t>240603 Химическая технология редких элементов и материалов на их основе (специалитет)</t>
  </si>
  <si>
    <t>240801 Машины и аппараты химических производств (специалитет)</t>
  </si>
  <si>
    <t>241000 Энерго- и ресурсосберегающие процессы в химической технологии, нефтехимии и биотехнологии (бакалавриат)</t>
  </si>
  <si>
    <t>18.03.02 Энерго - и ресурсосберегающие процессы в химической технологии, нефтехимии и биотехнологии (бакалавриат)</t>
  </si>
  <si>
    <t>240802 Основные процессы химических производств и химическая кибернетика (специалитет)</t>
  </si>
  <si>
    <t>240803 Рациональное использование материальных и энергетических ресурсов (специалитет)</t>
  </si>
  <si>
    <t>240901 Биотехнология (специалитет)</t>
  </si>
  <si>
    <t>240700 Биотехнология (бакалавриат)</t>
  </si>
  <si>
    <t>240000 Химическая и биотехнологии (бакалавриат)</t>
  </si>
  <si>
    <t>19.03.01 Биотехнология (бакалавриат)</t>
  </si>
  <si>
    <t>19.00.00 Промышленная экология и биотехнологии</t>
  </si>
  <si>
    <t>240902 Пищевая биотехнология (специалитет)</t>
  </si>
  <si>
    <t>19.00.00 Промышленная экология и биотехнология</t>
  </si>
  <si>
    <t>250100 Лесное дело (бакалавриат)</t>
  </si>
  <si>
    <t>250000 Воспроизводство и переработка лесных ресурсов</t>
  </si>
  <si>
    <t>35.03.01 Лесное дело (бакалавриат)</t>
  </si>
  <si>
    <t>250201 Лесное хозяйство (специалитет)</t>
  </si>
  <si>
    <t>250203 Садово-парковое строительство (специалитет)</t>
  </si>
  <si>
    <t>250700 Ландшафтная архитектура (бакалавриат)</t>
  </si>
  <si>
    <t>35.03.10 Ландшафтная архитектура (бакалавриат)</t>
  </si>
  <si>
    <t>250300 Технология и оборудование лесозаготовительных и деревообрабатывающих производств (бакалавриат)</t>
  </si>
  <si>
    <t>250400 Технология лесозаготовительных и деревоперерабатывающих производств (бакалавриат)</t>
  </si>
  <si>
    <t>35.03.02 Технология лесозаготовительных и деревоперерабатывающих производств (бакалавриат)</t>
  </si>
  <si>
    <t>250401 Лесоинженерное дело (специалитет)</t>
  </si>
  <si>
    <t>35.03.02 Технология лесозаготовительных и деревоперерабатывающих производств в (бакалавриат)</t>
  </si>
  <si>
    <t>250403 Технология деревообработки (специалитет)</t>
  </si>
  <si>
    <t>260100 Технология продуктов питания (бакалавриат)</t>
  </si>
  <si>
    <t>260000 Технология продовольственных продуктов и потребительских товаров</t>
  </si>
  <si>
    <t>260100 Продукты питания из растительного сырья (бакалавриат)</t>
  </si>
  <si>
    <t>19.03.02 Продукты питания из растительного сырья (бакалавриат)</t>
  </si>
  <si>
    <t>260200 Продукты питания животного происхождения (бакалавриат)</t>
  </si>
  <si>
    <t>19.03.03 Продукты питания животного происхождения (бакалавриат)</t>
  </si>
  <si>
    <t>260201 Технология хранения и переработки зерна (специалитет)</t>
  </si>
  <si>
    <t>260202 Технология хлеба, кондитерских и макаронных изделий (специалитет)</t>
  </si>
  <si>
    <t>260203 Технология сахаристых продуктов (специалитет)</t>
  </si>
  <si>
    <t>260204 Технология бродильных производств и виноделие (специалитет)</t>
  </si>
  <si>
    <t>260301 Технология мяса и мясных продуктов (специалитет)</t>
  </si>
  <si>
    <t>260302 Технология рыбы и рыбных продуктов (специалитет)</t>
  </si>
  <si>
    <t>260303 Технология молока и молочных продуктов (специалитет)</t>
  </si>
  <si>
    <t>260401 Технология жиров, эфирных масел и парфюмерно-косметических продуктов (специалитет)</t>
  </si>
  <si>
    <t>260501 Технология продуктов общественного питания (специалитет)</t>
  </si>
  <si>
    <t>260800 Технология продукции и организация общественного питания (бакалавриат)</t>
  </si>
  <si>
    <t>19.03.04 Технология продукции и организация общественного питания (бакалавриат)</t>
  </si>
  <si>
    <t>260503 Технология субтропических и пищевкусовых продуктов (специалитет)</t>
  </si>
  <si>
    <t>260504 Технология консервов и пищеконцентратов (специалитет)</t>
  </si>
  <si>
    <t>260505 Технология детского и функционального питания (специалитет)</t>
  </si>
  <si>
    <t>260601 Машины и аппараты пищевых производств (специалитет)</t>
  </si>
  <si>
    <t>260602 Пищевая инженерия малых предприятий (специалитет)</t>
  </si>
  <si>
    <t>260700 Технология и проектирование текстильных изделий (бакалавриат)</t>
  </si>
  <si>
    <t>261100 Технологии и проектирование текстильных изделий (бакалавриат)</t>
  </si>
  <si>
    <t>260000 Технология продовольственных продуктов потребительских товаров</t>
  </si>
  <si>
    <t>29.03.02 Технологии и проектирование текстильных изделий (бакалавриат)</t>
  </si>
  <si>
    <t>29.00.00 Технологии легкой промышленности</t>
  </si>
  <si>
    <t>260701 Технология и оборудование производства натуральных волокон (специалитет)</t>
  </si>
  <si>
    <t>260703 Проектирование текстильных изделий (специалитет)</t>
  </si>
  <si>
    <t>260704 Технология текстильных изделий (специалитет)</t>
  </si>
  <si>
    <t>260800 Технология, конструирование изделий и материалы легкой промышленности (бакалавриат)</t>
  </si>
  <si>
    <t>262000 Технология изделий легкой промышленности (бакалавриат)</t>
  </si>
  <si>
    <t>260000 Конструирование продовольственных продуктов и потребительских товаров</t>
  </si>
  <si>
    <t>29.03.01 Технология изделий легкой промышленности (бакалавриат)</t>
  </si>
  <si>
    <t>29.03.05 Конструирование изделий легкой промышленности (бакалавриат)</t>
  </si>
  <si>
    <t>260901 Технология швейных изделий (специалитет)</t>
  </si>
  <si>
    <t>260902 Конструирование швейных изделий (специалитет)</t>
  </si>
  <si>
    <t>262200 Конструирование изделий легкой промышленности</t>
  </si>
  <si>
    <t>29.03.05 Конструирование изделий легкой промышленности</t>
  </si>
  <si>
    <t>260904 Технология кожи и меха (специалитет)</t>
  </si>
  <si>
    <t>260905 Технология изделий из кожи (специалитет)</t>
  </si>
  <si>
    <t>260906 Конструирование изделий из кожи (специалитет)</t>
  </si>
  <si>
    <t>262200 Конструирование изделий легкой промышленности (бакалавриат)</t>
  </si>
  <si>
    <t>261001 Технология художественной обработки материалов (специалитет)</t>
  </si>
  <si>
    <t>261400 Технология художественной обработки материалов (бакалавриат)</t>
  </si>
  <si>
    <t>29.03.04 Технология художественной обработки материалов (бакалавриат)</t>
  </si>
  <si>
    <t>261002 Технология обработки драгоценных камней и металлов (специалитет)</t>
  </si>
  <si>
    <t>261100 Полиграфия (бакалавриат)</t>
  </si>
  <si>
    <t>261700 Технология полиграфического и упаковочного производства (бакалавриат)</t>
  </si>
  <si>
    <t>29.03.03 Технология полиграфического и упаковочного производства (бакалавриат)</t>
  </si>
  <si>
    <t>261201 Технология и дизайн упаковочного производства (специалитет)</t>
  </si>
  <si>
    <t>Технология полиграфического и упаковочного производства (бакалавриат)</t>
  </si>
  <si>
    <t>261202 Технология полиграфического производства (специалитет)</t>
  </si>
  <si>
    <t>270100 Строительство (бакалавриат)</t>
  </si>
  <si>
    <t>270800 Строительство (бакалавриат)</t>
  </si>
  <si>
    <t>08.03.01 Строительство (бакалавриат)</t>
  </si>
  <si>
    <t>08.00.00 Техника и технологии строительства</t>
  </si>
  <si>
    <t>270101 Механическое оборудование и технологические комплексы предприятий строительных материалов, изделий и конструкций (специалитет)</t>
  </si>
  <si>
    <t>270102 Промышленное и гражданское строительство (специалитет)</t>
  </si>
  <si>
    <t>270104 Гидротехническое строительство (специалитет)</t>
  </si>
  <si>
    <t>270105 Городское строительство и хозяйство (специалитет)</t>
  </si>
  <si>
    <t>270106 Производство строительных материалов, изделий и конструкций (специалитет)</t>
  </si>
  <si>
    <t>270109 Теплогазоснабжение и вентиляция (специалитет)</t>
  </si>
  <si>
    <t>270112 Водоснабжение и водоотведение (специалитет)</t>
  </si>
  <si>
    <t>270113 Механизация и автоматизация строительства (специалитет)</t>
  </si>
  <si>
    <t>270114 Проектирование зданий (специалитет)</t>
  </si>
  <si>
    <t>270115 Экспертиза и управление недвижимостью (специалитет)</t>
  </si>
  <si>
    <t>270201 Мосты и транспортные тоннели (специалитет)</t>
  </si>
  <si>
    <t>270205 Автомобильные дороги и аэродромы (специалитет)</t>
  </si>
  <si>
    <t>270300 Архитектура (бакалавриат)</t>
  </si>
  <si>
    <t>270301 Архитектура (специалитет)</t>
  </si>
  <si>
    <t>270302 Дизайн архитектурной среды (специалитет)</t>
  </si>
  <si>
    <t>270300 Дизайн архитектурной среды (бакалавриат)</t>
  </si>
  <si>
    <t>07.03.03 Дизайн архитектурной среды (бакалавриат)</t>
  </si>
  <si>
    <t>270303 Реставрация и реконструкция архитектурного наследия (специалитет)</t>
  </si>
  <si>
    <t>270200 Реконструкция и реставрация архитектурного наследия (бакалавриат)</t>
  </si>
  <si>
    <t>07.03.02 Реконструкция и реставрация архитектурного наследия (бакалавриат)</t>
  </si>
  <si>
    <t>270400 Градостроительство (бакалавриат)</t>
  </si>
  <si>
    <t>270900 Градостроительство (бакалавриат)</t>
  </si>
  <si>
    <t>07.03.04 Градостроительство (бакалавриат)</t>
  </si>
  <si>
    <t>280101 Безопасность жизнедеятельности в техносфере (специалитет)</t>
  </si>
  <si>
    <t>280700 Техносферная безопасность (бакалавриат)</t>
  </si>
  <si>
    <t>20.03.01 Техносферная безопасность (бакалавриат)</t>
  </si>
  <si>
    <t>20.00.00 Техносферная безопасность и природообустройство</t>
  </si>
  <si>
    <t>280102 Безопасность технологических процессов и производств (специалитет)</t>
  </si>
  <si>
    <t>280103 Защита в чрезвычайных ситуациях (специалитет)</t>
  </si>
  <si>
    <t>280104 Пожарная безопасность (специалитет)</t>
  </si>
  <si>
    <t>280200 Защита окружающей среды (бакалавриат)</t>
  </si>
  <si>
    <t>280201 Охрана окружающей среды и рациональное использование природных ресурсов (специалитет)</t>
  </si>
  <si>
    <t>18.03.02 Энерго- и ресурсосберегающие процессы в химической технологии, нефтехимии и биотехнологии (бакалавриат)</t>
  </si>
  <si>
    <t>280202 Инженерная защита окружающей среды (специалитет)</t>
  </si>
  <si>
    <t>280301 Инженерные системы сельскохозяйственного водоснабжения, обводнения и водоотведения (специалитет)</t>
  </si>
  <si>
    <t>280100 Природообустройство и водопользование (бакалавриат)</t>
  </si>
  <si>
    <t>20.03.02 Природообустройство и водопользование (бакалавриат)</t>
  </si>
  <si>
    <t>280302 Комплексное использование и охрана водных ресурсов (специалитет)</t>
  </si>
  <si>
    <t>280400 Природообустройство (бакалавриат)</t>
  </si>
  <si>
    <t>280401 Мелиорация, рекультивация и охрана земель (специалитет)</t>
  </si>
  <si>
    <t>280402 Природоохранное обустройство территорий (специалитет)</t>
  </si>
  <si>
    <t>Приложение
к письму Министерства образования
и науки Российской Федерации
от 24.06.20144 г. № АК-1666/05</t>
  </si>
  <si>
    <t>070105 Дирижирование (по видам исполнительских коллективов: дирижирование оперно-симфоническим оркестром; дирижирование академическим хором; дирижирование народным хором) (специалитет)</t>
  </si>
  <si>
    <t>070103 Вокальное искусство (по видам вокального искусства: академическое пение; народное пение) (специалитет)</t>
  </si>
  <si>
    <t>070108 Музыкальное искусство эстрады (по видам эстрадного искусства: инструменты эстрадного оркестра; эстрадно-джазовое пение) (специалитет)</t>
  </si>
  <si>
    <t>код и направление подготовки2</t>
  </si>
  <si>
    <t>УГСН3</t>
  </si>
  <si>
    <t>010701 Фундаментальная математика и механика (специалитет)</t>
  </si>
  <si>
    <t>01.05.01 Фундаментальная математика и механика (специалитет)</t>
  </si>
  <si>
    <t>010702 Астрономия (специалитет)</t>
  </si>
  <si>
    <t>011501 Астрономия (специалитет)</t>
  </si>
  <si>
    <t>03.05.01 Астрономия</t>
  </si>
  <si>
    <t>01.05.01 Фундаментальные математика и механика (специалитет)</t>
  </si>
  <si>
    <t>020201 Фундаментальная и прикладная химия (специалитет)</t>
  </si>
  <si>
    <t>04.05.01 Фундаментальная и прикладная химия (специалитет)</t>
  </si>
  <si>
    <t>020210 Биоинженерия и биоинформатика (специалитет)</t>
  </si>
  <si>
    <t>020501 Биоинженерия и биоинформатика (специалитет)</t>
  </si>
  <si>
    <t>06.05.01 Биоинженерия и биоинформатика (специалитет)</t>
  </si>
  <si>
    <t>021302 Военная картография (бакалавриат)</t>
  </si>
  <si>
    <t>021605 Метеорология специального назначения (специалитет)</t>
  </si>
  <si>
    <t>02.04.00 Биология (бакалавриат)</t>
  </si>
  <si>
    <t>020801 Экология</t>
  </si>
  <si>
    <t>020803 Биоэкология (специалитет)</t>
  </si>
  <si>
    <t>030301 Психология служебной деятельности (специалитет)</t>
  </si>
  <si>
    <t>37.05.02 Психология служебной деятельности (специалитет)</t>
  </si>
  <si>
    <t>030302 Клиническая психология (специалитет)</t>
  </si>
  <si>
    <t>030401 Клиническая психология (специалитет)</t>
  </si>
  <si>
    <t>37.05.01 Клиническая психология (специалитет)</t>
  </si>
  <si>
    <t>030901 Правовое обеспечение национальной безопасности (специалитет)</t>
  </si>
  <si>
    <t>40.05.01 Правовое обеспечение национальной безопасности (специалитет)</t>
  </si>
  <si>
    <t>031001 Правоохранительная деятельность (специалитет)</t>
  </si>
  <si>
    <t>40.05.02 Правоохранительная деятельность (специалитет)</t>
  </si>
  <si>
    <t>290101 Пограничная деятельность (специалитет)</t>
  </si>
  <si>
    <t>290000 Военное образование</t>
  </si>
  <si>
    <t>030502 Судебная экспертиза (специалитет)</t>
  </si>
  <si>
    <t>031003 Судебная экспертиза (специалитет)</t>
  </si>
  <si>
    <t>40.05.03 Судебная экспертиза (специалитет)</t>
  </si>
  <si>
    <t>030505 Правоохранительная деятельность (специалитет)</t>
  </si>
  <si>
    <t>031301 Военная журналистика (специалитет)</t>
  </si>
  <si>
    <t>030801 Востоковедение, африканистка (специалитет)</t>
  </si>
  <si>
    <t>035701 Перевод и переводоведение (специалитет)</t>
  </si>
  <si>
    <t>45.05.01 Перевод и переводоведение (специалитет)</t>
  </si>
  <si>
    <t>030000 Гуманитарные (специалитет) науки</t>
  </si>
  <si>
    <t>034301 Служебно-прикладная физическая подготовка (специалитет)</t>
  </si>
  <si>
    <t>41.00.00 Политические науки и религиоведение</t>
  </si>
  <si>
    <t>040104 Организация работы с молодежью (специалитет)</t>
  </si>
  <si>
    <t>040000 Социальные и науки</t>
  </si>
  <si>
    <t>050202 Информатика, (специалитет)</t>
  </si>
  <si>
    <t>050401 История (специалист)</t>
  </si>
  <si>
    <t>44.03.05 Педагогическое образование (с двумя профилями подготовки) (бакалавриат</t>
  </si>
  <si>
    <t>050407 Педагогика и психология девиантного поведения (специалитет)</t>
  </si>
  <si>
    <t>44.05.01 Педагогика и психология девиантного поведения (специалитет)</t>
  </si>
  <si>
    <t>44.00.00 Образование и педагогические пауки</t>
  </si>
  <si>
    <t>060101 Лечебное дело (специалитет)</t>
  </si>
  <si>
    <t>31.05.01 Лечебное дело (специалитет)</t>
  </si>
  <si>
    <t>31.00.00 Клиническая медицина</t>
  </si>
  <si>
    <t>060103 Педиатрия (специалитет)</t>
  </si>
  <si>
    <t>31.05.02 Педиатрия (специалитет)</t>
  </si>
  <si>
    <t>060104 Медико-профилактическое дело (специалитет)</t>
  </si>
  <si>
    <t>060105 Медико-профилактическое дело (специалитет)</t>
  </si>
  <si>
    <t>32.05.01 Медико-профилактическое дело (специалитет)</t>
  </si>
  <si>
    <t>32.00.00 Науки о здоровье и профилактическая медицина</t>
  </si>
  <si>
    <t>060201 Стоматология (специалитет)</t>
  </si>
  <si>
    <t>31.05.03 Стоматология (специалитет)</t>
  </si>
  <si>
    <t>060108 Фармация (специалитет)</t>
  </si>
  <si>
    <t>060301 Фармация (специалитет)</t>
  </si>
  <si>
    <t>33.05.01 Фармация (специалитет)</t>
  </si>
  <si>
    <t>33.00.00 Фармация</t>
  </si>
  <si>
    <t>060112 Медицинская биохимия (специалитет)</t>
  </si>
  <si>
    <t>060601 Медицинская биохимия (специалитет)</t>
  </si>
  <si>
    <t>30.05.01 Медицинская биохимия (специалитет)</t>
  </si>
  <si>
    <t>30.00.00 Фундаментальная медицина</t>
  </si>
  <si>
    <t>060113 Медицинская биофизика (специалитет)</t>
  </si>
  <si>
    <t>060602 Медицинская биофизика (специалитет)</t>
  </si>
  <si>
    <t>30.05.02 Медицинская биофизика (специалитет)</t>
  </si>
  <si>
    <t>060114 Медицинская кибернетика (специалитет)</t>
  </si>
  <si>
    <t>060609 Медицинская кибернетика (специалитет)</t>
  </si>
  <si>
    <t>30.05.03 Медицинская кибернетика (специалитет)</t>
  </si>
  <si>
    <t>073201 Искусство концертного исполнительства (специалитет)</t>
  </si>
  <si>
    <t>53.05.01 Искусство концертного исполнительства (специалитет)</t>
  </si>
  <si>
    <t>070201 Музыкально-театральное искусство (специалитет)</t>
  </si>
  <si>
    <t>53.05.04 Музыкально-театральное искусство (специалитет)</t>
  </si>
  <si>
    <t>070105 Дирижирование (по видам исполнительских коллективов: дирижирование оперно-симфоническим оркестром; дирижирование академическим хором; дирижирование народным хором; (специалитет)</t>
  </si>
  <si>
    <t>073301 Художественное руководство симфоническим оркестром и академическим хором (специалитет)</t>
  </si>
  <si>
    <t>53.05.02 Художественное руководство симфоническим оркестром и академическим хором (специалитет)</t>
  </si>
  <si>
    <t>073507 Дирижирование военным духовым оркестром (специалитет)</t>
  </si>
  <si>
    <t>53.05.07 Дирижирование военным духовым оркестром (специалитет)</t>
  </si>
  <si>
    <t>070107 Композиция (специалитет)</t>
  </si>
  <si>
    <t>072801 Композиция (специалитет)</t>
  </si>
  <si>
    <t>53.05.06 Композиция (специалитет)</t>
  </si>
  <si>
    <t>070110 Музыкальная звукорежиссура (специалитет)</t>
  </si>
  <si>
    <t>070702 Музыкальная звукорежиссура (специалитет)</t>
  </si>
  <si>
    <t>53.05.03 Музыкальная звукорежиссура (специалитет)</t>
  </si>
  <si>
    <t>072901 Музыковедение (специалитет)</t>
  </si>
  <si>
    <t>53.05.05 Музыковедение (специалитет)</t>
  </si>
  <si>
    <t>070112 Этномузыкология (специалитет) искусство</t>
  </si>
  <si>
    <t>070201 Актерское искусство (специалитет)</t>
  </si>
  <si>
    <t>070301 Актерское искусство (специалитет)</t>
  </si>
  <si>
    <t>52.05.01 Актерское искусство (специалитет)</t>
  </si>
  <si>
    <t>070204 Режиссура театра (специалитет)</t>
  </si>
  <si>
    <t>070501 Режиссура театра (специалитет)</t>
  </si>
  <si>
    <t>52.05.02 Режиссура театра (специалитет)</t>
  </si>
  <si>
    <t>52.03.04 Технология художественного оформления спектакля (специалитет)</t>
  </si>
  <si>
    <t>070207 Сценография</t>
  </si>
  <si>
    <t>070401 Сценография (специалитет)</t>
  </si>
  <si>
    <t>52.05.03 Сценография (специалитет)</t>
  </si>
  <si>
    <t>070208 Звукорежиссура театрализованных представлений и праздников (специалитет)</t>
  </si>
  <si>
    <t>070703 Звукорежиссура культурно-массовых представлений и концертных программ (специалитет)</t>
  </si>
  <si>
    <t>51.05.01 Звукорежиссура культурно-массовых представлений и концертных программ (специалитет)</t>
  </si>
  <si>
    <t>074301 Продюсерство (специалитет)</t>
  </si>
  <si>
    <t>55.05.04 Продюсерство (специалитет)</t>
  </si>
  <si>
    <t>55.00.00 Экранные искусства</t>
  </si>
  <si>
    <t>070501 Реставрация (специалитет)</t>
  </si>
  <si>
    <t>071004 Монументально-декоративное искусство (специалитет)</t>
  </si>
  <si>
    <t>54.05.01 Монументально-декоративное искусство (специалитет)</t>
  </si>
  <si>
    <t>070901 Живопись (специалитет)</t>
  </si>
  <si>
    <t>071001 Живопись (специалитет)</t>
  </si>
  <si>
    <t>54.05.02 Живопись (специалитет)</t>
  </si>
  <si>
    <t>071005 Живопись и изящные искусства (специалитет)</t>
  </si>
  <si>
    <t>54.05.05 Живопись и изящные искусства (специалитет)</t>
  </si>
  <si>
    <t>070902 Графика (специалитет)</t>
  </si>
  <si>
    <t>071002 Графика (специалитет)</t>
  </si>
  <si>
    <t>54.05.03 Графика (специалитет)</t>
  </si>
  <si>
    <t>070903 Скульптура (специалитет)</t>
  </si>
  <si>
    <t>071003 Скульптура (специалитет)</t>
  </si>
  <si>
    <t>54.05.04 Скульптура (специалитет)</t>
  </si>
  <si>
    <t>070904 Монументально-декоративное искусство (специалитет)</t>
  </si>
  <si>
    <t>071001 Литературное творчество (специалитет)</t>
  </si>
  <si>
    <t>071101 Литературное творчество (специалитет)</t>
  </si>
  <si>
    <t>52.05.04 Литературное творчество (специалитет)</t>
  </si>
  <si>
    <t>071101 Режиссура кино и телевидения (специалитет)</t>
  </si>
  <si>
    <t>070601 Режиссура кино и телевидения (специалитет)</t>
  </si>
  <si>
    <t>55.05.01 Режиссура кино и телевидения (специалитет)</t>
  </si>
  <si>
    <t>071102 Режиссура мультимедиа программ (специалитет)</t>
  </si>
  <si>
    <t>071103 Продюсерство кино и телевидения (специалитет)</t>
  </si>
  <si>
    <t>071104 Звукорежиссура кино и телевидения (специалитет)</t>
  </si>
  <si>
    <t>070701 Звукорежиссура аудиовизуальных искусств (специалитет)</t>
  </si>
  <si>
    <t>55.05.02 Звукорежиссура аудиовизуальных искусств (специалитет)</t>
  </si>
  <si>
    <t>071105 Кинооператорство (специалитет)</t>
  </si>
  <si>
    <t>070901 Кинооператорство (специалитет)</t>
  </si>
  <si>
    <t>55.05.03 Кинооператорство (специалитет)</t>
  </si>
  <si>
    <t>071106 Киноведение (специалитет)</t>
  </si>
  <si>
    <t>074201 Киноведение (специалитет)</t>
  </si>
  <si>
    <t>55.05.05 Киноведение (специалитет)</t>
  </si>
  <si>
    <t>54.03.03 Искусство костюма текстиля (бакалавриат)</t>
  </si>
  <si>
    <t>080101 Экономическая безопасность (специалитет)</t>
  </si>
  <si>
    <t>38.05.01 Экономическая безопасность (специалитет)</t>
  </si>
  <si>
    <t>080107 Налоги и налогообложение</t>
  </si>
  <si>
    <t>080115 Таможенное дело (специалитет)</t>
  </si>
  <si>
    <t>036401 Таможенное дело (специалитет)</t>
  </si>
  <si>
    <t>38.05.02 Таможенное дело (специалитет)</t>
  </si>
  <si>
    <t>290301 Управление персоналом (Вооруженные Силы, другие войска, воинские формирования и приравненные к ним органы Российской Федерации) (специалитет)</t>
  </si>
  <si>
    <t>080225 Тыловое обеспечение (специалитет)</t>
  </si>
  <si>
    <t>090101 Криптография (специалитет)</t>
  </si>
  <si>
    <t>090102 Компьютерная безопасность (специалитет)</t>
  </si>
  <si>
    <t>090301 Компьютерная безопасность (специалитет)</t>
  </si>
  <si>
    <t>10.05.01 Компьютерная безопасность (специалитет)</t>
  </si>
  <si>
    <t>090303 Информационная безопасность автоматизированных систем (специалитет)</t>
  </si>
  <si>
    <t>10.05.03 Информационная безопасность автоматизированных систем (специалитет)</t>
  </si>
  <si>
    <t>090305 Информационно-аналитические системы безопасности (специалитет)</t>
  </si>
  <si>
    <t>10.05.04 Информационно-аналитические системы безопасности (специалитет)</t>
  </si>
  <si>
    <t>090915 Безопасность информационных технологий в правоохранительной сфере (специалитет)</t>
  </si>
  <si>
    <t>10.05.05 Безопасность информационных технологий в правоохранительной сфере (специалитет)</t>
  </si>
  <si>
    <t>090302 Информационная безопасность телекоммуникационных систем (специалитет)</t>
  </si>
  <si>
    <t>10.05.02 Информационная безопасность телекоммуникационных систем (специалитет)</t>
  </si>
  <si>
    <t>090107 Противодействие техническим разведкам (специалитет)</t>
  </si>
  <si>
    <t>090201 Противодействие техническим разведкам (специалитет)</t>
  </si>
  <si>
    <t>110305 Технология производства и</t>
  </si>
  <si>
    <t>переработки сельскохозяйственном продукции (специалитет)</t>
  </si>
  <si>
    <t>110900 Технология производства и</t>
  </si>
  <si>
    <t>переработки сельскохозяйственной продукции (бакалавриат)</t>
  </si>
  <si>
    <t>35.03.07 Технология производства и</t>
  </si>
  <si>
    <t>36.0.00 Ветеринария и зоотехника</t>
  </si>
  <si>
    <t>111201 Ветеринария (специалитет)</t>
  </si>
  <si>
    <t>111801 Ветеринария (специалитет)</t>
  </si>
  <si>
    <t>36.05.01 Ветеринария (специалитет)</t>
  </si>
  <si>
    <t>36.00.00 Ветеринария и зоотехния</t>
  </si>
  <si>
    <t>120101 Прикладная геодезия (специалитет)</t>
  </si>
  <si>
    <t>120401 Прикладная геодезия (специалитет)</t>
  </si>
  <si>
    <t>21.05.01 Прикладная геодезия (специалитет)</t>
  </si>
  <si>
    <t>21.00.00 Геодезия и дистанционное зондирование</t>
  </si>
  <si>
    <t>120201 Исследование природных ресурсов аэрокосмическими средствами (специалитет)</t>
  </si>
  <si>
    <t>120301 Землеустройство (специалитет)</t>
  </si>
  <si>
    <t>130201 Геофизические методы поисков и разведки месторождений полезных ископаемых (специалитет)</t>
  </si>
  <si>
    <t>130102 Технологии геологической разведки (специалитет)</t>
  </si>
  <si>
    <t>21.05.03 Технологии геологической разведки (специалитет)</t>
  </si>
  <si>
    <t>130202 Геофизические методы исследования скважин (специалитет)</t>
  </si>
  <si>
    <t>130203 Технология и техника разведки месторождений полезных ископаемых (специалитет)</t>
  </si>
  <si>
    <t>130301 Геологическая съемка, поиски и разведка месторождений полезных ископаемых (специалитет)</t>
  </si>
  <si>
    <t>130101 Прикладная геология (специалитет)</t>
  </si>
  <si>
    <t>21.05.02 Прикладная геология (специалитет)</t>
  </si>
  <si>
    <t>130302 Поиски и разведка подземных вод и инженерно-геологические изыскания (специалитет)</t>
  </si>
  <si>
    <t>130304 Геология нефти и газа (специалитет)</t>
  </si>
  <si>
    <t>130306 Прикладная геохимия, петрология, минералогия (специалитет)</t>
  </si>
  <si>
    <t>21.05.02 Прикладная теология (специалитет)</t>
  </si>
  <si>
    <t>130401 Физические процессы горного или нефтегазового производства (специалитет)</t>
  </si>
  <si>
    <t>131201 Физические процессы горного или нефтегазового производства (специалитет)</t>
  </si>
  <si>
    <t>21.05.05 Физические процессы горного или нефтегазового производства (специалитет)</t>
  </si>
  <si>
    <t>130402 Маркшейдерское дело (специалитет)</t>
  </si>
  <si>
    <t>130400 Горное дело (специалитет)</t>
  </si>
  <si>
    <t>21.05.04 Горное дело (специалитет)</t>
  </si>
  <si>
    <t>130403 Открытые горные работы (специалитет)</t>
  </si>
  <si>
    <t>130404 Подземная разработка месторождений полезных ископаемых (специалитет)</t>
  </si>
  <si>
    <t>130405 Обогащение полезных ископаемых (специалитет)</t>
  </si>
  <si>
    <t>130406 Шахтное и подземное строительство (специалитет)</t>
  </si>
  <si>
    <t>130408 Взрывное дело (специалитет)</t>
  </si>
  <si>
    <t>130000 Геология разведка и разработка полезных ископаемых</t>
  </si>
  <si>
    <t>15.03.02 Технологические, машины и оборудование (бакалавриат)</t>
  </si>
  <si>
    <t>140107 Тепло- и электрообеспечение специальных технических систем и объектов (специалитет)</t>
  </si>
  <si>
    <t>140205 Электроэнергетические системы и сети (специалитет)</t>
  </si>
  <si>
    <t>140000 Энергетика энергетическое машиностроение и электротехника</t>
  </si>
  <si>
    <t>141401 Ядерные реакторы и материалы (специалитет)</t>
  </si>
  <si>
    <t>14.05.01 Ядерные реакторы и материалы (специалитет)</t>
  </si>
  <si>
    <t>141405 Технологии разделения изотопов и ядерное топливо (специалитет)</t>
  </si>
  <si>
    <t>14.05.03 Технологии разделения изотопов и ядерное топливо (специалитет)</t>
  </si>
  <si>
    <t>140801 Электроника и автоматика физических установок (специалитет)</t>
  </si>
  <si>
    <t>141403 Атомные станции: проектирование, эксплуатация и инжиниринг (специалитет)</t>
  </si>
  <si>
    <t>140000 Энергетика, энергетическое, машиностроение и электротехника</t>
  </si>
  <si>
    <t>14.05.02 Атомные станции: проектирование, эксплуатация и инжиниринг (специалитет)</t>
  </si>
  <si>
    <t>140502 Котло- и реакторостроение (специалитет)</t>
  </si>
  <si>
    <t>141108 Специальные системы жизнеобеспечения (специалитет)</t>
  </si>
  <si>
    <t>16.05.01 Специальные системы жизнеобеспечения (специалитет)</t>
  </si>
  <si>
    <t>140505 Плазменные энергетические установки (специалитет)</t>
  </si>
  <si>
    <t>16.03.02 Высокотехнологические и плазменные энергетические установки (бакалавриат)</t>
  </si>
  <si>
    <t>140401 Специальные электромеханические системы (специалитет)</t>
  </si>
  <si>
    <t>150202 Оборудование и технология сварочного производство (специалитет)</t>
  </si>
  <si>
    <t>151701 Проектирование технологических машин и комплексов (специалитет)</t>
  </si>
  <si>
    <t>15.05.01 Проектирование технологических машин и комплексов (специалитет)</t>
  </si>
  <si>
    <t>150402 Горные машины и оборудование (специалитет)</t>
  </si>
  <si>
    <t>150106 Технологии веществ и материалов в вооружении и военной технике (специалитет)</t>
  </si>
  <si>
    <t>160100 Самолето- и вертолетостроение (специалитет)</t>
  </si>
  <si>
    <t>24.05.07 Самолето- и вертолетостроение (специалитет)</t>
  </si>
  <si>
    <t>24.00.00 Авиационная ракетно-космическая техника</t>
  </si>
  <si>
    <t>160700 Проектирование авиационных и ракетных двигателей (специалитет)</t>
  </si>
  <si>
    <t>24.05.02 Проектирование авиационных и ракетных двигателей (специалитет)</t>
  </si>
  <si>
    <t>160401 Управляющие, пилотажно-навигационные и электроэнергетические комплексы летательных аппаратов (специалитет)</t>
  </si>
  <si>
    <t>161101 Системы управления летательными аппаратами (специалитет)</t>
  </si>
  <si>
    <t>24.05.06 Системы управления летательными аппаратами (специалитет)</t>
  </si>
  <si>
    <t>162001 Эксплуатация воздушных судов и организация воздушного движения (специалитет)</t>
  </si>
  <si>
    <t>25.05.05 Эксплуатация воздушных судов и организация воздушного движения (специалитет)</t>
  </si>
  <si>
    <t>161002 Летная эксплуатация и применение авиационных комплексов (специалитет)</t>
  </si>
  <si>
    <t>25.05.04 Летная эксплуатация и применение авиационных комплексов (специалитет)</t>
  </si>
  <si>
    <t>160601 Прицельно-навигационные системы летательных аппаратов (специалитет)</t>
  </si>
  <si>
    <t>161400 Интегрированные системы летательных аппаратов (специалитет)</t>
  </si>
  <si>
    <t>24.05.05 Интегрированные системы летательных аппаратов (специалитет)</t>
  </si>
  <si>
    <t>160602 Автоматизированные системы управления боевыми авиационными комплексами (специалитет)</t>
  </si>
  <si>
    <t>160603 Системы приводов летательных аппаратов (специалитет)</t>
  </si>
  <si>
    <t>160604 Робототехнические системы авиационного вооружения (специалитет)</t>
  </si>
  <si>
    <t>161702 Навигационно-баллистическое обеспечение применения космической техники (специалитет)</t>
  </si>
  <si>
    <t>24.05.04 Навигационно-баллистическое обеспечение применения космической техники (специалитет)</t>
  </si>
  <si>
    <t>160400 Проектирование, производство и эксплуатация ракет и ракетно-космических комплексов (специалитет)</t>
  </si>
  <si>
    <t>24.05.01 Проектирование, производство и эксплуатация ракет и ракетно-космических комплексов (специалитет)</t>
  </si>
  <si>
    <t>24.00.00. Авиационная и ракетно-космическая техника</t>
  </si>
  <si>
    <t>162301 Техническая эксплуатация и восстановление боевых летательных аппаратов и двигателей (специалитет)</t>
  </si>
  <si>
    <t>25.05.01 Техническая эксплуатация и восстановление боевых летательных аппаратов и двигателей (специалитет)</t>
  </si>
  <si>
    <t>162501 Техническая эксплуатация и восстановление электросистем и пилотажно-навигационных комплексов боевых летательных аппаратов (специалитет)</t>
  </si>
  <si>
    <t>25.05.02 Техническая эксплуатация и восстановление электросистем и пилотажно-навигационных комплексов боевых летательных аппаратов (специалитет)</t>
  </si>
  <si>
    <t>160905 Техническая эксплуатация транспортного радиооборудования (специалитет)</t>
  </si>
  <si>
    <t>162107 Техническая эксплуатация транспортного радиооборудования (специалитет)</t>
  </si>
  <si>
    <t>25.05.03 Техническая эксплуатация транспортного радиооборудования (специалитет)</t>
  </si>
  <si>
    <t>160906 Испытание летательных аппаратов (специалитет)</t>
  </si>
  <si>
    <t>162110 Испытание летательных аппаратов (специалитет)</t>
  </si>
  <si>
    <t>24.05.03 Испытание летательных аппаратов (специалитет)</t>
  </si>
  <si>
    <t>170101 Испытание и эксплуатация техники (по областям и видам) (специалитет)</t>
  </si>
  <si>
    <t>170000 Оружие и системы вооружения</t>
  </si>
  <si>
    <t>170100 Боеприпасы и взрыватели (специалитет)</t>
  </si>
  <si>
    <t>17.05.01 Боеприпасы и взрыватели (специалитет)</t>
  </si>
  <si>
    <t>170102 Стрелково-пушечное, артиллерийское и ракетное оружие (специалитет)</t>
  </si>
  <si>
    <t>170400 Стрелково-пушечное, артиллерийское и ракетное оружие (специалитет)</t>
  </si>
  <si>
    <t>17.05.02 Стрелково-пушечное, артиллерийское и ракетное оружие (специалитет)</t>
  </si>
  <si>
    <t>170103 Средства поражения и боеприпасы (специалитет)</t>
  </si>
  <si>
    <t>170104 Высокоэнергетические устройства автоматических систем (специалитет)</t>
  </si>
  <si>
    <t>170105 Взрыватели и системы управления средствами поражения (специалитет)</t>
  </si>
  <si>
    <t>180101 Проектирование и постройка кораблей, судов и объектов океанотехники (специалитет)</t>
  </si>
  <si>
    <t>26.05.01 Проектирование и постройка кораблей, судов и объектов океанотехники (специалитет)</t>
  </si>
  <si>
    <t>180102 Проектирование, изготовление и ремонт энергетических установок и систем автоматизации кораблей и судов (специалитет)</t>
  </si>
  <si>
    <t>26.05.02 Проектирование, изготовление и ремонт энергетических установок и систем автоматизации кораблей и судов (специалитет)</t>
  </si>
  <si>
    <t>180112 Строительство, ремонт и поисково-спасательное обеспечение надводных кораблей и подводных лодок (специалитет)</t>
  </si>
  <si>
    <t>26.05.03 Строительство, ремонт и поисково-спасательное обеспечение надводных кораблей и подводных лодок (специалитет)</t>
  </si>
  <si>
    <t>26.00.00. Техника и технологии кораблестроения и водного транспорта</t>
  </si>
  <si>
    <t>180000 Морская техника (бакалавриат)</t>
  </si>
  <si>
    <t>26.03.02 Кораблестроение, океанотехника и системотехника объектов морской инфраструктуры</t>
  </si>
  <si>
    <t>26.05.03 Строительство ремонт и поисково-спасательное обеспечение надводных кораблей и подводных лодок (специалитет)</t>
  </si>
  <si>
    <t>180801 Применение и эксплуатация технических систем надводных кораблей и подводных лодок (специалитет)</t>
  </si>
  <si>
    <t>26.05.04 Применение и эксплуатация технических систем надводных кораблей и подводных лодок (специалитет)</t>
  </si>
  <si>
    <t>12.05.04 Применение и эксплуатация технических систем надводных кораблей и подводных лодок (специалитет)</t>
  </si>
  <si>
    <t>180802 Проектирование, производство и испытание корабельного вооружения и информационно-управляющих систем (специалитет)</t>
  </si>
  <si>
    <t>17.05.03 Проектирование, производство и испытание корабельного вооружения и информационно-управляющих систем (специалитет)</t>
  </si>
  <si>
    <t>180402 Судовождение (специалитет)</t>
  </si>
  <si>
    <t>180403 Судовождение (специалитет)</t>
  </si>
  <si>
    <t>26.05.05 Судовождение (специалитет)</t>
  </si>
  <si>
    <t>180403 Эксплуатация судовых энергетических установок (специалитет)</t>
  </si>
  <si>
    <t>180405 Эксплуатация судовых энергетических установок (специалитет)</t>
  </si>
  <si>
    <t>26.05.06 Эксплуатация судовых энергетических установок (специалитет)</t>
  </si>
  <si>
    <t>180404 Эксплуатация судового электрооборудования и средств автоматики (специалитет)</t>
  </si>
  <si>
    <t>180407 Эксплуатация судового электрооборудования и средств автоматики (специалитет)</t>
  </si>
  <si>
    <t>26.05.07 Эксплуатация судового электрооборудования и средств автоматики (специалитет)</t>
  </si>
  <si>
    <t>190109 Наземные транспортно-технологические средства (специалитет)</t>
  </si>
  <si>
    <t>23.05.01 Наземные транспортно-технологические средства (специалитет)</t>
  </si>
  <si>
    <t>190110 Транспортные средства специального назначения (специалитет)</t>
  </si>
  <si>
    <t>23.05.02 Транспортные средства специального назначения (специалитет)</t>
  </si>
  <si>
    <t>23.00.01 Наземные и транспортно-технологические средства (специалитет)</t>
  </si>
  <si>
    <t>190109 Наземные транспортно-технологические средства специалитет)</t>
  </si>
  <si>
    <t>190301 Локомотивы (специалитет)</t>
  </si>
  <si>
    <t>190300 Подвижной состав железных дорог (специалитет)</t>
  </si>
  <si>
    <t>23.05.03 Подвижной состав железных дорог (специалитет)</t>
  </si>
  <si>
    <t>190302 Вагоны (специалитет)</t>
  </si>
  <si>
    <t>190303 Электрический транспорт железных дорог (специалитет)</t>
  </si>
  <si>
    <t>190401 Электроснабжение железных дорог (специалитет)</t>
  </si>
  <si>
    <t>190901 Системы обеспечения движения поездов (специалитет)</t>
  </si>
  <si>
    <t>23.05.05 Системы обеспечения движения поездов (специалитет)</t>
  </si>
  <si>
    <t>190402 Автоматика, телемеханика и связь на железнодорожном транспорте (специалитет)</t>
  </si>
  <si>
    <t>21.00.00 Техника и технологии наземного транспорта</t>
  </si>
  <si>
    <t>190401 Эксплуатация железных дорог (специалитет)</t>
  </si>
  <si>
    <t>23.05.04 Эксплуатация железных дорог (специалитет)</t>
  </si>
  <si>
    <t>23.00.00 Техника и технологии наземного транспорт</t>
  </si>
  <si>
    <t>200106 Применение и эксплуатация средств и систем специального мониторинга (специалитет)</t>
  </si>
  <si>
    <t>200401 Электронные и оптико-электронные приборы и системы специального назначения (специалитет)</t>
  </si>
  <si>
    <t>12.05.01 Электронные и оптико-электронные приборы и системы специального назначения (специалитет)</t>
  </si>
  <si>
    <t>200204 Оптические технологии и материалы (специалитет)</t>
  </si>
  <si>
    <t>221701 Метрологическое обеспечение вооружения и военной техники (специалитет)</t>
  </si>
  <si>
    <t>12.00.00 Фотоника, приборостроение оптические и биотехнические системы и технологии</t>
  </si>
  <si>
    <t>710000 Электронная техника, радиотехника и связь</t>
  </si>
  <si>
    <t>210201 Проектирование и технология радиоэлектронных средств (специалитет)</t>
  </si>
  <si>
    <t>11.00.00 Электроника радиотехника и системы связи</t>
  </si>
  <si>
    <t>210000 Электронная, техника, радиотехника и связь</t>
  </si>
  <si>
    <t>210601 Радиоэлектронные системы и комплексы (специалитет)</t>
  </si>
  <si>
    <t>11.05.01, Радиоэлектронные системы и комплексы (специалитет)</t>
  </si>
  <si>
    <t>210602 Специальные радиотехнические системы (специалитет)</t>
  </si>
  <si>
    <t>11.05.02 Специальные радиотехнические системы (специалитет)</t>
  </si>
  <si>
    <t>210303 Бытовая радиоэлектронная аппаратура (специалитет)</t>
  </si>
  <si>
    <t>11.05.01 Радиоэлектронные системы и комплексы (специалитет)</t>
  </si>
  <si>
    <t>11.05.01 Радиоэлектронные, системы и комплексы (специалитет)</t>
  </si>
  <si>
    <t>11.00.00 Электроника, радиотехника и системы связи.</t>
  </si>
  <si>
    <t>11.03.02 Инфокоммуникационные технологии и системы' связи (бакалавриат)</t>
  </si>
  <si>
    <t>210701 Инфокоммуникационные технологии и системы специальной связи (специалитет)</t>
  </si>
  <si>
    <t>210701 Инфокоммуникационные технологии и системы специальной связи (бакалавриат)</t>
  </si>
  <si>
    <t>230106 Применение и эксплуатация автоматизированных систем специального назначения (специалитет)</t>
  </si>
  <si>
    <t>230104 Системы автоматизированного проектирования (специалитет)</t>
  </si>
  <si>
    <t>220402 Специальные организационно-технические системы (специалитет)</t>
  </si>
  <si>
    <t>27.05.01 Специальные организационно-технические системы (специалитет)</t>
  </si>
  <si>
    <t>240201 Технология и оборудование производства химических волокон и композиционных материалов на их основе (специалитет)</t>
  </si>
  <si>
    <t>18.03.01. Химическая технология (бакалавриат)</t>
  </si>
  <si>
    <t>240307 Технология средств химической защиты (специалитет)</t>
  </si>
  <si>
    <t>240601 Химическая технология материалов современной энергетики (специалитет)</t>
  </si>
  <si>
    <t>240501 Химическая технология материалов современной энергетики (специалитет)</t>
  </si>
  <si>
    <t>18.05.02 Химическая технология материалов современной энергетики (специалитет)</t>
  </si>
  <si>
    <t>240701 Химическая технология органических соединений азота (специалитет)</t>
  </si>
  <si>
    <t>240300 Химическая технология энергонасыщенных материалов и изделий (специалитет)</t>
  </si>
  <si>
    <t>18.05.01 Химическая технология энергонасыщенных материалов и изделий (специалитет)</t>
  </si>
  <si>
    <t>240702 Химическая технология полимерных композиций, порохов и твердых ракетных топлив (специалитет)</t>
  </si>
  <si>
    <t>240000 Химически и биотехнологии</t>
  </si>
  <si>
    <t>240703 Технология энергонасыщенных материалов и изделий (специалитет)</t>
  </si>
  <si>
    <t>240704 Технология пиротехнических средств (специалитет)</t>
  </si>
  <si>
    <t>240706 Автоматизированное производство химических предприятий (специалитет)</t>
  </si>
  <si>
    <t>24080 Машины и аппараты химических производств (специалитет)</t>
  </si>
  <si>
    <t>290201 Радиационная, химическая и биологическая защита (специалитет)</t>
  </si>
  <si>
    <t>19.03.01 Биотехнология (бакалавриат</t>
  </si>
  <si>
    <t>250203 Садово-парковое и ландшафтное строительство (специалитет)</t>
  </si>
  <si>
    <t>19.00.00 Промышленная, экология и биотехнологии</t>
  </si>
  <si>
    <t>271101 Строительство уникальных зданий и сооружений (специалитет)</t>
  </si>
  <si>
    <t>08.05.01 Строительство уникальных зданий и сооружений (специалитет)</t>
  </si>
  <si>
    <t>271501 Строительство железных дорог, мостов и транспортных тоннелей (специалитет)</t>
  </si>
  <si>
    <t>08.05.02 Строительство железных дорог, мостов и транспортных тоннелей (специалитет)</t>
  </si>
  <si>
    <t>271502 Строительство, эксплуатация, восстановление и техническое прикрытие автомобильных дорог, мостов и тоннелей (специалитет)</t>
  </si>
  <si>
    <t>08.05.03 Строительство, эксплуатация, восстановление и техническое прикрытие автомобильных дорог, мостов и тоннелей (специалитет)</t>
  </si>
  <si>
    <t>270204 Строительство железных дорог, путь и путевое хозяйство (специалитет)</t>
  </si>
  <si>
    <t>270000 Архитектура и у строительство</t>
  </si>
  <si>
    <t>280705 Пожарная безопасность (специалитет)</t>
  </si>
  <si>
    <t>20.05.01 Пожарная безопасность (специалитет)</t>
  </si>
  <si>
    <t>060105 Стоматология (специалитет)</t>
  </si>
  <si>
    <t>010100 Математика (магистратура)</t>
  </si>
  <si>
    <t>01.04.01 Математика (магистратура)</t>
  </si>
  <si>
    <t>010200 Математика. Прикладная математика (магистратура)</t>
  </si>
  <si>
    <t>010200 Математика и компьютерные науки (магистратура)</t>
  </si>
  <si>
    <t>02.04.01 Математика и компьютерные науки (магистратура)</t>
  </si>
  <si>
    <t>010300 Математика. Компьютерные науки (магистратура)</t>
  </si>
  <si>
    <t>010400 Информационные технологии (магистратура)</t>
  </si>
  <si>
    <t>010300 Фундаментальные информатика и информационные технологии (магистратура)</t>
  </si>
  <si>
    <t>02.04.02 фундаментальные информатика и информационные технологии (магистратура)</t>
  </si>
  <si>
    <t>010500 Прикладная математика и информатика (магистратура)</t>
  </si>
  <si>
    <t>010400 Прикладная математика и информатика (магистратура)</t>
  </si>
  <si>
    <t>01.04.02 Прикладная математика и информатика (магистратура)</t>
  </si>
  <si>
    <t>010500 Математическое обеспечение и администрирование информационных систем (магистратура)</t>
  </si>
  <si>
    <t>02.04.03 Математическое обеспечение и администрирование информационных систем (магистратура)</t>
  </si>
  <si>
    <t>010600 Прикладные математика и физика (магистратура)</t>
  </si>
  <si>
    <t>010900 Прикладные математика и физика (магистратура)</t>
  </si>
  <si>
    <t>03.04.01 Прикладные математика и физика (магистратура)</t>
  </si>
  <si>
    <t>010700 Физика (магистратура)</t>
  </si>
  <si>
    <t>011200 Физика (магистратура)</t>
  </si>
  <si>
    <t>03.04.02 Физика (магистратура)</t>
  </si>
  <si>
    <t>010800 Радиофизика (магистратура)</t>
  </si>
  <si>
    <t>011800 Радиофизика (магистратура)</t>
  </si>
  <si>
    <t>03.04.03 Радиофизика (магистратура)</t>
  </si>
  <si>
    <t>010900 Механика (магистратура)</t>
  </si>
  <si>
    <t>010800 Механика и математическое моделирование (магистратура)</t>
  </si>
  <si>
    <t>01.04.03 Механика и математическое моделирование (магистратура)</t>
  </si>
  <si>
    <t>011000 Механика. Прикладная математика (магистратура)</t>
  </si>
  <si>
    <t>020100 Химия (магистратура)</t>
  </si>
  <si>
    <t>04.04.01 Химия (магистратура)</t>
  </si>
  <si>
    <t>020200 Биология (магистратура)</t>
  </si>
  <si>
    <t>020400 Биология (магистратура)</t>
  </si>
  <si>
    <t>06.04.01 Биология (магистратура)</t>
  </si>
  <si>
    <t>020300 Геология (магистратура)</t>
  </si>
  <si>
    <t>020700 Геология (магистратура)</t>
  </si>
  <si>
    <t>05.04.01 Геология (магистратура)</t>
  </si>
  <si>
    <t>020400 География (магистратура)</t>
  </si>
  <si>
    <t>021000 География (магистратура)</t>
  </si>
  <si>
    <t>05.04.02 География (магистратура)</t>
  </si>
  <si>
    <t>020500 География и картография (магистратура)</t>
  </si>
  <si>
    <t>021300 Картография и геоинформатика (магистратура)</t>
  </si>
  <si>
    <t>05.04.03 Картография и геоинформатика (магистратура)</t>
  </si>
  <si>
    <t>020600 Гидрометеорология (магистратура)</t>
  </si>
  <si>
    <t>021600 Гидрометеорология (магистратура)</t>
  </si>
  <si>
    <t>05.04.04 Гидрометеорология (магистратура)</t>
  </si>
  <si>
    <t>280400 Прикладная гидрометеорология (магистратура)</t>
  </si>
  <si>
    <t>05.04.05 Прикладная гидрометеорология (магистратура)</t>
  </si>
  <si>
    <t>020700 Почвоведение (магистратура)</t>
  </si>
  <si>
    <t>021900 Почвоведение (магистратура)</t>
  </si>
  <si>
    <t>06.04.02 Почвоведение (магистратура)</t>
  </si>
  <si>
    <t>020800 Экология и природопользование (магистратура)</t>
  </si>
  <si>
    <t>022000 Экология и природопользование (магистратура)</t>
  </si>
  <si>
    <t>05.04.06 Экология и природопользование (магистратура)</t>
  </si>
  <si>
    <t>020900 Химия, физика и механика материалов (магистратура)</t>
  </si>
  <si>
    <t>020300 Химия, физика и механика материалов (магистратура)</t>
  </si>
  <si>
    <t>04.04.02 Химия, физика и механика материалов (магистратура)</t>
  </si>
  <si>
    <t>020900 Химия, физика и механика материалов (магистратура) Геология (магистратура)</t>
  </si>
  <si>
    <t>022200 Наносистемы и наноматериалы (магистратура)</t>
  </si>
  <si>
    <t>28.04.04 Наносистемы и наноматериалы (магистратура)</t>
  </si>
  <si>
    <t>030100 Философия (магистратура)</t>
  </si>
  <si>
    <t>47.04.01 Философия (магистратура)</t>
  </si>
  <si>
    <t>030200 Политология (магистратура)</t>
  </si>
  <si>
    <t>41.04.04 Политология (магистратура)</t>
  </si>
  <si>
    <t>030300 Психология (магистратура)</t>
  </si>
  <si>
    <t>37.04.01 Психология (магистратура)</t>
  </si>
  <si>
    <t>050400 Психолого-педагогическое образование (магистратура)</t>
  </si>
  <si>
    <t>44.04.02 Психолого-педагогическое образование (магистратура)</t>
  </si>
  <si>
    <t>030400 История (магистратура)</t>
  </si>
  <si>
    <t>030600 История (магистратура)</t>
  </si>
  <si>
    <t>46.04.01 История (магистратура)</t>
  </si>
  <si>
    <t>030500 Юриспруденция (магистратура)</t>
  </si>
  <si>
    <t>030900 Юриспруденция (магистратура)</t>
  </si>
  <si>
    <t>40.04.01 Юриспруденция (магистратура)</t>
  </si>
  <si>
    <t>030600 Журналистика (магистратура)</t>
  </si>
  <si>
    <t>031300 Журналистика (магистратура)</t>
  </si>
  <si>
    <t>42.04.02 Журналистика (магистратура)</t>
  </si>
  <si>
    <t>031600 Реклама и связи с общественностью (магистратура)</t>
  </si>
  <si>
    <t>42.04.01 Реклама и связи с общественностью (магистратура)</t>
  </si>
  <si>
    <t>030700 Международные отношения (магистратура)</t>
  </si>
  <si>
    <t>031900 Международные отношения (магистратура)</t>
  </si>
  <si>
    <t>41.04.05 Международные отношения (магистратура)</t>
  </si>
  <si>
    <t>030800 Востоковедение, африканистика (магистратура)</t>
  </si>
  <si>
    <t>032100 Востоковедение и африканистика (магистратура)</t>
  </si>
  <si>
    <t>41.04.03 Востоковедение и африканистика (магистратура)</t>
  </si>
  <si>
    <t>030900 Книжное дело (магистратура)</t>
  </si>
  <si>
    <t>035000 Издательское дело (магистратура)</t>
  </si>
  <si>
    <t>42.04.03 Издательское дело (магистратура)</t>
  </si>
  <si>
    <t>035100 Телевидение (магистратура)</t>
  </si>
  <si>
    <t>42.04.04 Телевидение (магистратура)</t>
  </si>
  <si>
    <t>031000 Филология (магистратура)</t>
  </si>
  <si>
    <t>032700 Филология (магистратура)</t>
  </si>
  <si>
    <t>45.04.01 Филология (магистратура)</t>
  </si>
  <si>
    <t>036000 Интеллектуальные системы в гуманитарной сфере (магистратура)</t>
  </si>
  <si>
    <t>45.04.04 Интеллектуальные системы в гуманитарной сфере (магистратура)</t>
  </si>
  <si>
    <t>031100 Лингвистика (магистратура)</t>
  </si>
  <si>
    <t>035700 Лингвистика (магистратура)</t>
  </si>
  <si>
    <t>45.04.02 Лингвистика (магистратура)</t>
  </si>
  <si>
    <t>035800 Лингвистика (магистратура)</t>
  </si>
  <si>
    <t>035800 Фундаментальная и прикладная лингвистика (магистратура)</t>
  </si>
  <si>
    <t>45.04.03 Фундаментальная и прикладная лингвистика (магистратура)</t>
  </si>
  <si>
    <t>031400 Культурология (магистратура)</t>
  </si>
  <si>
    <t>033000 Культурология (магистратура)</t>
  </si>
  <si>
    <t>51.04.01 Культурология (магистратура)</t>
  </si>
  <si>
    <t>031500 Искусствоведение (по видам) (магистратура)</t>
  </si>
  <si>
    <t>035400 История искусств (магистратура)</t>
  </si>
  <si>
    <t>50.04.03 История искусств (магистратура)</t>
  </si>
  <si>
    <t>031600 Искусства и гуманитарные науки (магистратура)</t>
  </si>
  <si>
    <t>035300 Искусства и гуманитарные науки (магистратура)</t>
  </si>
  <si>
    <t>50.04.01 Искусства и гуманитарные науки (магистратура)</t>
  </si>
  <si>
    <t>031700 Изящные искусства (магистратура)</t>
  </si>
  <si>
    <t>035200 Изящные искусства (магистратура)</t>
  </si>
  <si>
    <t>50.04.02 Изящные искусства (магистратура)</t>
  </si>
  <si>
    <t>031800 Религиоведение (магистратура)</t>
  </si>
  <si>
    <t>033300 Религиоведение (магистратура)</t>
  </si>
  <si>
    <t>47.04.03 Религиоведение (магистратура)</t>
  </si>
  <si>
    <t>031900 Теология (магистратура)</t>
  </si>
  <si>
    <t>033400 Теология (магистратура)</t>
  </si>
  <si>
    <t>48.04.01 Теология (магистратура)</t>
  </si>
  <si>
    <t>032000 Документоведение и архивоведение (магистратура)</t>
  </si>
  <si>
    <t>034700 Документоведение и архивоведение (магистратура)</t>
  </si>
  <si>
    <t>46.04.02 Документоведение и архивоведение (магистратура)</t>
  </si>
  <si>
    <t>032100 Физическая культура (магистратура)</t>
  </si>
  <si>
    <t>034300 Физическая культура (магистратура)</t>
  </si>
  <si>
    <t>49.04.01 Физическая культура (магистратура)</t>
  </si>
  <si>
    <t>034500 Спорт (магистратура)</t>
  </si>
  <si>
    <t>49.04.03 Спорт (магистратура)</t>
  </si>
  <si>
    <t>034400 Физическая культура для лиц с отклонениями в состоянии здоровья (адаптивная физическая культура) (магистратура)</t>
  </si>
  <si>
    <t>49.04.02 Физическая культура для лиц с отклонениями в состоянии здоровья (адаптивная физическая культура) (магистратура)</t>
  </si>
  <si>
    <t>032200 Прикладная этика (магистратура)</t>
  </si>
  <si>
    <t>033700 Прикладная этика (магистратура)</t>
  </si>
  <si>
    <t>47.04.02 Прикладная этика (магистратура)</t>
  </si>
  <si>
    <t>032300 Регионоведение (магистратура)</t>
  </si>
  <si>
    <t>032000 Зарубежное регионоведение (магистратура)</t>
  </si>
  <si>
    <t>41.04.01 Зарубежное регионоведение (магистратура)</t>
  </si>
  <si>
    <t>032200 Регионоведение России (магистратура)</t>
  </si>
  <si>
    <t>41.04.02 Регионоведение России (магистратура)</t>
  </si>
  <si>
    <t>032400 Антропология и этнология (магистратура)</t>
  </si>
  <si>
    <t>46.04.03 Антропология и этнология (магистратура)</t>
  </si>
  <si>
    <t>040100 Социальная работа (магистратура)</t>
  </si>
  <si>
    <t>040400 Социальная работа (магистратура)</t>
  </si>
  <si>
    <t>39.04.02 Социальная работа (магистратура)</t>
  </si>
  <si>
    <t>040700 Организация работы с молодежью (магистратура)</t>
  </si>
  <si>
    <t>39.04.03 Организация работы с молодежью (магистратура)</t>
  </si>
  <si>
    <t>040200 Социология (магистратура)</t>
  </si>
  <si>
    <t>040100 Социология (магистратура)</t>
  </si>
  <si>
    <t>39.04.01 Социология (магистратура)</t>
  </si>
  <si>
    <t>040300 Конфликтология (магистратура)</t>
  </si>
  <si>
    <t>034000 Конфликтология (магистратура)</t>
  </si>
  <si>
    <t>37.04.02 Конфликтология (магистратура)</t>
  </si>
  <si>
    <t>050100 Естественно-научное образование (магистратура)</t>
  </si>
  <si>
    <t>050100 Педагогическое образование (магистратура)</t>
  </si>
  <si>
    <t>44.04.01 Педагогическое образование (магистратура)</t>
  </si>
  <si>
    <t>050200 Физико-математическое образование (магистратура)</t>
  </si>
  <si>
    <t>050300 Филологическое образование (магистратура)</t>
  </si>
  <si>
    <t>050400 Социально-экономическое образование (магистратура)</t>
  </si>
  <si>
    <t>050500 Технологическое образование (магистратура)</t>
  </si>
  <si>
    <t>050600 Художественное образование (магистратура)</t>
  </si>
  <si>
    <t>050700 Педагогика (магистратура)</t>
  </si>
  <si>
    <t>050700 Специальное (дефектологическое) образование (магистратура)</t>
  </si>
  <si>
    <t>44.04.03 Специальное (дефектологическое) образование (магистратура)</t>
  </si>
  <si>
    <t>051000 Профессиональное обучение (по отраслям) (магистратура)</t>
  </si>
  <si>
    <t>44.04.04 Профессиональное обучение (по отраслям) (магистратура)</t>
  </si>
  <si>
    <t>060400 Общественное здравоохранение (магистратура)</t>
  </si>
  <si>
    <t>32.04.01 Общественное здравоохранение (магистратура)</t>
  </si>
  <si>
    <t>070100 Искусство (магистратура)</t>
  </si>
  <si>
    <t>53.04.05 Искусство (магистратура)</t>
  </si>
  <si>
    <t>070800 Драматургия (магистратура)</t>
  </si>
  <si>
    <t>52.04.02 Драматургия (магистратура)</t>
  </si>
  <si>
    <t>071400 Режиссура театрализованных представлений и праздников (магистратура)</t>
  </si>
  <si>
    <t>51.04.05 Режиссура театрализованных представлений и праздников (магистратура)</t>
  </si>
  <si>
    <t>072300 Музеология и охрана объектов культурного и природного наследия (магистратура)</t>
  </si>
  <si>
    <t>51.04.04 Музеология и охрана объектов культурного и природного наследия (магистратура)</t>
  </si>
  <si>
    <t>072700 Искусство костюма и текстиля (магистратура)</t>
  </si>
  <si>
    <t>54.04.03 Искусство костюма и текстиля (магистратура)</t>
  </si>
  <si>
    <t>070100 Музыкальное искусство (магистратура)</t>
  </si>
  <si>
    <t>073000 Музыкознание и музыкально-прикладное искусство (магистратура)</t>
  </si>
  <si>
    <t>53.04.06 Музыкознание и музыкально-прикладное искусство (магистратура)</t>
  </si>
  <si>
    <t>073100 Музыкально-инструментальное искусство (магистратура)</t>
  </si>
  <si>
    <t>53.04.01 Музыкально-инструментальное искусство (магистратура)</t>
  </si>
  <si>
    <t>073400 Вокальное искусство (магистратура)</t>
  </si>
  <si>
    <t>53.04.02 Вокальное искусство (магистратура)</t>
  </si>
  <si>
    <t>073500 Дирижирование (магистратура)</t>
  </si>
  <si>
    <t>53.04.04 Дирижирование (магистратура)</t>
  </si>
  <si>
    <t>073700 Искусство народного пения (магистратура)</t>
  </si>
  <si>
    <t>53.04.03 Искусство народного пения (магистратура)</t>
  </si>
  <si>
    <t>070200 Театральное искусство (магистратура)</t>
  </si>
  <si>
    <t>074000 Театральное искусство (магистратура)</t>
  </si>
  <si>
    <t>52.04.03 Театральное искусство (магистратура)</t>
  </si>
  <si>
    <t>070300 Хореографическое искусство (магистратура)</t>
  </si>
  <si>
    <t>073900 Теория и история искусств (магистратура)</t>
  </si>
  <si>
    <t>50.04.04 Теория и история искусств (магистратура)</t>
  </si>
  <si>
    <t>070301 Хореографическое искусство (магистратура)</t>
  </si>
  <si>
    <t>071200 Хореографическое искусство (магистратура)</t>
  </si>
  <si>
    <t>52.04.01 Хореографическое искусство</t>
  </si>
  <si>
    <t>52.00.00 Сценические искусства и литературное творчество (магистратура)</t>
  </si>
  <si>
    <t>070500 Реставрация (магистратура)</t>
  </si>
  <si>
    <t>072200 Реставрация (магистратура)</t>
  </si>
  <si>
    <t>54.04.04 Реставрация (магистратура)</t>
  </si>
  <si>
    <t>070600 Дизайн (магистратура)</t>
  </si>
  <si>
    <t>072500 Дизайн (магистратура)</t>
  </si>
  <si>
    <t>54.04.01 Дизайн (магистратура)</t>
  </si>
  <si>
    <t>070800 Декоративно-прикладное искусство и народные промыслы (магистратура)</t>
  </si>
  <si>
    <t>072600 Декоративно-прикладное искусство и народные промыслы (магистратура)</t>
  </si>
  <si>
    <t>54.04.02 Декоративно-прикладное искусство и народные промыслы (магистратура)</t>
  </si>
  <si>
    <t>070900 Изобразительное искусство (магистратура)</t>
  </si>
  <si>
    <t>51.04.04 Теория и история искусств (магистратура)</t>
  </si>
  <si>
    <t>071000 Литературное творчество (магистратура)</t>
  </si>
  <si>
    <t>071100 Киноискусство (магистратура)</t>
  </si>
  <si>
    <t>071200 Библиотечно-информационные ресурсы (магистратура)</t>
  </si>
  <si>
    <t>071900 Библиотечно-информационная деятельность (магистратура)</t>
  </si>
  <si>
    <t>51.04.06 Библиотечно-информационная деятельность (магистратура)</t>
  </si>
  <si>
    <t>071300 Народная художественная культура (магистратура)</t>
  </si>
  <si>
    <t>071500 Народная художественная культура (магистратура)</t>
  </si>
  <si>
    <t>51.04.02 Народная художественная культура (магистратура)</t>
  </si>
  <si>
    <t>071400 Социально-культурная деятельность (магистратура)</t>
  </si>
  <si>
    <t>071800 Социально-культурная деятельность (магистратура)</t>
  </si>
  <si>
    <t>51.04.03 Социально-культурная деятельность (магистратура)</t>
  </si>
  <si>
    <t>080100 Экономика (магистратура)</t>
  </si>
  <si>
    <t>38.04.01 Экономика (магистратура)</t>
  </si>
  <si>
    <t>080300 Финансы и кредит (магистратура)</t>
  </si>
  <si>
    <t>38.04.08 Финансы и кредит (магистратура)</t>
  </si>
  <si>
    <t>080300 Коммерция (магистратура)</t>
  </si>
  <si>
    <t>100700 Торговое дело (магистратура)</t>
  </si>
  <si>
    <t>38.04.06 Торговое дело (магистратура)</t>
  </si>
  <si>
    <t>080500 Менеджмент (магистратура)</t>
  </si>
  <si>
    <t>080200 Менеджмент (магистратура)</t>
  </si>
  <si>
    <t>38.04.02 Менеджмент (магистратура)</t>
  </si>
  <si>
    <t>080400 Управление персоналом (магистратура)</t>
  </si>
  <si>
    <t>38.04.03 Управление персоналом (магистратура)</t>
  </si>
  <si>
    <t>081100 Государственное и муниципальное управление (магистратура)</t>
  </si>
  <si>
    <t>38.04.04 Государственное и муниципальное управление (магистратура)</t>
  </si>
  <si>
    <t>081200 Государственный аудит (магистратура)</t>
  </si>
  <si>
    <t>38.04.09 Государственный аудит (магистратура)</t>
  </si>
  <si>
    <t>080600 Статистика (магистратура)</t>
  </si>
  <si>
    <t>080700 Бизнес-информатика (магистратура)</t>
  </si>
  <si>
    <t>080500 Бизнес-информатика (магистратура)</t>
  </si>
  <si>
    <t>38.04.05 Бизнес-информатика (магистратура)</t>
  </si>
  <si>
    <t>080800 Прикладная информатика (магистратура)</t>
  </si>
  <si>
    <t>230700 Прикладная информатика (магистратура)</t>
  </si>
  <si>
    <t>09.04.03 Прикладная информатика (магистратура)</t>
  </si>
  <si>
    <t>090900 Информационная безопасность (магистратура)</t>
  </si>
  <si>
    <t>10.04.01 Информационная безопасность (магистратура)</t>
  </si>
  <si>
    <t>100100 Сервис (магистратура)</t>
  </si>
  <si>
    <t>43.04.01 Сервис (магистратура)</t>
  </si>
  <si>
    <t>43.00.00 Сервис и туризм</t>
  </si>
  <si>
    <t>100200 Туризм (магистратура)</t>
  </si>
  <si>
    <t>100400 Туризм (магистратура)</t>
  </si>
  <si>
    <t>43.04.02 Туризм (магистратура)</t>
  </si>
  <si>
    <t>100800 Товароведение (магистратура)</t>
  </si>
  <si>
    <t>38.04.07 Товароведение (магистратура)</t>
  </si>
  <si>
    <t>101100 Гостиничное дело (магистратура)</t>
  </si>
  <si>
    <t>43.04.03 Гостиничное дело (магистратура)</t>
  </si>
  <si>
    <t>110100 Агрохимия и агропочвоведение (магистратура)</t>
  </si>
  <si>
    <t>35.04.03 Агрохимия и агропочвоведение (магистратура)</t>
  </si>
  <si>
    <t>110200 Агрономия (магистратура)</t>
  </si>
  <si>
    <t>110400 Агрономия (магистратура)</t>
  </si>
  <si>
    <t>35.04.04 Агрономия (магистратура)</t>
  </si>
  <si>
    <t>110300 Агроинженерия (магистратура)</t>
  </si>
  <si>
    <t>110800 Агроинженерия (магистратура)</t>
  </si>
  <si>
    <t>35.04.06 Агроинженерия (магистратура)</t>
  </si>
  <si>
    <t>110400 Зоотехния (магистратура)</t>
  </si>
  <si>
    <t>111100 Зоотехния (магистратура)</t>
  </si>
  <si>
    <t>36.04.02 Зоотехния (магистратура)</t>
  </si>
  <si>
    <t>110500 Ветеринарно-санитарная экспертиза (магистратура)</t>
  </si>
  <si>
    <t>111900 Ветеринарно-санитарная экспертиза (магистратура)</t>
  </si>
  <si>
    <t>36.04.01 Ветеринарно-санитарная экспертиза (магистратура)</t>
  </si>
  <si>
    <t>110900 Водные биоресурсы и аквакультура (магистратура)</t>
  </si>
  <si>
    <t>111400 Водные биоресурсы и аквакультура (магистратура)</t>
  </si>
  <si>
    <t>35.04.07 Водные биоресурсы и аквакультура (магистратура)</t>
  </si>
  <si>
    <t>111000 Рыболовство (магистратура)</t>
  </si>
  <si>
    <t>111500 Промышленное рыболовство (магистратура)</t>
  </si>
  <si>
    <t>35.04.08 Промышленное рыболовство (магистратура)</t>
  </si>
  <si>
    <t>111300 Садоводство (магистратура)</t>
  </si>
  <si>
    <t>110500 Садоводство (магистратура)</t>
  </si>
  <si>
    <t>35.04.05 Садоводство (магистратура)</t>
  </si>
  <si>
    <t>120100 Геодезия (магистратура)</t>
  </si>
  <si>
    <t>120100 Геодезия и дистанционное зондирование (магистратура)</t>
  </si>
  <si>
    <t>21.04.03 Геодезия и дистанционное зондирование (магистратура)</t>
  </si>
  <si>
    <t>120300 Землеустройство и кадастры (магистратура)</t>
  </si>
  <si>
    <t>120700 Землеустройство и кадастры (магистратура)</t>
  </si>
  <si>
    <t>21.04.02 Землеустройство и кадастры (магистратура)</t>
  </si>
  <si>
    <t>130100 Геология и разведка полезных ископаемых (магистратура)</t>
  </si>
  <si>
    <t>130400 Горное дело (магистратура)</t>
  </si>
  <si>
    <t>130500 Нефтегазовое дело (магистратура)</t>
  </si>
  <si>
    <t>131000 Нефтегазовое дело (магистратура)</t>
  </si>
  <si>
    <t>21.04.01 Нефтегазовое дело (магистратура)</t>
  </si>
  <si>
    <t>140100 Теплоэнергетика (магистратура)</t>
  </si>
  <si>
    <t>140100 Теплоэнергетика и теплотехника (магистратура)</t>
  </si>
  <si>
    <t>13.04.01 Теплоэнергетика (магистратура)</t>
  </si>
  <si>
    <t>140200 Электроэнергетика (магистратура)</t>
  </si>
  <si>
    <t>140400 Электроэнергетика и электротехника (магистратура)</t>
  </si>
  <si>
    <t>13.04.02 Электроэнергетика и электротехника (магистратура)</t>
  </si>
  <si>
    <t>140600 Высокотехнологические плазменные и энергетические установки (магистратура)</t>
  </si>
  <si>
    <t>16.04.02 Высокотехнологические плазменные и энергетические установки (магистратура)</t>
  </si>
  <si>
    <t>140400 Техническая физика (магистратура)</t>
  </si>
  <si>
    <t>140700 Ядерная энергетика и теплофизика (магистратура)</t>
  </si>
  <si>
    <t>14.04.01 Ядерная энергетика и теплофизика (магистратура)</t>
  </si>
  <si>
    <t>140800 Ядерные физика и технологии (магистратура)</t>
  </si>
  <si>
    <t>14.04.02 Ядерные физика и технологии (магистратура)</t>
  </si>
  <si>
    <t>223200 Техническая физика (магистратура)</t>
  </si>
  <si>
    <t>16.04.01 Техническая физика (магистратура)</t>
  </si>
  <si>
    <t>140500 Энергомашиностроение (магистратура)</t>
  </si>
  <si>
    <t>141100 Энергетическое машиностроение (магистратура)</t>
  </si>
  <si>
    <t>13.04.03 Энергетическое машиностроение (магистратура)</t>
  </si>
  <si>
    <t>141200 Холодильная, криогенная техника и системы жизнеобеспечения (магистратура)</t>
  </si>
  <si>
    <t>16.04.03 Холодильная, криогенная техника и системы жизнеобеспечения (магистратура)</t>
  </si>
  <si>
    <t>140600 Электротехника, электромеханика и электротехнологии (магистратура)</t>
  </si>
  <si>
    <t>150100 Металлургия (магистратура)</t>
  </si>
  <si>
    <t>150400 Металлургия (магистратура)</t>
  </si>
  <si>
    <t>22.04.02 Металлургия (магистратура)</t>
  </si>
  <si>
    <t>150300 Прикладная механика (магистратура)</t>
  </si>
  <si>
    <t>151600 Прикладная механика (магистратура)</t>
  </si>
  <si>
    <t>15.04.03 Прикладная механика (магистратура)</t>
  </si>
  <si>
    <t>150700 Машиностроение (магистратура)</t>
  </si>
  <si>
    <t>15.04.01 Машиностроение (магистратура)</t>
  </si>
  <si>
    <t>151000 Технологические машины и оборудование (специалитет)</t>
  </si>
  <si>
    <t>15.04.02 Технологические машины и оборудование) (специалитет)</t>
  </si>
  <si>
    <t>150600 Материаловедение и технология новых материалов (магистратура)</t>
  </si>
  <si>
    <t>150100 Материаловедение и технологии материалов (магистратура)</t>
  </si>
  <si>
    <t>22.04.01 Материаловедение и технологии материалов (магистратура)</t>
  </si>
  <si>
    <t>150800 Гидравлическая, вакуумная и компрессорная техника (магистратура)</t>
  </si>
  <si>
    <t>150000 Металлургия, машиностроение и, материалообработка</t>
  </si>
  <si>
    <t>15.04.02 Технологические машины и оборудование (специалитет)</t>
  </si>
  <si>
    <t>150900 Технология, оборудование и автоматизация машиностроительных производств (магистратура)</t>
  </si>
  <si>
    <t>151900 Конструкторско-технологическое обеспечение машиностроительных производств (магистратура)</t>
  </si>
  <si>
    <t>15.04.05 Конструкторско-технологическое обеспечение машиностроительных производств (магистратура)</t>
  </si>
  <si>
    <t>151000 Конструкторско-технологическое обеспечение автоматизированных машиностроительных производств (магистратура)</t>
  </si>
  <si>
    <t>152100 Наноматериалы (магистратура)</t>
  </si>
  <si>
    <t>28.04.03 Наноматериалы (магистратура)</t>
  </si>
  <si>
    <t>160100 Авиа- и ракетостроение (магистратура)</t>
  </si>
  <si>
    <t>160100 Авиастроение (магистратура)</t>
  </si>
  <si>
    <t>24.04.04 Авиастроение (магистратура)</t>
  </si>
  <si>
    <t>160400 Ракетные комплексы и космонавтика (магистратура)</t>
  </si>
  <si>
    <t>24.04.01 Ракетные комплексы и космонавтика (магистратура)</t>
  </si>
  <si>
    <t>160700 Двигатели летательных аппаратов (магистратура)</t>
  </si>
  <si>
    <t>24.04.05 Двигатели летательных аппаратов (магистратура)</t>
  </si>
  <si>
    <t>161000 Аэронавигация (магистратура)</t>
  </si>
  <si>
    <t>25.04.03 Аэронавигация (магистратура)</t>
  </si>
  <si>
    <t>161100 Системы управления движением и навигация (магистратура)</t>
  </si>
  <si>
    <t>24.04.02 Системы управления движением и навигация (магистратура)</t>
  </si>
  <si>
    <t>161700 Баллистика и гидроаэродинамика (магистратура)</t>
  </si>
  <si>
    <t>24.04.03 Баллистика и гидроаэродинамика (магистратура)</t>
  </si>
  <si>
    <t>160900 Эксплуатация и испытания авиационной и космической техники (магистратура)</t>
  </si>
  <si>
    <t>162300 Техническая эксплуатация летательных аппаратов и двигателей (магистратура)</t>
  </si>
  <si>
    <t>25.04.01 Техническая эксплуатация летательных аппаратов и двигателей (магистратура)</t>
  </si>
  <si>
    <t>162500 Техническая эксплуатация авиационных электросистем и пилотажно-навигационных судов (магистратура)</t>
  </si>
  <si>
    <t>25.04.02 Техническая эксплуатация авиационных электросистем и пилотажно-навигационных судов (магистратура)</t>
  </si>
  <si>
    <t>162700 Эксплуатация аэропортов и обеспечение полетов воздушных судов (магистратура)</t>
  </si>
  <si>
    <t>25.04.04 Эксплуатация аэропортов и обеспечение полетов воздушных судов (магистратура)</t>
  </si>
  <si>
    <t>180100 Кораблестроение и океанотехника (магистратура)</t>
  </si>
  <si>
    <t>180100 Кораблестроение, океанотехника и системотехника объектов морской инфраструктуры (магистратура)</t>
  </si>
  <si>
    <t>26.04.02 Кораблестроение, океанотехника и системотехника объектов морской инфраструктуры (магистратура)</t>
  </si>
  <si>
    <t>26.00.00 Техника и технология кораблестроения и водного транспорта</t>
  </si>
  <si>
    <t>180800 Корабельное вооружение (магистратура)</t>
  </si>
  <si>
    <t>17.04.01 Корабельное вооружение (магистратура)</t>
  </si>
  <si>
    <t>190100 Наземные транспортные системы (магистратура)</t>
  </si>
  <si>
    <t>190100 Наземные транспортно-технологические комплексы (магистратура)</t>
  </si>
  <si>
    <t>23.04.02 Наземные транспортно-технологические комплексы (магистратура)</t>
  </si>
  <si>
    <t>190500 Эксплуатация транспортных средств (магистратура)</t>
  </si>
  <si>
    <t>180500 Управление водным транспортом и гидрографическое обеспечение судоходства (магистратура)</t>
  </si>
  <si>
    <t>26.04.01 Управление водным транспортом и гидрографическое обеспечение судоходства (магистратура)</t>
  </si>
  <si>
    <t>190600 Эксплуатация транспортно-технологических машин и комплексов (магистратура)</t>
  </si>
  <si>
    <t>23.04.03 Эксплуатация транспортно-технологических машин и комплексов (магистратура)</t>
  </si>
  <si>
    <t>190700 Технология транспортных процессов (магистратура)</t>
  </si>
  <si>
    <t>23.04.01 Технология транспортных процессов (магистратура)</t>
  </si>
  <si>
    <t>200100 Приборостроение (магистратура)</t>
  </si>
  <si>
    <t>12.04.01 Приборостроение (магистратура)</t>
  </si>
  <si>
    <t>200200 Оптотехника (магистратура)</t>
  </si>
  <si>
    <t>200400 Оптотехника (магистратура)</t>
  </si>
  <si>
    <t>12.04.02 Оптотехника (магистратура)</t>
  </si>
  <si>
    <t>200500 Лазерная техника и лазерные технологии (магистратура)</t>
  </si>
  <si>
    <t>12.04.05 Лазерная техника и лазерные технологии (магистратура)</t>
  </si>
  <si>
    <t>200300 Биомедицинская инженерия (магистратура)</t>
  </si>
  <si>
    <t>201000 Биотехнические системы и технологии (магистратура)</t>
  </si>
  <si>
    <t>12.04.04 Биотехнические системы и технологии (магистратура)</t>
  </si>
  <si>
    <t>200500 Метрология, стандартизация и сертификация (магистратура)</t>
  </si>
  <si>
    <t>221400 Управление качеством (магистратура)</t>
  </si>
  <si>
    <t>27.04.02 Управление качеством (магистратура)</t>
  </si>
  <si>
    <t>221700 Стандартизация и метрология (магистратура)</t>
  </si>
  <si>
    <t>27.04.01 Стандартизация и метрология (магистратура)</t>
  </si>
  <si>
    <t>222300 Наукоемкие технологии и экономика инноваций (магистратура)</t>
  </si>
  <si>
    <t>27.04.07 Наукоемкие технологии и экономика инноваций (магистратура)</t>
  </si>
  <si>
    <t>200600 Фотоника и оптоинформатика (магистратура)</t>
  </si>
  <si>
    <t>200700 Фотоника и оптоинформатика (магистратура)</t>
  </si>
  <si>
    <t>12.04.03 Фотоника и оптоинформатика (магистратура)</t>
  </si>
  <si>
    <t>72.00.00 Фотоника, приборостроение, оптические и биотехнические системы и технологии</t>
  </si>
  <si>
    <t>210100 Электроника и микроэлектроника (магистратура)</t>
  </si>
  <si>
    <t>210100 Электроника и наноэлектроника (магистратура)</t>
  </si>
  <si>
    <t>11.04.04 Электроника и наноэлектроника (магистратура)</t>
  </si>
  <si>
    <t>210200 Проектирование и технология электронных средств (магистратура)</t>
  </si>
  <si>
    <t>211000 Конструирование и технология электронных средств (магистратура)</t>
  </si>
  <si>
    <t>11.04.03 Конструирование и технология электронных средств (магистратура)</t>
  </si>
  <si>
    <t>210300 Радиотехника (магистратура)</t>
  </si>
  <si>
    <t>210400 Радиотехника (магистратура)</t>
  </si>
  <si>
    <t>11.04.01 Радиотехника (магистратура)</t>
  </si>
  <si>
    <t>210400 Телекоммуникации (магистратура)</t>
  </si>
  <si>
    <t>210700 Инфокоммуникационные технологии и системы связи (магистратура)</t>
  </si>
  <si>
    <t>11.04.02 Инфокоммуникационные технологии и системы связи (магистратура)</t>
  </si>
  <si>
    <t>210600 Нанотехнология (магистратура)</t>
  </si>
  <si>
    <t>152200 Наноинженерия (магистратура)</t>
  </si>
  <si>
    <t>28.04.02 Наноинженерия (магистратура)</t>
  </si>
  <si>
    <t>222900 Нанотехнологии и микросистемная техника (магистратура)</t>
  </si>
  <si>
    <t>28.04.01 Нанотехнологии и микросистемная техника (магистратура)</t>
  </si>
  <si>
    <t>220100 Системный анализ и управление (магистратура)</t>
  </si>
  <si>
    <t>27.04.03 Системный анализ и управление (магистратура)</t>
  </si>
  <si>
    <t>220200 Автоматизация и управление (магистратура)</t>
  </si>
  <si>
    <t>220400 Управление в технических системах (магистратура)</t>
  </si>
  <si>
    <t>27.04.04 Управление в технических системах (магистратура)</t>
  </si>
  <si>
    <t>220700 Автоматизация технологических процессов и производств (магистратура)</t>
  </si>
  <si>
    <t>15.04.04 Автоматизация технологических процессов и производств (магистратура)</t>
  </si>
  <si>
    <t>221000 Мехатроника и робототехника (магистратура)</t>
  </si>
  <si>
    <t>15.04.06 Мехатроника и робототехника (магистратура)</t>
  </si>
  <si>
    <t>220600 Инноватика (магистратура)</t>
  </si>
  <si>
    <t>222000 Инноватика (магистратура)</t>
  </si>
  <si>
    <t>27.04.05 Инноватика (магистратура)</t>
  </si>
  <si>
    <t>222600 Организация и управление наукоемкими производствами (магистратура)</t>
  </si>
  <si>
    <t>27.04.06 Организация и управление наукоемкими производствами (магистратура)</t>
  </si>
  <si>
    <t>230100 Информатика и вычислительная техника (магистратура)</t>
  </si>
  <si>
    <t>09.04.01 Информатика и вычислительная техника (магистратура)</t>
  </si>
  <si>
    <t>231000 Программная инженерия (магистратура)</t>
  </si>
  <si>
    <t>09.04.04 Программная инженерия (магистратура)</t>
  </si>
  <si>
    <t>231300 Прикладная математика (магистратура)</t>
  </si>
  <si>
    <t>01.04.04 Прикладная математика (магистратура)</t>
  </si>
  <si>
    <t>230200 Информационные системы (магистратура)</t>
  </si>
  <si>
    <t>230400 Информационные системы и технологии (магистратура)</t>
  </si>
  <si>
    <t>09.04.02 Информационные системы и технологии (магистратура)</t>
  </si>
  <si>
    <t>240100 Химическая технология и биотехнология (магистратура)</t>
  </si>
  <si>
    <t>240100 Химическая технология (магистратура)</t>
  </si>
  <si>
    <t>18.04.01 Химическая технология (магистратура)</t>
  </si>
  <si>
    <t>240700 Биотехнология (магистратура)</t>
  </si>
  <si>
    <t>19.04.01 Биотехнология (магистратура)</t>
  </si>
  <si>
    <t>241000 Энерго- и ресурсосберегающие процессы в химической технологии, нефтехимии и биотехнологии</t>
  </si>
  <si>
    <t>18.04.02 Энерго- и ресурсосберегающие процессы в химической технологии, нефтехимии и биотехнологии</t>
  </si>
  <si>
    <t>250100 Лесное дело (магистратура)</t>
  </si>
  <si>
    <t>35.04.01 Лесное дело (магистратура)</t>
  </si>
  <si>
    <t>250700 Ландшафтная архитектура (магистратура)</t>
  </si>
  <si>
    <t>35.04.09 Ландшафтная архитектура (магистратура)</t>
  </si>
  <si>
    <t>250300 Технология и оборудование лесозаготовительных и деревообрабатывающих производств (магистратура)</t>
  </si>
  <si>
    <t>250400 Технология лесозаготовительных и деревоперерабатывающих производств (магистратура)</t>
  </si>
  <si>
    <t>35.04.02 Технология лесозаготовительных и деревоперерабатывающих производств (магистратура)</t>
  </si>
  <si>
    <t>260100 Технология продуктов питания (магистратура)</t>
  </si>
  <si>
    <t>260100 Продукты питания из растительного сырья (магистратура)</t>
  </si>
  <si>
    <t>19.04.02 Продукты питания из растительного сырья (магистратура)</t>
  </si>
  <si>
    <t>260200 Продукты питания животного происхождения (магистратура)</t>
  </si>
  <si>
    <t>19.04.03 Продукты питания животного происхождения (магистратура)</t>
  </si>
  <si>
    <t>260500 Высокотехнологичные производства пищевых продуктов функционального и специализированного назначения (магистратура)</t>
  </si>
  <si>
    <t>19.04.05 Высокотехнологичные производства пищевых продуктов функционального и специализированного назначения (магистратура)</t>
  </si>
  <si>
    <t>260800 Технология продукции и организация общественного питания (магистратура)</t>
  </si>
  <si>
    <t>19.04.04 Технология продукции и организация общественного питания (магистратура)</t>
  </si>
  <si>
    <t>261400 Технология художественной обработки материалов (магистратура)</t>
  </si>
  <si>
    <t>29.04.04 Технология художественной обработки материалов (магистратура)</t>
  </si>
  <si>
    <t>260700 Технология и проектирование текстильных изделий (магистратура)</t>
  </si>
  <si>
    <t>261100 Технологии и проектирование текстильных изделий (магистратура)</t>
  </si>
  <si>
    <t>29.04.02 Технологии и проектирование текстильных изделий (магистратура)</t>
  </si>
  <si>
    <t>260800 Технология, конструирование изделий и материалы легкой промышленности (магистратура)</t>
  </si>
  <si>
    <t>262000 Технология изделий легкой промышленности (магистратура)</t>
  </si>
  <si>
    <t>29.04.01 Технология изделий легкой промышленности (магистратура)</t>
  </si>
  <si>
    <t>262200 Конструирование изделий легкой промышленности (магистратура)</t>
  </si>
  <si>
    <t>29.04.05 Конструирование изделий легкой промышленности (магистратура)</t>
  </si>
  <si>
    <t>261100 Полиграфия, (магистратура)</t>
  </si>
  <si>
    <t>261700 Технология полиграфического и упаковочного производства (магистратура)</t>
  </si>
  <si>
    <t>29.04.03 Технология полиграфического и упаковочного производства (магистратура)</t>
  </si>
  <si>
    <t>270100 Строительство (магистратура)</t>
  </si>
  <si>
    <t>270800 Строительство (магистратура)</t>
  </si>
  <si>
    <t>08.04.01 Строительство, (магистратура)</t>
  </si>
  <si>
    <t>270300 Архитектура (магистратура)</t>
  </si>
  <si>
    <t>270100 Архитектура (магистратура)</t>
  </si>
  <si>
    <t>07.04.01 Архитектура (магистратура)</t>
  </si>
  <si>
    <t>270200 Реконструкция и реставрация архитектурного наследия (магистратура)</t>
  </si>
  <si>
    <t>07.04.02 Реконструкция и реставрация архитектурного наследия (магистратура)</t>
  </si>
  <si>
    <t>270300 Дизайн архитектурной среды (магистратура)</t>
  </si>
  <si>
    <t>07.04.03 Дизайн архитектурной среды (магистратура)</t>
  </si>
  <si>
    <t>270400 Градостроительство (магистратура)</t>
  </si>
  <si>
    <t>271000 Градостроительство (магистратура)</t>
  </si>
  <si>
    <t>07.04.04 Градостроительство (магистратура)</t>
  </si>
  <si>
    <t>280200 Защита окружающей среды (магистратура)</t>
  </si>
  <si>
    <t>280700 Техносферная безопасность (магистратура)</t>
  </si>
  <si>
    <t>20.04.01 Техносферная безопасность (магистратура)</t>
  </si>
  <si>
    <t>280400 Природообустройство (магистратура)</t>
  </si>
  <si>
    <t>280100 Природообустройство и водопользование (магистратура)</t>
  </si>
  <si>
    <t>20.04.02 Природообустройство и водопользование (магистратура)</t>
  </si>
  <si>
    <t>УГСН2</t>
  </si>
  <si>
    <t>код и направление подготовки3</t>
  </si>
  <si>
    <t>зайти на закладку "Перекладка НПиС", выбрать в столбцах "А" или "С" старый код и направление подготовки, новый код будет показан в столбце "Е". Код из столбца "Е" и необходимо использовать в формах 13-к,14-к и 15-к</t>
  </si>
  <si>
    <t>В случае, если коды НПиС (формы 13-к, 14-к и 15-к) в дипломе у сотрудника или обучающегося не совпадают с текущей кодировкой, необходимо осуществить перекладку кода в соответствие с закладкой "Перекладка НПиС". Для этого необходимо</t>
  </si>
  <si>
    <t>наименование, например "Московская площадка".  Если в населенном пункте нахождения головного предприятия (офиса) находятся и его филиалы, данные представляются консолидировано под названием предприятия.</t>
  </si>
  <si>
    <r>
      <rPr>
        <b/>
        <u/>
        <sz val="11"/>
        <color theme="1"/>
        <rFont val="Calibri"/>
        <family val="2"/>
        <charset val="204"/>
        <scheme val="minor"/>
      </rPr>
      <t>Пример к п.3</t>
    </r>
    <r>
      <rPr>
        <sz val="11"/>
        <color theme="1"/>
        <rFont val="Calibri"/>
        <family val="2"/>
        <charset val="204"/>
        <scheme val="minor"/>
      </rPr>
      <t xml:space="preserve"> - ФГУП ГКНПЦ им. М.В. Хруничева представляет консолидировано информацию по всем своим филиалам находящимся в Москве (РКЗ, КБ Салют, Головной офис и т.д.) под названием "ГКНПЦ им. М.В. Хруничева".</t>
    </r>
  </si>
  <si>
    <t>Инженерно-технические и производственные работники. Руководители и специалисты, занятые разработкой, технологической подготовкой производства, испытаниями и доводкой, послепродажным обслуживанием, ремонтом и модернизацией основной продукции.</t>
  </si>
  <si>
    <r>
      <rPr>
        <b/>
        <sz val="11"/>
        <color indexed="8"/>
        <rFont val="Calibri"/>
        <family val="2"/>
        <charset val="204"/>
      </rPr>
      <t>АП</t>
    </r>
    <r>
      <rPr>
        <sz val="11"/>
        <color indexed="8"/>
        <rFont val="Calibri"/>
        <family val="2"/>
        <charset val="204"/>
      </rPr>
      <t xml:space="preserve">
 (Административный персонал)</t>
    </r>
  </si>
  <si>
    <r>
      <rPr>
        <b/>
        <sz val="11"/>
        <color indexed="8"/>
        <rFont val="Calibri"/>
        <family val="2"/>
        <charset val="204"/>
      </rPr>
      <t xml:space="preserve">ЦП </t>
    </r>
    <r>
      <rPr>
        <sz val="11"/>
        <color indexed="8"/>
        <rFont val="Calibri"/>
        <family val="2"/>
        <charset val="204"/>
      </rPr>
      <t xml:space="preserve">
Цеховой персонал (кроме ИТР)</t>
    </r>
  </si>
  <si>
    <t>Руководители, специалисты, служащие, рабочие</t>
  </si>
  <si>
    <r>
      <t xml:space="preserve">ИТР </t>
    </r>
    <r>
      <rPr>
        <sz val="11"/>
        <color indexed="8"/>
        <rFont val="Calibri"/>
        <family val="2"/>
        <charset val="204"/>
      </rPr>
      <t>(КБ) 
ИНЖЕНЕРЫ-ТЕХНОЛОГИ КБ</t>
    </r>
  </si>
  <si>
    <r>
      <t xml:space="preserve">ИТР </t>
    </r>
    <r>
      <rPr>
        <sz val="11"/>
        <color indexed="8"/>
        <rFont val="Calibri"/>
        <family val="2"/>
        <charset val="204"/>
      </rPr>
      <t>(КБ)
ИНЖЕНЕРЫ-КОНСТРУКТОРЫ  КБ</t>
    </r>
  </si>
  <si>
    <r>
      <t xml:space="preserve">ИТР </t>
    </r>
    <r>
      <rPr>
        <sz val="11"/>
        <color indexed="8"/>
        <rFont val="Calibri"/>
        <family val="2"/>
        <charset val="204"/>
      </rPr>
      <t>(Завод)
ИНЖЕНЕРЫ-КОНСТРУКТОРЫ ЗАВОД</t>
    </r>
  </si>
  <si>
    <r>
      <t xml:space="preserve">ИТР </t>
    </r>
    <r>
      <rPr>
        <sz val="11"/>
        <color indexed="8"/>
        <rFont val="Calibri"/>
        <family val="2"/>
        <charset val="204"/>
      </rPr>
      <t>(Завод)
ИНЖЕНЕРЫ-ТЕХНОЛОГИ ЗАВОД</t>
    </r>
  </si>
  <si>
    <t>ОПР</t>
  </si>
  <si>
    <r>
      <rPr>
        <b/>
        <sz val="11"/>
        <color theme="1"/>
        <rFont val="Calibri"/>
        <family val="2"/>
        <charset val="204"/>
        <scheme val="minor"/>
      </rPr>
      <t>ВР</t>
    </r>
    <r>
      <rPr>
        <sz val="11"/>
        <color theme="1"/>
        <rFont val="Calibri"/>
        <family val="2"/>
        <charset val="204"/>
        <scheme val="minor"/>
      </rPr>
      <t xml:space="preserve"> Вспомогательные рабочие</t>
    </r>
  </si>
  <si>
    <r>
      <t xml:space="preserve">ИТР </t>
    </r>
    <r>
      <rPr>
        <sz val="11"/>
        <color indexed="8"/>
        <rFont val="Calibri"/>
        <family val="2"/>
        <charset val="204"/>
      </rPr>
      <t>(Испытательный комплекс)
ИНЖЕНЕРЫ-КОНСТРУКТОРЫ</t>
    </r>
  </si>
  <si>
    <r>
      <t xml:space="preserve">ИТР </t>
    </r>
    <r>
      <rPr>
        <sz val="11"/>
        <color indexed="8"/>
        <rFont val="Calibri"/>
        <family val="2"/>
        <charset val="204"/>
      </rPr>
      <t>(Испытательный комплекс)
ИНЖЕНЕРЫ-ТЕХНОЛОГИ, ИНЖЕНЕРЫ-ИСПЫТАТЕЛИ</t>
    </r>
  </si>
  <si>
    <r>
      <rPr>
        <b/>
        <sz val="11"/>
        <color indexed="8"/>
        <rFont val="Calibri"/>
        <family val="2"/>
        <charset val="204"/>
      </rPr>
      <t>ПНС</t>
    </r>
    <r>
      <rPr>
        <sz val="11"/>
        <color indexed="8"/>
        <rFont val="Calibri"/>
        <family val="2"/>
        <charset val="204"/>
      </rPr>
      <t xml:space="preserve">
Персонал непромышленной сферы</t>
    </r>
  </si>
  <si>
    <r>
      <t xml:space="preserve">ИТР </t>
    </r>
    <r>
      <rPr>
        <sz val="11"/>
        <color indexed="8"/>
        <rFont val="Calibri"/>
        <family val="2"/>
        <charset val="204"/>
      </rPr>
      <t>(Научные подразделения)</t>
    </r>
  </si>
  <si>
    <t>ИТР (Научные подразделения)</t>
  </si>
  <si>
    <t>Руководители и специалисты научных, научно-исследовательских подразделений и экспериментальных лабораторий, руководители и специалисты научно исследовательских институтов, научно производственных объединений и предприятий, деятельность которых невозможно отнести к вышеперечисленным категориям, занятые исследованиями и моделированием условий электромагнитной совместимости, тепловых процессов и т.д.</t>
  </si>
  <si>
    <t>Количество вакантных рабочих мест</t>
  </si>
  <si>
    <t>Средний возраст генеральных/главных конструкторов</t>
  </si>
  <si>
    <t>Всего, ед. на конец отчетного периода</t>
  </si>
  <si>
    <t>Всего, чел. на конец отчетного периода</t>
  </si>
  <si>
    <t>Лет, на конец отчетного периода</t>
  </si>
  <si>
    <t>Количество генеральных/главных конструкторов</t>
  </si>
  <si>
    <r>
      <rPr>
        <u/>
        <sz val="11"/>
        <color theme="1"/>
        <rFont val="Calibri"/>
        <family val="2"/>
        <charset val="204"/>
        <scheme val="minor"/>
      </rPr>
      <t>Руководители:</t>
    </r>
    <r>
      <rPr>
        <sz val="11"/>
        <color theme="1"/>
        <rFont val="Calibri"/>
        <family val="2"/>
        <charset val="204"/>
        <scheme val="minor"/>
      </rPr>
      <t xml:space="preserve"> Президент и его заместители, генеральный директор и его заместители, генеральный и главный конструктор и их заместители, директора и главные специалисты  прямого подчинения генеральному директору или президенту, директора направлений деятельности, директора программ, Главные специалисты (гл. технолог,  гл. металлург и их замы, гл. научный сотрудник, гл. экономист, гл. бухгалтер и т.д.), начальники управления, департамента, службы, отдела, бюро, сектора, группы.</t>
    </r>
  </si>
  <si>
    <r>
      <rPr>
        <u/>
        <sz val="11"/>
        <color theme="1"/>
        <rFont val="Calibri"/>
        <family val="2"/>
        <charset val="204"/>
        <scheme val="minor"/>
      </rPr>
      <t>Специалисты:</t>
    </r>
    <r>
      <rPr>
        <sz val="11"/>
        <color theme="1"/>
        <rFont val="Calibri"/>
        <family val="2"/>
        <charset val="204"/>
        <scheme val="minor"/>
      </rPr>
      <t xml:space="preserve"> Советники, консультанты, эксперты, специалисты по направлению деятельности, конструкторы и технологи общезаводских подразделений, инженер по качеству, инженер по нормированию труда, инженер по подготовке кадров, юрист, бухгалтер, инженер по эксплуатации зданий, экономисты, юристы, программисты (офисные приложения, а именно - бухгалтерские, кадровые системы, техническая поддержка пользователей ПК).
</t>
    </r>
    <r>
      <rPr>
        <u/>
        <sz val="11"/>
        <color theme="1"/>
        <rFont val="Calibri"/>
        <family val="2"/>
        <charset val="204"/>
        <scheme val="minor"/>
      </rPr>
      <t>Служащие:</t>
    </r>
    <r>
      <rPr>
        <sz val="11"/>
        <color theme="1"/>
        <rFont val="Calibri"/>
        <family val="2"/>
        <charset val="204"/>
        <scheme val="minor"/>
      </rPr>
      <t xml:space="preserve">  экспедитор, агент, комендант. табельщик, кассир, секретарь, делопроизводитель, архивариус, машинистка, копировщик.</t>
    </r>
  </si>
  <si>
    <r>
      <rPr>
        <u/>
        <sz val="11"/>
        <color theme="1"/>
        <rFont val="Calibri"/>
        <family val="2"/>
        <charset val="204"/>
        <scheme val="minor"/>
      </rPr>
      <t xml:space="preserve">Специалисты: </t>
    </r>
    <r>
      <rPr>
        <sz val="11"/>
        <color theme="1"/>
        <rFont val="Calibri"/>
        <family val="2"/>
        <charset val="204"/>
        <scheme val="minor"/>
      </rPr>
      <t xml:space="preserve">Инженер по подготовке производства, механик, энергетик, экономист, зав архивом, диспетчер и т.п.
</t>
    </r>
    <r>
      <rPr>
        <u/>
        <sz val="11"/>
        <color theme="1"/>
        <rFont val="Calibri"/>
        <family val="2"/>
        <charset val="204"/>
        <scheme val="minor"/>
      </rPr>
      <t>Служащие:</t>
    </r>
    <r>
      <rPr>
        <sz val="11"/>
        <color theme="1"/>
        <rFont val="Calibri"/>
        <family val="2"/>
        <charset val="204"/>
        <scheme val="minor"/>
      </rPr>
      <t xml:space="preserve"> Охранник (но только не для ФГУП "Охрана"), оперативный дежурный ВОХР, дежурный бюро пропусков, др. Комендант цеха, табельщик, кассир, секретарь, делопроизводитель, архивариус, машинистка, копировщик, др.</t>
    </r>
  </si>
  <si>
    <r>
      <rPr>
        <u/>
        <sz val="11"/>
        <color theme="1"/>
        <rFont val="Calibri"/>
        <family val="2"/>
        <charset val="204"/>
        <scheme val="minor"/>
      </rPr>
      <t>Руководители:</t>
    </r>
    <r>
      <rPr>
        <sz val="11"/>
        <color theme="1"/>
        <rFont val="Calibri"/>
        <family val="2"/>
        <charset val="204"/>
        <scheme val="minor"/>
      </rPr>
      <t xml:space="preserve"> Начальник отдела, бригады, сектора, бюро, группы, лаборатории, стенда; их заместители; др. (Проектирование и конструирование изделия)
</t>
    </r>
    <r>
      <rPr>
        <u/>
        <sz val="11"/>
        <color theme="1"/>
        <rFont val="Calibri"/>
        <family val="2"/>
        <charset val="204"/>
        <scheme val="minor"/>
      </rPr>
      <t>Специалисты:</t>
    </r>
    <r>
      <rPr>
        <sz val="11"/>
        <color theme="1"/>
        <rFont val="Calibri"/>
        <family val="2"/>
        <charset val="204"/>
        <scheme val="minor"/>
      </rPr>
      <t xml:space="preserve"> Инженер-конструктор, техник-конструктор, инженеры расчетчики, инженеры (специалисты) по сертификации, надежности и др. программисты, электроники (САПР), инженеры и техники (по подготовке технической документации)</t>
    </r>
  </si>
  <si>
    <r>
      <rPr>
        <u/>
        <sz val="11"/>
        <color theme="1"/>
        <rFont val="Calibri"/>
        <family val="2"/>
        <charset val="204"/>
        <scheme val="minor"/>
      </rPr>
      <t>Руководители:</t>
    </r>
    <r>
      <rPr>
        <sz val="11"/>
        <color theme="1"/>
        <rFont val="Calibri"/>
        <family val="2"/>
        <charset val="204"/>
        <scheme val="minor"/>
      </rPr>
      <t xml:space="preserve"> Начальник отдела, бригады, сектора, бюро, группы, лаборатории, стенда, их заместители и др. (Технология изготовления изделия) 
</t>
    </r>
    <r>
      <rPr>
        <u/>
        <sz val="11"/>
        <color theme="1"/>
        <rFont val="Calibri"/>
        <family val="2"/>
        <charset val="204"/>
        <scheme val="minor"/>
      </rPr>
      <t>Специалисты:</t>
    </r>
    <r>
      <rPr>
        <sz val="11"/>
        <color theme="1"/>
        <rFont val="Calibri"/>
        <family val="2"/>
        <charset val="204"/>
        <scheme val="minor"/>
      </rPr>
      <t xml:space="preserve"> Программисты, электроники (САПР, ЧПУ) , инженер-технолог, техник-технолог, инженеры и техники по подготовке технологической документации.</t>
    </r>
  </si>
  <si>
    <r>
      <rPr>
        <u/>
        <sz val="11"/>
        <color theme="1"/>
        <rFont val="Calibri"/>
        <family val="2"/>
        <charset val="204"/>
        <scheme val="minor"/>
      </rPr>
      <t>Руководители:</t>
    </r>
    <r>
      <rPr>
        <sz val="11"/>
        <color theme="1"/>
        <rFont val="Calibri"/>
        <family val="2"/>
        <charset val="204"/>
        <scheme val="minor"/>
      </rPr>
      <t xml:space="preserve"> Начальник отдела, бригады, сектора, бюро, группы, лаборатории, стенда; их заместители; др. (Разработка заводской конструкторской документации на изделие, оснастку, инструмент) 
</t>
    </r>
    <r>
      <rPr>
        <u/>
        <sz val="11"/>
        <color theme="1"/>
        <rFont val="Calibri"/>
        <family val="2"/>
        <charset val="204"/>
        <scheme val="minor"/>
      </rPr>
      <t xml:space="preserve">Специалисты: </t>
    </r>
    <r>
      <rPr>
        <sz val="11"/>
        <color theme="1"/>
        <rFont val="Calibri"/>
        <family val="2"/>
        <charset val="204"/>
        <scheme val="minor"/>
      </rPr>
      <t xml:space="preserve"> Инженер-конструктор, техник-конструктор, инженеры расчетчики, инженеры (специалисты) по сертификации, надежности и др. программисты, инженеры-программисты, электроники (САПР, ЧПУ) , инженеры и техники (по подготовке технической документации),инженеры по эксплуатации, ТО, ремонту др.</t>
    </r>
  </si>
  <si>
    <r>
      <rPr>
        <u/>
        <sz val="11"/>
        <color theme="1"/>
        <rFont val="Calibri"/>
        <family val="2"/>
        <charset val="204"/>
        <scheme val="minor"/>
      </rPr>
      <t>Руководители:</t>
    </r>
    <r>
      <rPr>
        <sz val="11"/>
        <color theme="1"/>
        <rFont val="Calibri"/>
        <family val="2"/>
        <charset val="204"/>
        <scheme val="minor"/>
      </rPr>
      <t xml:space="preserve"> Начальник отдела, бригады, сектора, бюро, группы, лаборатории, стенда; их заместители; др. (Технология изготовления изделия).
</t>
    </r>
    <r>
      <rPr>
        <u/>
        <sz val="11"/>
        <color theme="1"/>
        <rFont val="Calibri"/>
        <family val="2"/>
        <charset val="204"/>
        <scheme val="minor"/>
      </rPr>
      <t>Специалисты:</t>
    </r>
    <r>
      <rPr>
        <sz val="11"/>
        <color theme="1"/>
        <rFont val="Calibri"/>
        <family val="2"/>
        <charset val="204"/>
        <scheme val="minor"/>
      </rPr>
      <t xml:space="preserve"> Программисты, инженеры-программисты, электроники (САПР, ЧПУ) , инженер-технолог, техник-технолог, инженеры и техники по подготовке технологической документации.</t>
    </r>
  </si>
  <si>
    <r>
      <rPr>
        <u/>
        <sz val="11"/>
        <color theme="1"/>
        <rFont val="Calibri"/>
        <family val="2"/>
        <charset val="204"/>
        <scheme val="minor"/>
      </rPr>
      <t>Руководители</t>
    </r>
    <r>
      <rPr>
        <sz val="11"/>
        <color theme="1"/>
        <rFont val="Calibri"/>
        <family val="2"/>
        <charset val="204"/>
        <scheme val="minor"/>
      </rPr>
      <t xml:space="preserve">: Начальник отдела, бригады, сектора, бюро, группы, лаборатории, стенда, их заместители и др. (Разработка  конструкторской документации на испытательные стенды, методики проведения испытания, обработки данных). 
</t>
    </r>
    <r>
      <rPr>
        <u/>
        <sz val="11"/>
        <color theme="1"/>
        <rFont val="Calibri"/>
        <family val="2"/>
        <charset val="204"/>
        <scheme val="minor"/>
      </rPr>
      <t>Специалисты</t>
    </r>
    <r>
      <rPr>
        <sz val="11"/>
        <color theme="1"/>
        <rFont val="Calibri"/>
        <family val="2"/>
        <charset val="204"/>
        <scheme val="minor"/>
      </rPr>
      <t>: Инженер-конструктор, техник-конструктор, инженеры расчетчики, инженеры (специалисты) по сертификации, надежности и др. программисты, инженеры - программисты, электроники (САПР, ЧПУ), инженеры и техники (по подготовке технической документации).</t>
    </r>
  </si>
  <si>
    <t>ИТР (Испытательный комплекс)
ИНЖЕНЕРЫ-КОНСТРУКТОРЫ</t>
  </si>
  <si>
    <t>ИТР (Испытательный комплекс)
ИНЖЕНЕРЫ-ТЕХНОЛОГИ, ИНЖЕНЕРЫ-ИСПЫТАТЕЛИ</t>
  </si>
  <si>
    <t>Руководители: Начальник отдела, бригады, сектора, бюро, группы, лаборатории, стенда, их заместители и др. (Технология изготовления испытательных стендов и оборудования).
Специалисты: Программисты, электроники (САПР, ЧПУ) , инженер-технолог, инженер-испытатель, техник-технолог, инженеры и техники по подготовке технологической документации, инженеры по эксплуатации, ТО, ремонту и др.</t>
  </si>
  <si>
    <t>Рабочие комплексов горячих, заготовительно-штамповочных, механических и механосборочных, слесарно-сварочных, обработки неметаллических материалов, защитных покрытий, агрегатно-сборочных  и окончательной сборки, занятые непосредственным изготовлением, сборкой основной продукции предприятия, а также цехов основного производства, в т.ч. стартового, непосредственно занятые доработками и доводкой изделий  при проведении всех видов испытаний, приготовители масс, клеев, красок, смесей, герметика, техники и механики всех специальностей испытательной и доводочной базы и гарантийные бригады, непосредственно занятые периодическим  и гарантийным ТО в процессе  испытаний и доработки космической техники, комплекса служб испытаний (цехи типовых испытаний, контрольно-испытательной станции), осуществляющие типовые испытания основного изделия, как завершающей стадии изготовления основного изделия, рабочие экспедиции, занятые на процессах консервации и упаковки готовой продукции предприятия, рабочие эксплуатационно-ремонтного цеха (отдела), занятые конструктивными доработками и гарантийным  и послегарантийным ремонтом и основной продукции предприятия.
Охранники - только для ФГУП "Охрана"</t>
  </si>
  <si>
    <t xml:space="preserve">Рабочие комплекса цехов и участков подготовки производства (инструментального, приспособлений, технологической оснастки и нестандартного оборудования, цеха механизации и автоматизации и т.п.), занятые изготовлением основной продукции предприятия, предназначенной для реализации на сторону (барокамеры, турбины для нефтегазовой отрасли, сейсмические датчики для атомных станций и т.п.), а также инструмента, принадлежностей и т.п., идущих на комплектование основной продукции предприятия, комплекса вспомогательных цехов (деревообрабатывающего, нестандартного оборудования). Рабочие цехов и участков производства тепла, электричества, воздушно-коллекторных станций и т.д. Рабочие комплекса вспомогательных цехов (деревообрабатывающего, нестандартного оборудования), занятые изготовлением тары и упаковки постоянного применения для основной продукции предприятия. Рабочие комплекса общезаводских складов, занятые подготовкой (расконсервацией, маркировкой, клеймением, предварительным раскроем) материалов, которые образуют основу изготавливаемой продукции или являются необходимыми компонентами при ее изготовлении комплекса заводских лабораторий и лабораторно-стендового комплекса КБ, занятые изготовлением оборудования испытательных комплексов, подготовкой, дополнительной обработкой и сборкой, приведением в работоспособное состояние полуфабрикатов и комплектующих изделий и их группировкой для селективной сборки. </t>
  </si>
  <si>
    <t>Рабочие занятые перемещением, транспортировкой, хранением и складированием предметов и продуктов труда, техническим контролем качества продукции, наладкой оборудования, поддержанием в рабочем состоянии орудий труда, уборкой производственных помещений и др. Рабочие занятые подготовкой производства, обслуживанием и ремонтом технологического и энергетического оборудования, ремонтом производственных зданий и сооружений, перемещением, транспортировкой, хранением и складированием предметов и продуктов труда и т.п., хозяйственным обслуживанием и уборкой офисных и производственных помещений, автотранспортным обслуживаниям и др.</t>
  </si>
  <si>
    <r>
      <rPr>
        <u/>
        <sz val="11"/>
        <color theme="1"/>
        <rFont val="Calibri"/>
        <family val="2"/>
        <charset val="204"/>
        <scheme val="minor"/>
      </rPr>
      <t>Специалисты:</t>
    </r>
    <r>
      <rPr>
        <sz val="11"/>
        <color theme="1"/>
        <rFont val="Calibri"/>
        <family val="2"/>
        <charset val="204"/>
        <scheme val="minor"/>
      </rPr>
      <t xml:space="preserve"> Специалисты  всех наименований в подразделениях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 обеспечивающие поддержку предприятия за рамками текущего производственного  процесса (врач, фельдшер, медицинская сестра,  воспитатель, вожатый, инструктор по физкультуре (плаванию), бухгалтер, и др.)
</t>
    </r>
    <r>
      <rPr>
        <u/>
        <sz val="11"/>
        <color theme="1"/>
        <rFont val="Calibri"/>
        <family val="2"/>
        <charset val="204"/>
        <scheme val="minor"/>
      </rPr>
      <t>Служащие:</t>
    </r>
    <r>
      <rPr>
        <sz val="11"/>
        <color theme="1"/>
        <rFont val="Calibri"/>
        <family val="2"/>
        <charset val="204"/>
        <scheme val="minor"/>
      </rPr>
      <t xml:space="preserve"> Комендант, официант и др.</t>
    </r>
  </si>
  <si>
    <t>Рабочие всех наименований социально-бытовой, жилищно-коммунальной  сферы и здравоохранения, детских учреждений, спортивно-оздоровительных подразделений, подразделений общественного питания</t>
  </si>
  <si>
    <t>Руководители непромышленных  подразделений предприятия,  (в т.ч. обособленных)  социально-бытовой, жилищно-коммунальной  сферы и здравоохранения, детские учреждения, спортивно-оздоровительные подразделения, подразделения общественного питания, и т.п.), их заместители (начальник (директор, заведующий) медсанчасти, детского сада, столовой,  гостиницы, прачечной (кроме спецодежды), директор дворца культуры, музея и его заместители).</t>
  </si>
  <si>
    <t xml:space="preserve">Оценка персонала </t>
  </si>
  <si>
    <t>Аттестация</t>
  </si>
  <si>
    <t>Оценка уровня развития профессиональных и личностно-деловых компетенций, необходимых сотруднику для эффективного выполнения рабочих задач. Результаты оценки используются для целей развития сотрудников, планирования карьеры, формирования кадрового резерва.</t>
  </si>
  <si>
    <t>Оценка степени соответствия уровня развития профессиональных знаний, умений и навыков требованиям занимаемой должности.</t>
  </si>
  <si>
    <t>Всего, ед.</t>
  </si>
  <si>
    <t>Средний возраст работников, в т.ч.</t>
  </si>
  <si>
    <t>Отраслевой кадровый резерв</t>
  </si>
  <si>
    <t>Численность работников организации, зачисленных в отраслевой кадровый резерв за отчетный период, чел.</t>
  </si>
  <si>
    <t>Численность работников  в возрасте 65 лет и старше, занимающих должности, на которые распространяется действие отраслевого кадрового резерва, чел.</t>
  </si>
  <si>
    <t>Кадровый резерв организации</t>
  </si>
  <si>
    <t>Численность работников в кадровом резерве организации на последнюю дату отчетного периода, чел.</t>
  </si>
  <si>
    <t>Из строки 7 в возрасте до 29 лет, чел.</t>
  </si>
  <si>
    <t>Из строки 7 в в возрасте от 30 до 39 лет, чел.</t>
  </si>
  <si>
    <t>Из строки 7 в возрасте от 40 до 49 лет, чел.</t>
  </si>
  <si>
    <t>Из строки 7 в возрасте от 50 до 59 лет, чел.</t>
  </si>
  <si>
    <t>Из строки 7 в возрасте от 60 лет и старше, чел.</t>
  </si>
  <si>
    <t>Количество работников, планируемых ко включению в кадровый резерв организации в периоде, следующим за отчетным, чел.</t>
  </si>
  <si>
    <t>% сформированности резерва организации</t>
  </si>
  <si>
    <t>Лет</t>
  </si>
  <si>
    <t>Месяцев</t>
  </si>
  <si>
    <t>Итог</t>
  </si>
  <si>
    <t>Средний возраст работников, находящихся в кадровом резерве организации, лет, месяцев</t>
  </si>
  <si>
    <t>Численность работников, завершивших обучение по программам кадрового резерва в АО "ИПК Машприбор" за отчетный период, чел.</t>
  </si>
  <si>
    <t>Исключенных из кадрового резерва организации за отчетный период по всем основаниям, кроме назначения на целевую должность, чел.</t>
  </si>
  <si>
    <t>% исключенных резервистов</t>
  </si>
  <si>
    <t>Количество работников из кадрового резерва организации, назначенных на какие-либо должности переводом внутри организации за отчетный период, чел.</t>
  </si>
  <si>
    <t>% работников из кадрового резерва организации, назначенных на какие-либо должности переводом внутри организации за отчетный период</t>
  </si>
  <si>
    <t>Среднее время назначения на должность работника из кадрового резерва, лет, месяцев</t>
  </si>
  <si>
    <t>В том числе (столбец 26)</t>
  </si>
  <si>
    <t>В том числе (столбец 28):</t>
  </si>
  <si>
    <t>В том числе имеют образование (столбцы 32-35):</t>
  </si>
  <si>
    <t>Объем НИОКР реализованных ссузом по заказу предприятия:</t>
  </si>
  <si>
    <t>Программы повышения квалификации работников предприятия в ссузе-партнере:</t>
  </si>
  <si>
    <t>Сведения о сотрудничестве с учебными заведениями (ВУЗы)</t>
  </si>
  <si>
    <t>Сведения о сотрудничестве с учебными заведениями (ССУЗы)</t>
  </si>
  <si>
    <t>Абаканское спец. ПУ</t>
  </si>
  <si>
    <t>Авиационный колледж ДГТУ</t>
  </si>
  <si>
    <t>Аграрно-экономический техникум - филиал федерального государственного бюджетного образовательного учреждения высшего образования «Дагестанский государственный аграрный университет имени М.М.Джамбулатова»</t>
  </si>
  <si>
    <t>Академический музыкальный колледж при Московской государственной консерватории имени П.И.Чайковского</t>
  </si>
  <si>
    <t>Алатырский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t>
  </si>
  <si>
    <t>Александровск-Сахалинский колледж (филиал) ФГБОУ ВПО «Сахалинский государственный университет»</t>
  </si>
  <si>
    <t>Алтайский техникум информатики и вычислительной техники (филиал) федерального государственного бюджетного образовательного учреждения высшего образования «Российский экономический университет имени Г.В. Плеханова»</t>
  </si>
  <si>
    <t>Ангарский политехнический колледж - филиал федерального государственного автономного образовательного учреждения высшего профессионального образования «Национальный исследовательский ядерный университет «МИФИ»</t>
  </si>
  <si>
    <t>АПОУ УР «Ижевский политехнический колледж»</t>
  </si>
  <si>
    <t>АПОУ УР «Техникум радиоэлектроники и информационных технологий»</t>
  </si>
  <si>
    <t>Архангельский колледж телекоммуникаций (филиал) федерального государственного бюджетного образовательного учреждения высшего образования «Санкт-Петербургский государственный университет телекоммуникаций им. проф. М.А. Бонч-Бруевича»</t>
  </si>
  <si>
    <t>Архангельский морской рыбопромышленный техникум ФГБОУ ВПО "МГТУ"</t>
  </si>
  <si>
    <t>АСТРАХАНСКОЕ СПЕЦ.ПУ</t>
  </si>
  <si>
    <t>Барышский колледж " филиал УлГТУ</t>
  </si>
  <si>
    <t>Бахчисарайский колледж строительства, архитектуры и дизайна (филиал) ФГАОУ ВО "КФУ им. В.И. Вернадского"</t>
  </si>
  <si>
    <t>Башантинский колледж (филиал) КалмГу</t>
  </si>
  <si>
    <t>БПК НИЯУ МИФИ</t>
  </si>
  <si>
    <t>БПОУ УР «Ижевский индустриальный техникум» им. Е.Ф. Драгунова</t>
  </si>
  <si>
    <t>БПОУ УР «Ижевский машиностроительный техникум» им. С.Н. Борина</t>
  </si>
  <si>
    <t>БПОУ УР «Монтажный техникум»</t>
  </si>
  <si>
    <t>БПОУ УР «Радиомеханический техникум им. В.А. Шутова»</t>
  </si>
  <si>
    <t>Брянское государственное училище (колледж) олимпийского резерва</t>
  </si>
  <si>
    <t>Бузулукский колледж промышленности и транспорта  ОГУ</t>
  </si>
  <si>
    <t>Владикавказский техникум железнодорожного транспорта – филиал федерального государственного бюджетного образовательного учреждения высшего образования «Ростовский государственный университет путей сообщения»</t>
  </si>
  <si>
    <t>Владикавказское спец. ПУ</t>
  </si>
  <si>
    <t>Волгоградский техникум железнодорожного транспорта – филиал федерального государственного бюджетного образовательного учреждения высшего образования «Ростовский государственный университет путей сообщения»</t>
  </si>
  <si>
    <t>Волго-каспийский морской рыбопромышленный колледж ФГБОУ ВПО «АГТУ»</t>
  </si>
  <si>
    <t>Вологодский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"Петербургский государственный университет путей сообщения Императора Александра I"</t>
  </si>
  <si>
    <t>ГАПОУ СО «ЕТ «АВТОМАТИКА» (Екатеринбургский техникум автоматики)</t>
  </si>
  <si>
    <t>ГБОУ ПОО "Златоустовский техникум технологии и экономики"</t>
  </si>
  <si>
    <t>ГБОУ СПО "Златоустовский индустриальный колледж им. П.П. Аносова"</t>
  </si>
  <si>
    <t xml:space="preserve">Геологический колледж </t>
  </si>
  <si>
    <t>Государственное бюджетное профессиональное образовательное учреждение "Пермский машиностроительный колледж"</t>
  </si>
  <si>
    <t>Государственное музыкальное училище эстрадного и джазового искусства (техникум)</t>
  </si>
  <si>
    <t>Государственное образовательное учреждение среднего профессионального образования«Ульяновский фармацевтический колледж»Министерства здравоохранения и социального развития Российской Федерации</t>
  </si>
  <si>
    <t>Государственное училище (колледж) олимпийского резерва г. Иркутска</t>
  </si>
  <si>
    <t>Государственное училище (техникум) олимпийского резерва г. Бронницы Московской области</t>
  </si>
  <si>
    <t>Государственное училище (техникум) олимпийского резерва г. Самара</t>
  </si>
  <si>
    <t>Государственное училище (техникум) олимпийского резерва г. Щелково Московской области</t>
  </si>
  <si>
    <t>Государственное училище (техникум) олимпийского резерва по хоккею</t>
  </si>
  <si>
    <t>Государственное училище циркового и эстрадного искусства им.М.Н.Румянцева (Карандаша)</t>
  </si>
  <si>
    <t>Егорьевский авиационный технический колледж - 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t>
  </si>
  <si>
    <t>ЕМРТ ФГБОУ ВПО «АГТУ»</t>
  </si>
  <si>
    <t>Звенигородский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</si>
  <si>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Ивановский радиотехнический техникум-интернат</t>
  </si>
  <si>
    <t>Ижевский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t>
  </si>
  <si>
    <t>ИЗВЕСТКОВСКОЕ СПЕЦ. ПУ</t>
  </si>
  <si>
    <t>ИШИМБАЙСКОЕ СПЕЦ. ПУ</t>
  </si>
  <si>
    <t>Казанский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t>
  </si>
  <si>
    <t>Калачевский техникум-интернат</t>
  </si>
  <si>
    <t>КАЛТАНСКОЕ СПЕЦ. ПУ</t>
  </si>
  <si>
    <t>Канашский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</si>
  <si>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КАРГАТСКОЕ СПЕЦ. ПУ</t>
  </si>
  <si>
    <t>Кинешемский технологический техникум-интернат</t>
  </si>
  <si>
    <t xml:space="preserve">Кирсановский авиационный технический колледж - 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   </t>
  </si>
  <si>
    <t>Кисловодский медицинский колледж</t>
  </si>
  <si>
    <t>Кисловодское государственное училище (техникум) олимпийского резерва</t>
  </si>
  <si>
    <t>колледж кино, телевидения и мультимедиа ВГИК</t>
  </si>
  <si>
    <t>Колледж Министерства иностранных дел Российской Федерации</t>
  </si>
  <si>
    <t>Колледж радиоэлектроники</t>
  </si>
  <si>
    <t>Колледж телекоммуникаций и информационных технологий ИМиКТ</t>
  </si>
  <si>
    <t>Колледж телекоммуникаций ордена Трудового Красного Знамени федеральное государственное бюджетное образовательное учреждение высшего образования «Московский технический университет связи информатики»</t>
  </si>
  <si>
    <t>КОСТРОМСКОЕ СПЕЦ. ПУ</t>
  </si>
  <si>
    <t>КПК НИЯУ МИФИ</t>
  </si>
  <si>
    <t>Красноармейский автомобилестроительный колледж - филиал РАНХиГС</t>
  </si>
  <si>
    <t>Краснокутский зооветеринарный техникум - филиал Федерального государственного бюджетного образовательного учреждения высшего образования «Саратовский государственный аграрный университет имени Н.И. Вавилова»</t>
  </si>
  <si>
    <t>Кунгурский техникум-интернат</t>
  </si>
  <si>
    <t>Куртамышский сельскохозяйственный техникум – филиал  федерального государственного бюджетного образовательного учреждения высшего образования «Курганская государственная сельскохозяйственная академия имени Т.С. Мальцева»</t>
  </si>
  <si>
    <t>КУРТАМЫШСКОЕ СПЕЦ. ПУ</t>
  </si>
  <si>
    <t>КЭМТ НИЯУ МИФИ</t>
  </si>
  <si>
    <t>Лангепасский нефтяной техникум (филиал) федерального государственного бюджетного образовательного учреждения высшего профессионального образования "Югорский государственный университет"</t>
  </si>
  <si>
    <t>Лесотехнический колледж Императора Петра I</t>
  </si>
  <si>
    <t>Лискинский техникум железнодорожного транспорта имени И.В.Ковалёва – филиал федерального государственного бюджетного образовательного учреждения высшего образования «Ростовский государственный университет путей сообщения»</t>
  </si>
  <si>
    <t>Лиховской техникум железнодорожного транспорта – филиал федерального государственного бюджетного образовательного учреждения высшего образования «Ростовский государственный университет путей сообщения»</t>
  </si>
  <si>
    <t>МАЙКОПСКОЕ СПЕЦ ПУ</t>
  </si>
  <si>
    <t>Марийский аграрный колледж (филиал) ФГБОУ ВПО "Марийский государственный университет"</t>
  </si>
  <si>
    <t>Марксовский сельскохозяйственный техникум - филиал Федерального государственного бюджетного образовательного учреждения высшего образования «Саратовский государственный аграрный университет имени Н.И. Вавилова»</t>
  </si>
  <si>
    <t>Махачкалинский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</si>
  <si>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Медицинский колледж государственного бюджетного образовательного учреждения высшего профессионального образования «Дагестанская государственная медицинская академия» Министерства здравоохранения  Российской Федерации</t>
  </si>
  <si>
    <t>Межрегиональный центр реабилитации лиц с проблемами слуха (колледж)</t>
  </si>
  <si>
    <t>Михайловский экономический колледж-интернат</t>
  </si>
  <si>
    <t>МОНЧЕГОРСКОЕ СПЕЦ. ПУ</t>
  </si>
  <si>
    <t>МОПК НИЯУ МИФИ</t>
  </si>
  <si>
    <t>Московский государственный колледж электромеханики и информационных технологии</t>
  </si>
  <si>
    <t xml:space="preserve">Московский колледж геодезии и картографии </t>
  </si>
  <si>
    <t>Московский техникум космического приборостроения</t>
  </si>
  <si>
    <t>Московское государственное академическое художественное училище памяти 1905 года</t>
  </si>
  <si>
    <t>МПК НовГУ</t>
  </si>
  <si>
    <t>НВПК НИЯУ МИФИ</t>
  </si>
  <si>
    <t>НЕМАНСКОЕ СПЕЦ. ПУ</t>
  </si>
  <si>
    <t>НИК (филиал) ФГБОУ ВПО "ЮГУ"</t>
  </si>
  <si>
    <t>ННТ (филиал) ФГБОУ ВПО "ЮГУ"</t>
  </si>
  <si>
    <t>Новокузнецкий государственный гуманитарно-технический колледж-интернат</t>
  </si>
  <si>
    <t>Новосибирская специальная музыкальная школа (колледж)</t>
  </si>
  <si>
    <t>Новосибирский государственный хореографический колледж</t>
  </si>
  <si>
    <t>Новосибирский техникум железнодорожного транспорта - структурное подразделение федерального государственного бюджетного образовательного   учреждения высшего профессионального образования «Сибирский  государственный университет путей сообщения»</t>
  </si>
  <si>
    <t>Новочеркасский технологический техникум-интернат</t>
  </si>
  <si>
    <t>НТИ НИЯУ МИФИ</t>
  </si>
  <si>
    <t>Образовательный комплекс "Юго-Запад"</t>
  </si>
  <si>
    <t>Омский авиационный колледж им. Н.Е. Жуковского</t>
  </si>
  <si>
    <t>ОМСКОЕ СПЕЦ. ПУ</t>
  </si>
  <si>
    <t>Ордена Трудового Красного Знамени агропромышленный колледж ФГАОУ ВО "КФУ им. В.И. Вернадского"</t>
  </si>
  <si>
    <t>Оренбургский государственный экономический колледж-интернат</t>
  </si>
  <si>
    <t>ОРЛОВСКОЕ СПЕЦ. ПУ</t>
  </si>
  <si>
    <t>Осташковский  финансово-экономический колледж " филиал ФГБОУ  ВО "Тверской государственный университет"</t>
  </si>
  <si>
    <t>Палехское художественное училище имени М.Горького</t>
  </si>
  <si>
    <t>Пензенский базовый медицинский колледж</t>
  </si>
  <si>
    <t>Пермский государственный хореографический колледж</t>
  </si>
  <si>
    <t>Пермский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</si>
  <si>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Петуховский техникум механизации и электрификации сельского хозяйства – филиал  федерального государственного бюджетного образовательного учреждения высшего образования «Курганская государственная сельскохозяйственная академия имени Т.С. Мальцева»</t>
  </si>
  <si>
    <t>Поволжский государственный колледж</t>
  </si>
  <si>
    <t>ПОКРОВСКОЕ СПЕЦ. ПУ</t>
  </si>
  <si>
    <t>Прибрежненский аграрный колледж (филиал) ФГАОУ ВО "КФУ им. В.И. Вернадского"</t>
  </si>
  <si>
    <t>Приморское государственное училище (техникум) олимпийского резерва</t>
  </si>
  <si>
    <t>Профессионально-педагогический колледж СГТУ имени Гагарина Ю.А.</t>
  </si>
  <si>
    <t>Пугачевский гидромелиоративный техникум имени В.И.Чапаева - филиал Федерального государственного бюджетного образовательного учреждения высшего образования «Саратовский государственный аграрный университет имени Н.И. Вавилова»</t>
  </si>
  <si>
    <t>РАИФСКОЕ СПЕЦ. ПУ</t>
  </si>
  <si>
    <t>РЕФТИНСКОЕ СПЕЦ. ПУ</t>
  </si>
  <si>
    <t>Рыльский авиационный технический колледж-филиал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t>
  </si>
  <si>
    <t>Самарский колледж железнодорожного транспорта имени А.А. Буянова – структурное подразделение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t>
  </si>
  <si>
    <t>Самарский техникум авиационного и промышленного машиностроения</t>
  </si>
  <si>
    <t>Самарский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</si>
  <si>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Санкт-Петербургский колледж телекоммуникаций федерального государственного бюджетного образовательного учреждения высшего образования «Санкт-Петербургский государственный университет телекоммуникаций им. проф. М.А. Бонч-Бруевича»</t>
  </si>
  <si>
    <t>Санкт-Петербургский медико-технический колледж Федерального медико-биологического агентства</t>
  </si>
  <si>
    <t>САНКТ-ПЕТЕРБУРГСКОЕ СПЕЦ. ПУ</t>
  </si>
  <si>
    <t>Саратовский колледж машиностроения и экономики Федерального государственного бюджетного образовательного учреждения высшего профессионального образования "Саратовский государственный технический университет имени Гагарина Ю.А."</t>
  </si>
  <si>
    <t>СЕБЕЖСКОЕ СПЕЦ. ПУ</t>
  </si>
  <si>
    <t>Сибирский государственный университет телекоммуникаций и информатики "Колледж телекоммуникаций и информатики"</t>
  </si>
  <si>
    <t>Сибирский профессиональный колледж</t>
  </si>
  <si>
    <t>Сибирское государственное училище (колледж) олимпийского резерва</t>
  </si>
  <si>
    <t>Сиверский техникум–интернат бухгалтеров</t>
  </si>
  <si>
    <t>Смоленский колледж телекоммуникаций (филиал) федерального государственного бюджетного образовательного учреждения высшего образования «Санкт-Петербургский государственный университет телекоммуникаций им. проф. М.А. Бонч-Бруевича»</t>
  </si>
  <si>
    <t>Смоленское государственное училище (техникум) олимпийского резерва</t>
  </si>
  <si>
    <t>СНТ (филиал) ФГБОУ ВПО "ЮГУ"</t>
  </si>
  <si>
    <t>Сосновоборский механико-технологический техникум</t>
  </si>
  <si>
    <t>СПбМРК (филиал) ФГБОУ ВПО "КГТУ"</t>
  </si>
  <si>
    <t>Специальная астрофизическая обсерватория Российской академии наук</t>
  </si>
  <si>
    <t>СПК НИЯУ МИФИ</t>
  </si>
  <si>
    <t>Старорусский политехнический колледж (филиал) ФБГОУ ВПО Новгородский государственный университет имени Ярослава Мудрого</t>
  </si>
  <si>
    <t>Сургутский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</si>
  <si>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Техникум инновационных промышленных технологий и сервиса</t>
  </si>
  <si>
    <t>Техникум мелиорации и механизации сельского хозяйства (филиал) ФГАОУ ВО "КФУ им. В.И. Вернадского" в пгт Советский</t>
  </si>
  <si>
    <t>техникум федерального государственного бюджетного образовательного учреждения высшего образования «Ростовский государственный университет путей сообщения»</t>
  </si>
  <si>
    <t>Тихорецкий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«Ростовский государственный университет путей сообщения»</t>
  </si>
  <si>
    <t xml:space="preserve">Торжокский политехнический колледж Федерального агенства по государственным резервам </t>
  </si>
  <si>
    <t>Троицкий авиационный технический колледж - 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t>
  </si>
  <si>
    <t>УЛАН-УДЭНСКОЕ СПЕЦ. ПУ</t>
  </si>
  <si>
    <t>Уральский радиотехнический колледж им. А.С. Попова</t>
  </si>
  <si>
    <t>УрТК НИЯУ МИФИ</t>
  </si>
  <si>
    <t>Ухтинский техникум железнодорожного транспорта - филиал федерального государственного бюджетного образовательного учреждения высшего профессионального образования "Петербургский государственный университет путей сообщения Императора Александра I"</t>
  </si>
  <si>
    <t>Факультет среднего профессионального образования (Колледж геодезии и картографии) горного университета</t>
  </si>
  <si>
    <t>ФГБОУ "ЛИЦЕЙ-ИНТЕРНАТ КОМПЛЕКСНОГО ФОРМИРОВАНИЯ ЛИЧНОСТИ ДЕТЕЙ И ПОДРОСТКОВ"</t>
  </si>
  <si>
    <t>ФГБОУ "МДЦ "АРТЕК"</t>
  </si>
  <si>
    <t>ФГБОУ ВДЦ "ОКЕАН"</t>
  </si>
  <si>
    <t>ФГБОУ ВДЦ "ОРЛЁНОК"</t>
  </si>
  <si>
    <t>ФГБОУ ГИМНАЗИЯ № 710</t>
  </si>
  <si>
    <t>ФГБОУ ДЛЯ ДЕТЕЙ-СИРОТ И ДЕТЕЙ, ОСТАВШИХСЯ БЕЗ ПОПЕЧЕНИЯ РОДИТЕЛЕЙ "ИВАНОВСКАЯ ШКОЛА-ИНТЕРНАТ ДЛЯ ДЕТЕЙ-СИРОТ И ДЕТЕЙ, ОСТАВШИХСЯ БЕЗ ПОПЕЧЕНИЯ РОДИТЕЛЕЙ, ИМ. Е.Д. СТАСОВОЙ"</t>
  </si>
  <si>
    <t>ФГБОУ ДО "ВДЦ "СМЕНА"</t>
  </si>
  <si>
    <t>ФГБОУ СОШ "ГОРКИ"</t>
  </si>
  <si>
    <t>ФГБОУ СОШ № 600</t>
  </si>
  <si>
    <t>ФГБОУ СОШ № 91</t>
  </si>
  <si>
    <t>ФГБОУ СПО "ММРК"</t>
  </si>
  <si>
    <t>ФГБУ "РСРЦ ДЛЯ ДЕТЕЙ-СИРОТ"</t>
  </si>
  <si>
    <t>Филиал горного университета "Хибинский технический колледж"</t>
  </si>
  <si>
    <t>Филиал федерального государственного бюджетного образовательного   учреждения высшего профессионального образования «Сибирский  государственный университет путей сообщения» - "Томский техникум железнодорожного транспорта"</t>
  </si>
  <si>
    <t>ФКОУ СПО Курский музыкальный колледж-интернат слепых Минтруда</t>
  </si>
  <si>
    <t>ХАБАРОВСКОЕ СПЕЦ. ПУ</t>
  </si>
  <si>
    <t>Хакасский государственный университет им. Н.Ф. Катанова, Колледж педагогического образования, информатики и права</t>
  </si>
  <si>
    <t>Хакасский государственный университет им. Н.Ф. Катанова, Музыкальный колледж</t>
  </si>
  <si>
    <t>Хакасский государственный университет им. Н.Ф.Катанова, Медицинский колледж</t>
  </si>
  <si>
    <t>Хакасский государственный университет им. Н.Ф.Катанова, Сельскохозяйственный колледж</t>
  </si>
  <si>
    <t>Центральная музыкальная школа (колледж) при Московской государственной консерватории имени П.И.Чайковского</t>
  </si>
  <si>
    <t>Чашинский государственный аграрно-технологический колледж – филиал  федерального государственного бюджетного образовательного учреждения высшего образования «Курганская государственная сельскохозяйственная академия имени Т.С. Мальцева»</t>
  </si>
  <si>
    <t>ЩЕКИНСКОЕ СПЕЦ. ПУ</t>
  </si>
  <si>
    <t>Якутский финансово-экономический колледж - филиал федерального государственного образовательного бюджетного учреждения высшего профессионального образования "Финансовый университет при Правительстве Российской Федерации"</t>
  </si>
  <si>
    <t>Перечень ССУЗов</t>
  </si>
  <si>
    <t>Абрамцевский филиал ФГБОУ ВПО МГХПА им. С.Г. Строганова</t>
  </si>
  <si>
    <t>АГИКИ, ФГБОУ ВО "АГИКИ", АРКТИЧЕСКИЙ ГОСУДАРСТВЕННЫЙ ИНСТИТУТ КУЛЬТУРЫ И ИСКУССТВ</t>
  </si>
  <si>
    <t>Агрофизический научно-исследовательский институт</t>
  </si>
  <si>
    <t>Адыгейский государственный университет</t>
  </si>
  <si>
    <t>Адыгейский филиал ЮРГПУ(НПИ) им. М.И. Платова</t>
  </si>
  <si>
    <t>Азово-Черноморский инженерный институт - филиал федерального государственного бюджетного образовательного учреждения высшего профессионального образования «Донской государственный аграрный университет» в г. Зернограде</t>
  </si>
  <si>
    <t>Академия акварели и изящных искусств Сергея Андрияки</t>
  </si>
  <si>
    <t>Академия гражданской защиты</t>
  </si>
  <si>
    <t>Академия переподготовки работников искусства, культуры и туризма</t>
  </si>
  <si>
    <t>Академия Русского балета имени А.Я.Вагановой</t>
  </si>
  <si>
    <t>Академия хорового искусства имени В.С.Попова</t>
  </si>
  <si>
    <t>Алатырский филиал ФГБОУ ВПО "ЧГУ им. И.Н.Ульянова"</t>
  </si>
  <si>
    <t>Алтайский государственный аграрный университет</t>
  </si>
  <si>
    <t>Алтайский государственный институт культуры</t>
  </si>
  <si>
    <t>Алтайский государственный медицинский университет</t>
  </si>
  <si>
    <t>Алтайский государственный технический университет им. И.И. Ползунова</t>
  </si>
  <si>
    <t>Алтайский научно-исследовательский институт сельского хозяйства</t>
  </si>
  <si>
    <t xml:space="preserve">Алтайский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 </t>
  </si>
  <si>
    <t>Альметьевский филиал ЧОУ ВПО ИЭУП</t>
  </si>
  <si>
    <t>АМТИ (филиал) ФГБОУ ВПО "КубГТУ"</t>
  </si>
  <si>
    <t>Амурская государственная медицинская академия</t>
  </si>
  <si>
    <t>Амурский государственный университет</t>
  </si>
  <si>
    <t>Амурский институт железнодорожного транспорта - филиал федерального государственного бюджетного образовательного учреждения высшего профессионального образования «Дальневосточный государственный университет путей сообщения» в г. Свободном</t>
  </si>
  <si>
    <t>Амурский филиал Федерального бюджетного образовательного учреждения высшего профессионального образования «Морской государственный университет имени адмирала Г.И. Невельского»</t>
  </si>
  <si>
    <t>Анапский филиал МПГУ</t>
  </si>
  <si>
    <t>АНО ВПО "Национальный Институт имени Екатерины Великой"</t>
  </si>
  <si>
    <t>АНО ВПО "Смольный институт Российской академии образования"</t>
  </si>
  <si>
    <t>АНОО ВО "Алтайская академия экономики и права"</t>
  </si>
  <si>
    <t>АОЧУ ВО "Московский финансово-юридический университет МФЮА"</t>
  </si>
  <si>
    <t>Апатитский филиал ФГБОУ ВПО "МГТУ"</t>
  </si>
  <si>
    <t>АПИ НГТУ</t>
  </si>
  <si>
    <t>Арзамасский филиал ННГУ</t>
  </si>
  <si>
    <t>Армавирский институт социального образования (филиал) РГСУ в г. Армавире Краснодарского края</t>
  </si>
  <si>
    <t>Архангельский филиал федерального государственного бюджетного образовательного учреждения высшего образования «Российский экономический университет имени Г.В. Плеханова»</t>
  </si>
  <si>
    <t>Астраханская государственная консерватория</t>
  </si>
  <si>
    <t>Астраханский государственный медицинский университет</t>
  </si>
  <si>
    <t>Астраханский государственный университет</t>
  </si>
  <si>
    <t>Астраханский филиал ФГБОУ ВО "СГЮА"</t>
  </si>
  <si>
    <t>Астраханский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</si>
  <si>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АСФ КемГУ</t>
  </si>
  <si>
    <t>АТИ ДГТУ</t>
  </si>
  <si>
    <t>АФ КНИТУ-КАИ</t>
  </si>
  <si>
    <t>АФ НИУ "БелГУ"</t>
  </si>
  <si>
    <t>Ачинский филиал ФГБОУ ВО "Красноярский государственный аграрный университет"</t>
  </si>
  <si>
    <t>Байкало-Амурский институт железнодорожного транспорта - филиал федерального государственного бюджетного образовательного учреждения высшего профессионального образования «Дальневосточный государственный университет путей сообщения» в г. Тынде</t>
  </si>
  <si>
    <t>Байкальский институт природопользования Сибирского отделения Российской академии наук</t>
  </si>
  <si>
    <t>Байкальский музей Иркутского научного центра</t>
  </si>
  <si>
    <t>Балабановский филиал МПГУ</t>
  </si>
  <si>
    <t>Балаковский филиал ФГБОУ ВО "СГЮА"</t>
  </si>
  <si>
    <t>Балаковский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</si>
  <si>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Балашовский институт Саратовского университета, БИ СГУ</t>
  </si>
  <si>
    <t>Балтийский государственный технический университет "ВОЕНМЕХ" им. Д.Ф. Устинова</t>
  </si>
  <si>
    <t>Балтийский федеральный университет имени Иммануила Канта</t>
  </si>
  <si>
    <t>Барнаульский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</si>
  <si>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Башкирский государственный аграрный университет</t>
  </si>
  <si>
    <t>Башкирский государственный медицинский университет</t>
  </si>
  <si>
    <t>Башкирский государственный педагогический университет им. М. Акмуллы</t>
  </si>
  <si>
    <t>Башкирский государственный университет</t>
  </si>
  <si>
    <t>Башкирский институт социальных технологий (филиал) Образовательного учреждения профсоюзов высшего образования «Академия труда и социальных отношений»</t>
  </si>
  <si>
    <t>Башкирский институт физической культуры (филиал) Федерального государственного бюджетного образовательного учреждения высшего профессионального образования  «Уральский государственный университет физической культуры»</t>
  </si>
  <si>
    <t>БГУ</t>
  </si>
  <si>
    <t>Белгородский государственный аграрный университет имени В.Я. Горина</t>
  </si>
  <si>
    <t>Белгородский государственный технологический университет им. В.Г. Шухова</t>
  </si>
  <si>
    <t>Белгородский филиал РЭУ им. Г.В. Плеханова</t>
  </si>
  <si>
    <t>Беломорско-Онежский филиал Федерального государственного бюджетного образовательного учреждения высшего образования «Государственный университет морского и речного флота имени адмирала С.О. Макарова»</t>
  </si>
  <si>
    <t>Березниковский филиал ПГНИУ</t>
  </si>
  <si>
    <t>Биолого-почвенный институт Дальневосточного отделения Российской академии наук</t>
  </si>
  <si>
    <t>БИРОБИДЖАНСКИЙ ФИЛИАЛ АМГУ</t>
  </si>
  <si>
    <t>Биробиджанский филиал ФГБОУ ВПО "ХГАЭП"</t>
  </si>
  <si>
    <t>Бирский филиал БашГУ</t>
  </si>
  <si>
    <t>БИТИ НИЯУ МИФИ</t>
  </si>
  <si>
    <t>БИТУ (филиал) ФГБОУ ВО "МГУТУ им. К.Г. Разумовского (ПКУ)"</t>
  </si>
  <si>
    <t>БИФ КемГУ</t>
  </si>
  <si>
    <t>Благовещенский филиал ФГБОУ ВПО "ХГАЭП"</t>
  </si>
  <si>
    <t>Благовещенский филиал Финуниверситета</t>
  </si>
  <si>
    <t>Богородский филиал ВШНИ</t>
  </si>
  <si>
    <t>БОКИТУ (филиал) ФГБОУ ВО "МГУТУ им. К.Г.Разумовского (ПКУ)"</t>
  </si>
  <si>
    <t>Ботанический институт им. В.Л. Комарова Российской академии наук</t>
  </si>
  <si>
    <t>Ботанический сад Уральского отделения Российской Академии наук</t>
  </si>
  <si>
    <t>Ботанический сад-институт Дальневосточного отделения Российской академии наук</t>
  </si>
  <si>
    <t>Ботанический сад-институт Уфимского научного центра Российской академии наук</t>
  </si>
  <si>
    <t>Бронницкий филиал МАДИ</t>
  </si>
  <si>
    <t>Брянский государственный аграрный университет</t>
  </si>
  <si>
    <t>Брянский государственный технический университет</t>
  </si>
  <si>
    <t>Брянский филиал РЭУ им. Г.В. Плеханова</t>
  </si>
  <si>
    <t>Брянский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</si>
  <si>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Брянский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</si>
  <si>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Брянский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экономики, статистики и информатики (МЭСИ)»</t>
  </si>
  <si>
    <t>Брянский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</si>
  <si>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БТИ АлтГТУ</t>
  </si>
  <si>
    <t>Бузулукский гуманитарно-технологический институт (филиал) ОГУ</t>
  </si>
  <si>
    <t>Бузулукский филиал Финуниверситета</t>
  </si>
  <si>
    <t>Бурятская государственная сельскохозяйственная академия имени В.Р. Филиппова</t>
  </si>
  <si>
    <t>Бурятский институт инфокоммуникаций (филиал) Федерального государственного бюджетного образовательного учреждения высшего образования «Сибирский государственный университет телекоммуникаций и информатики» в г. Улан-Удэ</t>
  </si>
  <si>
    <t>Бурятский филиал РЭУ им. Г.В. Плеханова</t>
  </si>
  <si>
    <t>БФ ПНИПУ, БФ ФГБОУ ВПО "Пермский национальный исследовательский политехнический университет", БФ ФГБОУ ВПО "ПНИПУ"</t>
  </si>
  <si>
    <t>БФ ТГАСУ</t>
  </si>
  <si>
    <t>БФ ФГБОУ ВО "ВГУ"</t>
  </si>
  <si>
    <t>БФ ФГБОУ ВПО "КНИТУ"</t>
  </si>
  <si>
    <t>ВГИ (филиал) ВолГУ</t>
  </si>
  <si>
    <t>ВГЛТУ, ВГЛТУ ИМ. Г.Ф. МОРОЗОВА, ФГБОУ ВО "ВГЛТУ", ВОРОНЕЖСКИЙ ГОСУДАРСТВЕННЫЙ ЛЕСОТЕХНИЧЕСКИЙ УНИВЕРСИТЕТ</t>
  </si>
  <si>
    <t>ВГПУ</t>
  </si>
  <si>
    <t>Великолукская государственная академия физической культуры и спорта</t>
  </si>
  <si>
    <t>Великолукская государственная сельскохозяйственная академия</t>
  </si>
  <si>
    <t>Великолукский филиал федерального государственного бюджетного образовательного учреждения высшего профессионального образования «Петербургский государственный университет путей сообщения»</t>
  </si>
  <si>
    <t>Велико-Устюгский филиал Федерального государственного бюджетного образовательного учреждения высшего образования «Московская государственная академия водного транспорта»</t>
  </si>
  <si>
    <t>ВИВТ - АНОО ВПО</t>
  </si>
  <si>
    <t>ВИЖ им. Л.К. Эрнста</t>
  </si>
  <si>
    <t>ВИСТех ВолгГАСУ</t>
  </si>
  <si>
    <t>ВИТИ НИЯУ МИФИ</t>
  </si>
  <si>
    <t>Владивостокский государственный университет экономики и сервиса</t>
  </si>
  <si>
    <t>Владивостокский филиал государственного казенного образовательного учреждения высшего образования "Российская таможенная академия"</t>
  </si>
  <si>
    <t>Владикавказский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</si>
  <si>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Владимирский государственный университет имени Александра Григорьевича и Николая Григорьевича Столетовых</t>
  </si>
  <si>
    <t>Владимирский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</si>
  <si>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Владимирский филиал федерального государственного бюджетного образовательного учреждения высшего профессионального образования «Российский государственный аграрный заочный университет»</t>
  </si>
  <si>
    <t>Владимирский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</si>
  <si>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ВОЛГГАСУ</t>
  </si>
  <si>
    <t>Волго-Вятский институт (филиал) Университета имени О.Е. Кутафина (МГЮА)</t>
  </si>
  <si>
    <t>Волго-Вятский филиал Федерального государственного образовательного бюджетного учреждения высшего профессионального образования Московского технического университета связи и информатики</t>
  </si>
  <si>
    <t>Волгоградская государственная академия физической культуры</t>
  </si>
  <si>
    <t>Волгоградский государственный аграрный университет</t>
  </si>
  <si>
    <t>Волгоградский государственный медицинский университет</t>
  </si>
  <si>
    <t>Волгоградский государственный технический университет</t>
  </si>
  <si>
    <t>Волгоградский государственный университет</t>
  </si>
  <si>
    <t>Волгоградский филиал РЭУ им. Г.В. Плеханова</t>
  </si>
  <si>
    <t>Волгоградский филиал ФГБОУИ ВО МГГЭУ; Волгоградский филиал МГГЭУ</t>
  </si>
  <si>
    <t>Волгоградский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</si>
  <si>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Волгоградский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</si>
  <si>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Волгодонский институт (филиал) ЮФУ</t>
  </si>
  <si>
    <t>Волжский государственный университет водного транспорта</t>
  </si>
  <si>
    <t>Волжский филиал МАДИ</t>
  </si>
  <si>
    <t>Волжский филиал ФГБОУ ВПО "ПГТУ"</t>
  </si>
  <si>
    <t>Вологодская государственная молочнохозяйственная академия имени Н.В.Верещагина</t>
  </si>
  <si>
    <t>Вологодский государственный университет</t>
  </si>
  <si>
    <t>Вологодский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</si>
  <si>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Волховский филиал РГПУ им. А.И. Герцена</t>
  </si>
  <si>
    <t>Воронежская государственная академия искусств</t>
  </si>
  <si>
    <t>Воронежский государственный аграрный университет имени императора Петра I</t>
  </si>
  <si>
    <t>Воронежский государственный институт физической культуры</t>
  </si>
  <si>
    <t>Воронежский государственный медицинский университет имени Н.Н. Бурденко</t>
  </si>
  <si>
    <t>Воронежский государственный технический университет</t>
  </si>
  <si>
    <t>Воронежский государственный университет</t>
  </si>
  <si>
    <t>Воронежский государственный университет инженерных технологий</t>
  </si>
  <si>
    <t>Воронежский институт Государственной противопожарной службы</t>
  </si>
  <si>
    <t>Воронежский филиал РЭУ им. Г.В. Плеханова</t>
  </si>
  <si>
    <t>Воронежский филиал Федерального государственного бюджетного образовательного учреждения высшего образования «Государственный университет морского и речного флота имени адмирала С.О. Макарова»</t>
  </si>
  <si>
    <t>Воронежский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</si>
  <si>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Воронежский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</si>
  <si>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Восточно-Сибирская государственная академия культуры и искусств</t>
  </si>
  <si>
    <t>Восточно-Сибирский государственный университет технологий и управления</t>
  </si>
  <si>
    <t>Восточно-Сибирский институт медико-экологических исследований</t>
  </si>
  <si>
    <t>Восточно-Сибирский научный центр экологии человека</t>
  </si>
  <si>
    <t>Восточно-Сибирский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Иркутск)</t>
  </si>
  <si>
    <t>ВПИ (филиал) ВолгГТУ</t>
  </si>
  <si>
    <t>Всероссийская академия внешней торговли Министерства экономического развития Российской Федерации</t>
  </si>
  <si>
    <t>Всероссийский государственный институт кинематографии имени С.А. Герасимова</t>
  </si>
  <si>
    <t>Всероссийский государственный университет юстиции (РПА Минюста России)</t>
  </si>
  <si>
    <t>Всероссийский институт аграрных проблем и информатики имени А.А. Никонова</t>
  </si>
  <si>
    <t>Всероссийский институт научной и технической информации</t>
  </si>
  <si>
    <t>Всероссийский научно-исследовательский агролесомелиоративный институт</t>
  </si>
  <si>
    <t>Всероссийский научно-исследовательский ветеринарный институт патологии, фармакологии и терапии</t>
  </si>
  <si>
    <t>Всероссийский научно-исследовательский ветеринарный институт птицеводства</t>
  </si>
  <si>
    <t>Всероссийский научно-исследовательский и технологический институт биологической промышленности</t>
  </si>
  <si>
    <t>Всероссийский научно-исследовательский институт агрохимии имени Д.Н. Прянишникова</t>
  </si>
  <si>
    <t>Всероссийский научно-исследовательский институт биологической защиты растений</t>
  </si>
  <si>
    <t>Всероссийский научно-исследовательский институт бруцеллеза и туберкулеза животных</t>
  </si>
  <si>
    <t>Всероссийский научно-исследовательский институт ветеринарной вирусологии и микробиологии</t>
  </si>
  <si>
    <t>Всероссийский научно-исследовательский институт ветеринарной санитарии, гигиены и экологии</t>
  </si>
  <si>
    <t>Всероссийский научно-исследовательский институт виноградарства и виноделия имени Я.И. Потапенко</t>
  </si>
  <si>
    <t>Всероссийский научно-исследовательский институт гидротехники и мелиорации имени А.Н. Костякова</t>
  </si>
  <si>
    <t>Всероссийский научно-исследовательский институт защиты растений</t>
  </si>
  <si>
    <t>Всероссийский научно-исследовательский институт земледелия и защиты почв от эрозии</t>
  </si>
  <si>
    <t>Всероссийский научно-исследовательский институт зерна и продуктов его переработки</t>
  </si>
  <si>
    <t>Всероссийский научно-исследовательский институт зернобобовых и крупяных культур</t>
  </si>
  <si>
    <t>Всероссийский научно-исследовательский институт зерновых культур имени И.Г.Калиненко</t>
  </si>
  <si>
    <t>Всероссийский научно-исследовательский институт использования техники и нефтепродуктов в сельском хозяйстве</t>
  </si>
  <si>
    <t>Всероссийский научно-исследовательский институт картофельного хозяйства имени А.Г. Лорха</t>
  </si>
  <si>
    <t>Всероссийский научно-исследовательский институт кондитерской промышленности</t>
  </si>
  <si>
    <t>Всероссийский научно-исследовательский институт коневодства</t>
  </si>
  <si>
    <t>Всероссийский научно-исследовательский институт лекарственных и ароматических растений</t>
  </si>
  <si>
    <t>Всероссийский научно-исследовательский институт льна</t>
  </si>
  <si>
    <t>Всероссийский научно-исследовательский институт масличных культур имени B.C.Пустовойта</t>
  </si>
  <si>
    <t>Всероссийский научно-исследовательский институт механизации животноводства</t>
  </si>
  <si>
    <t>Всероссийский научно-исследовательский институт механизации и информатизации агрохимического обеспечения сельского хозяйства</t>
  </si>
  <si>
    <t>Всероссийский научно-исследовательский институт механизации сельского хозяйства</t>
  </si>
  <si>
    <t>Всероссийский научно-исследовательский институт мясного скотоводства</t>
  </si>
  <si>
    <t>Всероссийский научно-исследовательский институт мясной промышленности имени В.М. Горбатова</t>
  </si>
  <si>
    <t>Всероссийский научно-исследовательский институт овощеводства</t>
  </si>
  <si>
    <t>Всероссийский научно-исследовательский институт овцеводства и козоводства</t>
  </si>
  <si>
    <t>Всероссийский научно-исследовательский институт охотничьего хозяйства и звероводства имени профессора Б.М.Житкова</t>
  </si>
  <si>
    <t>Всероссийский научно-исследовательский институт пищевой биотехнологии</t>
  </si>
  <si>
    <t>Всероссийский научно-исследовательский институт по проблемам гражданской обороны и чрезвычайных ситуаций</t>
  </si>
  <si>
    <t>Всероссийский научно-исследовательский институт птицеперерабатывающей промышленности</t>
  </si>
  <si>
    <t>Всероссийский научно-исследовательский институт радиологии и агроэкологии</t>
  </si>
  <si>
    <t>Всероссийский научно-исследовательский институт риса</t>
  </si>
  <si>
    <t>Всероссийский научно-исследовательский институт рыбного хозяйства и океанографии</t>
  </si>
  <si>
    <t>Всероссийский научно-исследовательский институт сахарной свёклы и сахара имени А.Л. Мазлумова</t>
  </si>
  <si>
    <t>Всероссийский научно-исследовательский институт селекции и семеноводства овощных культур</t>
  </si>
  <si>
    <t>Всероссийский научно-исследовательский институт селекции плодовых культур</t>
  </si>
  <si>
    <t>Всероссийский научно-исследовательский институт сельскохозяйственной биотехнологии</t>
  </si>
  <si>
    <t>Всероссийский научно-исследовательский институт сельскохозяйственной микробиологии</t>
  </si>
  <si>
    <t>Всероссийский научно-исследовательский институт табака, махорки и табачных изделий</t>
  </si>
  <si>
    <t>Всероссийский научно-исследовательский институт технологии консервирования</t>
  </si>
  <si>
    <t>Всероссийский научно-исследовательский институт физиологии, биохимии и питания животных</t>
  </si>
  <si>
    <t>Всероссийский научно-исследовательский институт цветоводства и субтропических культур</t>
  </si>
  <si>
    <t>Всероссийский научно-исследовательский институт экономики сельского хозяйства</t>
  </si>
  <si>
    <t>Всероссийский научно-исследовательский институт экспериментальной ветеринарии имени Я.Р.Коваленко</t>
  </si>
  <si>
    <t>Всероссийский научно-исследовательский институт электрификации сельского хозяйства</t>
  </si>
  <si>
    <t>Всероссийский научно-исследовательский технологический институт ремонта и эксплуатации машинно-тракторного парка</t>
  </si>
  <si>
    <t>Всероссийский селекционно-технологический институт садоводства и питомниководства</t>
  </si>
  <si>
    <t>Всероссийский центр экстренной и радиационной медицины имени А.М. Никифорова</t>
  </si>
  <si>
    <t>ВФ УГТУ</t>
  </si>
  <si>
    <t>ВФ ФГБОУ ВПО "ИжГТУ имени М.Т. Калашникова"</t>
  </si>
  <si>
    <t>ВШНИ</t>
  </si>
  <si>
    <t>Выборгский филиал РГПУ им. А.И. Герцена, Выборгский филиал Герценовского университета</t>
  </si>
  <si>
    <t>Выборгский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</si>
  <si>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Выксунский филиал НГТУ</t>
  </si>
  <si>
    <t>Выксунский филиал НИТУ "МИСиС"</t>
  </si>
  <si>
    <t>Высшее театральное училище (институт) им.М.С.Щепкина при Государственном академическом Малом театре России</t>
  </si>
  <si>
    <t>Вычислительный центр Дальневосточного отделения Российской академии наук</t>
  </si>
  <si>
    <t>Вычислительный центр им. А.А. Дородницына Российской академии наук</t>
  </si>
  <si>
    <t>ВЯТГГУ ФГБОУ ВО "ВЯТСКИЙ ГОСУДАРСТВЕННЫЙ ГУМАНИТАРНЫЙ УНИВЕРСИТЕТ" ВЯТСКИЙ ГОСУДАРСТВЕННЫЙ ГУМАНИТАРНЫЙ УНИВЕРСИТЕТ</t>
  </si>
  <si>
    <t>Вятская государственная сельскохозяйственная академия</t>
  </si>
  <si>
    <t>Вятский государственный университет</t>
  </si>
  <si>
    <t>Гаврилов-Ямский филиал РГАТУ имени П.А. Соловьева</t>
  </si>
  <si>
    <t>ГБОУ ВО МГПУ</t>
  </si>
  <si>
    <t>ГГПИ, ГЛАЗОВСКИЙ ГОСУДАРСТВЕННЫЙ ПЕДАГОГИЧЕСКИЙ ИНСТИТУТ, ФГБОУ ВПО "ГГПИ"</t>
  </si>
  <si>
    <t>Гематологический научный центр</t>
  </si>
  <si>
    <t>Геологический институт Кольского научного центра Российской академии наук</t>
  </si>
  <si>
    <t>Геологический институт Российской академии наук</t>
  </si>
  <si>
    <t>Геологический институт Сибирского отделения Российской академии наук</t>
  </si>
  <si>
    <t>Геофизический институт Владикавказского научного центра Российской академии наук</t>
  </si>
  <si>
    <t>ГИЭИ (филиал) ФГБОУ ВПО "ИжГТУ имени М.Т. Калашникова"</t>
  </si>
  <si>
    <t>ГИЭиП(филиал) ФГБОУ ВО "РГЭУ (РИНХ)"</t>
  </si>
  <si>
    <t>Главная (Пулковская) астрономическая обсерватория Российской академии наук</t>
  </si>
  <si>
    <t>Главный ботанический сад им. Н.В. Цицина Российской академии наук</t>
  </si>
  <si>
    <t>ГОРНО-АЛТАЙСКИЙ ГОСУДАРСТВЕННЫЙ УНИВЕРСИТЕТ, ГАГУ</t>
  </si>
  <si>
    <t>Горный ботанический сад Дагестанского научного центра Российской академии наук</t>
  </si>
  <si>
    <t>Горный институт Кольского научного центра Российской академии наук</t>
  </si>
  <si>
    <t>Горный институт Уральского отделения Российской академии наук</t>
  </si>
  <si>
    <t>Горный университет</t>
  </si>
  <si>
    <t>Горский государственный аграрный университет</t>
  </si>
  <si>
    <t>Государственная академия промышленного менеджмента имени Н.П. Пастухова</t>
  </si>
  <si>
    <t>Государственная полярная академия</t>
  </si>
  <si>
    <t>Государственная публичная научно-техническая библиотека Сибирского отделения Российской академии наук</t>
  </si>
  <si>
    <t>Государственное бюджетное учреждение Республики Крым «Ордена Трудового Красного Знамени Никитский ботанический сад – Национальный научный центр»</t>
  </si>
  <si>
    <t>государственное казенное образовательное учреждение высшего образования «Российская таможенная академия»</t>
  </si>
  <si>
    <t>Государственные Центральные Курсы иностранных языков "ИН-ЯЗ"</t>
  </si>
  <si>
    <t>Государственный аграрный университет Северного Зауралья</t>
  </si>
  <si>
    <t>Государственный институт искусствознания</t>
  </si>
  <si>
    <t>Государственный институт новых форм обучения</t>
  </si>
  <si>
    <t>Государственный морской университет имени адмирала Ф.Ф. Ушакова</t>
  </si>
  <si>
    <t>Государственный музыкально-педагогический институт имени М.М. Ипполитова-Иванова</t>
  </si>
  <si>
    <t>Государственный научно-исследовательский институт озерного и речного рыбного хозяйства</t>
  </si>
  <si>
    <t>Государственный научно-исследовательский институт системного анализа Счетной палаты Российской Федерации</t>
  </si>
  <si>
    <t>Государственный научно-исследовательский центр профилактической медицины</t>
  </si>
  <si>
    <t>Государственный научный центр «Институт иммунологии» Федерального медико-биологического агентства</t>
  </si>
  <si>
    <t xml:space="preserve">Государственный научный центр вирусологии и биотехнологии «Вектор» </t>
  </si>
  <si>
    <t>Государственный научный центр дерматовенерологии и косметологии</t>
  </si>
  <si>
    <t>Государственный научный центр колопроктологии имени А.Н. Рыжих</t>
  </si>
  <si>
    <t>Государственный научный центр прикладной микробиологии и биотехнологии</t>
  </si>
  <si>
    <t>Государственный научный центр Российской Федерации – Институт Теоретической и Экспериментальной Физики</t>
  </si>
  <si>
    <t>Государственный научный центр Российской Федерации - Институт физики высоких энергий</t>
  </si>
  <si>
    <t>Государственный университет морского и речного флота имени адмирала С.О. Макарова</t>
  </si>
  <si>
    <t>Государственный университет по землеустройству</t>
  </si>
  <si>
    <t>ГОУ ВПО КРСУ</t>
  </si>
  <si>
    <t>Грозненский государственный нефтяной технический университет имени академика М.Д. Миллионщикова</t>
  </si>
  <si>
    <t>ГУАП</t>
  </si>
  <si>
    <t>ГУБКИНСКИЙ ИНСТИТУТ (ФИЛИАЛ) УНИВЕРСИТЕТА МАШИНОСТРОЕНИЯ</t>
  </si>
  <si>
    <t>Губкинский филиал БГТУ им. В.Г. Шухова</t>
  </si>
  <si>
    <t>ГУВПО "Белорусско-Российский университет"</t>
  </si>
  <si>
    <t>Гуманитарно-педагогическая академия (филиал) ФГАОУ ВО "КФУ им. В.И. Вернадского" в г. Ялте</t>
  </si>
  <si>
    <t>ГУУ</t>
  </si>
  <si>
    <t>Дагестанская государственная медицинская академия</t>
  </si>
  <si>
    <t>Дагестанский государственный аграрный университет имени М.М.Джамбулатова</t>
  </si>
  <si>
    <t>Дагестанский государственный технический университет</t>
  </si>
  <si>
    <t>Дагестанский государственный университет</t>
  </si>
  <si>
    <t>Дагестанский научно-исследовательский институт сельского хозяйства имени Ф.Г. Кисриева</t>
  </si>
  <si>
    <t>Дагестанский научный центр Российской академии наук</t>
  </si>
  <si>
    <t>Дагестанский филиал РГПУ им. А. И. Герцена, Дагестанский филиал Герценовского университета</t>
  </si>
  <si>
    <t>Дальневосточная государственная академия искусств</t>
  </si>
  <si>
    <t>Дальневосточная государственная академия физической культуры</t>
  </si>
  <si>
    <t>Дальневосточный геологический институт</t>
  </si>
  <si>
    <t>Дальневосточный государственный аграрный университет</t>
  </si>
  <si>
    <t>Дальневосточный государственный медицинский университет</t>
  </si>
  <si>
    <t>Дальневосточный государственный университет путей сообщения</t>
  </si>
  <si>
    <t>Дальневосточный институт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</si>
  <si>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Дальневосточный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Хабаровске</t>
  </si>
  <si>
    <t>Дальневосточный научный центр физиологии и патологии дыхания</t>
  </si>
  <si>
    <t>Дальневосточный федеральный университет</t>
  </si>
  <si>
    <t>Дальневосточный филиал Санкт-Петербургского университета Государственной противопожарной службы МЧС России</t>
  </si>
  <si>
    <t>Дальневосточный филиал Федерального государственного бюджетного образовательного учреждения высшего образования «Всероссийская академия внешней торговли Министерства экономического развития Российской Федерации»</t>
  </si>
  <si>
    <t>Дальневосточный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(город Хабаровск)</t>
  </si>
  <si>
    <t>ДГПУ</t>
  </si>
  <si>
    <t>Дербентский филиал РЭУ им. Г.В. Плеханова</t>
  </si>
  <si>
    <t>ДЗЕРЖИНСКИЙ ФИЛИАЛ ННГУ</t>
  </si>
  <si>
    <t>Дзержинский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</si>
  <si>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Дипломатическая академия Министерства иностранных дел Российской Федерации</t>
  </si>
  <si>
    <t>ДИТИ НИЯУ МИФИ</t>
  </si>
  <si>
    <t>ДКГИПТиЭ (филиал) ФГБОУ ВО "МГУТУ им. К.Г. Разумовского (ПКУ)"</t>
  </si>
  <si>
    <t>Дмитровский рыбохозяйственный  технологический институт</t>
  </si>
  <si>
    <t>Донской государственный аграрный университет</t>
  </si>
  <si>
    <t>Донской государственный технический университет</t>
  </si>
  <si>
    <t>ДПИ НГТУ</t>
  </si>
  <si>
    <t>Евпаторийский институт социальных наук (филиал) ФГАОУ ВО "КФУ им. В.И. Вернадского"</t>
  </si>
  <si>
    <t>Егорьевский филиал МПГУ</t>
  </si>
  <si>
    <t>Екатеринбургский государственный театральный институт</t>
  </si>
  <si>
    <t>Екатеринбургский медицинский - научный центр профилактики и охраны здоровья рабочих промпредприятий</t>
  </si>
  <si>
    <t>Екатеринбургский филиал Федерального государственного бюджетного образовательного учреждения высшего профессионального образования  «Уральский государственный университет физической культуры»</t>
  </si>
  <si>
    <t>Елецкий филиал НОУ ВПО "РосНОУ"</t>
  </si>
  <si>
    <t>Ереванский филиал РЭУ им. Г.В. Плеханова</t>
  </si>
  <si>
    <t>Ессентукский филиал государственного бюджетного образовательного учреждения высшего профессионального образования «Ставропольский государственный медицинский университет» Министерства здравоохранения Российской Федерации</t>
  </si>
  <si>
    <t>ЕТИ ФГБОУ ВО МГТУ "СТАНКИН"</t>
  </si>
  <si>
    <t>Ефремовский  филиал государственного бюджетного образовательного учреждения высшего профессионального образования «Рязанский государственный медицинский университет имени академика И.П. Павлова» Министерства здравоохранения Российской Федерации</t>
  </si>
  <si>
    <t>Забайкальский аграрный институт - филиал Федерального государственного бюджетного образовательного учреждения высшего образования «Иркутский государственный аграрный университет имени А.А. Ежевского»</t>
  </si>
  <si>
    <t>Забайкальский институт железнодорожного транспорта– филиал федерального государственного бюджетного образовательного учреждения высшего профессионального образования «Иркутский государственный университет путей сообщения»</t>
  </si>
  <si>
    <t>Заволжский филиал НГТУ</t>
  </si>
  <si>
    <t>Западно-Сибирский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Томск)</t>
  </si>
  <si>
    <t>Западный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</si>
  <si>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ЗАРЕЧЕНСКИЙ ТЕХНОЛОГИЧЕСКИЙ ИНСТИТУТ-ФИЛИАЛ ПЕНЗГТУ, ИЛИ ЗТИ ФИЛИАЛ ПЕНЗГТУ</t>
  </si>
  <si>
    <t>ЗИМИТ КНИТУ-КАИ</t>
  </si>
  <si>
    <t>Зоологический институт Российской академии наук</t>
  </si>
  <si>
    <t>ИАТЭ НИЯУ МИФИ</t>
  </si>
  <si>
    <t>Ивановская государственная медицинская академия</t>
  </si>
  <si>
    <t>Ивановская государственная сельскохозяйственная академия имени Д.К.Беляева</t>
  </si>
  <si>
    <t>Ивановская пожарно-спасательная академия Государственной противопожарной службы</t>
  </si>
  <si>
    <t>Ивановский государственный политехнический университет</t>
  </si>
  <si>
    <t>Ивановский государственный университет</t>
  </si>
  <si>
    <t>Ивановский государственный химико-технологический университет</t>
  </si>
  <si>
    <t>Ивановский государственный энергетический университет имени В.И. Ленина</t>
  </si>
  <si>
    <t>Ивановский научно-исследовательский институт материнства и детства имени В.Н. Городкова</t>
  </si>
  <si>
    <t>Ивановский филиал РЭУ им. Г.В. Плеханова</t>
  </si>
  <si>
    <t>Ивановский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</si>
  <si>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ИДВ РАН</t>
  </si>
  <si>
    <t>Ижевская государственная медицинская академия</t>
  </si>
  <si>
    <t>Ижевская государственная сельскохозяйственная академия</t>
  </si>
  <si>
    <t>Ижевский государственный технический университет имени М.Т. Калашникова</t>
  </si>
  <si>
    <t>Ижевский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</si>
  <si>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ИК РАН</t>
  </si>
  <si>
    <t>Инзенский филиал Ульяновского государственного университета</t>
  </si>
  <si>
    <t>Институт автоматики и процессов управления Дальневосточного отделения Российской академии наук</t>
  </si>
  <si>
    <t>Институт автоматики и электрометрии Сибирского отделения Российской академии наук</t>
  </si>
  <si>
    <t>Институт аграрных проблем Российской академии наук</t>
  </si>
  <si>
    <t>Институт агроинженерных и экологических проблем сельскохозяйственного производства</t>
  </si>
  <si>
    <t>Институт агроэкологии - филиал федерального государственного бюджетного образовательного учреждения высшего профессионального образования «Челябинская государственная агроинженерная академия»</t>
  </si>
  <si>
    <t>Институт аналитического приборостроения</t>
  </si>
  <si>
    <t>Институт археологии и этнографии Сибирского отделения Российской академии наук</t>
  </si>
  <si>
    <t>Институт археологии российской академии наук</t>
  </si>
  <si>
    <t>Институт астрономии Российской академии наук</t>
  </si>
  <si>
    <t>Институт Африки Российской академии наук</t>
  </si>
  <si>
    <t>Институт белка Российской академии наук</t>
  </si>
  <si>
    <t>Институт биологии внутренних вод им. И.Д.Папанина</t>
  </si>
  <si>
    <t>Институт биологии гена Российской академии наук</t>
  </si>
  <si>
    <t>Институт биологии Карельского научного центра Российской академии наук</t>
  </si>
  <si>
    <t>Институт биологии Коми научного центра Уральского отделения Российской академии наук</t>
  </si>
  <si>
    <t>Институт биологии моря им. А.В. Жирмунского Дальневосточного отделения Российской академии наук</t>
  </si>
  <si>
    <t>Институт биологии развития им. Н.К. Кольцова РАН</t>
  </si>
  <si>
    <t>Институт биологических проблем криолитозоны Сибирского отделения Российской академии наук</t>
  </si>
  <si>
    <t>Институт биологических проблем Севера Дальневосточного  отделения Российской академии наук</t>
  </si>
  <si>
    <t>Институт биоорганической химии  им. академиков М.М. Шемякина и Ю.А. Овчинникова Российской академии наук</t>
  </si>
  <si>
    <t>Институт биофизики клетки Российской академии наук</t>
  </si>
  <si>
    <t>Институт биохимии и генетики Уфимского научного центра Российской Академии наук</t>
  </si>
  <si>
    <t>Институт биохимии и физиологии микроорганизмов им. Г.К. Скрябина Российской академии наук</t>
  </si>
  <si>
    <t>Институт биохимии и физиологии растений и микроорганизмов Российской академии наук</t>
  </si>
  <si>
    <t>Институт биохимии им. А.Н.Баха</t>
  </si>
  <si>
    <t>Институт биохимической физики им. Н.М. Эмануэля Российской академии наук</t>
  </si>
  <si>
    <t>Институт водного транспорта имени Г.Я. Седова – филиал Федерального государственного бюджетного образовательного учреждения высшего образования «Государственный морской университет имени адмирала Ф.Ф. Ушакова»</t>
  </si>
  <si>
    <t>Институт водных и экологических проблем Дальневосточного отделения Российской академии наук</t>
  </si>
  <si>
    <t>Институт водных и экологических проблем Сибирского отделения Российской академии наук</t>
  </si>
  <si>
    <t>Институт водных проблем Российской академии наук</t>
  </si>
  <si>
    <t>Институт водных проблем Севера Карельского научного центра Российской академии наук</t>
  </si>
  <si>
    <t>Институт востоковедения</t>
  </si>
  <si>
    <t>Институт восточных рукописей</t>
  </si>
  <si>
    <t>Институт всеобщей истории</t>
  </si>
  <si>
    <t>Институт высокомолекулярных соединений Российской академии наук</t>
  </si>
  <si>
    <t>Институт высокотемпературной электрохимии Уральского отделения Российской академии наук</t>
  </si>
  <si>
    <t>Институт высшей нервной деятельности и нейрофизиологии Российской академии наук</t>
  </si>
  <si>
    <t>Институт вычислительного моделирования Сибирского отделения Российской академии наук</t>
  </si>
  <si>
    <t>Институт вычислительной математики и математической геофизики Сибирского отделения Российской академии наук</t>
  </si>
  <si>
    <t>Институт вычислительной математики Российской академии наук</t>
  </si>
  <si>
    <t>Институт вычислительных технологий Сибирского отделения Российской академии наук</t>
  </si>
  <si>
    <t>Институт географии им. В.Б. Сочавы Сибирского отделения Российской академии наук</t>
  </si>
  <si>
    <t>Институт географии Российской академии наук</t>
  </si>
  <si>
    <t>Институт геологии алмаза и благородных металлов</t>
  </si>
  <si>
    <t>Институт геологии и геохимии им. академика А.Н. Заварицкого Уральского отделения Российской академии наук</t>
  </si>
  <si>
    <t>Институт геологии и геохронологии докембрия</t>
  </si>
  <si>
    <t>Институт геологии и минералогии им. В.С. Соболева Сибирского отделения Российской академии наук</t>
  </si>
  <si>
    <t>Институт геологии Карельского научного центра Российской академии наук</t>
  </si>
  <si>
    <t>Институт геологии Коми научного центра Уральского отделения Российской академии наук</t>
  </si>
  <si>
    <t>Институт геологии рудных месторождений, петрографии, минералогии и геохимии Российской академии наук</t>
  </si>
  <si>
    <t>Институт геофизики им. Ю.П. Булашевича Уральского отделения Российской академии наук</t>
  </si>
  <si>
    <t>Институт геохимии и аналитической химии им. В.И. Вернадского Российской академии наук</t>
  </si>
  <si>
    <t>Институт геохимии им. А.П. Виноградова Сибирского отделения Российской академии наук</t>
  </si>
  <si>
    <t>Институт геоэкологии им. Е.М. Сергеева Российской академии наук</t>
  </si>
  <si>
    <t>Институт гидродинамики им.М.А.Лаврентьева  Сибирского отделения Российской академии наук</t>
  </si>
  <si>
    <t>Институт горного дела Дальневосточного отделения Российской академии наук</t>
  </si>
  <si>
    <t>Институт горного дела им. Н.А. Чинакала Сибирского отделения Российской академии наук</t>
  </si>
  <si>
    <t>Институт горного дела Севера им. Н.В. Черского Сибирского отделения Российской академии наук</t>
  </si>
  <si>
    <t>Институт горного дела Уральского отделения Российской академии наук</t>
  </si>
  <si>
    <t>Институт государства и права</t>
  </si>
  <si>
    <t>Институт гуманитарных исследований и проблем малочисленных народов Севера Сибирского отделения Российской академии наук</t>
  </si>
  <si>
    <t>Институт динамики геосфер Российской академии наук</t>
  </si>
  <si>
    <t>Институт динамики систем и теории управления имени В.М. Матросова Сибирского отделения Российской академии наук</t>
  </si>
  <si>
    <t>Институт Европы РАН</t>
  </si>
  <si>
    <t>Институт законодательства и сравнительного правоведения при Правительстве Российской Федерации</t>
  </si>
  <si>
    <t>Институт земного магнетизма, ионосферы и распространения радиоволн им. Н.В.Пушкова</t>
  </si>
  <si>
    <t>Институт земной коры Сибирского отделения Российской академии наук</t>
  </si>
  <si>
    <t>Институт иммунологии и физиологии УрО РАН</t>
  </si>
  <si>
    <t>Институт информатики и математического моделирования технологических процессов</t>
  </si>
  <si>
    <t>Институт информатики и проблем регионального управления</t>
  </si>
  <si>
    <t>Институт истории естествознания и техники им. С.И. Вавилова Российской академии наук</t>
  </si>
  <si>
    <t>Институт истории и археологии Уральского отделения Российской академии наук</t>
  </si>
  <si>
    <t>Институт истории Сибирского отделения Российской академии наук</t>
  </si>
  <si>
    <t>Институт истории, археологии и этнографии</t>
  </si>
  <si>
    <t>Институт истории, археологии и этнографии народов Дальнего Востока Дальневосточного отделения РАН</t>
  </si>
  <si>
    <t>Институт истории, языка и литературы Уфимского научного центра Российской академии наук</t>
  </si>
  <si>
    <t>Институт катализа им. Г. К. Борескова Сибирского отделения Российской академии наук</t>
  </si>
  <si>
    <t>Институт клеточного и внутриклеточного симбиоза</t>
  </si>
  <si>
    <t>Институт комплексного анализа региональных проблем</t>
  </si>
  <si>
    <t>Институт конструкторско-технологической информатики Российской академии наук</t>
  </si>
  <si>
    <t>Институт космических исследований Российской академии наук</t>
  </si>
  <si>
    <t>Институт космофизических исследований и аэрономии им. Ю.Г. Шафера Сибирского отделения РАН</t>
  </si>
  <si>
    <t>Институт космофизических исследований и распространения радиоволн Дальневосточного отделения Российской академии наук</t>
  </si>
  <si>
    <t>Институт криосферы Земли Сибирского отделения Российской академии наук</t>
  </si>
  <si>
    <t>Институт лазерной физики</t>
  </si>
  <si>
    <t>Институт Латинской Америки Российской академии наук</t>
  </si>
  <si>
    <t>Институт леса им. В.Н. Сукачева Сибирского отделения Российской академии наук</t>
  </si>
  <si>
    <t>Институт леса Карельского научного центра Российской академии наук</t>
  </si>
  <si>
    <t>Институт лесоведения Российской академии наук</t>
  </si>
  <si>
    <t>Институт лингвистических исследований Российской академии наук</t>
  </si>
  <si>
    <t>Институт математики и механики им. Н.Н.Красовского</t>
  </si>
  <si>
    <t>Институт математики им. С.Л. Соболева Сибирского отделения Российской академии наук</t>
  </si>
  <si>
    <t>Институт математических проблем биологии</t>
  </si>
  <si>
    <t>Институт машиноведения и металлургии Дальневосточного отделения Российской академии наук</t>
  </si>
  <si>
    <t>Институт машиноведения им. А.А. Благонравова Российской академии наук</t>
  </si>
  <si>
    <t>Институт машиноведения Уральского отделения Российской академии наук</t>
  </si>
  <si>
    <t>Институт медико-биологических проблем Российской академии наук</t>
  </si>
  <si>
    <t>Институт мерзлотоведения им. П.И. Мельникова</t>
  </si>
  <si>
    <t>Институт металлоорганической химии им. Г.А. Разуваева Российской академии наук</t>
  </si>
  <si>
    <t>Институт металлургии и материаловедения им. А.А. Байкова Российской академии наук</t>
  </si>
  <si>
    <t>Институт металлургии Уральского отделения Российской академии наук</t>
  </si>
  <si>
    <t>Институт механики и машиностроения Казанского научного центра Российской академии наук</t>
  </si>
  <si>
    <t>Институт механики им. Р.Р. Мавлютова Уфимского научного центра Российской академии наук</t>
  </si>
  <si>
    <t>Институт механики сплошных сред Уральского отделения Российской академии наук</t>
  </si>
  <si>
    <t>Институт механики Уральского отделения Российской академии наук</t>
  </si>
  <si>
    <t>Институт микробиологии им. С.Н. Виноградского Российской академии наук</t>
  </si>
  <si>
    <t>Институт мировой литературы им. А.М. Горького Российской академии наук</t>
  </si>
  <si>
    <t>Институт мировой экономики и международных отношений Российской академии наук</t>
  </si>
  <si>
    <t>Институт мозга человека им.Н.П.Бехтеревой Российской академии наук</t>
  </si>
  <si>
    <t>Институт молекулярной биологии им. В.А. Энгельгардта Российской академии наук</t>
  </si>
  <si>
    <t>Институт молекулярной генетики Российской академии наук</t>
  </si>
  <si>
    <t>Институт молекулярной патологии и патоморфологии</t>
  </si>
  <si>
    <t>Институт монголоведения, буддологии и тибетологии Сибирского отделения Российской академии наук</t>
  </si>
  <si>
    <t>Институт мониторинга климатических и экологических систем Сибирского отделения Российской академии наук</t>
  </si>
  <si>
    <t>Институт морской геологии и геофизики</t>
  </si>
  <si>
    <t>Институт народнохозяйственного прогнозирования Российской академии наук</t>
  </si>
  <si>
    <t>Институт неорганической химии им. А.В. Николаева Сибирского отделения Российской академии наук</t>
  </si>
  <si>
    <t>Институт непрерывного образования взрослых</t>
  </si>
  <si>
    <t>Институт нефтегазовой геологии и геофизики им. А.А. Трофимука Сибирского отделения Российской академии наук</t>
  </si>
  <si>
    <t>Институт нефтехимии и катализа Российской академии наук</t>
  </si>
  <si>
    <t>Институт нефтехимического синтеза им. А.В.Топчиева Российской академии наук</t>
  </si>
  <si>
    <t>Институт общей генетики им. Н.И. Вавилова Российской академии наук</t>
  </si>
  <si>
    <t>Институт общей и неорганической химии им. Н.С. Курнакова Российской академии наук</t>
  </si>
  <si>
    <t>Институт общей и экспериментальной биологии Сибирского отделения Российской академии наук</t>
  </si>
  <si>
    <t>Институт общей физики им. А.М. Прохорова Российской академии наук</t>
  </si>
  <si>
    <t>Институт океанологии им. П.П.Ширшова Российской академии наук</t>
  </si>
  <si>
    <t>Институт оптики атмосферы им. В.Е. Зуева Сибирского отделения Российской академии наук</t>
  </si>
  <si>
    <t>Институт органического синтеза им.И.Я.Постовского Уральского отделения Российской академии наук</t>
  </si>
  <si>
    <t>Институт органической и физической химии им. А.Е. Арбузова Казанского научного центра Российской академии наук</t>
  </si>
  <si>
    <t>Институт органической химии им. Н.Д. Зелинского Российской академии наук</t>
  </si>
  <si>
    <t>Институт педагогического образования и менеджмента (филиал) ФГАОУ ВО "КФУ им. В.И. Вернадского" в г. Армянске</t>
  </si>
  <si>
    <t>Институт повышения квалификации Федерального медико-биологического агентства</t>
  </si>
  <si>
    <t>Институт полиомиелита и вирусных энцефалитов имени М.П. Чумакова</t>
  </si>
  <si>
    <t>Институт прикладной астрономии Российской академии наук</t>
  </si>
  <si>
    <t>Институт прикладной математики и автоматизации</t>
  </si>
  <si>
    <t>Институт прикладной механики Российской академии наук</t>
  </si>
  <si>
    <t>Институт прикладных математических исследований Карельского научного центра Российской академии наук</t>
  </si>
  <si>
    <t>Институт природных ресурсов, экологии и криологии</t>
  </si>
  <si>
    <t>Институт проблем безопасного развития атомной энергетики Российской академии наук</t>
  </si>
  <si>
    <t>Институт проблем геотермии Дагестанского научного центра Российской академии наук</t>
  </si>
  <si>
    <t>Институт проблем комплексного освоения недр</t>
  </si>
  <si>
    <t>Институт проблем лазерных и информационных технологий Российской академии наук</t>
  </si>
  <si>
    <t>Институт проблем машиноведения Российской академии наук</t>
  </si>
  <si>
    <t>Институт проблем машиностроения Российской академии наук</t>
  </si>
  <si>
    <t>Институт проблем механики им. А.Ю. Ишлинского Российской академии наук</t>
  </si>
  <si>
    <t>Институт проблем морских технологий</t>
  </si>
  <si>
    <t>Институт проблем национальной и малокомплектной школы Российской академии образования</t>
  </si>
  <si>
    <t>Институт проблем нефти и газа Российской академии наук</t>
  </si>
  <si>
    <t>Институт проблем нефти и газа Сибирского отделения Российской академии наук</t>
  </si>
  <si>
    <t>Институт проблем передачи информации им. А.А. Харкевича Российской академии наук</t>
  </si>
  <si>
    <t>Институт проблем проектирования в микроэлектронике</t>
  </si>
  <si>
    <t>Институт проблем промышленной экологии Севера Кольского научного центра Российской академии наук</t>
  </si>
  <si>
    <t>Институт проблем региональной экономики Российской академии наук</t>
  </si>
  <si>
    <t xml:space="preserve">Институт проблем сверхпластичности металлов Российской академии наук </t>
  </si>
  <si>
    <t>Институт проблем точной механики и управления Российской академии наук</t>
  </si>
  <si>
    <t>Институт проблем химико-энергетических технологий Сибирского отделения Российской академии наук</t>
  </si>
  <si>
    <t>Институт проблем химической физики Российской академии наук</t>
  </si>
  <si>
    <t>Институт проблем экологии и эволюции им. А.Н.Северцова</t>
  </si>
  <si>
    <t>Институт программных систем им. А.К.Айламазяна Российской академии наук</t>
  </si>
  <si>
    <t>Институт промышленной экологии Уральского отделения Российской академии наук</t>
  </si>
  <si>
    <t>Институт психологии</t>
  </si>
  <si>
    <t>Институт радиотехники и электроники им. В.А.Котельникова Российской академии наук</t>
  </si>
  <si>
    <t>Институт развития дополнительного профессионального образования</t>
  </si>
  <si>
    <t>Институт российской истории Российской академии наук</t>
  </si>
  <si>
    <t>Институт русского языка им. В. В. Виноградова РАН</t>
  </si>
  <si>
    <t>Институт русской литературы (Пушкинский Дом) Российской академии наук</t>
  </si>
  <si>
    <t>Институт сверхвысокочастотной полупроводниковой электроники Российской академии наук</t>
  </si>
  <si>
    <t>Институт сервиса и технологий (филиал) ДГТУ в г. Пятигорске; ИСиТ (филиал) ДГТУ</t>
  </si>
  <si>
    <t>Институт сервиса, туризма и дизайна (филиал) СКФУ в г. Пятигорске</t>
  </si>
  <si>
    <t>Институт сильноточной электроники Сибирского отделения Российской академии наук</t>
  </si>
  <si>
    <t>Институт синтетических полимерных материалов им. Н.С. Ениколопова Российской академии наук</t>
  </si>
  <si>
    <t>Институт систем информатики им. А.П.Ершова Сибирского отделения Российской академии наук</t>
  </si>
  <si>
    <t>Институт систем энергетики им. Л.А. Мелентьева</t>
  </si>
  <si>
    <t>Институт систематики и экологии животных Сибирского отделения Российской академии наук</t>
  </si>
  <si>
    <t>Институт системного анализа Российской академии наук</t>
  </si>
  <si>
    <t>Институт системного программирования Российской академии наук</t>
  </si>
  <si>
    <t>Институт славяноведения Российской академии наук</t>
  </si>
  <si>
    <t>Институт Соединенных Штатов Америки и Канады</t>
  </si>
  <si>
    <t>Институт солнечно-земной физики Сибирского отделения Российской академии наук</t>
  </si>
  <si>
    <t>Институт социально-политических исследований Российской академии наук</t>
  </si>
  <si>
    <t>Институт социально-экономических и энергетических проблем Севера Коми научного центра Уральского отделения Российской академии наук</t>
  </si>
  <si>
    <t>Институт социально-экономических исследований Дагестанского научного центра Российской академии наук</t>
  </si>
  <si>
    <t>Институт социально-экономических исследований Уфимского научного центра Российской академии наук</t>
  </si>
  <si>
    <t>Институт социально-экономических проблем народонаселения</t>
  </si>
  <si>
    <t>Институт социально-экономического развития территорий Российской академии наук</t>
  </si>
  <si>
    <t>Институт социологии Российской академии наук</t>
  </si>
  <si>
    <t>Институт спектроскопии российской академии наук</t>
  </si>
  <si>
    <t>Институт степи Уральского отделения Российской академии наук</t>
  </si>
  <si>
    <t>Институт структурной макрокинетики и проблем материаловедения Российской академии наук</t>
  </si>
  <si>
    <t>Институт тектоники и геофизики им. Ю.А. Косыгина Дальневосточного отделения Российской академии наук</t>
  </si>
  <si>
    <t>Институт теоретической и прикладной механики им. С.А.Христиановича Сибирского отделения Российской академии наук</t>
  </si>
  <si>
    <t>Институт теоретической и прикладной электродинамики Российской академии наук</t>
  </si>
  <si>
    <t>Институт теоретической и экспериментальной биофизики Российской академии наук</t>
  </si>
  <si>
    <t>Институт теоретической физики им. Л.Д. Ландау Российской академии наук</t>
  </si>
  <si>
    <t>Институт теплофизики им. С.С.Кутателадзе Сибирского отделения Российской академии наук</t>
  </si>
  <si>
    <t>Институт теплофизики Уральского отделения Российской академии наук</t>
  </si>
  <si>
    <t>Институт технической химии Уральского отделения Российской академии наук</t>
  </si>
  <si>
    <t>Институт углехимии и химического материаловедения Сибирского отделения Российской академии наук</t>
  </si>
  <si>
    <t>Институт угля</t>
  </si>
  <si>
    <t>Институт управления образованием Российской академии образования</t>
  </si>
  <si>
    <t>Институт физики атмосферы им. А.М. Обухова Российской академии наук</t>
  </si>
  <si>
    <t>Институт физики высоких давлений им. Л.Ф. Верещагина</t>
  </si>
  <si>
    <t>Институт физики Земли им. О.Ю. Шмидта Российской академии наук</t>
  </si>
  <si>
    <t>Институт физики им. Л.В. Киренского Сибирского отделения Российской академии наук</t>
  </si>
  <si>
    <t>Институт физики им. Х.И. Амирханова Дагестанского научного центра Российской акдемии наук</t>
  </si>
  <si>
    <t>Институт физики металлов имени М.Н. Михеева</t>
  </si>
  <si>
    <t>Институт физики полупроводников им. А.В. Ржанова Сибирского отделения Российской академии наук</t>
  </si>
  <si>
    <t>Институт физики прочности и материаловедения Сибирского отделения Российской академии наук</t>
  </si>
  <si>
    <t>Институт физики твердого тела Российской академии наук</t>
  </si>
  <si>
    <t>Институт физико-технических проблем Севера им. В.П. Ларионова</t>
  </si>
  <si>
    <t>Институт физико-химических и биологических проблем почвоведения Российской академии наук</t>
  </si>
  <si>
    <t>Институт физиологии им. И.П. Павлова Российской Академии Наук</t>
  </si>
  <si>
    <t>Институт физиологии Коми научного центра Уральского отделения Российской академии наук</t>
  </si>
  <si>
    <t>Институт физиологии природных адаптаций Уральского отделения Российской академии наук</t>
  </si>
  <si>
    <t>Институт физиологии растений им. К.А. Тимирязева Российской академии наук</t>
  </si>
  <si>
    <t>Институт физиологически активных веществ Российской академии наук</t>
  </si>
  <si>
    <t>Институт физических проблем им. П.Л. Капицы Российской академии наук</t>
  </si>
  <si>
    <t>Институт физического материаловедения Сибирского отделения Российской академии наук</t>
  </si>
  <si>
    <t>Институт физической химии и электрохимии им. А.Н.Фрумкина Российской академии  наук</t>
  </si>
  <si>
    <t>Институт филологии Сибирского отделения Российской академии наук</t>
  </si>
  <si>
    <t>Институт философии и права Сибирского отделения Российской академии наук</t>
  </si>
  <si>
    <t>Институт философии и права Уральского отделения Российской академии наук</t>
  </si>
  <si>
    <t>Институт философии Российской академии наук</t>
  </si>
  <si>
    <t>Институт фундаментальных проблем биологии Российской академии наук</t>
  </si>
  <si>
    <t>Институт химии высокочистых веществ им.Г.Г.Девятых Российской академии наук</t>
  </si>
  <si>
    <t>Институт химии Дальневосточного отделения Российской академии наук</t>
  </si>
  <si>
    <t>Институт химии и технологии  редких элементов  и минерального сырья им. И.В. Тананаева</t>
  </si>
  <si>
    <t>Институт химии и химической технологии Сибирского отделения Российской академии наук</t>
  </si>
  <si>
    <t>Институт химии Коми научного центра Уральского отделения Российской академии наук</t>
  </si>
  <si>
    <t xml:space="preserve">Институт химии нефти Сибирского отделения Российской академии наук </t>
  </si>
  <si>
    <t>Институт химии растворов им. Г.А. Крестова Российской академии наук</t>
  </si>
  <si>
    <t>Институт химии силикатов им. И.В.Гребенщикова Российской академии наук</t>
  </si>
  <si>
    <t>Институт химии твердого тела и механохимии Сибирского отделения Российской академии наук</t>
  </si>
  <si>
    <t>Институт химии твердого тела Уральского отделения Российской академии наук</t>
  </si>
  <si>
    <t>Институт химической биологии и фундаментальной медицины Сибирского отделения Российской академии наук</t>
  </si>
  <si>
    <t>Институт химической кинетики и горения им.В.В.Воеводского</t>
  </si>
  <si>
    <t>Институт химической физики им. Н.Н. Семенова Российской академии наук</t>
  </si>
  <si>
    <t>Институт хирургии имени А.В. Вишневского</t>
  </si>
  <si>
    <t>Институт цитологии Российской академии наук</t>
  </si>
  <si>
    <t>Институт эволюционной физиологии и биохимии им. И.М. Сеченова Российской академии наук</t>
  </si>
  <si>
    <t>Институт экологии и генетики микроорганизмов Уральского отделения Российской академии наук</t>
  </si>
  <si>
    <t>Институт экологии растений и животных Уральского отделения Российской академии наук (ИЭРиЖ УрО РАН)</t>
  </si>
  <si>
    <t>Институт экологии человека</t>
  </si>
  <si>
    <t>Институт экологических проблем Севера Уральского отделения Российской академии наук</t>
  </si>
  <si>
    <t>Институт экономики</t>
  </si>
  <si>
    <t>Институт экономики и организации промышленного производства Сибирского отделения Российской академии наук</t>
  </si>
  <si>
    <t>Институт экономики Карельского научного центра Российской академии наук</t>
  </si>
  <si>
    <t>Институт экономики Уральского отделения Российской академии наук</t>
  </si>
  <si>
    <t>Институт экономических исследований Дальневосточного отделения Российской академии наук</t>
  </si>
  <si>
    <t>Институт экономических проблем им. Г.П. Лузина</t>
  </si>
  <si>
    <t>Институт экспериментальной ветеринарии Сибири и Дальнего Востока</t>
  </si>
  <si>
    <t>Институт электрофизики и электроэнергетики Российской академии наук</t>
  </si>
  <si>
    <t>Институт электрофизики УрО РАН</t>
  </si>
  <si>
    <t>Институт элементоорганических соединений им. А.Н.Несмеянова Российской академии наук</t>
  </si>
  <si>
    <t>Институт энергетических исследований Российской академии наук</t>
  </si>
  <si>
    <t>Институт этнологии и антропологии им. Н.Н. Миклухо-Маклая Российской академии наук</t>
  </si>
  <si>
    <t>Институт этнологических исследований им. Р.Г.Кузеева</t>
  </si>
  <si>
    <t>Институт ядерных исследований Российской академии наук</t>
  </si>
  <si>
    <t>Институт языка, литературы и искусства им. Г. Цадасы Дагестанского научного центра Российской академии наук</t>
  </si>
  <si>
    <t>Институт языка, литературы и истории Карельского научного центра Российской академии наук</t>
  </si>
  <si>
    <t>Институт языка, литературы и истории Коми научного центра Уральского отделения Российской академии наук</t>
  </si>
  <si>
    <t>Институт языкознания Российской академии наук</t>
  </si>
  <si>
    <t>ИПИ им. П.П. Ершова (филал) ТюмГУ</t>
  </si>
  <si>
    <t>ИПТМ РАН</t>
  </si>
  <si>
    <t>ИПУ РАН</t>
  </si>
  <si>
    <t>ИПФ РАН</t>
  </si>
  <si>
    <t>Иркутская государственная медицинская академия последипломного образования</t>
  </si>
  <si>
    <t>Иркутский государственный аграрный университет имени А.А. Ежевского</t>
  </si>
  <si>
    <t>Иркутский государственный медицинский университет</t>
  </si>
  <si>
    <t>Иркутский государственный университет путей сообщения</t>
  </si>
  <si>
    <t>Иркутский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</si>
  <si>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Иркутский институт химии им. А.Е. Фаворского Сибирского отделения Российской академии наук</t>
  </si>
  <si>
    <t>Иркутский научный центр хирургии и травматологии</t>
  </si>
  <si>
    <t>Иркутский национальный исследовательский технический университет</t>
  </si>
  <si>
    <t>Иркутский филиал РЭУ им. Г.В. Плеханова</t>
  </si>
  <si>
    <t>Иркутский филиал федерального государственного бюджетного образовательного учреждения высшего образования "Всероссийский государственный институт кинематографии имени С.А. Герасимова"</t>
  </si>
  <si>
    <t>Иркутский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t>
  </si>
  <si>
    <t>ИСО (филиал) РГСУ   в г. Саратове</t>
  </si>
  <si>
    <t>ИСО и П (филиал) ДГТУ</t>
  </si>
  <si>
    <t>Исследовательский центр частного права имени С.С. Алексеева при Президенте Российской Федерации</t>
  </si>
  <si>
    <t>Иститут научной информации по общественным наукам РАН</t>
  </si>
  <si>
    <t>ИТиГ (г. Москва) (филиал) ФГБОУ ВПО "РГУТиС"</t>
  </si>
  <si>
    <t>ИФМ РАН</t>
  </si>
  <si>
    <t>ИЦиГ СО РАН</t>
  </si>
  <si>
    <t>ИЯФ им. Г.И.Будкера СО РАН</t>
  </si>
  <si>
    <t>ИЯЭ СПбПУ</t>
  </si>
  <si>
    <t>Кабардино-Балкарский государственный аграрный университет имени В.М.Кокова</t>
  </si>
  <si>
    <t>Кабардино-Балкарский институт гуманитарных исследований</t>
  </si>
  <si>
    <t>Кабардино-Балкарский научно-исследовательский институт сельского хозяйства</t>
  </si>
  <si>
    <t>Кавминводский институт (филиал) ЮРГПУ(НПИ) им. М.И. Платова</t>
  </si>
  <si>
    <t>Казанская государственная академия ветеринарной медицины имени Н.Э.Баумана</t>
  </si>
  <si>
    <t>Казанская государственная консерватория (академия) имени Н.Г.Жиганова</t>
  </si>
  <si>
    <t>Казанская государственная медицинская академия</t>
  </si>
  <si>
    <t>Казанский (Приволжский) федеральный университет</t>
  </si>
  <si>
    <t>Казанский государственный аграрный университет</t>
  </si>
  <si>
    <t>Казанский государственный архитектурно-строительный университет</t>
  </si>
  <si>
    <t>Казанский государственный институт культуры</t>
  </si>
  <si>
    <t>Казанский государственный медицинский университет</t>
  </si>
  <si>
    <t>Казанский государственный энергетический университет</t>
  </si>
  <si>
    <t>Казанский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</si>
  <si>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Казанский институт биохимии и биофизики Казанского научного центра Российской академии наук</t>
  </si>
  <si>
    <t>Казанский научный центр</t>
  </si>
  <si>
    <t>Казанский национальный исследовательский технический университет им. А.Н. Туполева</t>
  </si>
  <si>
    <t>Казанский национальный исследовательский технологический университет</t>
  </si>
  <si>
    <t>Казанский физико-технический институт им.Е.К.Завойского Казанского научного центра Российской Академии наук</t>
  </si>
  <si>
    <t>Казанский филиал Федерального государственного бюджетного образовательного учреждения высшего образования «Волжский государственный университет водного транспорта»</t>
  </si>
  <si>
    <t>Казанский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правосудия»(г. Казань)</t>
  </si>
  <si>
    <t>Казанский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</si>
  <si>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 xml:space="preserve">Казанский филиал Федерального государственного образовательного бюджетного учреждения высшего профессионального образования "Поволжский государственный университет телекоммуникаций и информатики" </t>
  </si>
  <si>
    <t>КАЗГАСУ</t>
  </si>
  <si>
    <t>Калининградский филиал РЭУ им. Г.В. Плеханова</t>
  </si>
  <si>
    <t>Калининградский филиал федерального государственного бюджетного образовательного учреждения высшего образования  «Санкт-Петербургский государственный аграрный университет»</t>
  </si>
  <si>
    <t>Калининградский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</si>
  <si>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Калмыцкий институт гуманитарных исследований Российской академии наук</t>
  </si>
  <si>
    <t>Калмыцкий филиал ФГБОУИ ВО МГГЭУ, Калмыцкий филиал МГГЭУ</t>
  </si>
  <si>
    <t>Калужский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</si>
  <si>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Калужский филиал СПбГЭУ</t>
  </si>
  <si>
    <t>Калужский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</si>
  <si>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Калужский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</si>
  <si>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Калужский филиал федерального государственного бюджетного образовательного учреждения высшего профессионального образования «Российский государственный аграрный университет – МСХА имени К.А.Тимирязева»</t>
  </si>
  <si>
    <t>Калужский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</si>
  <si>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Каменский институт (филиал) ЮРГПУ(НПИ) им. М.И. Платова</t>
  </si>
  <si>
    <t>КАМЕНСКИЙ ТЕХНОЛОГИЧЕСКИЙ ИНСТИТУТ-ФИЛИАЛ ПЕНЗГТУ, ИЛИ КАМТИ ФИЛИАЛ ПЕНЗГТУ</t>
  </si>
  <si>
    <t>Карачевский филиал ПГУ</t>
  </si>
  <si>
    <t>Карельский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</si>
  <si>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Каспийский институт морского и речного транспорта-филиал Федерального государственного бюджетного образовательного учреждения высшего образования «Волжский государственный университет водного транспорта»</t>
  </si>
  <si>
    <t>КБГУ, КАБАРДИНО-БАЛКАРСКИЙ ГОСУДАРСТВЕННЫЙ УНИВЕРСИТЕТ ИМ. Х. М. БЕРБЕКОВА</t>
  </si>
  <si>
    <t>КГКСЭП (филиал) МИИГАиК</t>
  </si>
  <si>
    <t>КГПУ ИМ. В.П. АСТАФЬЕВА</t>
  </si>
  <si>
    <t>КГУ</t>
  </si>
  <si>
    <t>КГУ ИМ. К.Э. ЦИОЛКОВСКОГО</t>
  </si>
  <si>
    <t>КГУ ИМ. Н.А. НЕКРАСОВА, КГУ, НЕКРАСОВСКИЙ УНИВЕРСИТЕТ</t>
  </si>
  <si>
    <t>КГУ, ФГБОУ ВПО "КГУ", ФГБОУ ВПО "КУРСКИЙ ГОСУДАРСТВЕННЫЙ УНИВЕРСИТЕТ"</t>
  </si>
  <si>
    <t>КЕМГУ, КЕМЕРОВСКИЙ ГОСУДАРСТВЕННЫЙ УНИВЕРСИТЕТ</t>
  </si>
  <si>
    <t>Кемеровская государственная медицинская академия</t>
  </si>
  <si>
    <t>Кемеровский государственный сельскохозяйственный институт</t>
  </si>
  <si>
    <t>Кемеровский государственный университет культуры и искусств</t>
  </si>
  <si>
    <t>Кемеровский институт ФГБОУ ВПО «РЭУ им. Г.В. Плеханова»</t>
  </si>
  <si>
    <t>Кемеровский технологический институт пищевой промышленности (университет)</t>
  </si>
  <si>
    <t>Кемеровский филиал МЭСИ</t>
  </si>
  <si>
    <t>КИИУТ (филиал)ФГБОУ ВПО "Пензенский государственный университет"</t>
  </si>
  <si>
    <t>Кировская государственная медицинская академия</t>
  </si>
  <si>
    <t>Кировский научно-исследовательский институт гематологии и переливания крови Федерального медико-биологического агентства</t>
  </si>
  <si>
    <t>Кировский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</si>
  <si>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Кисловодский гуманитарно-технический институт</t>
  </si>
  <si>
    <t>КМК (филиал) ФГБОУ ВПО "ИжГТУ имени М.Т. Калашникова"</t>
  </si>
  <si>
    <t>КНИТУ-КАИ</t>
  </si>
  <si>
    <t>Ковровская государственная технологическая академия имени В.А. Дегтярева</t>
  </si>
  <si>
    <t>КОЛОМЕНСКИЙ ИНСТИТУТ (ФИЛИАЛ) УНИВЕРСИТЕТА МАШИНОСТРОЕНИЯ</t>
  </si>
  <si>
    <t>Кольский научный центр Российской академии наук</t>
  </si>
  <si>
    <t xml:space="preserve">Кольский филиал Петрозаводского государственного университета </t>
  </si>
  <si>
    <t>Коми научный центр Уральского отделения Российской академии наук</t>
  </si>
  <si>
    <t>Коми филиал государственного бюджетного образовательного учреждения высшего профессионального образования "Кировская государственная медицинская академия" Министерства здравоохранения Российской Федерации</t>
  </si>
  <si>
    <t>Комплексный научно-исследовательский институт им. Х.И. Ибрагимова</t>
  </si>
  <si>
    <t>Комсомольский-на-Амуре государственный технический университет</t>
  </si>
  <si>
    <t>Конструкторско-технологический институт вычислительной техники Сибирского отделения Российской академии наук</t>
  </si>
  <si>
    <t>Костромская государственная сельскохозяйственная академия</t>
  </si>
  <si>
    <t>Костромской государственный технологический университет</t>
  </si>
  <si>
    <t>Котласский филиал Федерального государственного бюджетного образовательного учреждения высшего образования «Государственный университет морского и речного флота имени адмирала С.О. Макарова»</t>
  </si>
  <si>
    <t>КПИ (филиал) УрФУ</t>
  </si>
  <si>
    <t>Красногорский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</si>
  <si>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Краснодарский государственный университет культуры и искусств</t>
  </si>
  <si>
    <t>Краснодарский научно-исследовательский ветеринарный институт</t>
  </si>
  <si>
    <t>Краснодарский научно-исследовательский институт сельского хозяйства имени П.П.Лукьяненко</t>
  </si>
  <si>
    <t>Краснодарский научно-исследовательский институт хранения и переработки сельскохозяйственной продукции</t>
  </si>
  <si>
    <t>Краснодарский филиал РЭУ им. Г.В. Плеханова</t>
  </si>
  <si>
    <t>Краснодарский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</si>
  <si>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КРАСНОСЕЛЬСКИЙ ФИЛИАЛ ФГБОУ ВПО "МГХПА ИМ. С. Г. СТРОГАНОВА".</t>
  </si>
  <si>
    <t>Красноярская государственная академия музыки и театра</t>
  </si>
  <si>
    <t>Красноярский государственный аграрный университет</t>
  </si>
  <si>
    <t>Красноярский государственный медицинский университет имени профессора В.Ф. Войно-Ясенецкого</t>
  </si>
  <si>
    <t>Красноярский государственный художественный институт</t>
  </si>
  <si>
    <t>Красноярский институт водного транспорта - филиал Федерального государственного бюджетного образовательного учреждения высшего образования «Сибирский государственный университет водного транспорта»</t>
  </si>
  <si>
    <t>Красноярский институт железнодорожного транспорта – филиал федерального государственного бюджетного образовательного учреждения высшего профессионального образования «Иркутский государственный университет путей сообщения»</t>
  </si>
  <si>
    <t>Красноярский филиал РЭУ им. Г.В. Плеханова</t>
  </si>
  <si>
    <t>Красноярский филиал Финуниверситета</t>
  </si>
  <si>
    <t>Крымский федеральный университет им. В.И. Вернадского</t>
  </si>
  <si>
    <t>КРЫМСКИЙ ФЕДЕРАЛЬНЫЙ УНИВЕРСИТЕТ ИМЕНИ В.И. ВЕРНАДСКОГО, ФГАОУ ВО "КФУ ИМ. В.И. ВЕРНАДСКОГО"</t>
  </si>
  <si>
    <t>Крымский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правосудия»(г. Симферополь)</t>
  </si>
  <si>
    <t>КТИ(филиал) ВолгГТУ</t>
  </si>
  <si>
    <t>Кубанский государственный аграрный университет</t>
  </si>
  <si>
    <t>Кубанский государственный медицинский университет</t>
  </si>
  <si>
    <t>Кубанский государственный технологический университет</t>
  </si>
  <si>
    <t>Кубанский государственный университет</t>
  </si>
  <si>
    <t>Кубанский государственный университет физической культуры, спорта и туризма</t>
  </si>
  <si>
    <t>Кузбасский государственный технический университет им. Т.Ф. Горбачева</t>
  </si>
  <si>
    <t>Кумертауский филиал ОГУ</t>
  </si>
  <si>
    <t>КУНГУРСКИЙ ФИЛИАЛ ФГБОУ ВПО "МГХПА ИМ. С.Г.СТРОГАНОВА".</t>
  </si>
  <si>
    <t>Курганская государственная сельскохозяйственная академия имени Т.С.Мальцева</t>
  </si>
  <si>
    <t>Курганский государственный университет</t>
  </si>
  <si>
    <t>Курганский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</si>
  <si>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Курская государственная сельскохозяйственная академия имени профессора И.И.Иванова</t>
  </si>
  <si>
    <t>Курский государственный медицинский университет</t>
  </si>
  <si>
    <t>Курский государственный университет</t>
  </si>
  <si>
    <t>Курский институт социального образования (филиал) РГСУ</t>
  </si>
  <si>
    <t>Курский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</si>
  <si>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КФ МГТУ им. Н.Э. Баумана</t>
  </si>
  <si>
    <t>КФ НГПУ</t>
  </si>
  <si>
    <t>КЧГУ</t>
  </si>
  <si>
    <t>КЭиБ ФГБОУ ВПО ОГУ</t>
  </si>
  <si>
    <t>ЛГПУ</t>
  </si>
  <si>
    <t>ЛГТУ, ФГБОУ ВПО "ЛГТУ", ФГБОУ ВПО "ЛИПЕЦКИЙ ГОСУДАРСТВЕННЫЙ ТЕХНИЧЕСКИЙ УНИВЕРСИТЕТ"</t>
  </si>
  <si>
    <t>Ленинградский научно-исследовательский институт сельского хозяйства «Белогорка»</t>
  </si>
  <si>
    <t>Ливенский филиал Госуниверситета-УНПК</t>
  </si>
  <si>
    <t>Лимнологический институт Сибирского отделения Российской академии наук</t>
  </si>
  <si>
    <t>Липецкий государственный технический университет</t>
  </si>
  <si>
    <t>Липецкий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</si>
  <si>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Липецкий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</si>
  <si>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Литературный институт имени А.М. Горького</t>
  </si>
  <si>
    <t>ЛКИПТ (филиал)  ФГБОУ ВО "МГУТУ им. К.Г. Разумовского (ПКУ)"</t>
  </si>
  <si>
    <t>ЛКФ ТГАСУ</t>
  </si>
  <si>
    <t>ЛНТ (филиал) ФГБОУ ВПО "ЮГУ"</t>
  </si>
  <si>
    <t>ЛПИ -филиал СФУ</t>
  </si>
  <si>
    <t>ЛФ КНИТУ-КАИ</t>
  </si>
  <si>
    <t>ЛФ ПНИПУ, ЛФ ФГБОУ ВПО "Пермский национальный исследовательский политехнический университет", ЛФ ФГБОУ ВПО "ПНИПУ"</t>
  </si>
  <si>
    <t>Лф СибГТУ</t>
  </si>
  <si>
    <t>Магнитогорский государственный технический университет им. Г.И. Носова</t>
  </si>
  <si>
    <t>МАДИ</t>
  </si>
  <si>
    <t>МАИ</t>
  </si>
  <si>
    <t>Мариинско-посадский филиал ФГБОУ ВПО "ПГТУ"</t>
  </si>
  <si>
    <t>Марийский государственный университет</t>
  </si>
  <si>
    <t>МАРХИ</t>
  </si>
  <si>
    <t>Математический институт им. В.А. Стеклова Российской академии наук</t>
  </si>
  <si>
    <t>МАТИ</t>
  </si>
  <si>
    <t>МАТИ - Российский государственный технологический университет имени К.Э. Циолковского</t>
  </si>
  <si>
    <t>МБОУ ВО "САГМУ"</t>
  </si>
  <si>
    <t>МГЛУ ЕАЛИ</t>
  </si>
  <si>
    <t>МГТУ ИМ. Н.Э. БАУМАНА</t>
  </si>
  <si>
    <t>МГУЛ</t>
  </si>
  <si>
    <t>МГУП ИМЕНИ ИВАНА ФЕДОРОВА</t>
  </si>
  <si>
    <t>Медико-генетический научный центр</t>
  </si>
  <si>
    <t>Медицинский радиологический научный центр имени А.Ф. Цыба - филиал федерального государственного бюджетного учреждения «Национальный медицинский исследовательский радиологический центр» Министерства здравоохранения Российской Федерации</t>
  </si>
  <si>
    <t>Международный институт компьютерных технологий</t>
  </si>
  <si>
    <t>Международный славянский институт</t>
  </si>
  <si>
    <t>Международный юридический институт</t>
  </si>
  <si>
    <t>Межотраслевой научно-технический комплекс «Микрохирургия глаза» имени академика С.Н. Федорова</t>
  </si>
  <si>
    <t>Межрегиональный институт повышения квалификации специалистов начального профессионального образования</t>
  </si>
  <si>
    <t>МИ (филиал) ВлГУ</t>
  </si>
  <si>
    <t>Миасский филиал ФГБОУ ВПО "ЧелГУ"</t>
  </si>
  <si>
    <t>МИИГАИК</t>
  </si>
  <si>
    <t>Минский филиал РЭУ им. Г.В. Плеханова</t>
  </si>
  <si>
    <t>МИРЭА, МГУПИ</t>
  </si>
  <si>
    <t>МИСИС, НИТУ "МИСИС"</t>
  </si>
  <si>
    <t>МИТХТ ИМ. М.В. ЛОМОНОСОВА</t>
  </si>
  <si>
    <t>Мичуринский государственный аграрный университет</t>
  </si>
  <si>
    <t>Мичуринский филиал федерального государственного бюджетного образовательного учреждения высшего профессионального образования «Брянская государственная сельскохозяйственная академия»</t>
  </si>
  <si>
    <t>МИЭТ</t>
  </si>
  <si>
    <t>МОКИТУ (филиал) ФГБОУ ВО "МГУТУ им. К.Г. Разумовского (ПКУ)"</t>
  </si>
  <si>
    <t>Мордовский государственный университет им. Н.П. Огарёва</t>
  </si>
  <si>
    <t>Морской государственный университет имени адмирала Г.И. Невельского</t>
  </si>
  <si>
    <t>Московская государственная академия ветеринарной медицины и биотехнологии имени К.И.Скрябина</t>
  </si>
  <si>
    <t>Московская государственная академия водного транспорта</t>
  </si>
  <si>
    <t>Московская государственная академия физической культуры</t>
  </si>
  <si>
    <t>Московская государственная академия хореографии</t>
  </si>
  <si>
    <t>Московская государственная консерватория (университет) имени П.И.Чайковского</t>
  </si>
  <si>
    <t>Московский авиационный институт (национальный исследовательский университет)</t>
  </si>
  <si>
    <t>Московский автомобильно-дорожный государственный технический университет (МАДИ)</t>
  </si>
  <si>
    <t>Московский государственный академический художественный институт имени В.И. Сурикова при Российской академии художеств</t>
  </si>
  <si>
    <t>Московский государственный институт индустрии туризма имени Ю.А. Сенкевича</t>
  </si>
  <si>
    <t>Московский государственный институт культуры</t>
  </si>
  <si>
    <t>Московский государственный институт международных отношений (университет)</t>
  </si>
  <si>
    <t>Московский государственный лингвистический университет</t>
  </si>
  <si>
    <t>Московский государственный машиностроительный университет (МАМИ)</t>
  </si>
  <si>
    <t>Московский государственный медико-стоматологический университет имени А.И. Евдокимова</t>
  </si>
  <si>
    <t>Московский государственный областной университет</t>
  </si>
  <si>
    <t>Московский государственный технический университет гражданской авиации (МГТУ ГА)</t>
  </si>
  <si>
    <t>Московский государственный технический университет имени Н.Э. Баумана</t>
  </si>
  <si>
    <t>Московский государственный технологический университет "СТАНКИН"</t>
  </si>
  <si>
    <t>Московский государственный университет геодезии и картографии</t>
  </si>
  <si>
    <t>Московский государственный университет дизайна и технологии</t>
  </si>
  <si>
    <t>Московский государственный университет имени М.В.Ломоносова</t>
  </si>
  <si>
    <t>Московский государственный университет леса</t>
  </si>
  <si>
    <t>Московский государственный университет путей сообщения</t>
  </si>
  <si>
    <t>Московский государственный университет технологий и управления имени К.Г. Разумовского</t>
  </si>
  <si>
    <t>Московский государственный университет тонких химических технологий имени М. В. Ломоносова</t>
  </si>
  <si>
    <t>Московский институт экспертизы и испытаний</t>
  </si>
  <si>
    <t>Московский научно-исследовательский институт глазных болезней имени Гельмгольца</t>
  </si>
  <si>
    <t>Московский научно-исследовательский институт сельского хозяйства «Немчиновка»</t>
  </si>
  <si>
    <t>Московский научно-исследовательский институт эпидемиологии и микробиологии им. Г.Н. Габричевского</t>
  </si>
  <si>
    <t>Московский научно-исследовательский онкологический институт имени П.А. Герцена - филиал федерального государственного бюджетного учреждения «Национальный медицинский исследовательский радиологический центр» Министерства здравоохранения Российской Фед</t>
  </si>
  <si>
    <t>Московский технический университет связи и информатики</t>
  </si>
  <si>
    <t>Московский технологический университет (МИРЭА)</t>
  </si>
  <si>
    <t>Московский физико-технический институт (государственный университет)</t>
  </si>
  <si>
    <t>Московский филиал ВШНИ</t>
  </si>
  <si>
    <t>МПГУ</t>
  </si>
  <si>
    <t>МПТИ (ф) СВФУ</t>
  </si>
  <si>
    <t>Мстерский филиал ВШНИ</t>
  </si>
  <si>
    <t>Музей антропологии и этнографии им. Петра Великого (Кунсткамера) Российской академии наук</t>
  </si>
  <si>
    <t>Мурманский морской биологический институт</t>
  </si>
  <si>
    <t>Мурманский филиал Федерального государственного бюджетного образовательного учреждения высшего образования «Государственный университет морского и речного флота имени адмирала С.О. Макарова»</t>
  </si>
  <si>
    <t>Мурманский филиал федерального государственного бюджетного образовательного учреждения высшего профессионального образования «Петербургский государственный университет путей сообщения»</t>
  </si>
  <si>
    <t>Муромский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</si>
  <si>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МФ МАДИ</t>
  </si>
  <si>
    <t>МФ Университета имени О.Е. Кутафина (МГЮА)</t>
  </si>
  <si>
    <t>МФТИ</t>
  </si>
  <si>
    <t>Мценский филиал Госуниверситета-УНПК</t>
  </si>
  <si>
    <t>Мытищинский филиал ФГБОУ ВПО «МГСУ»</t>
  </si>
  <si>
    <t>МЭСИ</t>
  </si>
  <si>
    <t>Набережночелнинский  филиал Федерального государственного  бюджетного образовательного учреждения высшего профессионального образования «Поволжская государственная академия физической культуры, спорта и туризма»</t>
  </si>
  <si>
    <t>Научно-инженерный центр «Надежность и ресурс больших  систем и машин»</t>
  </si>
  <si>
    <t>Научно-исследовательский геотехнологический центр Дальневосточного отделения Российской академии наук</t>
  </si>
  <si>
    <t>Научно-исследовательский детский ортопедический институт им. Г.И. Турнера</t>
  </si>
  <si>
    <t>Научно-исследовательский институт биомедицинской химии имени В.Н. Ореховича</t>
  </si>
  <si>
    <t>Научно-исследовательский институт вакцин и сывороток им. И.И.Мечникова</t>
  </si>
  <si>
    <t>Научно-исследовательский институт глазных болезней</t>
  </si>
  <si>
    <t>Научно-исследовательский институт гриппа</t>
  </si>
  <si>
    <t>Научно-исследовательский институт детских инфекций Федерального медико-биологического агентства</t>
  </si>
  <si>
    <t>Научно-исследовательский институт кардиологии</t>
  </si>
  <si>
    <t>Научно-исследовательский институт клинической и экспериментальной лимфологии</t>
  </si>
  <si>
    <t>Научно-исследовательский институт клинической и экспериментальной ревматологии</t>
  </si>
  <si>
    <t>Научно-исследовательский институт комплексных проблем гигиены и профессиональных заболеваний</t>
  </si>
  <si>
    <t>Научно-исследовательский институт комплексных проблем сердечно-сосудистых заболеваний</t>
  </si>
  <si>
    <t>Научно-исследовательский институт медицинской генетики</t>
  </si>
  <si>
    <t>Научно-исследовательский институт медицинской приматологии</t>
  </si>
  <si>
    <t>Научно-исследовательский институт медицины труда</t>
  </si>
  <si>
    <t>Научно-исследовательский институт морфологии человека</t>
  </si>
  <si>
    <t>Научно-исследовательский институт нейрохирургии имени академика Н.Н. Бурденко</t>
  </si>
  <si>
    <t>Научно-исследовательский институт нормальной физиологии имени П.К. Анохина</t>
  </si>
  <si>
    <t>Научно-исследовательский институт общей патологии и патофизиологии</t>
  </si>
  <si>
    <t>Научно-исследовательский институт онкологии имени Н.Н. Петрова</t>
  </si>
  <si>
    <t>Научно-исследовательский институт по изучению лепры</t>
  </si>
  <si>
    <t>Научно-исследовательский институт по изысканию новых антибиотиков имени Г.Ф. Гаузе</t>
  </si>
  <si>
    <t>Научно-исследовательский институт пушного звероводства и кролиководства имени В.А. Афанасьева</t>
  </si>
  <si>
    <t>Научно-исследовательский институт ревматологии имени В.А. Насоновой</t>
  </si>
  <si>
    <t>Научно-исследовательский институт сельского хозяйства Центрально-Черноземной полосы имени В.В. Докучаева</t>
  </si>
  <si>
    <t>Научно-исследовательский институт сельского хозяйства Юго-Востока</t>
  </si>
  <si>
    <t>Научно-исследовательский институт терапии и профилактической медицины</t>
  </si>
  <si>
    <t>Научно-исследовательский институт фармакологии и регенеративной медицины имени Е.Д. Гольдберга</t>
  </si>
  <si>
    <t>Научно-исследовательский институт фармакологии имени В.В.Закусова</t>
  </si>
  <si>
    <t>Научно-исследовательский институт физиологии и фундаментальной медицины</t>
  </si>
  <si>
    <t>Научно-исследовательский институт фундаментальной и клинической иммунологии</t>
  </si>
  <si>
    <t>Научно-исследовательский институт экспериментальной и клинической медицины</t>
  </si>
  <si>
    <t>Научно-исследовательский институт экспериментальной медицины</t>
  </si>
  <si>
    <t>Научно-исследовательский институт эпидемиологии и микробиологии имени Г.П. Сомова</t>
  </si>
  <si>
    <t>Научно-исследовательский центр "Арктика"</t>
  </si>
  <si>
    <t>Научно-технологический центр уникального приборостроения Российской академии наук</t>
  </si>
  <si>
    <t>Научный центр акушерства, гинекологии и перинатологии имени академика В.И. Кулакова</t>
  </si>
  <si>
    <t>Научный центр волоконной оптики Российской академии наук</t>
  </si>
  <si>
    <t>Научный центр здоровья детей</t>
  </si>
  <si>
    <t>Научный центр неврологии</t>
  </si>
  <si>
    <t>Научный центр проблем здоровья семьи и репродукции человека</t>
  </si>
  <si>
    <t>Научный центр психического здоровья</t>
  </si>
  <si>
    <t>Научный центр сердечно-сосудистой хирургии имени А.Н. Бакулева</t>
  </si>
  <si>
    <t>Научный центр экспертизы средств медицинского применения</t>
  </si>
  <si>
    <t>Находкинский филиал Федерального бюджетного образовательного учреждения высшего профессионального образования «Морской государственный университет имени адмирала Г.И. Невельского»</t>
  </si>
  <si>
    <t>Национальный государственный Университет физической культуры, спорта и здоровья имени П.Ф. Лесгафта</t>
  </si>
  <si>
    <t>Национальный исследовательский Московский государственный строительный университет</t>
  </si>
  <si>
    <t>Национальный исследовательский Нижегородский государственный университет им. Н.И. Лобачевского</t>
  </si>
  <si>
    <t>НАЦИОНАЛЬНЫЙ ИССЛЕДОВАТЕЛЬСКИЙ НИЖЕГОРОДСКИЙ ГОСУДАРСТВЕННЫЙ УНИВЕРСИТЕТ ИМ. Н.И. ЛОБАЧЕВСКОГО, НИЖЕГОРОДСКИЙ ГОСУДАРСТВЕННЫЙ УНИВЕРСИТЕТ ИМ. Н.И. ЛОБАЧЕВСКОГО, ННГУ ИМ. Н.И. ЛОБАЧЕВСКОГО, УНИВЕРСИТЕТ ЛОБАЧЕВСКОГО, ННГУ</t>
  </si>
  <si>
    <t>Национальный исследовательский технологический университет "МИСиС"</t>
  </si>
  <si>
    <t>Национальный исследовательский Томский государственный университет</t>
  </si>
  <si>
    <t>НАЦИОНАЛЬНЫЙ ИССЛЕДОВАТЕЛЬСКИЙ ТОМСКИЙ ГОСУДАРСТВЕННЫЙ УНИВЕРСИТЕТ, ТОМСКИЙ ГОСУДАРСТВЕННЫЙ УНИВЕРСИТЕТ, НИ ТГУ, ТГУ</t>
  </si>
  <si>
    <t>Национальный исследовательский Томский политехнический университет</t>
  </si>
  <si>
    <t>Национальный исследовательский университет "Высшая школа экономики"</t>
  </si>
  <si>
    <t>Национальный исследовательский университет "МИЭТ"</t>
  </si>
  <si>
    <t>Национальный исследовательский университет "Московский институт электронной техники"</t>
  </si>
  <si>
    <t>Национальный исследовательский университет "МЭИ"</t>
  </si>
  <si>
    <t>Национальный исследовательский центр "Курчатовский институт"</t>
  </si>
  <si>
    <t>Национальный исследовательский ядерный университет "МИФИ"</t>
  </si>
  <si>
    <t>Национальный медицинский исследовательский радиологический центр</t>
  </si>
  <si>
    <t>Национальный научно-исследовательский институт общественного здоровья имени Н.А. Семашко</t>
  </si>
  <si>
    <t>НГЛУ</t>
  </si>
  <si>
    <t>НГТУ</t>
  </si>
  <si>
    <t>НГТУ, НОВОСИБИРСКИЙ ГОСУДАРСТВЕННЫЙ ТЕХНИЧЕСКИЙ УНИВЕРСИТЕТ</t>
  </si>
  <si>
    <t>Невинномысский технологический институт (филиал) СКФУ, НТИ (филиал) СКФУ</t>
  </si>
  <si>
    <t>Нефтекамский филиал БашГУ,НФ БашГУ</t>
  </si>
  <si>
    <t>Нижегоpодский госудаpственный аpхитектуpно-стpоительный унивеpситет</t>
  </si>
  <si>
    <t>Нижегородская государственная консерватория (академия) им. М.И. Глинки</t>
  </si>
  <si>
    <t>Нижегородская государственная медицинская академия</t>
  </si>
  <si>
    <t>Нижегородская государственная сельскохозяйственная академия</t>
  </si>
  <si>
    <t>Нижегородский государственный технический университет им. Р.Е. Алексеева</t>
  </si>
  <si>
    <t>Нижегородский институт управления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t>
  </si>
  <si>
    <t>Нижегородский филиал РЭУ им. Г.В. Плеханова</t>
  </si>
  <si>
    <t>Нижегородский филиал федерального государственного автономного образовательного учреждения высшего профессионального образования "Национальный исследовательский университет "Высшая школа экономики"</t>
  </si>
  <si>
    <t>Нижегородский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</si>
  <si>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НИИ МПС</t>
  </si>
  <si>
    <t>НИИ психического здоровья</t>
  </si>
  <si>
    <t>НИИМББ</t>
  </si>
  <si>
    <t>НИИТТ КНИТУ-КАИ</t>
  </si>
  <si>
    <t>НИТИ</t>
  </si>
  <si>
    <t>НИУ МГСУ, НАЦИОНАЛЬНЫЙ ИССЛЕДОВАТЕЛЬСКИЙ МОСКОВСКИЙ ГОСУДАРСТВЕННЫЙ СТРОИТЕЛЬНЫЙ УНИВЕРСИТЕТ, ФГБОУ ВО "НАЦИОНАЛЬНЫЙ ИССЛЕДОВАТЕЛЬСКИЙ МОСКОВСКИЙ ГОСУДАРСТВЕННЫЙ СТРОИТЕЛЬНЫЙ УНИВЕРСИТЕТ"</t>
  </si>
  <si>
    <t>НИЯУ МИФИ</t>
  </si>
  <si>
    <t>НлФ ФГБОУ ВПО «Пензенский государственный университет»</t>
  </si>
  <si>
    <t>ННГАСУ; ФГБОУ ВПО "НИЖЕГОРОДСКИЙ ГОСУДАРСТВЕННЫЙ АРХИТЕКТУРНО-СТРОИТЕЛЬНЫЙ УНИВЕРСИТЕТ"</t>
  </si>
  <si>
    <t>Новгородский государственный университет имени Ярослава Мудрого</t>
  </si>
  <si>
    <t xml:space="preserve">Новгородский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 </t>
  </si>
  <si>
    <t>НОВГУ</t>
  </si>
  <si>
    <t>Новокузнецкий государственный институт усовершенствования врачей</t>
  </si>
  <si>
    <t>Новомосковский институт повышения квалификации руководящих работников и специалистов химической промышленности</t>
  </si>
  <si>
    <t>Новомосковский институт РХТУ им. Д.И. Менделеева</t>
  </si>
  <si>
    <t>Новороссийский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</si>
  <si>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Новосибирская государственная консерватория имени М.И. Глинки</t>
  </si>
  <si>
    <t>Новосибирский государственный аграрный университет</t>
  </si>
  <si>
    <t>Новосибирский государственный архитектурно-строительный университет (Сибстрин)</t>
  </si>
  <si>
    <t>Новосибирский государственный медицинский университет</t>
  </si>
  <si>
    <t>Новосибирский государственный технический университет</t>
  </si>
  <si>
    <t>НОВОСИБИРСКИЙ ГОСУДАРСТВЕННЫЙ УНИВЕРСИТЕТ, НГУ</t>
  </si>
  <si>
    <t>Новосибирский институт органической химии им. Н.Н. Ворожцова</t>
  </si>
  <si>
    <t>Новосибирский научно-исследовательский институт патологии кровообращения имени академика Е.Н. Мешалкина</t>
  </si>
  <si>
    <t>Новосибирский научно-исследовательский институт травматологии и ортопедии им. Я.Л. Цивьяна</t>
  </si>
  <si>
    <t>Новосибирский национальный исследовательский государственный университет</t>
  </si>
  <si>
    <t>Новочеркасский инженерно-мелиоративный институт имени А.К. Кортунова - филиал федерального государственного бюджетного образовательного учреждения высшего профессионального образования «Донской государственный аграрный университет»</t>
  </si>
  <si>
    <t>Норильский индустриальный институт</t>
  </si>
  <si>
    <t>НОУ "МФПУ "Синергия"</t>
  </si>
  <si>
    <t>Ноу ВПО "Академия МНЭПУ"</t>
  </si>
  <si>
    <t>НОУ ВПО "Восточная экономико-юридическая гуманитарная академия"</t>
  </si>
  <si>
    <t>НОУ ВПО "Вятский социально-экономический институт"</t>
  </si>
  <si>
    <t>НОУ ВПО "Гуманитарный университет"</t>
  </si>
  <si>
    <t>НОУ ВПО "Институт искусства реставрации"</t>
  </si>
  <si>
    <t>НОУ ВПО "КИГИТ"</t>
  </si>
  <si>
    <t>НОУ ВПО "Московский институт лингвистики"</t>
  </si>
  <si>
    <t>НОУ ВПО "Московский институт энергобезопасности и энергосбережения"</t>
  </si>
  <si>
    <t>НОУ ВПО "Новосибирский гуманитарный институт"</t>
  </si>
  <si>
    <t>НОУ ВПО "Первый московский юридический институт"</t>
  </si>
  <si>
    <t>НОУ ВПО "РОСИ"</t>
  </si>
  <si>
    <t>НОУ ВПО "РосНОУ"</t>
  </si>
  <si>
    <t>НОУ ВПО "Сибирская академия права, экономики и управления"</t>
  </si>
  <si>
    <t>НОУ ВПО "Современный технический институт"</t>
  </si>
  <si>
    <t>НОУ ВПО "Тольяттинская академия управления"</t>
  </si>
  <si>
    <t>НОУ ВПО "Университет управления "ТИСБИ"</t>
  </si>
  <si>
    <t>НОУ ВПО «Российская академия адвокатуры и нотариата»</t>
  </si>
  <si>
    <t>НОУ ВПО Институт управления, бизнеса и технологий</t>
  </si>
  <si>
    <t>НОУ ВПО СИБУП</t>
  </si>
  <si>
    <t>НОУ СНИ</t>
  </si>
  <si>
    <t>НПИ (филиал) ФГБОУ ВПО "КубГТУ"</t>
  </si>
  <si>
    <t>НТИ (филиал) "МГУДТ"</t>
  </si>
  <si>
    <t>НТИ (филиал) УрФУ</t>
  </si>
  <si>
    <t>НФ НИТУ "МИСиС"</t>
  </si>
  <si>
    <t>НФ ФГБОУ ВПО "ПГЛУ"</t>
  </si>
  <si>
    <t>НФ ЧОУ ВПО "ИЭУП (г.Казань)"</t>
  </si>
  <si>
    <t>НФИ КемГУ</t>
  </si>
  <si>
    <t>НХТИ ФГБОУ ВПО "КНИТУ"</t>
  </si>
  <si>
    <t>НЧ ЧОУ ВПО "ИЭУП (г.Казань)"</t>
  </si>
  <si>
    <t>НЧОУ ВПО ЮСИЭПиИ</t>
  </si>
  <si>
    <t>НЧФ КНИТУ-КАИ</t>
  </si>
  <si>
    <t>НЭПИ (филиал) ТюмГУ</t>
  </si>
  <si>
    <t>НЮИ(ф) ТГУ</t>
  </si>
  <si>
    <t>ОАНО «Московская высшая школа социальных и экономических наук»</t>
  </si>
  <si>
    <t>ОАНО ВО «МПСУ»</t>
  </si>
  <si>
    <t>ОАНО ВПО "Волжский университет имени В.Н. Татищева"</t>
  </si>
  <si>
    <t>Образовательное учреждение профсоюзов высшего образования «Академия труда и социальных отношений»</t>
  </si>
  <si>
    <t>Объединенный Институт Высоких Температур Российской Академии Наук</t>
  </si>
  <si>
    <t>ОГУ ИМЕНИ И.С. ТУРГЕНЕВА, ФГБОУ ВО "ОРЛОВСКИЙ ГОСУДАРСТВЕННЫЙ УНИВЕРСИТЕТ ИМЕНИ И.С. ТУРГЕНЕВА", ОРЛОВСКИЙ ГОСУДАРСТВЕННЫЙ УНИВЕРСИТЕТ ИМЕНИ И.С. ТУРГЕНЕВА</t>
  </si>
  <si>
    <t>Октемский филиал Федерального государственного бюджетного образовательного учреждения высшего образования «Якутская государственная сельскохозяйственная академия»</t>
  </si>
  <si>
    <t>Олекминский филиал Федерального государственного бюджетного образовательного учреждения высшего образования «Якутская государственная сельскохозяйственная академия»</t>
  </si>
  <si>
    <t>Омский государственный аграрный университет имени П.А.Столыпина</t>
  </si>
  <si>
    <t>Омский государственный медицинский университет</t>
  </si>
  <si>
    <t>Омский государственный технический университет</t>
  </si>
  <si>
    <t>Омский государственный университет им. Ф.М. Достоевского</t>
  </si>
  <si>
    <t>Омский государственный университет путей сообщения</t>
  </si>
  <si>
    <t>Омский институт (филиал) РЭУ им. Г.В. Плеханова</t>
  </si>
  <si>
    <t>Омский институт водного транспорта - филиал Федерального государственного бюджетного образовательного учреждения высшего образования «Сибирский государственный университет водного транспорта»</t>
  </si>
  <si>
    <t>Омский филиал ВШНИ</t>
  </si>
  <si>
    <t>Омский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</si>
  <si>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Оренбургский государственный аграрный университет</t>
  </si>
  <si>
    <t>Оренбургский государственный медицинский университет</t>
  </si>
  <si>
    <t>Оренбургский государственный университет</t>
  </si>
  <si>
    <t>ОРЕНБУРГСКИЙ ГОСУДАРСТВЕННЫЙ УНИВЕРСИТЕТ ОГУ</t>
  </si>
  <si>
    <t>Оренбургский институт (филиал) Университета имени О.Е. Кутафина (МГЮА)</t>
  </si>
  <si>
    <t>Оренбургский институт путей сообщения–филиал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t>
  </si>
  <si>
    <t>Оренбургский филиал РЭУ им. Г.В. Плеханова</t>
  </si>
  <si>
    <t>Оренбургский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</si>
  <si>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 xml:space="preserve">Оренбургский филиал Федерального государственного образовательного бюджетного учреждения высшего профессионального образования "Поволжский государственный университет телекоммуникаций и информатики" </t>
  </si>
  <si>
    <t>Орловский государственный аграрный университет</t>
  </si>
  <si>
    <t>Орловский государственный институт искусств и культуры</t>
  </si>
  <si>
    <t>Орловский государственный университет имени И.С. Тургенева</t>
  </si>
  <si>
    <t>Орловский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</si>
  <si>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Орловский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</si>
  <si>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Орловский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</si>
  <si>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Орский гуманитарно-технологический (филиал) ОГУ</t>
  </si>
  <si>
    <t>ОТИ НИЯУ МИФИ</t>
  </si>
  <si>
    <t>ОУ ВО СГУ</t>
  </si>
  <si>
    <t>ОФ СахГУ</t>
  </si>
  <si>
    <t>Павловский  филиал НГТУ</t>
  </si>
  <si>
    <t>Павловский филиал ННГУ</t>
  </si>
  <si>
    <t>Палеонтологический институт им. А.А. Борисяка Российской академии наук</t>
  </si>
  <si>
    <t>ПГГПУ, ФГБОУ ВПО "ПЕРМСКИЙ ГОСУДАРСТВЕННЫЙ ГУМАНИТАРНО-ПЕДАГОГИЧЕСКИЙ УНИВЕРСИТЕТ",  ФГБОУ ВПО  "ПГГПУ"</t>
  </si>
  <si>
    <t>ПГНИУ</t>
  </si>
  <si>
    <t>ПГСГА</t>
  </si>
  <si>
    <t>Пензенская государственная сельскохозяйственная академия</t>
  </si>
  <si>
    <t>Пензенский государственный технологический университет</t>
  </si>
  <si>
    <t>ПЕНЗЕНСКИЙ ГОСУДАРСТВЕННЫЙ ТЕХНОЛОГИЧЕСКИЙ УНИВЕРСИТЕТ, ПЕНЗГТУ, ФГБОУ ВО "ПЕНЗЕНСКИЙ ГОСУДАРСТВЕННЫЙ ТЕХНОЛОГИЧЕСКИЙ УНИВЕРСИТЕТ"</t>
  </si>
  <si>
    <t>Пензенский государственный университет</t>
  </si>
  <si>
    <t>ПЕНЗЕНСКИЙ ГОСУДАРСТВЕННЫЙ УНИВЕРСИТЕТ АРХИТЕКТУРЫ И СТРОИТЕЛЬСТВА, ПГУАС</t>
  </si>
  <si>
    <t>Пензенский институт усовершенствования врачей</t>
  </si>
  <si>
    <t>Пензенский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</si>
  <si>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Первый Московский государственный медицинский университет имени И.М. Сеченов</t>
  </si>
  <si>
    <t>Первый Санкт-Петербургский государственный медицинский университет имени академика И.П. Павлова</t>
  </si>
  <si>
    <t>Пермская государственная академия искусства и культуры</t>
  </si>
  <si>
    <t>Пермская государственная сельскохозяйственная академия имени академика Д.Н.Прянишникова</t>
  </si>
  <si>
    <t>Пермская государственная фармацевтическая академия</t>
  </si>
  <si>
    <t>Пермский государственный медицинский университет имени академика Е.А. Вагнера</t>
  </si>
  <si>
    <t>Пермский государственный национальный исследовательский университет</t>
  </si>
  <si>
    <t>Пермский институт (филиал) РЭУ им. Г.В. Плеханова</t>
  </si>
  <si>
    <t>Пермский национальный исследовательский политехнический университет</t>
  </si>
  <si>
    <t>Пермский филиал МЭСИ</t>
  </si>
  <si>
    <t>Пермский филиал федерального государственного автономного образовательного учреждения высшего профессионального образования "Национальный исследовательский университет "Высшая школа экономики"</t>
  </si>
  <si>
    <t>Пермский филиал Федерального государственного бюджетного образовательного учреждения высшего образования «Волжский государственный университет водного транспорта»</t>
  </si>
  <si>
    <t>Пермский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</si>
  <si>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Петербургский государственный университет путей сообщения Императора Александра I</t>
  </si>
  <si>
    <t>Петербургский институт ядерной физики им. Б.П. Константинова</t>
  </si>
  <si>
    <t>Петрозаводская государственная консерватория имени А.К. Глазунова</t>
  </si>
  <si>
    <t>Петрозаводский филиал федерального государственного бюджетного образовательного учреждения высшего профессионального образования «Петербургский государственный университет путей сообщения»</t>
  </si>
  <si>
    <t>Печорское речное училище - филиал Федерального государственного бюджетного образовательного учреждения высшего образования «Государственный университет морского и речного флота имени адмирала С.О. Макарова»</t>
  </si>
  <si>
    <t>ПКИТ (филиал) ФГБОУ ВО "МГУТУ им. К.Г. Разумовского (ПКУ)"</t>
  </si>
  <si>
    <t>ПКИУПТ (филиал) ФГБОУ ВО "МГУТУ им. К.Г. Разумовского (ПКУ)"</t>
  </si>
  <si>
    <t>ПНИПУ, ФГБОУ ВПО  "ПЕРМСКИЙ  НАЦИОНАЛЬНЫЙ ИССЛЕДОВАТЕЛЬСКИЙ ПОЛИТЕХНИЧЕСКИЙ  УНИВЕРСИТЕТ", ФГБОУ ВПО "ПНИПУ"</t>
  </si>
  <si>
    <t>Поволжская государственная академия физической культуры, спорта и туризма</t>
  </si>
  <si>
    <t>Поволжский государственный технологический университет</t>
  </si>
  <si>
    <t>ПОВОЛЖСКИЙ ГОСУДАРСТВЕННЫЙ ТЕХНОЛОГИЧЕСКИЙ УНИВЕРСИТЕТ, ФГБОУ ВПО "ПГТУ"</t>
  </si>
  <si>
    <t>Поволжский государственный университет телекоммуникаций и информатики</t>
  </si>
  <si>
    <t>Поволжский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Саратове</t>
  </si>
  <si>
    <t>Поволжский институт управления имени П.А. Столыпина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t>
  </si>
  <si>
    <t>Поволжский научно-исследовательский институт производства и переработки мясомолочной продукции</t>
  </si>
  <si>
    <t>Поволжский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</si>
  <si>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Покровский филиал МПГУ</t>
  </si>
  <si>
    <t>Полярно-альпийский ботанический сад-институт им. Н.А. Аврорина Кольского научного центра Российской академии наук</t>
  </si>
  <si>
    <t>Приволжский федеральный медицинский исследовательский центр</t>
  </si>
  <si>
    <t>Приволжский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правосудия» (г. Нижний Новгород)</t>
  </si>
  <si>
    <t>Прикаспийский институт биологических ресурсов Дагестанского научного центра Российской академии наук</t>
  </si>
  <si>
    <t>Приморская государственная сельскохозяйственная академия</t>
  </si>
  <si>
    <t>Приморский институт железнодорожного транспорта - филиал федерального государственного образовательного учреждения высшего профессионального образования «Дальневосточный государственный университет путей сообщения» в г. Уссурийске</t>
  </si>
  <si>
    <t>Приморский научно-исследовательский институт сельского хозяйства</t>
  </si>
  <si>
    <t>Прокопьевский филиал СибГИУ</t>
  </si>
  <si>
    <t>Псковский государственный университет</t>
  </si>
  <si>
    <t>ПСТГУ</t>
  </si>
  <si>
    <t>ПУЩГЕНИ</t>
  </si>
  <si>
    <t>ПФ КемГУ</t>
  </si>
  <si>
    <t>Пятигорский филиал государственного бюджетного образовательного учреждения высшего профессионального образования «Волгоградский государственный медицинский университет» Министерства здравоохранения Российской Федерации</t>
  </si>
  <si>
    <t>РГАТУ, РГАТУ ИМЕНИ П.А. СОЛОВЬЕВА</t>
  </si>
  <si>
    <t>РГГУ</t>
  </si>
  <si>
    <t>РГПУ ИМ. А.И. ГЕРЦЕНА, ГЕРЦЕНОВСКИЙ УНИВЕРСИТЕТ</t>
  </si>
  <si>
    <t>РГУ ИМЕНИ С.А. ЕСЕНИНА</t>
  </si>
  <si>
    <t>РГУ НЕФТИ И ГАЗА ИМЕНИ И. М. ГУБКИНА</t>
  </si>
  <si>
    <t>Региональный центр этнополитических исследований Дагестанского научного центра Российской Академии наук</t>
  </si>
  <si>
    <t>РИИ АЛТГТУ</t>
  </si>
  <si>
    <t>Российская академия живописи, ваяния и зодчества Ильи Глазунова</t>
  </si>
  <si>
    <t>Российская академия менеджмента в животноводств</t>
  </si>
  <si>
    <t>Российская академия музыки имени Гнесиных</t>
  </si>
  <si>
    <t>Российская академия народного хозяйства и государственной службы при Президенте Российской Федерации</t>
  </si>
  <si>
    <t>Российская государственная академия интеллектуальной собственности</t>
  </si>
  <si>
    <t>Российская государственная специализированная академия искусств</t>
  </si>
  <si>
    <t>Российская медицинская академия последипломного образования</t>
  </si>
  <si>
    <t>Российская экономическая школа</t>
  </si>
  <si>
    <t>Российский государственный аграрный заочный университет</t>
  </si>
  <si>
    <t>Российский государственный аграрный университет – МСХА имени К.А.Тимирязева</t>
  </si>
  <si>
    <t>Российский государственный геологоразведочный университет имени Серго Орджоникидзе</t>
  </si>
  <si>
    <t>Российский государственный университет нефти и газа имени И.М. Губкина</t>
  </si>
  <si>
    <t>Российский государственный университет правосудия</t>
  </si>
  <si>
    <t>Российский государственный университет туризма и сервиса</t>
  </si>
  <si>
    <t>Российский государственный университет физической культуры, спорта, молодежи и туризма (ГЦОЛИФК)</t>
  </si>
  <si>
    <t>Российский институт истории искусств</t>
  </si>
  <si>
    <t>Российский кардиологический научно-производственный комплекс</t>
  </si>
  <si>
    <t>Российский научно-исследовательский институт гематологии и трансфузиологии Федерального медико-биологического агентства</t>
  </si>
  <si>
    <t>Российский научно-исследовательский институт информации и технико-экономических исследований по инженерно-техническому обеспечению агропромышленного комплекса</t>
  </si>
  <si>
    <t>Российский научно-исследовательский институт культурного и природного наследия имени Д.С. Лихачева</t>
  </si>
  <si>
    <t>Российский научно-исследовательский институт сахарной промышленности</t>
  </si>
  <si>
    <t>Российский научный центр «Восстановительная травматология и ортопедия» имени академика Г.А. Илизарова</t>
  </si>
  <si>
    <t>Российский научный центр медицинской реабилитации и курортологии</t>
  </si>
  <si>
    <t>Российский научный центр радиологии и хирургических технологий</t>
  </si>
  <si>
    <t>Российский научный центр рентгенорадиологии</t>
  </si>
  <si>
    <t>Российский научный центр хирургии имени академика Б.В. Петровского</t>
  </si>
  <si>
    <t>Российский национальный исследовательский медицинский университет имени Н.И. Пирогова</t>
  </si>
  <si>
    <t>Российский онкологический научный центр имени Н.Н. Блохина</t>
  </si>
  <si>
    <t>Российский ордена Трудового Красного Знамени научно-исследовательский институт травматологии и ортопедии имени Р.Р. Вредена</t>
  </si>
  <si>
    <t>Российский университет дружбы народов</t>
  </si>
  <si>
    <t>Российский университет кооперации</t>
  </si>
  <si>
    <t>Российский университет театрального искусства – ГИТИС</t>
  </si>
  <si>
    <t>Российский химико-технологический университет имени Д.И. Менделеева</t>
  </si>
  <si>
    <t>Российский центр судебно-медицинской экспертизы</t>
  </si>
  <si>
    <t>Российский экономический университет имени Г.В. Плеханова</t>
  </si>
  <si>
    <t>Российско-Армянский(Славянский)университет</t>
  </si>
  <si>
    <t>Ростовская государственная консерватория им. С.В.Рахманинова</t>
  </si>
  <si>
    <t>Ростовский государственный медицинский университет</t>
  </si>
  <si>
    <t>Ростовский государственный строительный университет, РГСУ</t>
  </si>
  <si>
    <t>Ростовский государственный университет путей сообщения</t>
  </si>
  <si>
    <t>РОСТОВСКИЙ ИНСТИТУТ (ФИЛИАЛ) РЭУ ИМ. Г.В. ПЛЕХАНОВА</t>
  </si>
  <si>
    <t>Ростовский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Ростове-на-Дону</t>
  </si>
  <si>
    <t>Ростовский научно-исследовательский институт акушерства и педиатрии</t>
  </si>
  <si>
    <t>Ростовский научно-исследовательский онкологический институт</t>
  </si>
  <si>
    <t>Ростовский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Ростов-на-Дону)</t>
  </si>
  <si>
    <t>Ростовский филиал государственного казенного образовательного учреждения высшего образования "Российская таможенная академия"</t>
  </si>
  <si>
    <t>Ростовский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технический университет гражданской авиации"</t>
  </si>
  <si>
    <t>Ростовский-на-Дону филиал федерального государственного бюджетного образовательного учреждения высшего образования "Всероссийский государственный институт кинематографии имени С. А. Герасимова»</t>
  </si>
  <si>
    <t>РТСУ</t>
  </si>
  <si>
    <t>РУБЦОВСКИЙ ИНСТИТУТ (ФИЛИАЛ) АЛТГУ</t>
  </si>
  <si>
    <t>РУДН, РОССИЙСКИЙ УНИВЕРСИТЕТ ДРУЖБЫ НАРОДОВ, ФГАОУ ВО РУДН,ФГАОУ ВО "РОССИЙСКИЙ УНИВЕРСИТЕТ ДРУЖБЫ НАРОДОВ"</t>
  </si>
  <si>
    <t>Рузаевский филиал ФГБОУ ВПО "МГУ им. Н.П. Огарёва"</t>
  </si>
  <si>
    <t>РХТУ ИМ. Д.И. МЕНДЕЛЕЕВА</t>
  </si>
  <si>
    <t>Рыбинский государственный авиационный технический университет имени П.А. Соловьева</t>
  </si>
  <si>
    <t>Рыбинский филиал Федерального государственного бюджетного образовательного учреждения высшего образования «Московская государственная академия водного транспорта»</t>
  </si>
  <si>
    <t>Рязанский государственный агротехнологический университет имени П.А.Костычева</t>
  </si>
  <si>
    <t>Рязанский государственный медицинский университет имени академика И.П. Павлова</t>
  </si>
  <si>
    <t>Рязанский государственный радиотехнический университет</t>
  </si>
  <si>
    <t>РЯЗАНСКИЙ ИНСТИТУТ (ФИЛИАЛ) УНИВЕРСИТЕТА МАШИНОСТРОЕНИЯ</t>
  </si>
  <si>
    <t>Рязанский филиал ВШНИ</t>
  </si>
  <si>
    <t>Рязанский филиал РЭУ им. Г. В. Плеханова</t>
  </si>
  <si>
    <t>Рязанский филиал федерального государственного бюджетного образовательного учреждения высшего образования «Московский государственный институт культуры»</t>
  </si>
  <si>
    <t>Рязанский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</si>
  <si>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Самарская государственная сельскохозяйственная академия</t>
  </si>
  <si>
    <t>Самарский государственный аэрокосмический университет имени академика С.П. Королева (национальный исследовательский университет)</t>
  </si>
  <si>
    <t>Самарский государственный институт культуры</t>
  </si>
  <si>
    <t>Самарский государственный медицинский университет</t>
  </si>
  <si>
    <t>Самарский государственный технический университет</t>
  </si>
  <si>
    <t>Самарский государственный университет путей сообщения</t>
  </si>
  <si>
    <t>САМАРСКИЙ ИНСТИТУТ (ФИЛИАЛ) ФГБОУ ВО "РЭУ ИМ. Г.В. ПЛЕХАНОВА"</t>
  </si>
  <si>
    <t>Самарский филиал ГБОУ ВО МГПУ</t>
  </si>
  <si>
    <t>Самарский филиал Федерального государственного бюджетного образовательного учреждения высшего образования «Волжский государственный университет водного транспорта»</t>
  </si>
  <si>
    <t>САМГУ, САМАРСКИЙ ГОСУДАРСТВЕННЫЙ УНИВЕРСИТЕТ, ФГБОУ ВПО "САМАРСКИЙ ГОСУДАРСТВЕННЫЙ УНИВЕРСИТЕТ", ФГБОУ ВПО "САМГУ", ГОСУНИВЕРСИТЕТ</t>
  </si>
  <si>
    <t>Санкт-Петербургская государственная академия ветеринарной медицины</t>
  </si>
  <si>
    <t>Санкт-Петербургская государственная академия театрального искусства</t>
  </si>
  <si>
    <t>Санкт-Петербургская государственная консерватория имени Н.А. Римского-Корсакова</t>
  </si>
  <si>
    <t>Санкт-Петербургская государственная химико-фармацевтическая академия</t>
  </si>
  <si>
    <t>Санкт-Петербургский горный университет</t>
  </si>
  <si>
    <t>Санкт-Петербургский государственный аграрный университет</t>
  </si>
  <si>
    <t>Санкт-Петербургский государственный академический институт живописи, скульптуры и архитектуры имени И.Е.Репина при Российской академии художеств</t>
  </si>
  <si>
    <t>Санкт-Петербургский государственный архитектурно-строительный университет</t>
  </si>
  <si>
    <t>Санкт-Петербургский государственный институт кино и телевидения</t>
  </si>
  <si>
    <t>Санкт-Петербургский государственный институт культуры</t>
  </si>
  <si>
    <t>Санкт-Петербургский государственный морской технический университет</t>
  </si>
  <si>
    <t>Санкт-Петербургский государственный педиатрический медицинский университет</t>
  </si>
  <si>
    <t>Санкт-Петербургский государственный технологический институт (технический университет)</t>
  </si>
  <si>
    <t>САНКТ-ПЕТЕРБУРГСКИЙ ГОСУДАРСТВЕННЫЙ ТЕХНОЛОГИЧЕСКИЙ ИНСТИТУТ (ТЕХНИЧЕСКИЙ УНИВЕРСИТЕТ), СПБГТИ(ТУ)</t>
  </si>
  <si>
    <t>Санкт-Петербургский государственный торгово-экономический университет</t>
  </si>
  <si>
    <t>Санкт-Петербургский государственный университет</t>
  </si>
  <si>
    <t>Санкт-Петербургский государственный университет аэрокосмического приборостроения</t>
  </si>
  <si>
    <t>Санкт-Петербургский государственный университет гражданской авиации</t>
  </si>
  <si>
    <t>Санкт-Петербургский государственный университет телекоммуникаций им. проф. М.А. Бонч-Бруевича</t>
  </si>
  <si>
    <t>Санкт-Петербургский государственный экономический университет</t>
  </si>
  <si>
    <t>Санкт-Петербургский государственный электротехнический университет "ЛЭТИ" им. В.И. Ульянова (Ленина)</t>
  </si>
  <si>
    <t>Санкт-Петербургский имени В.Б.Бобкова филиал государственного казенного образовательного учреждения высшего образования "Российская таможенная академия"</t>
  </si>
  <si>
    <t>Санкт-Петербургский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</si>
  <si>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Санкт-Петербургский институт информатики и автоматизации Российской академии наук</t>
  </si>
  <si>
    <t>Санкт-Петербургский институт истории Российской академии наук</t>
  </si>
  <si>
    <t>Санкт-Петербургский научно-исследовательский институт уха, горла, носа и речи</t>
  </si>
  <si>
    <t>Санкт-Петербургский научно-исследовательский институт физической культуры</t>
  </si>
  <si>
    <t>Санкт-Петербургский научно-исследовательский институт фтизиопульмонологи</t>
  </si>
  <si>
    <t>Санкт-Петербургский научно-исследовательский институт эпидемиологии и микробиологии им. Пастера</t>
  </si>
  <si>
    <t>Санкт-Петербургский научно-исследовательский психоневрологический институт им. В.М. Бехтерева</t>
  </si>
  <si>
    <t>Санкт-Петербургский национальный исследовательский университет информационных технологий, механики и оптики</t>
  </si>
  <si>
    <t>Санкт-Петербургский политехнический университет Петра Великого</t>
  </si>
  <si>
    <t>Санкт-Петербургский университет Государственной противопожарной службы</t>
  </si>
  <si>
    <t>Санкт-Петербургский филиал федерального государственного автономного образовательного учреждения высшего профессионального образования "Национальный исследовательский университет "Высшая школа экономики"</t>
  </si>
  <si>
    <t>Санкт-Петербургский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</si>
  <si>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Санкт-Петербургское отделение Математического института им. В.А. Стеклова Российской академии наук</t>
  </si>
  <si>
    <t>Санкт-Петребургский горный университет</t>
  </si>
  <si>
    <t>Саранский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</si>
  <si>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Саратовская государственная консерватория имени Л.В Собинова</t>
  </si>
  <si>
    <t>Саратовский государственный аграрный университет имени Н.И. Вавилова</t>
  </si>
  <si>
    <t>Саратовский государственный медицинский университет имени В.И. Разумовского</t>
  </si>
  <si>
    <t>Саратовский государственный технический университет имени Гагарина Ю.А.</t>
  </si>
  <si>
    <t>Саратовский государственный университет имени Н.Г. Чернышевского</t>
  </si>
  <si>
    <t>Саратовский научно-исследовательский институт травматологии и ортопедии</t>
  </si>
  <si>
    <t>САРАТОВСКИЙ СОЦИАЛЬНО-ЭКОНОМИЧЕСКИЙ ИНСТИТУТ (ФИЛИАЛ) ФГБОУ ВО "РЭУ ИМ. Г.В. ПЛЕХАНОВА"</t>
  </si>
  <si>
    <t>СарФТИ НИЯУ МИФИ</t>
  </si>
  <si>
    <t>Сахалинский государственный университет</t>
  </si>
  <si>
    <t>Сахалинский институт железнодорожного транспорта - филиал федерального государственного бюджетного образовательного учреждения высшего профессионального образования «Дальневосточный государственный университет путей сообщения» в г. Южно-Сахалинске</t>
  </si>
  <si>
    <t>Сахалинское высшее морское училище имени Т.Б. Гуженко - филиал Федерального бюджетного образовательного учреждения высшего профессионального образования «Морской государственный университет имени адмирала Г.И. Невельского»</t>
  </si>
  <si>
    <t>САХГУ, ФГБОУ ВПО "САХГУ"</t>
  </si>
  <si>
    <t>Саяно-Шушенский филиал СФУ</t>
  </si>
  <si>
    <t>СВГУ</t>
  </si>
  <si>
    <t>СГАУ</t>
  </si>
  <si>
    <t>СГПИ филиал ПГНИУ</t>
  </si>
  <si>
    <t>СГТУ ИМЕНИ ГАГАРИНА Ю.А.</t>
  </si>
  <si>
    <t>СГУГИТ</t>
  </si>
  <si>
    <t>СГЭУ,ФГБОУ ВО "СГЭУ", ФГБОУ ВО "САМАРСКИЙ ГОСУДАРСТВЕННЫЙ ЭКОНОМИЧЕСКИЙ УНИВЕРСИТЕТ", САМАРСКИЙ ГОСУДАРСТВЕННЫЙ ЭКОНОМИЧЕСКИЙ УНИВЕРСИТЕТ</t>
  </si>
  <si>
    <t>Себряковский филиал ФГБОУ ВПО ВолгГАСУ</t>
  </si>
  <si>
    <t>Севастопольский государственный университет</t>
  </si>
  <si>
    <t>Севастопольский филиал "РЭУ им. Г.В. Плеханова"</t>
  </si>
  <si>
    <t>Севастопольский экономико-гуманитарный институт (филиал) ФГАОУ ВО "КФУ им. В.И. Вернадского"</t>
  </si>
  <si>
    <t>Северный (Арктический) федеральный университет имени М.В. Ломоносова</t>
  </si>
  <si>
    <t>Северный государственный медицинский университет</t>
  </si>
  <si>
    <t>Северный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Петрозаводске</t>
  </si>
  <si>
    <t>Северо-Восточный комплексный научно-исследовательский институт им. Н. А. Шило Дальневосточного отделения Российской академии наук</t>
  </si>
  <si>
    <t>Северо-Восточный федеральный университет имени М.К. Аммосова</t>
  </si>
  <si>
    <t>Северо-Западный государственный медицинский университет имени И.И. Мечникова</t>
  </si>
  <si>
    <t>Северо-Западный институт (филиал) Университета имени О.Е. Кутафина (МГЮА)</t>
  </si>
  <si>
    <t>Северо-Западный институт управления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t>
  </si>
  <si>
    <t>Северо-Западный научно-исследовательский институт экономики и организации сельского хозяйства</t>
  </si>
  <si>
    <t>Северо-Западный федеральный медицинский исследовательский центр имени В.А. Алмазова</t>
  </si>
  <si>
    <t>Северо-Западный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Санкт-Петербург)</t>
  </si>
  <si>
    <t>Северо-Кавказский горно-металлургический институт (государственный технологический университет)</t>
  </si>
  <si>
    <t>Северо-Кавказский государственный институт искусств</t>
  </si>
  <si>
    <t>Северо-Кавказский зональный научно-исследовательский ветеринарный институт</t>
  </si>
  <si>
    <t>Северо-Кавказский зональный научно-исследовательский институт садоводства и виноградарства</t>
  </si>
  <si>
    <t>Северо-Кавказский институт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</si>
  <si>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Северо-Кавказский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Махачкале</t>
  </si>
  <si>
    <t>Северо-Кавказский научно-исследовательский институт горного и предгорного сельского хозяйства</t>
  </si>
  <si>
    <t>Северо-Кавказский федеральный университет</t>
  </si>
  <si>
    <t>Северо-Кавказский филиал МАДИ</t>
  </si>
  <si>
    <t>Северо-Кавказский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правосудия»(г. Краснодар)</t>
  </si>
  <si>
    <t>Северо-Кавказский филиал Федерального государственного образовательного бюджетного учреждения высшего профессионального образования Московского технического университета связи и информатики</t>
  </si>
  <si>
    <t>Северо-Кавказский юридический институт (филиал) ФГБОУ ВО "СГЮА"</t>
  </si>
  <si>
    <t>Северо-Осетинская государственная медицинская академия</t>
  </si>
  <si>
    <t>Северо-Осетинский институт гуманитарных и социальных исследований им. В.И. Абаева</t>
  </si>
  <si>
    <t>СЕВКАВГГТА</t>
  </si>
  <si>
    <t>Сергиево-Посадский филиал федерального государственного бюджетного образовательного учреждения высшего образования "Всероссийский государственный институт кинематографии имени С.А. Герасимова"</t>
  </si>
  <si>
    <t>Сергиево-Посадский филиал федерального государственного бюджетного образовательного учреждения высшего образования «Московский политехнический университет»</t>
  </si>
  <si>
    <t>Сергиев-Посадский филиал ВШНИ</t>
  </si>
  <si>
    <t>СИ (филиал) БашГУ, СИ БашГУ</t>
  </si>
  <si>
    <t>СИБГТУ, СИБИРСКИЙ ГОСУДАРСТВЕННЫЙ ТЕХНОЛОГИЧЕСКИЙ УНИВЕРСИТЕТ, ФГБОУ ВО "СИБИРСКИЙ ГОСУДАРСТВЕННЫЙ ТЕХНОЛОГИЧЕСКИЙ УНИВЕРСИТЕТ", ФГБОУ ВО СИБГТУ</t>
  </si>
  <si>
    <t>Сибирская пожарно-спасательная академия – филиал Санкт-Петербургского университета Государственной противопожарной службы МЧС России</t>
  </si>
  <si>
    <t>Сибирский государственный аэрокосмический университет имени академика М.Ф. Решетнева</t>
  </si>
  <si>
    <t>Сибирский государственный медицинский университет</t>
  </si>
  <si>
    <t>Сибирский государственный технологический университет</t>
  </si>
  <si>
    <t>Сибирский государственный университет водного транспорта</t>
  </si>
  <si>
    <t>Сибирский государственный университет геосистем и технологий</t>
  </si>
  <si>
    <t>Сибирский государственный университет путей сообщения</t>
  </si>
  <si>
    <t>Сибирский государственный университет телекоммуникаций и информатики</t>
  </si>
  <si>
    <t>Сибирский государственный университет физической культуры и спорта</t>
  </si>
  <si>
    <t>Сибирский институт управления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</si>
  <si>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Сибирский институт физиологии и биохимии растений Сибирского отделения Российской академии наук</t>
  </si>
  <si>
    <t>Сибирский научно-исследовательский институт механизации и электрификации сельского хозяйства</t>
  </si>
  <si>
    <t>Сибирский университет потребительской кооперации (СибУПК)</t>
  </si>
  <si>
    <t>Сибирский федеральный университет</t>
  </si>
  <si>
    <t>СКИТУ (филиал) ФГБОУ ВО "МГУТУ им. К.Г. Разумовского (ПКУ)"</t>
  </si>
  <si>
    <t>СКСП НИУ МГСУ</t>
  </si>
  <si>
    <t>СКФ БГТУ им. В.Г.Шухова</t>
  </si>
  <si>
    <t>СЛИ</t>
  </si>
  <si>
    <t>СМОЛГУ</t>
  </si>
  <si>
    <t>Смоленская государственная академия физической культуры, спорта и туризма</t>
  </si>
  <si>
    <t>Смоленская государственная сельскохозяйственная академия</t>
  </si>
  <si>
    <t>Смоленский государственный медицинский университет</t>
  </si>
  <si>
    <t>Смоленский филиал РЭУ им. Г.В. Плеханова</t>
  </si>
  <si>
    <t>Смоленский филиал ФГБОУ ВО "СГЮА"</t>
  </si>
  <si>
    <t>Смоленский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</si>
  <si>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Смоленский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</si>
  <si>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Смоленский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</si>
  <si>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Современная научно-технологическая академия</t>
  </si>
  <si>
    <t>СОГУ</t>
  </si>
  <si>
    <t>СОКИПТБ (филиал) ФГБОУ ВО "МГУТУ им. К.Г. Разумовского (ПКУ)"</t>
  </si>
  <si>
    <t>СОФ МГРИ-РГГРУ</t>
  </si>
  <si>
    <t>СОФ НИУ "БелГУ"</t>
  </si>
  <si>
    <t>Социологический институт Российской академии наук</t>
  </si>
  <si>
    <t>Сочинский научно-исследовательский центр Российской академии наук</t>
  </si>
  <si>
    <t>Сочинский филиал МАДИ</t>
  </si>
  <si>
    <t>СПБ ГТУРП</t>
  </si>
  <si>
    <t>СПБАУ РАН, АКАДЕМИЧЕСКИЙ УНИВЕРСИТЕТ</t>
  </si>
  <si>
    <t>СПБГАСУ, ФГБОУ ВПО "СПБГАСУ"</t>
  </si>
  <si>
    <t>СПБГЛТУ, ФГБОУ ВПО "САНКТ-ПЕТЕРБУРГСКИЙ ГОСУДАРСТВЕННЫЙ ЛЕСОТЕХНИЧЕСКИЙ УНИВЕРСИТЕТ ИМЕНИ С.М. КИРОВА"</t>
  </si>
  <si>
    <t>СПБГМТУ, ФГБОУ ВО "САНКТ-ПЕТЕРБУРГСКИЙ ГОСУДАРСТВЕННЫЙ МОРСКОЙ ТЕХНИЧЕСКИЙ УНИВЕРСИТЕТ", САНКТ-ПЕТЕРБУРГСКИЙ ГОСУДАРСТВЕННЫЙ МОРСКОЙ ТЕХНИЧЕСКИЙ УНИВЕРСТИТЕТ</t>
  </si>
  <si>
    <t>СПбГУП</t>
  </si>
  <si>
    <t>СПБГУПТД</t>
  </si>
  <si>
    <t>СПБГЭТУ "ЛЭТИ"</t>
  </si>
  <si>
    <t>СПБГЭУ, ФГБОУ ВО "СПБГЭУ"</t>
  </si>
  <si>
    <t>СПИ (филиал) ФГБОУ ВПО "ИжГТУ имени М.Т. Калашникова"</t>
  </si>
  <si>
    <t>Средне-Волжский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 в г. Саранске</t>
  </si>
  <si>
    <t>Ставропольский государственный аграрный университет</t>
  </si>
  <si>
    <t>Ставропольский государственный медицинский университет</t>
  </si>
  <si>
    <t>Ставропольский научно-исследовательский институт сельского хозяйства</t>
  </si>
  <si>
    <t>Ставропольский филиал МПГУ</t>
  </si>
  <si>
    <t>Старооскольский филиал федерального государственного бюджетного образовательного учреждения высшего профессионального образования «Воронежский государственный университет»</t>
  </si>
  <si>
    <t>Стерлитамакский институт физической культуры (филиал) Федерального государственного бюджетного образовательного учреждения высшего профессионального образования  «Уральский государственный университет физической культуры»</t>
  </si>
  <si>
    <t>Стерлитамакский филиал БашГУ,СФ БашГУ</t>
  </si>
  <si>
    <t>СТИ НИТУ МИСиС</t>
  </si>
  <si>
    <t>СТИ НИЯУ МИФИ</t>
  </si>
  <si>
    <t>Ступинский филиал МАИ</t>
  </si>
  <si>
    <t>Суздальский филиал федерального государственного бюджетного образовательного учреждения высшего образования «Санкт-Петербургский государственный институт культуры»</t>
  </si>
  <si>
    <t>СФ ФГБОУ ВПО "Пензенский государственный университет"</t>
  </si>
  <si>
    <t>СФТИ НИЯУ МИФИ</t>
  </si>
  <si>
    <t>Таганрогский институт имени А.П. Чехова (филиал) ФГБОУ ВО "РГЭУ (РИНХ)"</t>
  </si>
  <si>
    <t>Таганрогский политехнический институт - филиал ДГТУ в г.Таганроге; ТПИ - филиал ДГТУ</t>
  </si>
  <si>
    <t>Тайгинский институт железнодорожного транспорта - филиал федерального государственного бюджетного образовательного учреждения высшего профессионального образования «Омский государственный университет путей сообщения»</t>
  </si>
  <si>
    <t>Тамбовский государственный технический университет</t>
  </si>
  <si>
    <t>Тамбовский филиал федерального государственного бюджетного образовательного учреждения высшего образования «Мичуринский государственный аграрный университет»</t>
  </si>
  <si>
    <t>Тамбовский филиал федерального государственного бюджетного образовательного учреждения высшего образования «Московский государственный институт культуры»</t>
  </si>
  <si>
    <t>Тамбовский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</si>
  <si>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Тарский филиал федерального государственного бюджетного образовательного  учреждения высшего профессионального образования "Омский государственный  аграрный университет имени П.А.Столыпина"</t>
  </si>
  <si>
    <t>Татарский институт переподготовки кадров агробизнеса</t>
  </si>
  <si>
    <t>Татарский научно-исследовательский институт сельского хозяйства</t>
  </si>
  <si>
    <t>ТВГТУ, ФГБОУ ВО ТВГТУ, ФГБОУ ВО "ТВЕРСКОЙ ГОСУДАРСТВЕННЫЙ ТЕХНИЧЕСКИЙ УНИВЕРСИТЕТ"</t>
  </si>
  <si>
    <t>Тверская государственная сельскохозяйственная академия</t>
  </si>
  <si>
    <t>Тверской государственный медицинский университет</t>
  </si>
  <si>
    <t>Тверской государственный технический университет</t>
  </si>
  <si>
    <t>Тверской филиал РЭУ им. Г.В. Плеханова</t>
  </si>
  <si>
    <t>Тверской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</si>
  <si>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ТГПУ</t>
  </si>
  <si>
    <t>Театральный институт имени Бориса Щукина при Государственном академическом театре имени Евгения Вахтангова</t>
  </si>
  <si>
    <t>Терский филиал федерального государственного бюджетного образовательного учреждения высшего образования «Кабардино-Балкарский государственный аграрный университет имени В.М.Кокова»</t>
  </si>
  <si>
    <t>Технологический институт - филиал федерального государственного бюджетного образовательного учреждения высшего профессионального образования «Ульяновская государственная сельскохозяйственная академия имени П.А.Столыпина»</t>
  </si>
  <si>
    <t>Технологический институт сервиса (филиал) ДГТУ в г.Ставрополе; ТИС (филиал) ДГТУ</t>
  </si>
  <si>
    <t>Технологический университет, г. Королев</t>
  </si>
  <si>
    <t>ТИ (ф) СВФУ</t>
  </si>
  <si>
    <t>ТИ НИЯУ МИФИ</t>
  </si>
  <si>
    <t>Тихоокеанский государственный медицинский университет</t>
  </si>
  <si>
    <t>Тихоокеанский государственный университет</t>
  </si>
  <si>
    <t>ТИХООКЕАНСКИЙ ГОСУДАРСТВЕННЫЙ УНИВЕРСИТЕТ, ФГБОУ ВО "ТИХООКЕАНСКИЙ ГОСУДАРСТВЕННЫЙ УНИВЕРСИТЕТ", ФГБОУ ВО "ТОГУ", ТОГУ</t>
  </si>
  <si>
    <t>Тихоокеанский институт биоорганической химии им. Г.Б. Елякова Дальневосточного отделения Российской академии наук</t>
  </si>
  <si>
    <t>Тихоокеанский институт географии Дальневосточного отделения Российской академии наук</t>
  </si>
  <si>
    <t>Тихоокеанский научно-исследовательский рыбохозяйственный центр</t>
  </si>
  <si>
    <t>Тихоокеанский океанологический институт им. В.И. Ильичёва</t>
  </si>
  <si>
    <t>Тобольский пединститут им. Д.И. Менделеева (филиал) ТюмГУ  в г. Тобольск</t>
  </si>
  <si>
    <t>Тольяттинский государственный университет</t>
  </si>
  <si>
    <t>Томский государственный университет систем управления и радиоэлектроники</t>
  </si>
  <si>
    <t>Томский научно-исследовательский институт онкологии</t>
  </si>
  <si>
    <t>Троицкий филиал ФГБОУ ВПО "ЧелГУ"</t>
  </si>
  <si>
    <t>ТТИ НИЯУ МИФИ</t>
  </si>
  <si>
    <t>ТУВИНСКИЙ ГОСУДАРСТВЕННЫЙ УНИВЕРСИТЕТ, ТУВГУ</t>
  </si>
  <si>
    <t>ТУЛГУ, ТУЛЬСКИЙ ГОСУДАРСТВЕННЫЙ УНИВЕРСИТЕТ, ФГБОУ ВО "ТУЛГУ", ФГБОУ ВО "ТУЛЬСКИЙ ГОСУДАРСТВЕННЫЙ УНИВЕРСИТЕТ"</t>
  </si>
  <si>
    <t>Тульский государственный университет</t>
  </si>
  <si>
    <t>Тульский институт (филиал) федерального государственного бюджетного образовательного учреждения высшего образования «Всероссийский государственный университет юстиции (РПА Минюста России)»</t>
  </si>
  <si>
    <t>Тульский филиал  федерального государственного бюджетного образовательного учреждения высшего образования «Московский государственный институт культуры»</t>
  </si>
  <si>
    <t>Тульский филиал РЭУ им. Г.В. Плеханова</t>
  </si>
  <si>
    <t>Тульский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</si>
  <si>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Тульский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</si>
  <si>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ТУСУР</t>
  </si>
  <si>
    <t>Тутаевский филиал РГАТУ имени П.А. Соловьева</t>
  </si>
  <si>
    <t>ТФ "СамГУ"</t>
  </si>
  <si>
    <t>ТФ ФГБОУ ВПО «АГТУ»</t>
  </si>
  <si>
    <t>Тюменский государственный институт культуры</t>
  </si>
  <si>
    <t>Тюменский государственный медицинский университет</t>
  </si>
  <si>
    <t>Тюменский государственный нефтегазовый университет</t>
  </si>
  <si>
    <t>УГЛТУ</t>
  </si>
  <si>
    <t>Удмуртский институт истории, языка и литературы Уральского отделения Российской академии наук</t>
  </si>
  <si>
    <t>Улан-Удэнский институт железнодорожного транспорта– филиал федерального государственного бюджетного образовательного учреждения высшего профессионального образования «Иркутский государственный университет путей сообщения»</t>
  </si>
  <si>
    <t>Ульяновская государственная сельскохозяйственная академия имени П.А.Столыпина</t>
  </si>
  <si>
    <t>Ульяновский государственный технический университет</t>
  </si>
  <si>
    <t>УЛЬЯНОВСКИЙ ГОСУДАРСТВЕННЫЙ ТЕХНИЧЕСКИЙ УНИВЕРСИТЕТ, УЛГТУ</t>
  </si>
  <si>
    <t>Ульяновский государственный университет</t>
  </si>
  <si>
    <t>УЛЬЯНОВСКИЙ ГОСУДАРСТВЕННЫЙ УНИВЕРСИТЕТ,УЛГУ,ФГБОУ ВО "УЛЬЯНОВСКИЙ ГОСУДАРСТВЕННЫЙ УНИВЕРСИТЕТ"</t>
  </si>
  <si>
    <t>Ульяновский институт гражданской авиации имени Главного маршала авиации Б.П. Бугаева</t>
  </si>
  <si>
    <t>Ульяновский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</si>
  <si>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Университет «Дубна»</t>
  </si>
  <si>
    <t>УНИВЕРСИТЕТ ИМЕНИ О.Е. КУТАФИНА (МГЮА)  МГЮА (УНИВЕРСИТЕТ ИМЕНИ О.Е. КУТАФИНА)</t>
  </si>
  <si>
    <t>УНИВЕРСИТЕТ ИТМО</t>
  </si>
  <si>
    <t>Уральская государственная академия ветеринарной медицины</t>
  </si>
  <si>
    <t>Уральская государственная консерватория (академия) имени М.П. Мусоргского</t>
  </si>
  <si>
    <t>Уральский государственный аграрный университет</t>
  </si>
  <si>
    <t>Уральский государственный горный университет</t>
  </si>
  <si>
    <t>Уральский государственный лесотехнический университет</t>
  </si>
  <si>
    <t>Уральский государственный медицинский университет</t>
  </si>
  <si>
    <t>Уральский государственный университет путей сообщения</t>
  </si>
  <si>
    <t>Уральский государственный университет физической культуры</t>
  </si>
  <si>
    <t>Уральский институт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</si>
  <si>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Уральский институт Государственной противопожарной службы</t>
  </si>
  <si>
    <t>Уральский институт социального образования (филиал) РГСУ г. Екатеринбурге</t>
  </si>
  <si>
    <t>Уральский научно-исследовательский ветеринарный институт</t>
  </si>
  <si>
    <t>Уральский научно-исследовательский институт охраны материнства и младенчества</t>
  </si>
  <si>
    <t>Уральский научно-исследовательский институт сельского хозяйства</t>
  </si>
  <si>
    <t>Уральский научно-исследовательский институт фтизиопульмонологии</t>
  </si>
  <si>
    <t>Уральский социально-экономический институт (филиал) Образовательного учреждения профсоюзов высшего образования «Академия труда и социальных отношений»</t>
  </si>
  <si>
    <t>Уральский технический институт связи и информатики (филиал) Федерального государственного бюджетного образовательного учреждения высшего образования «Сибирский государственный университет телекоммуникаций и информатики» в г. Екатеринбурге</t>
  </si>
  <si>
    <t>Уральский федеральный университет имени первого Президента России Б.Н.Ельцина</t>
  </si>
  <si>
    <t>УРАЛЬСКИЙ ФИЛИАЛ ФГБОУ ВО "РЭУ ИМ. Г. В. ПЛЕХАНОВА"</t>
  </si>
  <si>
    <t>УРАЛЬСКИЙ ФИЛИАЛ ФГБОУ ВПО "МГХПА ИМ. С. Г. СТРОГАНОВА"</t>
  </si>
  <si>
    <t>Уральский филиал федерального государственного бюджетного научного учреждения «Исследовательский центр частного права имени С.С. Алексеева при Президенте Российской Федерации»</t>
  </si>
  <si>
    <t>Уральский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Челябинск)</t>
  </si>
  <si>
    <t>Уральский филиал федерального государственного бюджетного образовательного учреждения высшего профессионального образования "Российская академия живописи, ваяния и зодчества Ильи Глазунова"</t>
  </si>
  <si>
    <t>УРГПУ, ФГБОУ ВПО "УРГПУ", ФГБОУ ВПО "УРАЛЬСКИЙ ГОСУДАРСТВЕННЫЙ ПЕДАГОГИЧЕСКИЙ УНИВЕРСИТЕТ"</t>
  </si>
  <si>
    <t>Усть-Каменогорский филиал РЭУ им. Г.В. Плеханова</t>
  </si>
  <si>
    <t>Усть-Кутский институт водного транспорта - филиал Федерального государственного бюджетного образовательного учреждения высшего образования «Сибирский государственный университет водного транспорта»</t>
  </si>
  <si>
    <t>УФ УГТУ</t>
  </si>
  <si>
    <t>Уфимская государственная академия искусств имени Загира Исмагилова</t>
  </si>
  <si>
    <t>Уфимский государственный авиационный технический университет</t>
  </si>
  <si>
    <t>Уфимский институт (филиал) РЭУ им. Г.В. Плеханова</t>
  </si>
  <si>
    <t>Уфимский Институт биологии Российской академии наук</t>
  </si>
  <si>
    <t>Уфимский институт путей сообщения–филиал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t>
  </si>
  <si>
    <t>Уфимский институт химии Российской академии наук</t>
  </si>
  <si>
    <t>Уфимский научно-исследовательский институт медицины труда и экологии человека</t>
  </si>
  <si>
    <t>Уфимский филиал Федерального государственного бюджетного образовательного учреждения высшего образования «Московская государственная академия водного транспорта»</t>
  </si>
  <si>
    <t>Уфимский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</si>
  <si>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Ухтинский государственный технический университет</t>
  </si>
  <si>
    <t>ФГАОУ ВО "КАЗАНСКИЙ (ПРИВОЛЖСКИЙ) ФЕДЕРАЛЬНЫЙ УНИВЕРСИТЕТ", ФГАОУ ВО КФУ, КФУ, КАЗАНСКИЙ ФЕДЕРАЛЬНЫЙ УНИВЕРСИТЕТ, КАЗАНСКИЙ УНИВЕРСИТЕТ, КАЗАНСКИЙ (ПРИВОЛЖСКИЙ) ФЕДЕРАЛЬНЫЙ УНИВЕРСИТЕТ</t>
  </si>
  <si>
    <t>ФГАОУ ВО "РГППУ", РГППУ, ФГАОУ ВО "РОССИЙСКИЙ ГОСУДАРСТВЕННЫЙ ПРОФЕССИОНАЛЬНО-ПЕДАГОГИЧЕСКИЙ УНИВЕРСИТЕТ"</t>
  </si>
  <si>
    <t>ФГАОУ ВО "СЕВАСТОПОЛЬСКИЙ ГОСУДАРСТВЕННЫЙ УНИВЕРСИТЕТ"</t>
  </si>
  <si>
    <t>ФГАОУ ВО НИ ТПУ, ТПУ, НАЦИОНАЛЬНЫЙ ИССЛЕДОВАТЕЛЬСКИЙ ТОМСКИЙ ПОЛИТЕХНИЧЕСКИЙ УНИВЕРСИТЕТ, ТОМСКИЙ ПОЛИТЕХНИЧЕСКИЙ УНИВЕРСИТЕТ</t>
  </si>
  <si>
    <t>ФГАОУ ВО СПБПУ,СПБПУ,ФГАОУ ВО "СПБПУ", САНКТ-ПЕТЕРБУРГСКИЙ ПОЛИТЕХНИЧЕСКИЙ УНИВЕРСИТЕТ ПЕТРА ВЕЛИКОГО</t>
  </si>
  <si>
    <t>ФГАОУ ВПО "БЕЛГОРОДСКИЙ ГОСУДАРСТВЕННЫЙ НАЦИОНАЛЬНЫЙ ИССЛЕДОВАТЕЛЬСКИЙ   УНИВЕРСИТЕТ", НИУ "БЕЛГУ"</t>
  </si>
  <si>
    <t>ФГАОУ ВПО "СЕВЕРНЫЙ (АРКТИЧЕСКИЙ) ФЕДЕРАЛЬНЫЙ УНИВЕРСИТЕТ ИМЕНИ М.В. ЛОМОНОСОВА", СЕВЕРНЫЙ (АРКТИЧЕСКИЙ) ФЕДЕРАЛЬНЫЙ УНИВЕРСИТЕТ ИМЕНИ М.В. ЛОМОНОСОВА, САФУ, САФУ ИМЕНИ М.В. ЛОМОНОСОВА</t>
  </si>
  <si>
    <t>ФГАОУ ВПО "СЕВЕРО-ВОСТОЧНЫЙ ФЕДЕРАЛЬНЫЙ УНИВЕРСИТЕТ ИМ. М.К.АММОСОВА"; СЕВЕРО-ВОСТОЧНЫЙ ФЕДЕРАЛЬНЫЙ УНИВЕРСИТЕТ; СВФУ</t>
  </si>
  <si>
    <t>ФГАОУ ВПО "СЕВЕРО-КАВКАЗСКИЙ ФЕДЕРАЛЬНЫЙ УНИВЕРСИТЕТ", СЕВЕРО-КАВКАЗСКИЙ ФЕДЕРАЛЬНЫЙ УНИВЕРСИТЕТ, СКФУ</t>
  </si>
  <si>
    <t>ФГАОУ ВПО "СИБИРСКИЙ ФЕДЕРАЛЬНЫЙ УНИВЕРСИТЕТ", СИБИРСКИЙ ФЕДЕРАЛЬНЫЙ УНИВЕРСИТЕТ, СФУ</t>
  </si>
  <si>
    <t>ФГАОУ ВПО "УРФУ ИМЕНИ ПЕРВОГО ПРЕЗИДЕНТА РОССИИ Б.Н.ЕЛЬЦИНА", УРАЛЬСКИЙ ФЕДЕРАЛЬНЫЙ УНИВЕРСИТЕТ, УРФУ</t>
  </si>
  <si>
    <t>ФГАОУ ДПО АПК И ППРО</t>
  </si>
  <si>
    <t>ФГБНУ  "ЦНИИТ"</t>
  </si>
  <si>
    <t>ФГБНУ "ВНИИП им.К.И. Скрябина"</t>
  </si>
  <si>
    <t>ФГБНУ "ВНИМИ"</t>
  </si>
  <si>
    <t>ФГБНУ "ДВ НИИСХ"</t>
  </si>
  <si>
    <t>ФГБНУ "ИСРО РАО"</t>
  </si>
  <si>
    <t>ФГБНУ "НИИ АГиР им. Д.О. Отта"</t>
  </si>
  <si>
    <t>ФГБНУ "НИИОР"</t>
  </si>
  <si>
    <t>ФГБНУ «ВНИИ кормов им. В.Р. Вильямса»</t>
  </si>
  <si>
    <t>ФГБНУ «ВНИИС им. И.В. Мичурина»</t>
  </si>
  <si>
    <t>ФГБНУ «Почвенный институт им. В.В. Докучаева»</t>
  </si>
  <si>
    <t>ФГБНУ ВНИИГРЖ</t>
  </si>
  <si>
    <t>ФГБНУ ВНИИК</t>
  </si>
  <si>
    <t>ФГБНУ ВНИИФ</t>
  </si>
  <si>
    <t>ФГБОУ ВО "АГПУ"</t>
  </si>
  <si>
    <t>ФГБОУ ВО "АГУ"</t>
  </si>
  <si>
    <t>ФГБОУ ВО "АЛТГПУ", АЛТГПУ, АЛТАЙСКИЙ ГОСУДАРСТВЕННЫЙ ПЕДАГОГИЧЕСКИЙ УНИВЕРСИТЕТ</t>
  </si>
  <si>
    <t>ФГБОУ ВО "АНГТУ" , АНГАРСКИЙ ГОСУДАРСТВЕННЫЙ ТЕХНИЧЕСКИЙ УНИВЕРСИТЕТ</t>
  </si>
  <si>
    <t>ФГБОУ ВО "БГПУ"</t>
  </si>
  <si>
    <t>ФГБОУ ВО "БГУ"</t>
  </si>
  <si>
    <t>ФГБОУ ВО "БРГУ"</t>
  </si>
  <si>
    <t>ФГБОУ ВО "БРЯНСКИЙ ГОСУДАРСТВЕННЫЙ ИНЖЕНЕРНО-ТЕХНОЛОГИЧЕСКИЙ УНИВЕРСИТЕТ", ФГБОУ ВО"БГИТУ", БГИТУ</t>
  </si>
  <si>
    <t>ФГБОУ ВО "ВГУ"</t>
  </si>
  <si>
    <t>ФГБОУ ВО "ВГУИТ"</t>
  </si>
  <si>
    <t>ФГБОУ ВО "ВОРОНЕЖСКИЙ ГАСУ", ВОРОНЕЖСКИЙ ГАСУ, ФГБОУ ВО "ВОРОНЕЖСКИЙ ГОСУДАРСТВЕННЫЙ АРХИТЕКТУРНО-СТРОИТЕЛЬНЫЙ УНИВЕРСИТЕТ"</t>
  </si>
  <si>
    <t>ФГБОУ ВО "ГГНТУ ИМ. АКАД. М. Д. МИЛЛИОНЩИКОВА"</t>
  </si>
  <si>
    <t>ФГБОУ ВО "ГГУ"</t>
  </si>
  <si>
    <t>ФГБОУ ВО "ГОС. ИРЯ ИМ. А.С. ПУШКИНА"</t>
  </si>
  <si>
    <t>ФГБОУ ВО "ДГУ"</t>
  </si>
  <si>
    <t>ФГБОУ ВО "ИВГПУ"</t>
  </si>
  <si>
    <t>ФГБОУ ВО "ИГУ"</t>
  </si>
  <si>
    <t>ФГБОУ ВО "ИГХТУ", ИГХТУ</t>
  </si>
  <si>
    <t>ФГБОУ ВО "ИРНИТУ"</t>
  </si>
  <si>
    <t>ФГБОУ ВО "КАЛМГУ"</t>
  </si>
  <si>
    <t>ФГБОУ ВО "КГТУ"</t>
  </si>
  <si>
    <t>ФГБОУ ВО "КЕМТИПП", КЕМТИПП</t>
  </si>
  <si>
    <t>ФГБОУ ВО "КУЗБАССКИЙ ГОСУДАРСТВЕННЫЙ ТЕХНИЧЕСКИЙ УНИВЕРСИТЕТ ИМЕНИ Т.Ф. ГОРБАЧЕВА" КУЗБАССКИЙ ГОСУДАРСТВЕННЫЙ ТЕХНИЧЕСКИЙ УНИВЕРСИТЕТ ИМЕНИ Т.Ф. ГОРБАЧЕВА КУЗГТУ</t>
  </si>
  <si>
    <t>ФГБОУ ВО "МАГУ", ФГБОУ ВО "МУРМАНСКИЙ АРКТИЧЕСКИЙ ГОСУДАРСТВЕННЫЙ УНИВЕРСИТЕТ", МАГУ</t>
  </si>
  <si>
    <t>ФГБОУ ВО "МГТУ "СТАНКИН"</t>
  </si>
  <si>
    <t>ФГБОУ ВО "МГТУ"</t>
  </si>
  <si>
    <t>ФГБОУ ВО "МГУТУ ИМ. К.Г. РАЗУМОВСКОГО (ПКУ)"</t>
  </si>
  <si>
    <t>ФГБОУ ВО "МОСКОВСКИЙ ГОСУДАРСТВЕННЫЙ МАШИНОСТРОИТЕЛЬНЫЙ УНИВЕРСИТЕТ (МАМИ)", УНИВЕРСИТЕТ МАШИНОСТРОЕНИЯ (МАМИ), УНИВЕРСИТЕТ МАШИНОСТРОЕНИЯ</t>
  </si>
  <si>
    <t>ФГБОУ ВО "НГАСУ (СИБСТРИН)", НГАСУ (СИБСТРИН)</t>
  </si>
  <si>
    <t>ФГБОУ ВО "НГУЭУ",НГУЭУ</t>
  </si>
  <si>
    <t>ФГБОУ ВО "НИУ "МЭИ"</t>
  </si>
  <si>
    <t>ФГБОУ ВО "НОВОСИБИРСКИЙ ГОСУДАРСТВЕННЫЙ УНИВЕРСИТЕТ АРХИТЕКТУРЫ, ДИЗАЙНА И ИСКУССТВ", ФГБОУ ВО "НГУАДИ", НГУАДИ</t>
  </si>
  <si>
    <t>ФГБОУ ВО "ОМГПУ", ОМГПУ</t>
  </si>
  <si>
    <t>ФГБОУ ВО "ПГУ"; ПГУ; ПРИОКСКИЙ ГОСУДАРСТВЕННЫЙ УНИВЕРСИТЕТ</t>
  </si>
  <si>
    <t>ФГБОУ ВО "РГГМУ", РГГМУ</t>
  </si>
  <si>
    <t>ФГБОУ ВО "РГСУ", РГСУ, РОССИЙСКИЙ ГОСУДАРСТВЕННЫЙ СОЦИАЛЬНЫЙ УНИВЕРСИТЕТ</t>
  </si>
  <si>
    <t>ФГБОУ ВО "РГУТИС"</t>
  </si>
  <si>
    <t>ФГБОУ ВО "РОССИЙСКИЙ ГОСУДАРСТВЕННЫЙ ГЕОЛОГОРАЗВЕДОЧНЫЙ УНИВЕРСИТЕТ ИМЕНИ СЕРГО ОРДЖОНИКИДЗЕ", МГРИ-РГГРУ</t>
  </si>
  <si>
    <t>ФГБОУ ВО "РЭУ ИМ. Г.В. ПЛЕХАНОВА", РЭУ ИМ. Г.В. ПЛЕХАНОВА</t>
  </si>
  <si>
    <t>ФГБОУ ВО "САМАРСКИЙ ГОСУДАРСТВЕННЫЙ АРХИТЕКТУРНО-СТРОИТЕЛЬНЫЙ УНИВЕРСИТЕТ", СГАСУ</t>
  </si>
  <si>
    <t>ФГБОУ ВО "САМГТУ"</t>
  </si>
  <si>
    <t>ФГБОУ ВО "СГУ ИМ. ПИТИРИМА СОРОКИНА"</t>
  </si>
  <si>
    <t>ФГБОУ ВО "СГУ"</t>
  </si>
  <si>
    <t>ФГБОУ ВО "СГЮА"</t>
  </si>
  <si>
    <t>ФГБОУ ВО "СИБИРСКИЙ ГОСУДАРСТВЕННЫЙ АЭРОКОСМИЧЕСКИЙ УНИВЕРСИТЕТ ИМЕНИ АКАДЕМИКА М.Ф.РЕШЕТНЕВА", СИБИРСКИЙ ГОСУДАРСТВЕННЫЙ АЭРОКОСМИЧЕСКИЙ УНИВЕРСИТЕТ ИМЕНИ АКАДЕМИКА М.Ф.РЕШЕТНЕВА, ФГБОУ ВО "СИБГАУ", СИБГАУ</t>
  </si>
  <si>
    <t>ФГБОУ ВО "СКГМИ (ГТУ)"</t>
  </si>
  <si>
    <t>ФГБОУ ВО "ТВЕРСКОЙ ГОСУДАРСТВЕННЫЙ УНИВЕРСИТЕТ", ТВЕРСКОЙ ГОСУДАРСТВЕННЫЙ УНИВЕРСИТЕТ, ТВГУ</t>
  </si>
  <si>
    <t>ФГБОУ ВО "ТГАСУ"</t>
  </si>
  <si>
    <t>ФГБОУ ВО "ТЮМЕНСКИЙ ГОСУДАРСТВЕННЫЙ НЕФТЕГАЗОВЫЙ УНИВЕРСИТЕТ", ТЮМГНГУ</t>
  </si>
  <si>
    <t>ФГБОУ ВО "ТЮМЕНСКИЙ ГОСУДАРСТВЕННЫЙ УНИВЕРСИТЕТ", ТЮМЕНСКИЙ ГОСУДАРСТВЕННЫЙ УНИВЕРСИТЕТ, ТЮМГУ</t>
  </si>
  <si>
    <t>ФГБОУ ВО "УГГУ"</t>
  </si>
  <si>
    <t>ФГБОУ ВО "УГУЭС",ФГБОУ ВО"УФИМСКИЙ ГОСУДАРСТВЕННЫЙ УНИВЕРСИТЕТ ЭКОНОМИКИ И СЕРВИСА",УГУЭС</t>
  </si>
  <si>
    <t>ФГБОУ ВО "УРАЛЬСКИЙ ГОСУДАРСТВЕННЫЙ ЮРИДИЧЕСКИЙ УНИВЕРСИТЕТ", ФГБОУ ВО "УРГЮУ", УРГЮУ</t>
  </si>
  <si>
    <t>ФГБОУ ВО "ХГУЭП", ХГУЭП</t>
  </si>
  <si>
    <t>ФГБОУ ВО "ЧЕЧЕНСКИЙ ГОСУДАРСТВЕННЫЙ ПЕДАГОГИЧЕСКИЙ УНИВЕРСИТЕТ"</t>
  </si>
  <si>
    <t>ФГБОУ ВО "ЧЕЧЕНСКИЙ ГОСУДАРСТВЕННЫЙ УНИВЕРСИТЕТ"</t>
  </si>
  <si>
    <t>ФГБОУ ВО "ЮГО-ЗАПАДНЫЙ ГОСУДАРСТВЕННЫЙ УНИВЕРСИТЕТ", ЮГО-ЗАПАДНЫЙ ГОСУДАРСТВЕННЫЙ УНИВЕРСИТЕТ,ФГБОУ ВО "ЮЗГУ", ЮЗГУ</t>
  </si>
  <si>
    <t>ФГБОУ ВО "ЮГУ", ЮГОРСКИЙ ГОСУДАРСТВЕННЫЙ УНИВЕРСИТЕТ, ЮГУ, ФГБОУ ВО "ЮГОРСКИЙ ГОСУДАРСТВЕННЫЙ УНИВЕРСИТЕТ"</t>
  </si>
  <si>
    <t>ФГБОУ ВО ;;РГЭУ (РИНХ);;, РОСТОВСКИЙ ГОСУДАРСТВЕННЫЙ ЭКОНОМИЧЕСКИЙ УНИВЕРСИТЕТ (РИНХ), РГЭУ (РИНХ)</t>
  </si>
  <si>
    <t>ФГБОУ ВО «Керченский государственный морской технологический университет»</t>
  </si>
  <si>
    <t>ФГБОУ ВО БАШГУ</t>
  </si>
  <si>
    <t>ФГБОУ ВО МГЛУ</t>
  </si>
  <si>
    <t>ФГБОУ ВПО "АГАО"</t>
  </si>
  <si>
    <t>ФГБОУ ВПО "АГТУ"</t>
  </si>
  <si>
    <t>ФГБОУ ВПО "АЛТАЙСКИЙ ГОСУДАРСТВЕННЫЙ УНИВЕРСИТЕТ", АЛТАЙСКИЙ ГОСУДАРСТВЕННЫЙ УНИВЕРСИТЕТ, АЛТГУ</t>
  </si>
  <si>
    <t>ФГБОУ ВПО "АМГПГУ"</t>
  </si>
  <si>
    <t>ФГБОУ ВПО "АМГУ", АМГУ</t>
  </si>
  <si>
    <t>ФГБОУ ВПО "БГАРФ"</t>
  </si>
  <si>
    <t>ФГБОУ ВПО "БГСХА" Брасовский филиал</t>
  </si>
  <si>
    <t>ФГБОУ ВПО "БГСХА" Новозыбковский филиал</t>
  </si>
  <si>
    <t>ФГБОУ ВПО "БГСХА" Трубчевский филиал</t>
  </si>
  <si>
    <t>ФГБОУ ВПО "БГТУ"</t>
  </si>
  <si>
    <t>ФГБОУ ВПО "БГУ"</t>
  </si>
  <si>
    <t>ФГБОУ ВПО "ВГСПУ"</t>
  </si>
  <si>
    <t>ФГБОУ ВПО "ГАСК"</t>
  </si>
  <si>
    <t>ФГБОУ ВПО "Дальрыбвтуз"</t>
  </si>
  <si>
    <t>ФГБОУ ВПО "ДВГГУ", ДВГГУ</t>
  </si>
  <si>
    <t>ФГБОУ ВПО "ЗАБГУ"</t>
  </si>
  <si>
    <t>ФГБОУ ВПО "ИГЛУ"</t>
  </si>
  <si>
    <t>ФГБОУ ВПО "ИНГГУ", ИНГГУ</t>
  </si>
  <si>
    <t>ФГБОУ ВПО "КАМГУ ИМ. ВИТУСА БЕРИНГА"</t>
  </si>
  <si>
    <t>ФГБОУ ВПО "КамчатГТУ"</t>
  </si>
  <si>
    <t>ФГБОУ ВПО "КГТА ИМ. В.А.ДЕГТЯРЕВА"</t>
  </si>
  <si>
    <t>ФГБОУ ВПО "КГТУ", КГТУ</t>
  </si>
  <si>
    <t>ФГБОУ ВПО "КГЭУ"</t>
  </si>
  <si>
    <t>ФГБОУ ВПО "КНАГТУ", ФГБОУ ВПО "КОМСОМОЛЬСКИЙ-НА-АМУРЕ ГОСУДАРСТВЕННЫЙ ТЕХНИЧЕСКИЙ УНИВЕРСИТЕТ"</t>
  </si>
  <si>
    <t>ФГБОУ ВПО "КНИТУ"</t>
  </si>
  <si>
    <t>ФГБОУ ВПО "КУБГТУ", ФГБОУ ВПО "КУБАНСКИЙ ГОСУДАРСТВЕННЫЙ ТЕХНОЛОГИЧЕСКИЙ УНИВЕРСИТЕТ"</t>
  </si>
  <si>
    <t>ФГБОУ ВПО "КубГУ" в г.Новороссийске - НУНИМБЦ</t>
  </si>
  <si>
    <t>ФГБОУ ВПО "КУБГУ", ФГБОУ ВПО "КУБАНСКИЙ ГОСУДАРСТВЕННЫЙ УНИВЕРСИТЕТ"</t>
  </si>
  <si>
    <t>ФГБОУ ВПО "МАРИЙСКИЙ ГОСУДАРСТВЕННЫЙ УНИВЕРСИТЕТ", МАРИЙСКИЙ ГОСУДАРСТВЕННЫЙ УНИВЕРСИТЕТ, МАРГУ</t>
  </si>
  <si>
    <t>ФГБОУ ВПО "МГГУ ИМ. М.А. ШОЛОХОВА", МОСКОВСКИЙ ГОСУДАРСТВЕННЫЙ ГУМАНИТАРНЫЙ УНИВЕРСИТЕТ ИМ. М.А. ШОЛОХОВА, МОСКОВСКИЙ ГОСУДАРСТВЕННЫЙ ГУМАНИТАРНЫЙ УНИВЕРСИТЕТ ИМЕНИ М.А. ШОЛОХОВА, МГГУ ИМ. М.А. ШОЛОХОВА</t>
  </si>
  <si>
    <t>ФГБОУ ВПО "МГИУ"</t>
  </si>
  <si>
    <t>ФГБОУ ВПО "МГТУ"</t>
  </si>
  <si>
    <t>ФГБОУ ВПО "МГУ ИМ. Н.П. ОГАРЕВА"</t>
  </si>
  <si>
    <t>ФГБОУ ВПО "МГУДТ"</t>
  </si>
  <si>
    <t>ФГБОУ ВПО "МГУПП"</t>
  </si>
  <si>
    <t>ФГБОУ ВПО "МГХПА ИМ. С.Г. СТРОГАНОВА", МГХПА ИМ. С.Г. СТРОГАНОВА</t>
  </si>
  <si>
    <t>ФГБОУ ВПО "НГПУ ИМ. К.МИНИНА", НГПУ ИМ. К.МИНИНА, МИНИНСКИЙ УНИВЕРСИТЕТ</t>
  </si>
  <si>
    <t>ФГБОУ ВПО "НГПУ"</t>
  </si>
  <si>
    <t>ФГБОУ ВПО "НИЖНЕВАРТОВСКИЙ ГОСУДАРСТВЕННЫЙ УНИВЕРСИТЕТ", ФГБОУ ВПО "НВГУ"</t>
  </si>
  <si>
    <t>ФГБОУ ВПО "НИИ", НИИ</t>
  </si>
  <si>
    <t>ФГБОУ ВПО "НИСПТР"</t>
  </si>
  <si>
    <t>ФГБОУ ВПО "ОГИС", ФГБОУ ВПО "ОМСКИЙ ГОСУДАРСТВЕННЫЙ ИНСТИТУТ СЕРВИСА", ОГИС</t>
  </si>
  <si>
    <t>ФГБОУ ВПО "ОГПУ", ФГБОУ ВПО "ОРЕНБУРГСКИЙ ГОСУДАРСТВЕННЫЙ ПЕДАГОГИЧЕСКИЙ УНИВЕРСИТЕТ"</t>
  </si>
  <si>
    <t>ФГБОУ ВПО "ОМГУ ИМ. Ф.М. ДОСТОЕВСКОГО"</t>
  </si>
  <si>
    <t>ФГБОУ ВПО "ОМСКИЙ ГОСУДАРСТВЕННЫЙ ТЕХНИЧЕСКИЙ УНИВЕРСИТЕТ", ОМГТУ</t>
  </si>
  <si>
    <t>ФГБОУ ВПО "ОРЕЛГИЭТ"</t>
  </si>
  <si>
    <t>ФГБОУ ВПО "ПВГУС"</t>
  </si>
  <si>
    <t>ФГБОУ ВПО "ПГЛУ"</t>
  </si>
  <si>
    <t>ФГБОУ ВПО "ПГУ ИМ. ШОЛОМ-АЛЕЙХЕМА"</t>
  </si>
  <si>
    <t>ФГБОУ ВПО "ПЕНЗЕНСКИЙ ГОСУДАРСТВЕННЫЙ УНИВЕРСИТЕТ", ПЕНЗЕНСКИЙ ГОСУДАРСТВЕННЫЙ УНИВЕРСИТЕТ, ФГБОУ ВПО "ПГУ"</t>
  </si>
  <si>
    <t>ФГБОУ ВПО "ПЕТРОЗАВОДСКИЙ ГОСУДАРСТВЕННЫЙ УНИВЕРСИТЕТ", ПЕТРОЗАВОДСКИЙ ГОСУДАРСТВЕННЫЙ УНИВЕРСИТЕТ, ПЕТРГУ</t>
  </si>
  <si>
    <t>ФГБОУ ВПО "ПСКОВСКИЙ ГОСУДАРСТВЕННЫЙ УНИВЕРСИТЕТ"</t>
  </si>
  <si>
    <t>ФГБОУ ВПО "РГРТУ"</t>
  </si>
  <si>
    <t>ФГБОУ ВПО "СГУ ИМЕНИ Н.Г.ЧЕРНЫШЕВСКОГО", САРАТОВСКИЙ УНИВЕРСИТЕТ, СГУ</t>
  </si>
  <si>
    <t>ФГБОУ ВПО "СИБАДИ"</t>
  </si>
  <si>
    <t>ФГБОУ ВПО "СИБИРСКИЙ ГОСУДАРСТВЕННЫЙ ИНДУСТРИАЛЬНЫЙ УНИВЕРСИТЕТ", СИБГИУ</t>
  </si>
  <si>
    <t>ФГБОУ ВПО "СПБГТЭУ"</t>
  </si>
  <si>
    <t>ФГБОУ ВПО "СПГХПА ИМ. А.Л. ШТИГЛИЦА"</t>
  </si>
  <si>
    <t>ФГБОУ ВПО "ТАМБОВСКИЙ ГОСУДАРСТВЕННЫЙ УНИВЕРСИТЕТ ИМЕНИ Г.Р. ДЕРЖАВИНА"</t>
  </si>
  <si>
    <t>ФГБОУ ВПО "ТГПУ ИМ Л.Н. ТОЛСТОГО", ТГПУ ИМ. Л.Н. ТОЛСТОГО</t>
  </si>
  <si>
    <t>ФГБОУ ВПО "ТГТУ"</t>
  </si>
  <si>
    <t>ФГБОУ ВПО "ТОЛЬЯТТИНСКИЙ ГОСУДАРСТВЕННЫЙ УНИВЕРСИТЕТ",  ТОЛЬЯТТИНСКИЙ ГОСУДАРСТВЕННЫЙ УНИВЕРСИТЕТ, ТГУ</t>
  </si>
  <si>
    <t>ФГБОУ ВПО "ТЮМЕНСКИЙ ГОСУДАРСТВЕННЫЙ АРХИТЕКТУРНО-СТРОИТЕЛЬНЫЙ УНИВЕРСИТЕТ"</t>
  </si>
  <si>
    <t>ФГБОУ ВПО "УГАТУ", УГАТУ</t>
  </si>
  <si>
    <t>ФГБОУ ВПО "УГТУ"</t>
  </si>
  <si>
    <t>ФГБОУ ВПО "УДГУ", УДГУ, ФГБОУ ВПО "УДМУРТСКИЙ ГОСУДАРСТВЕННЫЙ УНИВЕРСИТЕТ"</t>
  </si>
  <si>
    <t>ФГБОУ ВПО "УЛГПУ ИМ. И.Н. УЛЬЯНОВА"</t>
  </si>
  <si>
    <t>ФГБОУ ВПО "УРАЛГАХА", УРАЛГАХА</t>
  </si>
  <si>
    <t>ФГБОУ ВПО "УРГЭУ"</t>
  </si>
  <si>
    <t>ФГБОУ ВПО "ХГУ ИМ. Н.Ф. КАТАНОВА",  ХГУ ИМ. Н.Ф. КАТАНОВА, ХАКАССКИЙ ГОСУДАРСТВЕННЫЙ УНИВЕРСИТЕТ, ХАКАССКИЙ ГОСУНИВЕРСИТЕТ, ХГУ</t>
  </si>
  <si>
    <t>ФГБОУ ВПО "ЧГПУ"</t>
  </si>
  <si>
    <t>ФГБОУ ВПО "ЧГУ ИМ. И.Н. УЛЬЯНОВА"</t>
  </si>
  <si>
    <t>ФГБОУ ВПО "ЧЕЛГУ"</t>
  </si>
  <si>
    <t>ФГБОУ ВПО "ЧЕРЕПОВЕЦКИЙ ГОСУДАРСТВЕННЫЙ УНИВЕРСИТЕТ", ЧЕРЕПОВЕЦКИЙ ГОСУДАРСТВЕННЫЙ УНИВЕРСИТЕТ, ЧГУ</t>
  </si>
  <si>
    <t>ФГБОУ ВПО "ЮУРГУ" (НИУ), ЮЖНО-УРАЛЬСКИЙ ГОСУДАРСТВЕННЫЙ УНИВЕРСИТЕТ</t>
  </si>
  <si>
    <t>ФГБОУ ВПО "ЯГТУ", ЯГТУ</t>
  </si>
  <si>
    <t>ФГБОУ ВПО ГКА ИМЕНИ МАЙМОНИДА</t>
  </si>
  <si>
    <t>ФГБОУ ВПО УГНТУ, УГНТУ</t>
  </si>
  <si>
    <t>ФГБОУВО "ЕЛЕЦКИЙ ГОСУДАРСТВЕННЫЙ УНИВЕРСИТЕТ ИМ. И.А. БУНИНА" ЕГУ ИМ. И.А. БУНИНА</t>
  </si>
  <si>
    <t>ФГБОУИ ВО "МОСКОВСКИЙ ГОСУДАРСТВЕННЫЙ ГУМАНИТАРНО-ЭКОНОМИЧЕСКИЙ УНИВЕРСИТЕТ" ФГБОУИ ВО МГГЭУ МГГЭУ</t>
  </si>
  <si>
    <t>ФГБУН ИМБИ</t>
  </si>
  <si>
    <t>ФГБУН МГИ</t>
  </si>
  <si>
    <t>Федеральный исследовательский центр Всероссийский институт генетических ресурсов растений имени Н.И. Вавилова</t>
  </si>
  <si>
    <t>Федеральный исследовательский центр институт прикладной математики им. М.В. Келдыша</t>
  </si>
  <si>
    <t>Федеральный исследовательский центр комплексного изучения Арктики</t>
  </si>
  <si>
    <t>Федеральный исследовательский центр угля и углехимии Сибирского отделения Российской академии наук</t>
  </si>
  <si>
    <t>Федеральный медицинский исследовательский центр психиатрии и наркологии имени В.П. Сербского</t>
  </si>
  <si>
    <t>Федеральный научно-исследовательский центр эпидемиологии и микробиологии имени почетного академика Н.Ф. Гамалеи</t>
  </si>
  <si>
    <t>Федеральный научно-клинический центр детской гематологии, онкологии и иммунологии имени Дмитрия Рогачева</t>
  </si>
  <si>
    <t>Федеральный научный центр «Владикавказский научный центр Российской академии наук»</t>
  </si>
  <si>
    <t>Федеральный научный центр гигиены им.Ф.Ф. Эрисмана</t>
  </si>
  <si>
    <t>Федеральный научный центр медико-профилактических технологий управления рисками здоровью населения</t>
  </si>
  <si>
    <t>Федеральный научный центр Научно-исследовательский институт системных исследований</t>
  </si>
  <si>
    <t>Федеральный научный центр питания, биотехнологии и безопасности пищи</t>
  </si>
  <si>
    <t>Федеральный научный центр птицеводства и птицеперерабатывающей промышленности</t>
  </si>
  <si>
    <t>Федеральный научный центр трансплантологии и искусственных органов имени академика В.И. Шумакова</t>
  </si>
  <si>
    <t>Федеральный научный центр физической культуры и спорта</t>
  </si>
  <si>
    <t>Федоскинский филиал ВШНИ</t>
  </si>
  <si>
    <t>Физико-технический институт им. А.Ф.Иоффе</t>
  </si>
  <si>
    <t>Физико-технический институт Уральского отделения</t>
  </si>
  <si>
    <t>Физико-технологический институт</t>
  </si>
  <si>
    <t>Физический институт им. П.Н. Лебедева</t>
  </si>
  <si>
    <t>Филиал "Взлет" МАИ в г.Ахтубинске</t>
  </si>
  <si>
    <t>Филиал "Восход" МАИ в г.Байконуре</t>
  </si>
  <si>
    <t>Филиал "РКТ" МАИ в г. Химки Московской области</t>
  </si>
  <si>
    <t>Филиал "Стрела" Московского авиационного института (национального исследовательского университета)</t>
  </si>
  <si>
    <t>Филиал «Владивостокский государственный университет экономики и сервиса» в г. Уссурийске</t>
  </si>
  <si>
    <t>Филиал «Северный (Арктический) федеральный университет имени М.В. Ломоносова» в г. Коряжме</t>
  </si>
  <si>
    <t>Филиал АЛТГУ в г. Белокурихе</t>
  </si>
  <si>
    <t>Филиал АЛТГУ в г. Бийске</t>
  </si>
  <si>
    <t>Филиал АЛТГУ в г. Камень-на-Оби</t>
  </si>
  <si>
    <t>Филиал АЛТГУ в г. Славгороде</t>
  </si>
  <si>
    <t>Филиал Астраханского государственного университета в г. Знаменске</t>
  </si>
  <si>
    <t xml:space="preserve">Филиал БГТУ в г. Людиново </t>
  </si>
  <si>
    <t>Филиал Брянского государственного университета имени академика И.Г. Петровского в г.Новозыбкове</t>
  </si>
  <si>
    <t>Филиал в г. Усолье-Сибирском Иркутского государственного технического университета</t>
  </si>
  <si>
    <t>Филиал Воронежского ГАСУ в г. Борисоглебске</t>
  </si>
  <si>
    <t>Филиал ДВФУ в г. Арсеньеве</t>
  </si>
  <si>
    <t>Филиал ДВФУ в г. Артеме</t>
  </si>
  <si>
    <t>Филиал ДВФУ в г. Большой Камень</t>
  </si>
  <si>
    <t>Филиал ДВФУ в г. Дальнегорске</t>
  </si>
  <si>
    <t>Филиал ДВФУ в г. Дальнереченске</t>
  </si>
  <si>
    <t>Филиал ДВФУ в г. Находке</t>
  </si>
  <si>
    <t>Филиал ДВФУ в г. Петропавловске-Камчатском</t>
  </si>
  <si>
    <t>Филиал ДВФУ в г. Уссурийске</t>
  </si>
  <si>
    <t>Филиал ДГПУ в г.Дербенте</t>
  </si>
  <si>
    <t>Филиал ДГТУ в г.Волгодонске</t>
  </si>
  <si>
    <t>ФИЛИАЛ ИНСТИТУТА МАШИНОСТРОЕНИЯ В Г. ИВАНТЕЕВКЕ</t>
  </si>
  <si>
    <t>Филиал КГПУ им. В.П. Астафьева в г. Железногорске</t>
  </si>
  <si>
    <t>Филиал КУЗГТУ в г. Белово</t>
  </si>
  <si>
    <t>Филиал КУЗГТУ в г. Междуреченске</t>
  </si>
  <si>
    <t>Филиал КУЗГТУ в г. Новокузнецке</t>
  </si>
  <si>
    <t>Филиал КУЗГТУ в г. Прокопьевске</t>
  </si>
  <si>
    <t>Филиал МГУПИ в г. Сергиевом Посаде</t>
  </si>
  <si>
    <t>Филиал МГУПИ в г. Серпухове</t>
  </si>
  <si>
    <t>ФИЛИАЛ МИРЭА В Г. СТАВРОПОЛЕ</t>
  </si>
  <si>
    <t>Филиал Московского государственного университета имени М.В.Ломоносова в г.Севастополе</t>
  </si>
  <si>
    <t>Филиал негосударственного образовательного учреждения высшего профессионального образования "Московский психолого-социальный университет" в г. Брянске</t>
  </si>
  <si>
    <t>Филиал негосударственного образовательного учреждения высшего профессионального образования "Московский психолого-социальный университет" в г. Магнитогорске Челябинской области</t>
  </si>
  <si>
    <t>Филиал НИТУ "МИСиС" в г. Душанбе</t>
  </si>
  <si>
    <t>Филиал ОмГПУ в г. Таре</t>
  </si>
  <si>
    <t>Филиал ПсковГУ в г. Великие Луки Псковской области</t>
  </si>
  <si>
    <t>Филиал РГГМУ в г. Ростове-на-Дону</t>
  </si>
  <si>
    <t>Филиал РГГМУ в г. Туапсе</t>
  </si>
  <si>
    <t>Филиал РГППУ в г. Березовском</t>
  </si>
  <si>
    <t>Филиал РГППУ в г. Кемерово</t>
  </si>
  <si>
    <t>Филиал РГППУ в г. Нижнем Тагиле</t>
  </si>
  <si>
    <t>Филиал РГППУ в г. Омске</t>
  </si>
  <si>
    <t>Филиал РГСУ в г. Азове</t>
  </si>
  <si>
    <t>Филиал РГСУ в г. Анапе Краснодарского края</t>
  </si>
  <si>
    <t>Филиал РГСУ в г. Воронеже</t>
  </si>
  <si>
    <t>Филиал РГСУ в г. Дедовске Московской области</t>
  </si>
  <si>
    <t>Филиал РГСУ в г. Каменске-Шахтинском</t>
  </si>
  <si>
    <t>Филиал РГСУ в г. Клину Московской области</t>
  </si>
  <si>
    <t>Филиал РГСУ в г. Красноярске</t>
  </si>
  <si>
    <t>Филиал РГСУ в г. Люберцы Московской области</t>
  </si>
  <si>
    <t>Филиал РГСУ в г. Мурманске</t>
  </si>
  <si>
    <t>Филиал РГСУ в г. Оше</t>
  </si>
  <si>
    <t>Филиал РГСУ в г. Павловском Посаде Московской области</t>
  </si>
  <si>
    <t>Филиал РГСУ в г. Пятигорске</t>
  </si>
  <si>
    <t>Филиал РГСУ в г. Советском</t>
  </si>
  <si>
    <t>Филиал РГСУ в г. Сочи Краснодарского края</t>
  </si>
  <si>
    <t>Филиал РГСУ в г. Ставрополе</t>
  </si>
  <si>
    <t>Филиал РГСУ в г. Сургуте</t>
  </si>
  <si>
    <t>Филиал РГСУ в г. Таганроге</t>
  </si>
  <si>
    <t>Филиал РГСУ в г. Тольятти Самарской области</t>
  </si>
  <si>
    <t>Филиал РГСУ в г. Томске</t>
  </si>
  <si>
    <t>Филиал РГСУ в г. Уфе Республики Башкортостан</t>
  </si>
  <si>
    <t>Филиал РГСУ в г. Чебоксары</t>
  </si>
  <si>
    <t>Филиал РГУ нефти и газа имени И. М. Губкина в г. Оренбурге</t>
  </si>
  <si>
    <t>Филиал РУДН в г. Ессентуки, филиал ФГАОУ ВО "Российский университет дружбы народов" в г. Ессентуки, филиал Российского университета дружбы народов в г. Ессентуки, филиал ФГАОУ ВО РУДН в г. Ессентуки</t>
  </si>
  <si>
    <t>Филиал РУДН в г. Перми, филиал ФГАОУ ВО "Российский университет дружбы народов" в г. Перми, филиал Российского университета дружбы народов в г. Перми, филиал ФГАОУ ВО РУДН в г. Перми</t>
  </si>
  <si>
    <t>Филиал САФУ в г. Северодвинске</t>
  </si>
  <si>
    <t>Филиал СГТУ имени Гагарина Ю.А. в г. Петровске</t>
  </si>
  <si>
    <t>Филиал СибГАУ в г. Железногорске</t>
  </si>
  <si>
    <t>ФИЛИАЛ СПБГЭУ В Г. ВЕЛИКИЕ ЛУКИ</t>
  </si>
  <si>
    <t>Филиал СПбГЭУ в г. Великом Новгороде</t>
  </si>
  <si>
    <t>Филиал СПбГЭУ в г. Выборге</t>
  </si>
  <si>
    <t>Филиал СПбГЭУ в г. Старая Русса</t>
  </si>
  <si>
    <t>Филиал СПбГЭУ в г. Чебоксары</t>
  </si>
  <si>
    <t>Филиал СПбГЭУ в г. Череповце</t>
  </si>
  <si>
    <t>Филиал СПбГЭУ в г.Сыктывкар</t>
  </si>
  <si>
    <t>Филиал ТвГТУ в г.Ржеве</t>
  </si>
  <si>
    <t>Филиал ТюмГНГУ в г. Нефтеюганске</t>
  </si>
  <si>
    <t>Филиал ТюмГНГУ в г. Нижневартовске</t>
  </si>
  <si>
    <t>Филиал ТюмГНГУ в г. Новом Уренгое.</t>
  </si>
  <si>
    <t>Филиал ТюмГНГУ в г. Ноябрьске</t>
  </si>
  <si>
    <t>Филиал ТюмГНГУ в г. Сургуте</t>
  </si>
  <si>
    <t>Филиал ТюмГНГУ в г. Тобольске</t>
  </si>
  <si>
    <t>Филиал ТюмГНГУ в г. Ялуторовске.</t>
  </si>
  <si>
    <t>ФИЛИАЛ УНИВЕРСИТЕТА МАШИНОСТРОЕНИЯ В Г. ВОСКРЕСЕНСКЕ</t>
  </si>
  <si>
    <t>Филиал Университета машиностроения в г. Подольске</t>
  </si>
  <si>
    <t>Филиал Университета машиностроения в г. Рославле</t>
  </si>
  <si>
    <t>ФИЛИАЛ УНИВЕРСИТЕТА МАШИНОСТРОЕНИЯ В Г. САФОНОВО</t>
  </si>
  <si>
    <t>Филиал Университета машиностроения в п. Тучково</t>
  </si>
  <si>
    <t>Филиал УрФУ в г. Верхняя Салда</t>
  </si>
  <si>
    <t>Филиал УрФУ в г. Краснотурьинске</t>
  </si>
  <si>
    <t>Филиал УрФУ в г. Красноуральске</t>
  </si>
  <si>
    <t>Филиал УрФУ в г. Новоуральске Свердловской области</t>
  </si>
  <si>
    <t>Филиал УрФУ в г. Ноябрьске Ямало-Ненецкого автономногоокруга</t>
  </si>
  <si>
    <t>Филиал ФГАОУ ВО КФУ в г.Елабуга</t>
  </si>
  <si>
    <t>Филиал ФГАОУ ВО КФУ в г.Набережные Челны</t>
  </si>
  <si>
    <t>Филиал ФГАОУ ВО КФУ в г.Чистополе</t>
  </si>
  <si>
    <t>Филиал ФГБОУ ВО " НИУ "МЭИ"  в  г. Смоленске</t>
  </si>
  <si>
    <t>Филиал ФГБОУ ВО "ВГУЭС" в г. Артеме</t>
  </si>
  <si>
    <t>Филиал ФГБОУ ВО "ВГУЭС" в г.Находке</t>
  </si>
  <si>
    <t>Филиал ФГБОУ ВО "ДГТУ" в г. Дербенте</t>
  </si>
  <si>
    <t>Филиал ФГБОУ ВО "ДГТУ" в г. Каспийске</t>
  </si>
  <si>
    <t>Филиал ФГБОУ ВО "ДГТУ" в г. Кизляре</t>
  </si>
  <si>
    <t>Филиал ФГБОУ ВО "ДГУ" в г. Избербаше</t>
  </si>
  <si>
    <t>Филиал ФГБОУ ВО "ДГУ" в г. Кизляре</t>
  </si>
  <si>
    <t>Филиал ФГБОУ ВО "ДГУ" в г. Хасавюрте</t>
  </si>
  <si>
    <t>Филиал ФГБОУ ВО "ДГУ" в г.Дербенте</t>
  </si>
  <si>
    <t>Филиал ФГБОУ ВО "ИГУ"в г.Братске</t>
  </si>
  <si>
    <t>Филиал ФГБОУ ВО "НИУ "МЭИ" в г. Волжском</t>
  </si>
  <si>
    <t>Филиал ФГБОУ ВО "РГУТиС" в г. Махачкале</t>
  </si>
  <si>
    <t>Филиал ФГБОУ ВО "РГЭУ (РИНХ)" в г. Миллерово Ростовской области</t>
  </si>
  <si>
    <t>ФИЛИАЛ ФГБОУ ВО "РЭУ ИМ. Г.В. ПЛЕХАНОВА" В Г. ПЯТИГОРСКЕ СТАВРОПОЛЬСКОГО КРАЯ</t>
  </si>
  <si>
    <t>Филиал ФГБОУ ВО "Самарский государственный архитектурно-строительный университет " в г. Белебее Республики Башкортостан, филиал ФГБОУ ВО СГАСУ в г. Белебее РБ</t>
  </si>
  <si>
    <t>Филиал ФГБОУ ВО "СГУ" в г. Анапе Краснодарского края</t>
  </si>
  <si>
    <t>Филиал ФГБОУ ВО ;;РГЭУ (РИНХ);; в г.Махачкале Республики Дагестан</t>
  </si>
  <si>
    <t>Филиал ФГБОУ ВО «Московский государственный университет информационных технологий, радиотехники и электроники» в г. Фрязино.</t>
  </si>
  <si>
    <t>Филиал ФГБОУ ВПО "БГУЭП" в г. Братске</t>
  </si>
  <si>
    <t>Филиал ФГБОУ ВПО "БГУЭП" в г. Якутск</t>
  </si>
  <si>
    <t>Филиал ФГБОУ ВПО "БГУЭП" в г.Усть-Илимске</t>
  </si>
  <si>
    <t>Филиал ФГБОУ ВПО "ВГСПУ" в г.Михайловке Волгоградской области</t>
  </si>
  <si>
    <t>Филиал ФГБОУ ВПО "ГАСК"</t>
  </si>
  <si>
    <t>Филиал ФГБОУ ВПО "ГУУ" в г. Обнинске Калужской области</t>
  </si>
  <si>
    <t>Филиал ФГБОУ ВПО "Кубанский государственный университет" в г. Геленджике</t>
  </si>
  <si>
    <t>Филиал ФГБОУ ВПО "Кубанский государственный университет" в г. Тихорецке</t>
  </si>
  <si>
    <t>Филиал ФГБОУ ВПО "Кубанский государственный университет" в г.Армавире</t>
  </si>
  <si>
    <t>Филиал ФГБОУ ВПО "Кубанский государственный университет" в г.Славянске-на-Кубани</t>
  </si>
  <si>
    <t>Филиал ФГБОУ ВПО "МГТУ" в г. Белорецке</t>
  </si>
  <si>
    <t>Филиал ФГБОУ ВПО "МГТУ" в г. Полярный Мурманской области</t>
  </si>
  <si>
    <t>Филиал ФГБОУ ВПО "СамГТУ" в г. Сызрани</t>
  </si>
  <si>
    <t>Филиал ФГБОУ ВПО "УГАТУ" в г. Ишимбай</t>
  </si>
  <si>
    <t>Филиал ФГБОУ ВПО "УГАТУ" в г. Кумертау</t>
  </si>
  <si>
    <t>Филиал ФГБОУ ВПО "УГАТУ" в г. Нефтекамске</t>
  </si>
  <si>
    <t>Филиал ФГБОУ ВПО "УГАТУ" в г.Стерлитамаке</t>
  </si>
  <si>
    <t>Филиал ФГБОУ ВПО "УГАТУ" в г.Туймазы</t>
  </si>
  <si>
    <t>Филиал ФГБОУ ВПО "УдГУ" в г. Губкинском</t>
  </si>
  <si>
    <t>Филиал ФГБОУ ВПО "УдГУ" в г. Нижняя Тура</t>
  </si>
  <si>
    <t>Филиал ФГБОУ ВПО "УдГУ" в г.Воткинске</t>
  </si>
  <si>
    <t>Филиал ФГБОУ ВПО "УдГУ" в г.Кудымкаре</t>
  </si>
  <si>
    <t>Филиал ФГБОУ ВПО "УдГУ" в г.Можге</t>
  </si>
  <si>
    <t>ФИЛИАЛ ФГБОУ ВПО "ЮУРГУ" (НИУ) В Г. АШЕ</t>
  </si>
  <si>
    <t>ФИЛИАЛ ФГБОУ ВПО "ЮУРГУ" (НИУ) В Г. ЗЛАТОУСТЕ</t>
  </si>
  <si>
    <t>ФИЛИАЛ ФГБОУ ВПО "ЮУРГУ" (НИУ) В Г. КЫШТЫМЕ</t>
  </si>
  <si>
    <t>ФИЛИАЛ ФГБОУ ВПО "ЮУРГУ" (НИУ) В Г. МИАССЕ</t>
  </si>
  <si>
    <t>ФИЛИАЛ ФГБОУ ВПО "ЮУРГУ" (НИУ) В Г. НИЖНЕВАРТОВСКЕ</t>
  </si>
  <si>
    <t>ФИЛИАЛ ФГБОУ ВПО "ЮУРГУ" (НИУ) В Г. ОЗЕРСКЕ</t>
  </si>
  <si>
    <t>ФИЛИАЛ ФГБОУ ВПО "ЮУРГУ" (НИУ) В Г. САТКЕ</t>
  </si>
  <si>
    <t>ФИЛИАЛ ФГБОУ ВПО "ЮУРГУ" (НИУ) В Г. СНЕЖИНСКЕ</t>
  </si>
  <si>
    <t>ФИЛИАЛ ФГБОУ ВПО "ЮУРГУ" (НИУ) В Г. УСТЬ-КАТАВЕ</t>
  </si>
  <si>
    <t>Филиал ФГБОУ ВПО «МГСУ» в г. Можайске Московской области</t>
  </si>
  <si>
    <t>Филиал ФГБОУ ВПО «МГТУ» в пос. Яблоновском</t>
  </si>
  <si>
    <t>Филиал ФГБОУ ВПО «РЭУ им. Г.В. Плеханова» в г. Дмитрове Московской области</t>
  </si>
  <si>
    <t>Филиал ФГБОУ ВПО ВлГУ в г. Гусь-Хрустальный</t>
  </si>
  <si>
    <t>Филиал ФГБОУ ВПО УГНТУ в г. Октябрьском</t>
  </si>
  <si>
    <t>Филиал ФГБОУ ВПО УГНТУ в г. Салавате</t>
  </si>
  <si>
    <t>Филиал ФГБОУ ВПО УГНТУ в г. Стерлитамаке</t>
  </si>
  <si>
    <t>Филиал федерального государственного автономного образовательного учреждения высшего профессионального образования «Уральский федеральный университет имени первого Президента России Б.Н.Ельцина» в г. Среднеуральске</t>
  </si>
  <si>
    <t>Филиал федерального государственного бюджетного образовательного   учреждения высшего профессионального образования «Сибирский  государственный университет путей сообщения» в г.Белово</t>
  </si>
  <si>
    <t>Филиал федерального государственного бюджетного образовательного учреждения высшего образования " Всероссийский государственный институт кинематографии имени С.А. Герасимова" в г. Советске</t>
  </si>
  <si>
    <t>Филиал Федерального государственного бюджетного образовательного учреждения высшего образования «Государственный морской университет имени адмирала Ф.Ф. Ушакова» в г.Севастополь</t>
  </si>
  <si>
    <t>Филиал федерального государственного бюджетного образовательного учреждения высшего образования «Московский государственный институт культуры» в городе Норильске</t>
  </si>
  <si>
    <t>Филиал федерального государственного бюджетного образовательного учреждения высшего образования «Санкт-Петербургский государственный экономический университет» в г. Пскове</t>
  </si>
  <si>
    <t>Филиал Федерального государственного бюджетного образовательного учреждения высшего профессионального образования  «Российский государственный университет физической культуры, спорта, молодёжи и туризма (ГЦОЛИФК)» в г.Новочебоксарске</t>
  </si>
  <si>
    <t>Филиал федерального государственного бюджетного образовательного учреждения высшего профессионального образования «Ивановский государственный политехнический университет» в г. Вичуге Ивановской области</t>
  </si>
  <si>
    <t>Филиал федерального государственного бюджетного образовательного учреждения высшего профессионального образования «Ивановский государственный политехнический университет» в г. Кинешме Ивановской области</t>
  </si>
  <si>
    <t>Филиал Федерального государственного бюджетного образовательного учреждения высшего профессионального образования «Российский государственный университет физической культуры, спорта, молодёжи и туризма (ГЦОЛИФК)» в г.Иркутске</t>
  </si>
  <si>
    <t>Филиал федерального государственного бюджетного образовательного учреждения высшего профессионального образования «Ростовский государственный университет путей сообщения» в г. Минеральные Воды</t>
  </si>
  <si>
    <t>Филиал федерального государственного бюджетного образовательного учреждения высшего профессионального образования «Ростовский государственный университет путей сообщения» в г. Туапсе</t>
  </si>
  <si>
    <t>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 в г. Орске</t>
  </si>
  <si>
    <t>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 в г. Пензе</t>
  </si>
  <si>
    <t>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 в г. Ртищево</t>
  </si>
  <si>
    <t>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 в г. Рузаевке</t>
  </si>
  <si>
    <t>Филиал федерального государственного бюджетного образовательного учреждения высшего профессионального образования «Самарский государственный университет путей сообщения» в г. Саратове</t>
  </si>
  <si>
    <t>Филиал ЧОУ ВО "СаГА" в г. Тольятти</t>
  </si>
  <si>
    <t>Филиал ЮФУ в г. Геленджике</t>
  </si>
  <si>
    <t>Филиал ЮФУ в г. Железноводске</t>
  </si>
  <si>
    <t>Филиал ЮФУ в г. Кизляре</t>
  </si>
  <si>
    <t>Филиал ЮФУ в г. Махачкале</t>
  </si>
  <si>
    <t>Филиал ЮФУ в г. Новошахтинске</t>
  </si>
  <si>
    <t>Филиал ЮФУ в с. Учкекен</t>
  </si>
  <si>
    <t>Финансовый университет при Правительстве Российской Федерации</t>
  </si>
  <si>
    <t>ФИЦ ИУ РАН</t>
  </si>
  <si>
    <t>Фундаментальные основы биотехнологии» Российской академии наук</t>
  </si>
  <si>
    <t>Хабаровский государственный институт искусств и культуры</t>
  </si>
  <si>
    <t>Хабаровский институт инфокоммуникаций (филиал) Федерального государственного бюджетного образовательного учреждения высшего образования «Сибирский государственный университет телекоммуникаций и информатики»</t>
  </si>
  <si>
    <t>Хабаровский филиал Федерального государственного бюджетного образовательного учреждения высшего образования «Сибирский государственный университет водного транспорта»</t>
  </si>
  <si>
    <t>Хакасский филиал федерального государственного бюджетного образовательного учреждения высшего образования «Российский экономический университет имени Г.В. Плеханова»</t>
  </si>
  <si>
    <t>Холуйский филиал ВШНИ</t>
  </si>
  <si>
    <t>ХТИ -филиал СФУ</t>
  </si>
  <si>
    <t>Центр «Биоинженерия» РАН</t>
  </si>
  <si>
    <t>Центр египтологических исследований Российской академии наук</t>
  </si>
  <si>
    <t>Центр по проблемам экологии и продуктивности лесов Российской академии наук</t>
  </si>
  <si>
    <t>Центр повышения квалификации и профессиональной переподготовки специалистов в области профилактики аддиктивного поведения у детей и молодежи</t>
  </si>
  <si>
    <t>Центр теоретических проблем физико-химической фармакологии Российской академии наук</t>
  </si>
  <si>
    <t>Центр фотохимии Российской академии наук</t>
  </si>
  <si>
    <t>Центральная государственная медицинская академия Управления делами Президента Российской Федерации</t>
  </si>
  <si>
    <t>Центральный научно-исследовательский институт организации и информатизации здравоохранения</t>
  </si>
  <si>
    <t>Центральный научно-исследовательский институт стоматологии и челюстно-лицевой хирургии</t>
  </si>
  <si>
    <t>Центральный научно-исследовательский институт травматологии и ортопедии имени Н.Н. Приорова</t>
  </si>
  <si>
    <t>Центральный научно-исследовательский институт эпидемиологии</t>
  </si>
  <si>
    <t>Центральный сибирский ботанический сад Сибирского отделения Российской академии наук</t>
  </si>
  <si>
    <t>Центральный филиал Федерального государственного бюджетного образовательного учреждения высшего образования «Российский государственный университет правосудия» (г. Воронеж)</t>
  </si>
  <si>
    <t>Центральный экономико-математический институт</t>
  </si>
  <si>
    <t>Чайковский государственный институт физической культур</t>
  </si>
  <si>
    <t>ЧГПУ ИМ. И.Я. ЯКОВЛЕВА</t>
  </si>
  <si>
    <t>Чебоксарский  политехнический институт (филиал) Университета машиностроения</t>
  </si>
  <si>
    <t>Чебоксарский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</si>
  <si>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Челябинская государственная агроинженерная академия</t>
  </si>
  <si>
    <t>Челябинская государственная академия культуры и искусств</t>
  </si>
  <si>
    <t>Челябинский государственный университет</t>
  </si>
  <si>
    <t>Челябинский филиал МГГЭУ</t>
  </si>
  <si>
    <t>Челябинский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</si>
  <si>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Челябинский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</si>
  <si>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Читинская государственная медицинская академия</t>
  </si>
  <si>
    <t>ЧОУ ВО "Брянский институт управления и бизнеса"</t>
  </si>
  <si>
    <t>ЧОУ ВО "Волгоградский институт бизнеса"</t>
  </si>
  <si>
    <t>ЧОУ ВО "Самарская гуманитарная академия"</t>
  </si>
  <si>
    <t>ЧОУ ВО «Московский университет имени С.Ю. Витте»</t>
  </si>
  <si>
    <t>ЧОУ ВО ЮУ (ИУБиП)</t>
  </si>
  <si>
    <t>ЧОУ ВПО «Омская юридическая академия»</t>
  </si>
  <si>
    <t>ЧТИ (филиал) ФГБОУ ВПО "ИжГТУ имени М.Т. Калашникова"</t>
  </si>
  <si>
    <t>ЧУ ВО "Российский исламский институт"</t>
  </si>
  <si>
    <t>ЧУ ВПО «Национальный Институт Дизайна</t>
  </si>
  <si>
    <t>Чувашская государственная сельскохозяйственная академия</t>
  </si>
  <si>
    <t>Чувашский государственный университет имени И.Н. Ульянова</t>
  </si>
  <si>
    <t>Чукотский филиал ФГАОУ ВПО "Северо-Восточный федеральный университет имени М.К. Аммосова"</t>
  </si>
  <si>
    <t>Чурапчинский государственный институт физической культуры и спорта</t>
  </si>
  <si>
    <t>ЧФ КНИТУ-КАИ</t>
  </si>
  <si>
    <t>ЧФ ПНИПУ, ЧФ ФГБОУ ВПО "Пермский национальный исследовательский политехнический университет", ЧФ ФГБОУ ВПО "ПНИПУ"</t>
  </si>
  <si>
    <t>Шадринский филиал Финуниверситета</t>
  </si>
  <si>
    <t>ШАХТИНСКЙ ИНСТИТУТ (ФИЛИАЛ) ЮРГПУ (НПИ) им.М.И.Платова</t>
  </si>
  <si>
    <t>ШГПИ,ШАДРИНСКИЙ ПЕДИНСТИТУТ</t>
  </si>
  <si>
    <t>Школа-студия (институт) имени Вл.И.Немировича-Данченко при Московском Художественном академическом театре имени А.П.Чехова</t>
  </si>
  <si>
    <t>Эндокринологический научный центр</t>
  </si>
  <si>
    <t>ЭТИ (филиал) СГТУ имени Гагарина Ю.А.</t>
  </si>
  <si>
    <t>Юго-Западный государственный университет</t>
  </si>
  <si>
    <t>Южно-Российский государственный политехнический университет (НПИ) имени М.И. Платова</t>
  </si>
  <si>
    <t>ЮЖНО-РОССИЙСКИЙ ГОСУДАРСТВЕННЫЙ ПОЛИТЕХНИЧЕСКИЙ УНИВЕРСИТЕТ (НПИ) ИМЕНИ М.И. ПЛАТОВА, ФГБОУ ВПО ЮРГПУ(НПИ) ИМЕНИ М.И. ПЛАТОВА, ЮРГПУ(НПИ)</t>
  </si>
  <si>
    <t>Южно-Российский институт - филиал федерального государственного бюджетного образовательного учреждения высшего профессионального образования "Российская академия народного хозяйства и государственной службы при Президенте Российской Федерации"</t>
  </si>
  <si>
    <t>Южно-Сахалинский институт (филиал) РЭУ им. Г.В. Плеханова</t>
  </si>
  <si>
    <t>Южно-Сахалинский филиал ФГБОУ ВПО "ХГАЭП"</t>
  </si>
  <si>
    <t>Южно-Уральский государственный медицинский университет</t>
  </si>
  <si>
    <t>Южно-Уральский государственный университет (национальный исследовательский университет)</t>
  </si>
  <si>
    <t>Южно-Уральский профессиональный институт</t>
  </si>
  <si>
    <t>Южный математический институт Владикавказского научного центра Российской академии наук</t>
  </si>
  <si>
    <t>Южный научный центр</t>
  </si>
  <si>
    <t>Южный федеральный университет</t>
  </si>
  <si>
    <t>ЮЖНЫЙ ФЕДЕРАЛЬНЫЙ УНИВЕРСИТЕТ, ФГАОУ ВО "ЮФУ", ЮФУ</t>
  </si>
  <si>
    <t>ЮТИ ТПУ</t>
  </si>
  <si>
    <t>ЯГПУ ИМ. К.Д. УШИНСКОГО</t>
  </si>
  <si>
    <t>Якутская государственная сельскохозяйственная академия</t>
  </si>
  <si>
    <t>Якутский институт водного транспорта - филиал Федерального государственного бюджетного образовательного учреждения высшего образования «Сибирский государственный университет водного транспорта»</t>
  </si>
  <si>
    <t>Якутский научно-исследовательский институт сельского хозяйства</t>
  </si>
  <si>
    <t>Ярославская государственная сельскохозяйственная академия</t>
  </si>
  <si>
    <t>Ярославский государственный медицинский университет</t>
  </si>
  <si>
    <t>Ярославский государственный театральный институт</t>
  </si>
  <si>
    <t>Ярославский государственный технический университет</t>
  </si>
  <si>
    <t>Ярославский государственный университет им. П.Г. Демидова</t>
  </si>
  <si>
    <t>ЯРОСЛАВСКИЙ ГОСУДАРСТВЕННЫЙ УНИВЕРСИТЕТ ИМ. П.Г. ДЕМИДОВА, ЯРОСЛАВСКИЙ ГОСУНИВЕРСИТЕТ ИМ. П.Г. ДЕМИДОВА, ЯРГУ ИМ. П.Г. ДЕМИДОВА, ЯРГУ</t>
  </si>
  <si>
    <t>Ярославский филиал РЭУ им. Г.В. Плеханова</t>
  </si>
  <si>
    <t>Ярославский филиал федерального государственного бюджетного образовательного учреждения высшего профессионального образования "Московский государственный университет путей сообщения"</t>
  </si>
  <si>
    <t>Ярославский филиал федерального государственного образовательного бюджетного учреждения высшего образования "Финансовый университет при Правительстве Российской Федерации"</t>
  </si>
  <si>
    <t xml:space="preserve">Математика             </t>
  </si>
  <si>
    <t xml:space="preserve">Прикладная математика и информатика          </t>
  </si>
  <si>
    <t xml:space="preserve">Механика и математическое моделирование          </t>
  </si>
  <si>
    <t xml:space="preserve">Прикладная математика            </t>
  </si>
  <si>
    <t xml:space="preserve">Математика и компьютерные науки          </t>
  </si>
  <si>
    <t xml:space="preserve">Фундаментальная информатика и информационные технологии         </t>
  </si>
  <si>
    <t xml:space="preserve">Математическое обеспечение и администрирование информационных систем        </t>
  </si>
  <si>
    <t xml:space="preserve">Прикладные математика и физика          </t>
  </si>
  <si>
    <t xml:space="preserve">Физика             </t>
  </si>
  <si>
    <t xml:space="preserve">Радиофизика             </t>
  </si>
  <si>
    <t xml:space="preserve">Химия             </t>
  </si>
  <si>
    <t xml:space="preserve">Химия, физика и механика материалов         </t>
  </si>
  <si>
    <t xml:space="preserve">Геология             </t>
  </si>
  <si>
    <t xml:space="preserve">География             </t>
  </si>
  <si>
    <t xml:space="preserve">Картография и геоинформатика           </t>
  </si>
  <si>
    <t xml:space="preserve">Гидрометеорология             </t>
  </si>
  <si>
    <t xml:space="preserve">Прикладная гидрометеорология            </t>
  </si>
  <si>
    <t xml:space="preserve">Экология и природопользование           </t>
  </si>
  <si>
    <t xml:space="preserve">Биология             </t>
  </si>
  <si>
    <t xml:space="preserve">Почвоведение             </t>
  </si>
  <si>
    <t xml:space="preserve">Архитектура             </t>
  </si>
  <si>
    <t xml:space="preserve">Реконструкция и реставрация архитектурного наследия         </t>
  </si>
  <si>
    <t xml:space="preserve">Дизайн архитектурной среды           </t>
  </si>
  <si>
    <t xml:space="preserve">Градостроительство             </t>
  </si>
  <si>
    <t xml:space="preserve">Строительство             </t>
  </si>
  <si>
    <t xml:space="preserve">Информатика и вычислительная техника          </t>
  </si>
  <si>
    <t xml:space="preserve">Информационные системы и технологии          </t>
  </si>
  <si>
    <t xml:space="preserve">Прикладная информатика            </t>
  </si>
  <si>
    <t xml:space="preserve">Программная инженерия            </t>
  </si>
  <si>
    <t xml:space="preserve">Информационная безопасность            </t>
  </si>
  <si>
    <t xml:space="preserve">Радиотехника             </t>
  </si>
  <si>
    <t xml:space="preserve">Инфокоммуникационные технологии и системы связи         </t>
  </si>
  <si>
    <t xml:space="preserve">Конструирование и технология электронных средств         </t>
  </si>
  <si>
    <t xml:space="preserve">Электроника и наноэлектроника           </t>
  </si>
  <si>
    <t xml:space="preserve">Приборостроение             </t>
  </si>
  <si>
    <t xml:space="preserve">Оптотехника             </t>
  </si>
  <si>
    <t xml:space="preserve">Фотоника и оптоинформатика           </t>
  </si>
  <si>
    <t xml:space="preserve">Биотехнические системы и технологии          </t>
  </si>
  <si>
    <t xml:space="preserve">Лазерная техника и лазерные технологии         </t>
  </si>
  <si>
    <t xml:space="preserve">Теплоэнергетика и теплотехника           </t>
  </si>
  <si>
    <t xml:space="preserve">Электроэнергетика и электротехника           </t>
  </si>
  <si>
    <t xml:space="preserve">Энергетическое машиностроение            </t>
  </si>
  <si>
    <t xml:space="preserve">Ядерная энергетика и теплофизика          </t>
  </si>
  <si>
    <t xml:space="preserve">Ядерные физика и технологии          </t>
  </si>
  <si>
    <t xml:space="preserve">Машиностроение             </t>
  </si>
  <si>
    <t xml:space="preserve">Технологические машины и оборудование          </t>
  </si>
  <si>
    <t xml:space="preserve">Прикладная механика            </t>
  </si>
  <si>
    <t xml:space="preserve">Автоматизация технологических процессов и производств         </t>
  </si>
  <si>
    <t xml:space="preserve">Конструкторско-технологическое обеспечение машиностроительных производств          </t>
  </si>
  <si>
    <t xml:space="preserve">Мехатроника и робототехника           </t>
  </si>
  <si>
    <t xml:space="preserve">Техническая физика            </t>
  </si>
  <si>
    <t xml:space="preserve">Высокотехнологические плазменные и энергетические установки         </t>
  </si>
  <si>
    <t xml:space="preserve">Холодильная, криогенная техника и системы жизнеобеспечения        </t>
  </si>
  <si>
    <t xml:space="preserve">Корабельное вооружение            </t>
  </si>
  <si>
    <t xml:space="preserve">Химическая технология            </t>
  </si>
  <si>
    <t xml:space="preserve">Энерго- и ресурсосберегающие процессы в химической технологии, нефтехимии и биотехнологии    </t>
  </si>
  <si>
    <t xml:space="preserve">Биотехнология             </t>
  </si>
  <si>
    <t xml:space="preserve">Продукты питания из растительного сырья         </t>
  </si>
  <si>
    <t xml:space="preserve">Продукты питания животного происхождения          </t>
  </si>
  <si>
    <t xml:space="preserve">Технология продукции и организация общественного питания        </t>
  </si>
  <si>
    <t xml:space="preserve">Техносферная безопасность            </t>
  </si>
  <si>
    <t xml:space="preserve">Природообустройство и водопользование           </t>
  </si>
  <si>
    <t xml:space="preserve">Нефтегазовое дело            </t>
  </si>
  <si>
    <t xml:space="preserve">Землеустройство и кадастры           </t>
  </si>
  <si>
    <t xml:space="preserve">Геодезия и дистанционное зондирование          </t>
  </si>
  <si>
    <t xml:space="preserve">Материаловедение и технологии материалов          </t>
  </si>
  <si>
    <t xml:space="preserve">Металлургия             </t>
  </si>
  <si>
    <t xml:space="preserve">Технология транспортных процессов           </t>
  </si>
  <si>
    <t xml:space="preserve">Наземные транспортно-технологические комплексы           </t>
  </si>
  <si>
    <t xml:space="preserve">Эксплуатация транспортно-технологических машин и комплексов         </t>
  </si>
  <si>
    <t xml:space="preserve">Ракетные комплексы и космонавтика          </t>
  </si>
  <si>
    <t xml:space="preserve">Системы управления движением и навигация         </t>
  </si>
  <si>
    <t xml:space="preserve">Баллистика и гидроаэродинамика           </t>
  </si>
  <si>
    <t xml:space="preserve">Авиастроение             </t>
  </si>
  <si>
    <t xml:space="preserve">Двигатели летательных аппаратов           </t>
  </si>
  <si>
    <t xml:space="preserve">Техническая эксплуатация летательных аппаратов и двигателей        </t>
  </si>
  <si>
    <t xml:space="preserve">Техническая эксплуатация авиационных электросистем и пилотажно-навигационных комплексов       </t>
  </si>
  <si>
    <t xml:space="preserve">Аэронавигация             </t>
  </si>
  <si>
    <t xml:space="preserve">Эксплуатация аэропортов и обеспечение полетов воздушных судов       </t>
  </si>
  <si>
    <t xml:space="preserve">Управление водным транспортом и гидрографическое обеспечение судоходства       </t>
  </si>
  <si>
    <t xml:space="preserve">Кораблестроение, океанотехника и системотехника объектов морской инфраструктуры       </t>
  </si>
  <si>
    <t xml:space="preserve">Стандартизация и метрология           </t>
  </si>
  <si>
    <t xml:space="preserve">Управление качеством            </t>
  </si>
  <si>
    <t xml:space="preserve">Системный анализ и управление          </t>
  </si>
  <si>
    <t xml:space="preserve">Управление в технических системах          </t>
  </si>
  <si>
    <t xml:space="preserve">Инноватика             </t>
  </si>
  <si>
    <t xml:space="preserve">Нанотехнологии и микросистемная техника          </t>
  </si>
  <si>
    <t xml:space="preserve">Наноинженерия             </t>
  </si>
  <si>
    <t xml:space="preserve">Наноматериалы             </t>
  </si>
  <si>
    <t xml:space="preserve">Технология изделий легкой промышленности          </t>
  </si>
  <si>
    <t xml:space="preserve">Технологии и проектирование текстильных изделий         </t>
  </si>
  <si>
    <t xml:space="preserve">Технология полиграфического и упаковочного производства         </t>
  </si>
  <si>
    <t xml:space="preserve">Технология художественной обработки материалов          </t>
  </si>
  <si>
    <t xml:space="preserve">Конструирование изделий легкой промышленности          </t>
  </si>
  <si>
    <t xml:space="preserve">Сестринское дело            </t>
  </si>
  <si>
    <t xml:space="preserve">Лесное дело            </t>
  </si>
  <si>
    <t xml:space="preserve">Технология лесозаготовительных и деревоперерабатывающих производств         </t>
  </si>
  <si>
    <t xml:space="preserve">Агрохимия и агропочвоведение           </t>
  </si>
  <si>
    <t xml:space="preserve">Агрономия             </t>
  </si>
  <si>
    <t xml:space="preserve">Садоводство             </t>
  </si>
  <si>
    <t xml:space="preserve">Агроинженерия             </t>
  </si>
  <si>
    <t xml:space="preserve">Технология производства и переработки сельскохозяйственной продукции        </t>
  </si>
  <si>
    <t xml:space="preserve">Водные биоресурсы и аквакультура          </t>
  </si>
  <si>
    <t xml:space="preserve">Промышленное рыболовство            </t>
  </si>
  <si>
    <t xml:space="preserve">Ландшафтная архитектура            </t>
  </si>
  <si>
    <t xml:space="preserve">Ветеринарно-санитарная экспертиза            </t>
  </si>
  <si>
    <t xml:space="preserve">Зоотехния             </t>
  </si>
  <si>
    <t xml:space="preserve">Психология             </t>
  </si>
  <si>
    <t xml:space="preserve">Конфликтология             </t>
  </si>
  <si>
    <t xml:space="preserve">Экономика             </t>
  </si>
  <si>
    <t xml:space="preserve">Менеджмент             </t>
  </si>
  <si>
    <t xml:space="preserve">Управление персоналом            </t>
  </si>
  <si>
    <t xml:space="preserve">Государственное и муниципальное управление          </t>
  </si>
  <si>
    <t xml:space="preserve">Бизнес-информатика             </t>
  </si>
  <si>
    <t xml:space="preserve">Торговое дело            </t>
  </si>
  <si>
    <t xml:space="preserve">Товароведение             </t>
  </si>
  <si>
    <t>38.03.10</t>
  </si>
  <si>
    <t xml:space="preserve">Жилищное хозяйство и коммунальная инфраструктура         </t>
  </si>
  <si>
    <t xml:space="preserve">Социология             </t>
  </si>
  <si>
    <t xml:space="preserve">Социальная работа            </t>
  </si>
  <si>
    <t xml:space="preserve">Организация работы с молодежью          </t>
  </si>
  <si>
    <t xml:space="preserve">Юриспруденция             </t>
  </si>
  <si>
    <t xml:space="preserve">Зарубежное регионоведение            </t>
  </si>
  <si>
    <t xml:space="preserve">Регионоведение России            </t>
  </si>
  <si>
    <t xml:space="preserve">Востоковедение и африканистика           </t>
  </si>
  <si>
    <t xml:space="preserve">Политология             </t>
  </si>
  <si>
    <t xml:space="preserve">Международные отношения            </t>
  </si>
  <si>
    <t xml:space="preserve">Публичная политика и социальные науки         </t>
  </si>
  <si>
    <t xml:space="preserve">Реклама и связи с общественностью         </t>
  </si>
  <si>
    <t xml:space="preserve">Журналистика             </t>
  </si>
  <si>
    <t xml:space="preserve">Издательское дело            </t>
  </si>
  <si>
    <t xml:space="preserve">Телевидение             </t>
  </si>
  <si>
    <t xml:space="preserve">Медиакоммуникации             </t>
  </si>
  <si>
    <t xml:space="preserve">Сервис             </t>
  </si>
  <si>
    <t xml:space="preserve">Туризм             </t>
  </si>
  <si>
    <t xml:space="preserve">Гостиничное дело            </t>
  </si>
  <si>
    <t xml:space="preserve">Педагогическое образование            </t>
  </si>
  <si>
    <t xml:space="preserve">Психолого-педагогическое образование            </t>
  </si>
  <si>
    <t xml:space="preserve">Специальное (дефектологическое) образование           </t>
  </si>
  <si>
    <t xml:space="preserve">Профессиональное обучение (по отраслям)          </t>
  </si>
  <si>
    <t xml:space="preserve">Педагогическое образование (с двумя профилями подготовки)        </t>
  </si>
  <si>
    <t xml:space="preserve">Филология             </t>
  </si>
  <si>
    <t xml:space="preserve">Лингвистика             </t>
  </si>
  <si>
    <t xml:space="preserve">Фундаментальная и прикладная лингвистика          </t>
  </si>
  <si>
    <t xml:space="preserve">Интеллектуальные системы в гуманитарной сфере         </t>
  </si>
  <si>
    <t xml:space="preserve">История             </t>
  </si>
  <si>
    <t xml:space="preserve">Документоведение и архивоведение           </t>
  </si>
  <si>
    <t xml:space="preserve">Антропология и этнология           </t>
  </si>
  <si>
    <t xml:space="preserve">Философия             </t>
  </si>
  <si>
    <t xml:space="preserve">Прикладная этика            </t>
  </si>
  <si>
    <t xml:space="preserve">Религиоведение             </t>
  </si>
  <si>
    <t xml:space="preserve">Теология             </t>
  </si>
  <si>
    <t xml:space="preserve">Физическая культура            </t>
  </si>
  <si>
    <t xml:space="preserve">Физическая культура для лиц с отклонениями в состоянии здоровья (адаптивная физическая культура)  </t>
  </si>
  <si>
    <t xml:space="preserve">Рекреация и спортивно-оздоровительный туризм          </t>
  </si>
  <si>
    <t xml:space="preserve">Искусства и гуманитарные науки          </t>
  </si>
  <si>
    <t xml:space="preserve">Изящные искусства            </t>
  </si>
  <si>
    <t xml:space="preserve">История искусств            </t>
  </si>
  <si>
    <t xml:space="preserve">Теория и история искусств          </t>
  </si>
  <si>
    <t xml:space="preserve">Культурология             </t>
  </si>
  <si>
    <t xml:space="preserve">Народная художественная культура           </t>
  </si>
  <si>
    <t xml:space="preserve">Социально-культурная деятельность            </t>
  </si>
  <si>
    <t xml:space="preserve">Музеология и охрана объектов культурного и природного наследия      </t>
  </si>
  <si>
    <t xml:space="preserve">Режиссура театрализованных представлений и праздников         </t>
  </si>
  <si>
    <t xml:space="preserve">Библиотечно-информационная деятельность            </t>
  </si>
  <si>
    <t xml:space="preserve">Хореографическое искусство            </t>
  </si>
  <si>
    <t xml:space="preserve">Хореографическое исполнительство            </t>
  </si>
  <si>
    <t xml:space="preserve">Цирковое искусство            </t>
  </si>
  <si>
    <t xml:space="preserve">Технология художественного оформления спектакля          </t>
  </si>
  <si>
    <t xml:space="preserve">Театроведение             </t>
  </si>
  <si>
    <t xml:space="preserve">Драматургия             </t>
  </si>
  <si>
    <t xml:space="preserve">Музыкальное искусство эстрады           </t>
  </si>
  <si>
    <t xml:space="preserve">Музыкально-инструментальное искусство            </t>
  </si>
  <si>
    <t xml:space="preserve">Вокальное искусство            </t>
  </si>
  <si>
    <t xml:space="preserve">Искусство народного пения           </t>
  </si>
  <si>
    <t xml:space="preserve">Дирижирование             </t>
  </si>
  <si>
    <t xml:space="preserve">Музыкознание и музыкально-прикладное искусство          </t>
  </si>
  <si>
    <t xml:space="preserve">Дизайн             </t>
  </si>
  <si>
    <t xml:space="preserve">Декоративно-прикладное искусство и народные промыслы         </t>
  </si>
  <si>
    <t xml:space="preserve">Искусство костюма и текстиля          </t>
  </si>
  <si>
    <t xml:space="preserve">Реставрация             </t>
  </si>
  <si>
    <t>010400.62</t>
  </si>
  <si>
    <t>010500.62</t>
  </si>
  <si>
    <t>010900.62</t>
  </si>
  <si>
    <t xml:space="preserve">Прикладная математика и физика          </t>
  </si>
  <si>
    <t>080100.62</t>
  </si>
  <si>
    <t xml:space="preserve">Экономика и управление на производстве         </t>
  </si>
  <si>
    <t>090900.62</t>
  </si>
  <si>
    <t>140100.62</t>
  </si>
  <si>
    <t>140400.62</t>
  </si>
  <si>
    <t xml:space="preserve">Электрооборудование и электрохозяйство предприятий, организаций, учреждений        </t>
  </si>
  <si>
    <t>150100.62</t>
  </si>
  <si>
    <t>150400.62</t>
  </si>
  <si>
    <t>150700.62</t>
  </si>
  <si>
    <t>151000.62</t>
  </si>
  <si>
    <t xml:space="preserve">Технологические машины и оборудования          </t>
  </si>
  <si>
    <t>151900.62</t>
  </si>
  <si>
    <t>160100.62</t>
  </si>
  <si>
    <t xml:space="preserve">Авиа- и ракетосроение           </t>
  </si>
  <si>
    <t>160700.62</t>
  </si>
  <si>
    <t>161100.62</t>
  </si>
  <si>
    <t>161101.62</t>
  </si>
  <si>
    <t xml:space="preserve">Системы управления летательными аппаратами          </t>
  </si>
  <si>
    <t>161700.62</t>
  </si>
  <si>
    <t>162300.62</t>
  </si>
  <si>
    <t>162500.62</t>
  </si>
  <si>
    <t>170100.62</t>
  </si>
  <si>
    <t xml:space="preserve">Боеприпасы и взрыватели           </t>
  </si>
  <si>
    <t>200100.62</t>
  </si>
  <si>
    <t>200400.62</t>
  </si>
  <si>
    <t>200500.62</t>
  </si>
  <si>
    <t xml:space="preserve">Приборостроение и оптотехника           </t>
  </si>
  <si>
    <t>210100.62</t>
  </si>
  <si>
    <t>210400.62</t>
  </si>
  <si>
    <t>210700.62</t>
  </si>
  <si>
    <t>211000.62</t>
  </si>
  <si>
    <t>220100.62</t>
  </si>
  <si>
    <t>220400.62</t>
  </si>
  <si>
    <t>220700.62</t>
  </si>
  <si>
    <t>221000.62</t>
  </si>
  <si>
    <t>221400.62</t>
  </si>
  <si>
    <t>221700.62</t>
  </si>
  <si>
    <t>222900.62</t>
  </si>
  <si>
    <t>223200.62</t>
  </si>
  <si>
    <t>230100.62</t>
  </si>
  <si>
    <t>230400.62</t>
  </si>
  <si>
    <t>231000.62</t>
  </si>
  <si>
    <t>231300.62</t>
  </si>
  <si>
    <t>240100.62</t>
  </si>
  <si>
    <t xml:space="preserve">Фундаментальные информатика и информационные технологии         </t>
  </si>
  <si>
    <t xml:space="preserve">Высокотехнологичные производства пищевых продуктов функционального и специализированного назначения      </t>
  </si>
  <si>
    <t xml:space="preserve">Организация и управление наукоемкими производствами         </t>
  </si>
  <si>
    <t xml:space="preserve">Наукоемкие технологии и экономика инноваций         </t>
  </si>
  <si>
    <t xml:space="preserve">Управление интеллектуальной собственностью           </t>
  </si>
  <si>
    <t xml:space="preserve">Наносистемы и наноматериалы           </t>
  </si>
  <si>
    <t xml:space="preserve">Общественное здравоохранение            </t>
  </si>
  <si>
    <t xml:space="preserve">Финансы и кредит           </t>
  </si>
  <si>
    <t xml:space="preserve">Государственный аудит            </t>
  </si>
  <si>
    <t>38.04.10</t>
  </si>
  <si>
    <t xml:space="preserve">Интеллектуальные системы в гуманитарной среде         </t>
  </si>
  <si>
    <t xml:space="preserve">Спорт             </t>
  </si>
  <si>
    <t xml:space="preserve">Театральное искусство            </t>
  </si>
  <si>
    <t xml:space="preserve">Искусство             </t>
  </si>
  <si>
    <t>56.04.01</t>
  </si>
  <si>
    <t xml:space="preserve">Национальная безопасность и оборона государства         </t>
  </si>
  <si>
    <t>56.04.02</t>
  </si>
  <si>
    <t xml:space="preserve">Управление воинскими частями и соединениями         </t>
  </si>
  <si>
    <t>56.04.03</t>
  </si>
  <si>
    <t xml:space="preserve">Управление боевым обеспечением войск (сил)         </t>
  </si>
  <si>
    <t>56.04.04</t>
  </si>
  <si>
    <t xml:space="preserve">Управление техническим обеспечением войск (сил)         </t>
  </si>
  <si>
    <t>56.04.05</t>
  </si>
  <si>
    <t xml:space="preserve">Управление информационной безопасностью органов управления систем и комплексов военного назначения    </t>
  </si>
  <si>
    <t>56.04.06</t>
  </si>
  <si>
    <t xml:space="preserve">Управление производством и развитием вооружения и военной техники      </t>
  </si>
  <si>
    <t>56.04.07</t>
  </si>
  <si>
    <t>Управление использованием атомной энергии и обеспечением ядерной безопасности в области ядерных установок военного назначения</t>
  </si>
  <si>
    <t>56.04.08</t>
  </si>
  <si>
    <t xml:space="preserve">Управление тыловым обеспечением войск (сил)         </t>
  </si>
  <si>
    <t>56.04.09</t>
  </si>
  <si>
    <t xml:space="preserve">Организация морально-психологического обеспечения           </t>
  </si>
  <si>
    <t>56.04.10</t>
  </si>
  <si>
    <t xml:space="preserve">Управление финансовым обеспечением Вооруженных Сил Российской Федерации       </t>
  </si>
  <si>
    <t>56.04.11</t>
  </si>
  <si>
    <t xml:space="preserve">Управление медицинским обеспечением войск (сил)         </t>
  </si>
  <si>
    <t>56.04.12</t>
  </si>
  <si>
    <t xml:space="preserve">Военное и административное управление          </t>
  </si>
  <si>
    <t>57.04.01</t>
  </si>
  <si>
    <t xml:space="preserve">Государственное управление в пограничной сфере         </t>
  </si>
  <si>
    <t>160400.68</t>
  </si>
  <si>
    <t>080100.68</t>
  </si>
  <si>
    <t xml:space="preserve">Управление предприятием и промышленная информатика         </t>
  </si>
  <si>
    <t>090900.68</t>
  </si>
  <si>
    <t>140500.68</t>
  </si>
  <si>
    <t xml:space="preserve">Энергомашиностроение             </t>
  </si>
  <si>
    <t>141200.68</t>
  </si>
  <si>
    <t>150100.68</t>
  </si>
  <si>
    <t xml:space="preserve">Материаловедение и технологии материалов (150100.68)         </t>
  </si>
  <si>
    <t>150700.68</t>
  </si>
  <si>
    <t>150900.68</t>
  </si>
  <si>
    <t xml:space="preserve">Технология, оборудование и автоматизация машиностроительных производств        </t>
  </si>
  <si>
    <t>151900.68</t>
  </si>
  <si>
    <t>161100.68</t>
  </si>
  <si>
    <t>161700.68</t>
  </si>
  <si>
    <t>200100.68</t>
  </si>
  <si>
    <t>210300.68</t>
  </si>
  <si>
    <t>210400.68</t>
  </si>
  <si>
    <t>210700.68</t>
  </si>
  <si>
    <t>220100.68</t>
  </si>
  <si>
    <t>220400.68</t>
  </si>
  <si>
    <t xml:space="preserve">Управление в технических средствах          </t>
  </si>
  <si>
    <t>220700.68</t>
  </si>
  <si>
    <t>221400.68</t>
  </si>
  <si>
    <t>230100.68</t>
  </si>
  <si>
    <t>230400.68</t>
  </si>
  <si>
    <t>231000.68</t>
  </si>
  <si>
    <t>270100.68</t>
  </si>
  <si>
    <t>280700.68</t>
  </si>
  <si>
    <t xml:space="preserve">Эколого-экономическая экспертиза и лицензирование промышленных предприятий        </t>
  </si>
  <si>
    <t xml:space="preserve">Фундаментальные математика и механика          </t>
  </si>
  <si>
    <t xml:space="preserve">Астрономия             </t>
  </si>
  <si>
    <t xml:space="preserve">Фундаментальная и прикладная химия          </t>
  </si>
  <si>
    <t xml:space="preserve">Метеорология специального назначения           </t>
  </si>
  <si>
    <t xml:space="preserve">Военная картография            </t>
  </si>
  <si>
    <t xml:space="preserve">Биоинженерия и биоинформатика           </t>
  </si>
  <si>
    <t xml:space="preserve">Строительство уникальных зданий и сооружений         </t>
  </si>
  <si>
    <t xml:space="preserve">Строительство, эксплуатация, восстановление и техническое прикрытие автомобильных дорог, мостов и тоннелей   </t>
  </si>
  <si>
    <t xml:space="preserve">Применение и эксплуатация автоматизированных систем специального назначения       </t>
  </si>
  <si>
    <t xml:space="preserve">Компьютерная безопасность            </t>
  </si>
  <si>
    <t xml:space="preserve">Информационная безопасность телекоммуникационных систем          </t>
  </si>
  <si>
    <t xml:space="preserve">Информационная безопасность автоматизированных систем          </t>
  </si>
  <si>
    <t xml:space="preserve">Информационно-аналитические системы безопасности           </t>
  </si>
  <si>
    <t xml:space="preserve">Безопасность информационных технологий в правоохранительной сфере        </t>
  </si>
  <si>
    <t xml:space="preserve">Криптография             </t>
  </si>
  <si>
    <t xml:space="preserve">Противодействие техническим разведкам           </t>
  </si>
  <si>
    <t xml:space="preserve">Радиоэлектронные системы и комплексы          </t>
  </si>
  <si>
    <t xml:space="preserve">Специальные радиотехнические системы           </t>
  </si>
  <si>
    <t xml:space="preserve">Применение и эксплуатация средств и систем специального мониторинга      </t>
  </si>
  <si>
    <t xml:space="preserve">Инфокоммуникационные технологии системы специальной связи         </t>
  </si>
  <si>
    <t xml:space="preserve">Электронные и оптико-электронные приборы и системы специального назначения      </t>
  </si>
  <si>
    <t xml:space="preserve">Тепло- и электрообеспечение специальных технических систем и объектов      </t>
  </si>
  <si>
    <t xml:space="preserve">Специальные электромеханические системы           </t>
  </si>
  <si>
    <t xml:space="preserve">Ядерные реакторы и материалы          </t>
  </si>
  <si>
    <t xml:space="preserve">Атомные станции: проектирование, эксплуатация и инжиниринг        </t>
  </si>
  <si>
    <t xml:space="preserve">Технологии разделения изотопов и ядерное топливо        </t>
  </si>
  <si>
    <t xml:space="preserve">Электроника и автоматика физических установок         </t>
  </si>
  <si>
    <t xml:space="preserve">Проектирование технологических машин и комплексов         </t>
  </si>
  <si>
    <t xml:space="preserve">Специальные системы жизнеобеспечения           </t>
  </si>
  <si>
    <t xml:space="preserve">Стрелково-пушечное, артиллерийское и ракетное оружие         </t>
  </si>
  <si>
    <t xml:space="preserve">Проектирование, производство и испытание корабельного вооружения информационно-управляющих систем      </t>
  </si>
  <si>
    <t xml:space="preserve">Технологии веществ и материалов в вооружении и военной технике     </t>
  </si>
  <si>
    <t xml:space="preserve">Химическая технология энергонасыщенных материалов и изделий        </t>
  </si>
  <si>
    <t xml:space="preserve">Химическая технология материалов современной энергетики         </t>
  </si>
  <si>
    <t xml:space="preserve">Пожарная безопасность            </t>
  </si>
  <si>
    <t xml:space="preserve">Прикладная геодезия            </t>
  </si>
  <si>
    <t xml:space="preserve">Прикладная геология            </t>
  </si>
  <si>
    <t xml:space="preserve">Технология геологической разведки           </t>
  </si>
  <si>
    <t xml:space="preserve">Горное дело            </t>
  </si>
  <si>
    <t xml:space="preserve">Физические процессы горного или нефтегазового производства        </t>
  </si>
  <si>
    <t xml:space="preserve">Нефтегазовые техника и технологии          </t>
  </si>
  <si>
    <t xml:space="preserve">Наземные транспортно-технологические средства           </t>
  </si>
  <si>
    <t xml:space="preserve">Транспортные средства специального назначения          </t>
  </si>
  <si>
    <t xml:space="preserve">Подвижной состав железных дорог          </t>
  </si>
  <si>
    <t xml:space="preserve">Эксплуатация железных дорог           </t>
  </si>
  <si>
    <t xml:space="preserve">Системы обеспечения движения поездов          </t>
  </si>
  <si>
    <t xml:space="preserve">Строительство железных дорог, мостов и транспортных тоннелей       </t>
  </si>
  <si>
    <t xml:space="preserve">Проектирование, производство и эксплуатация ракет и ракетно-космических комплексов      </t>
  </si>
  <si>
    <t xml:space="preserve">Проектирование авиационных и ракетных двигателей         </t>
  </si>
  <si>
    <t xml:space="preserve">Испытание летательных аппаратов           </t>
  </si>
  <si>
    <t xml:space="preserve">Навигационно-баллистическое обеспечение применения космической техники         </t>
  </si>
  <si>
    <t xml:space="preserve">Интегрированные системы летательных аппаратов          </t>
  </si>
  <si>
    <t xml:space="preserve">Самолето- и вертолетостроение           </t>
  </si>
  <si>
    <t xml:space="preserve">Техническая эксплуатация и восстановление боевых летательных аппаратов и двигателей     </t>
  </si>
  <si>
    <t xml:space="preserve">Техническая эксплуатация и восстановление электросистем и пилотажно-навигационных комплексов боевых летательных аппаратов   </t>
  </si>
  <si>
    <t xml:space="preserve">Техническая эксплуатация транспортного радиооборудования          </t>
  </si>
  <si>
    <t xml:space="preserve">Летная эксплуатация и применение авиационных комплексов        </t>
  </si>
  <si>
    <t xml:space="preserve">Эксплуатация воздушных судов и организация воздушного движения       </t>
  </si>
  <si>
    <t xml:space="preserve">Проектирование и постройка кораблей, судов и объектов океанотехники      </t>
  </si>
  <si>
    <t xml:space="preserve">Проектирование, изготовление и ремонт энергетических установок и систем автоматизации кораблей и судов  </t>
  </si>
  <si>
    <t xml:space="preserve">Строительство, ремонт и поисково-спасательное обеспечение надводных кораблей и подводных лодок    </t>
  </si>
  <si>
    <t xml:space="preserve">Применение и эксплуатация технических систем надводных кораблей и подводных лодок    </t>
  </si>
  <si>
    <t xml:space="preserve">Судовождение             </t>
  </si>
  <si>
    <t xml:space="preserve">Эксплуатация судовых энергетических установок          </t>
  </si>
  <si>
    <t xml:space="preserve">Эксплуатация судового электрооборудования и средств автоматики        </t>
  </si>
  <si>
    <t xml:space="preserve">Специальные организационно-технические системы           </t>
  </si>
  <si>
    <t xml:space="preserve">Метрологическое обеспечение вооружения и военной техники        </t>
  </si>
  <si>
    <t xml:space="preserve">Медицинская биохимия            </t>
  </si>
  <si>
    <t xml:space="preserve">Медицинская биофизика            </t>
  </si>
  <si>
    <t xml:space="preserve">Медицинская кибернетика            </t>
  </si>
  <si>
    <t xml:space="preserve">Лечебное дело            </t>
  </si>
  <si>
    <t xml:space="preserve">Педиатрия             </t>
  </si>
  <si>
    <t xml:space="preserve">Стоматология             </t>
  </si>
  <si>
    <t xml:space="preserve">Медико-профилактическое дело            </t>
  </si>
  <si>
    <t xml:space="preserve">Фармация             </t>
  </si>
  <si>
    <t xml:space="preserve">Ветеринария             </t>
  </si>
  <si>
    <t xml:space="preserve">Клиническая психология            </t>
  </si>
  <si>
    <t xml:space="preserve">Психология служебной деятельности           </t>
  </si>
  <si>
    <t xml:space="preserve">Экономическая безопасность            </t>
  </si>
  <si>
    <t xml:space="preserve">Таможенное дело            </t>
  </si>
  <si>
    <t xml:space="preserve">Правовое обеспечение национальной безопасности          </t>
  </si>
  <si>
    <t xml:space="preserve">Правоохранительная деятельность            </t>
  </si>
  <si>
    <t xml:space="preserve">Судебная экспертиза            </t>
  </si>
  <si>
    <t xml:space="preserve">Педагогика и психология девиантного поведения         </t>
  </si>
  <si>
    <t xml:space="preserve">Перевод и переводоведение           </t>
  </si>
  <si>
    <t xml:space="preserve">Звукорежиссура культурно-массовых представлений и концертных программ        </t>
  </si>
  <si>
    <t xml:space="preserve">Актерское искусство            </t>
  </si>
  <si>
    <t xml:space="preserve">Режиссура театра            </t>
  </si>
  <si>
    <t xml:space="preserve">Сценография             </t>
  </si>
  <si>
    <t xml:space="preserve">Литературное творчество            </t>
  </si>
  <si>
    <t xml:space="preserve">Искусство концертного исполнительства           </t>
  </si>
  <si>
    <t xml:space="preserve">Художественное руководство симфоническим оркестром и академическим хором       </t>
  </si>
  <si>
    <t xml:space="preserve">Музыкальная звукорежиссура            </t>
  </si>
  <si>
    <t xml:space="preserve">Музыкально-театральное искусство            </t>
  </si>
  <si>
    <t xml:space="preserve">Музыковедение             </t>
  </si>
  <si>
    <t xml:space="preserve">Композиция             </t>
  </si>
  <si>
    <t xml:space="preserve">Дирижирование военным духовым оркестром          </t>
  </si>
  <si>
    <t xml:space="preserve">Монументально-декоративное искусство            </t>
  </si>
  <si>
    <t xml:space="preserve">Живопись             </t>
  </si>
  <si>
    <t xml:space="preserve">Графика             </t>
  </si>
  <si>
    <t xml:space="preserve">Скульптура             </t>
  </si>
  <si>
    <t xml:space="preserve">Живопись и изящные искусства          </t>
  </si>
  <si>
    <t xml:space="preserve">Режиссура кино и телевидения          </t>
  </si>
  <si>
    <t xml:space="preserve">Звукорежиссура аудиовизуальных искусств           </t>
  </si>
  <si>
    <t xml:space="preserve">Кинооператорство             </t>
  </si>
  <si>
    <t xml:space="preserve">Продюсерство             </t>
  </si>
  <si>
    <t xml:space="preserve">Киноведение             </t>
  </si>
  <si>
    <t>56.05.01</t>
  </si>
  <si>
    <t xml:space="preserve">Тыловое обеспечение            </t>
  </si>
  <si>
    <t xml:space="preserve">Радиационная, химическая и биологическая защита         </t>
  </si>
  <si>
    <t>56.05.03</t>
  </si>
  <si>
    <t xml:space="preserve">Служебно-прикладная физическая подготовка           </t>
  </si>
  <si>
    <t>56.05.04</t>
  </si>
  <si>
    <t>Управление персоналом (Вооруженные Силы РФ, другие войска, воинские формирования и приравненные к ним органы)</t>
  </si>
  <si>
    <t xml:space="preserve">Военная журналистика            </t>
  </si>
  <si>
    <t>57.05.01</t>
  </si>
  <si>
    <t xml:space="preserve">Пограничная деятельность            </t>
  </si>
  <si>
    <t>010101.65</t>
  </si>
  <si>
    <t>010501.65</t>
  </si>
  <si>
    <t>010701.65</t>
  </si>
  <si>
    <t xml:space="preserve">Фундаментальная математика и механика          </t>
  </si>
  <si>
    <t>090104.65</t>
  </si>
  <si>
    <t xml:space="preserve">Комплексная защита объектов информатизации          </t>
  </si>
  <si>
    <t>090301.65</t>
  </si>
  <si>
    <t>090302.65</t>
  </si>
  <si>
    <t>090303.65</t>
  </si>
  <si>
    <t>140104.65</t>
  </si>
  <si>
    <t xml:space="preserve">Промышленная теплоэнергетика            </t>
  </si>
  <si>
    <t>140204.65</t>
  </si>
  <si>
    <t xml:space="preserve">Электрические станции            </t>
  </si>
  <si>
    <t>140211.65</t>
  </si>
  <si>
    <t xml:space="preserve">Электроснабжение             </t>
  </si>
  <si>
    <t>140302.65</t>
  </si>
  <si>
    <t xml:space="preserve">Физика атомного ядра и элементарных частиц        </t>
  </si>
  <si>
    <t>140601.65</t>
  </si>
  <si>
    <t xml:space="preserve">Электромеханика             </t>
  </si>
  <si>
    <t>140605.65</t>
  </si>
  <si>
    <t xml:space="preserve">Электротехнологические установки и системы          </t>
  </si>
  <si>
    <t>150105.65</t>
  </si>
  <si>
    <t xml:space="preserve">Металловедение и термическая обработка металлов         </t>
  </si>
  <si>
    <t>150106.65</t>
  </si>
  <si>
    <t xml:space="preserve">Обработка металлов давлением           </t>
  </si>
  <si>
    <t>150201.65</t>
  </si>
  <si>
    <t xml:space="preserve">Машины и технология обработки металлов давлением        </t>
  </si>
  <si>
    <t>150202.65</t>
  </si>
  <si>
    <t xml:space="preserve">Оборудование и технология сварочного производства         </t>
  </si>
  <si>
    <t>150206.65</t>
  </si>
  <si>
    <t xml:space="preserve">Машины и технология высокоэффективных процессов обработки материалов       </t>
  </si>
  <si>
    <t>150301.65</t>
  </si>
  <si>
    <t xml:space="preserve">Динамика и прочность машин          </t>
  </si>
  <si>
    <t>150502.65</t>
  </si>
  <si>
    <t xml:space="preserve">Конструирование и производство изделий из композиционных материалов       </t>
  </si>
  <si>
    <t>150700.65</t>
  </si>
  <si>
    <t xml:space="preserve">Технология оборудования и автоматизация машиностроительных производств        </t>
  </si>
  <si>
    <t>150802.65</t>
  </si>
  <si>
    <t xml:space="preserve">Гидравлические машины, гидроприводы и гидропневматика         </t>
  </si>
  <si>
    <t>151001.65</t>
  </si>
  <si>
    <t xml:space="preserve">Технология машиностроения            </t>
  </si>
  <si>
    <t>151002.65</t>
  </si>
  <si>
    <t xml:space="preserve">Металлообрабатывающие станки и комплексы          </t>
  </si>
  <si>
    <t>151701.65</t>
  </si>
  <si>
    <t>160100.65</t>
  </si>
  <si>
    <t>160301.65</t>
  </si>
  <si>
    <t xml:space="preserve">Авиационные двигатели и энергетические установки         </t>
  </si>
  <si>
    <t>160302.65</t>
  </si>
  <si>
    <t xml:space="preserve">Ракетные двигатели            </t>
  </si>
  <si>
    <t>160304.65</t>
  </si>
  <si>
    <t xml:space="preserve">Авиационная и ракетно-космическая теплотехника          </t>
  </si>
  <si>
    <t>160400.65</t>
  </si>
  <si>
    <t xml:space="preserve">Ракетные транспортные системы           </t>
  </si>
  <si>
    <t>160401.65</t>
  </si>
  <si>
    <t>160402.65</t>
  </si>
  <si>
    <t xml:space="preserve">Приборы и системы ориентации, стабилизации и навигации       </t>
  </si>
  <si>
    <t>160403.65</t>
  </si>
  <si>
    <t>160700.65</t>
  </si>
  <si>
    <t>160801.65</t>
  </si>
  <si>
    <t xml:space="preserve">Ракетостроение             </t>
  </si>
  <si>
    <t>160803.65</t>
  </si>
  <si>
    <t xml:space="preserve">Стартовые и технические комплексы ракет и космических аппаратов      </t>
  </si>
  <si>
    <t>161001.65</t>
  </si>
  <si>
    <t>161100.65</t>
  </si>
  <si>
    <t xml:space="preserve">Системы управления движением и навигацией         </t>
  </si>
  <si>
    <t>161101.65</t>
  </si>
  <si>
    <t xml:space="preserve">Измерительно-вычислительные комплексы систем управления воздушно-космических ЛА        </t>
  </si>
  <si>
    <t>161400.65</t>
  </si>
  <si>
    <t xml:space="preserve">Приборы и измерительно-вычислительные комплексы летательных аппаратов        </t>
  </si>
  <si>
    <t>200106.65</t>
  </si>
  <si>
    <t xml:space="preserve">Информационно-измерительная техника и технологии          </t>
  </si>
  <si>
    <t>200401.65</t>
  </si>
  <si>
    <t>210201.65</t>
  </si>
  <si>
    <t xml:space="preserve">Проектирование и технология радиоэлектронных средств         </t>
  </si>
  <si>
    <t>210302.65</t>
  </si>
  <si>
    <t>210304.65</t>
  </si>
  <si>
    <t xml:space="preserve">Радиоэлектронные системы            </t>
  </si>
  <si>
    <t>210402.65</t>
  </si>
  <si>
    <t xml:space="preserve">Средства связи с подвижными объектами         </t>
  </si>
  <si>
    <t>210601.65</t>
  </si>
  <si>
    <t>210602.65</t>
  </si>
  <si>
    <t>220201.65</t>
  </si>
  <si>
    <t xml:space="preserve">Управление и информатика в технических системах        </t>
  </si>
  <si>
    <t>220301.65</t>
  </si>
  <si>
    <t>220601.65</t>
  </si>
  <si>
    <t xml:space="preserve">Управление инновациями            </t>
  </si>
  <si>
    <t>221400.65</t>
  </si>
  <si>
    <t>221701.65</t>
  </si>
  <si>
    <t>230101.65</t>
  </si>
  <si>
    <t xml:space="preserve">Вычислительные машины, комплексы, системы и сети        </t>
  </si>
  <si>
    <t>230102.65</t>
  </si>
  <si>
    <t xml:space="preserve">Автоматизированные системы обработки информации и управления        </t>
  </si>
  <si>
    <t>240300.65</t>
  </si>
  <si>
    <t>090105</t>
  </si>
  <si>
    <t xml:space="preserve">Комплексное обеспечение информационной безопасности автоматизированных систем        </t>
  </si>
  <si>
    <t>120401</t>
  </si>
  <si>
    <t>140100</t>
  </si>
  <si>
    <t>140104</t>
  </si>
  <si>
    <t>140200</t>
  </si>
  <si>
    <t xml:space="preserve">Электроэнергетика             </t>
  </si>
  <si>
    <t>140306</t>
  </si>
  <si>
    <t>140307</t>
  </si>
  <si>
    <t xml:space="preserve">Радиационная безопасность человека и окружающей среды        </t>
  </si>
  <si>
    <t>140400</t>
  </si>
  <si>
    <t>140401</t>
  </si>
  <si>
    <t xml:space="preserve">Техника и физика низких температур         </t>
  </si>
  <si>
    <t>140402</t>
  </si>
  <si>
    <t xml:space="preserve">Теплофизика             </t>
  </si>
  <si>
    <t>140504</t>
  </si>
  <si>
    <t xml:space="preserve">Холодильная, криогенная техника и кондиционирование         </t>
  </si>
  <si>
    <t>140600</t>
  </si>
  <si>
    <t xml:space="preserve">Электротехника, электромеханика, и электротехнологии          </t>
  </si>
  <si>
    <t>140601</t>
  </si>
  <si>
    <t>140604</t>
  </si>
  <si>
    <t xml:space="preserve">Электропривод и автоматика промышленных установок и технологических комплексов      </t>
  </si>
  <si>
    <t>140607</t>
  </si>
  <si>
    <t>140609</t>
  </si>
  <si>
    <t xml:space="preserve">Электрооборудование летательных аппаратов           </t>
  </si>
  <si>
    <t>140610</t>
  </si>
  <si>
    <t>140611</t>
  </si>
  <si>
    <t>140700</t>
  </si>
  <si>
    <t>140801</t>
  </si>
  <si>
    <t>141100</t>
  </si>
  <si>
    <t>150100</t>
  </si>
  <si>
    <t xml:space="preserve">Материаловедение и технология материалов          </t>
  </si>
  <si>
    <t>150101</t>
  </si>
  <si>
    <t xml:space="preserve">Металлургия черных металлов           </t>
  </si>
  <si>
    <t>150104</t>
  </si>
  <si>
    <t xml:space="preserve">Литейное производство черных и цветных металлов        </t>
  </si>
  <si>
    <t>150105</t>
  </si>
  <si>
    <t xml:space="preserve">Металловедение и термическая обработка металлов и сплавов       </t>
  </si>
  <si>
    <t>150106</t>
  </si>
  <si>
    <t>150200</t>
  </si>
  <si>
    <t xml:space="preserve">Машиностроительные технологии и оборудование          </t>
  </si>
  <si>
    <t>150201</t>
  </si>
  <si>
    <t xml:space="preserve">Машины и технология обработки металлов двигателей        </t>
  </si>
  <si>
    <t>150202</t>
  </si>
  <si>
    <t>150204</t>
  </si>
  <si>
    <t xml:space="preserve">Машины и технология литейного производства         </t>
  </si>
  <si>
    <t>150206</t>
  </si>
  <si>
    <t>150300</t>
  </si>
  <si>
    <t>150301</t>
  </si>
  <si>
    <t>150400</t>
  </si>
  <si>
    <t>150502</t>
  </si>
  <si>
    <t>150600</t>
  </si>
  <si>
    <t xml:space="preserve">Материаловедение и технология новых материалов         </t>
  </si>
  <si>
    <t>150601</t>
  </si>
  <si>
    <t>150700</t>
  </si>
  <si>
    <t>150701</t>
  </si>
  <si>
    <t xml:space="preserve">Физико-химия процессов и материалов          </t>
  </si>
  <si>
    <t>150702</t>
  </si>
  <si>
    <t xml:space="preserve">Физика металлов            </t>
  </si>
  <si>
    <t>150802</t>
  </si>
  <si>
    <t xml:space="preserve">Гидравлические машины, гидроприводы и гидропневмоавтоматика         </t>
  </si>
  <si>
    <t>151000</t>
  </si>
  <si>
    <t>151001</t>
  </si>
  <si>
    <t>151002</t>
  </si>
  <si>
    <t>151003</t>
  </si>
  <si>
    <t xml:space="preserve">Инструментальные системы машиностроительных производств          </t>
  </si>
  <si>
    <t>151600</t>
  </si>
  <si>
    <t>151701</t>
  </si>
  <si>
    <t>151900</t>
  </si>
  <si>
    <t>154000</t>
  </si>
  <si>
    <t xml:space="preserve">Материаловедение и технология термообработки стали и сплавов       </t>
  </si>
  <si>
    <t>160100</t>
  </si>
  <si>
    <t xml:space="preserve">Авиа- и ракетостроение           </t>
  </si>
  <si>
    <t>160102</t>
  </si>
  <si>
    <t xml:space="preserve">Проектирование и конструкция летательных аппаратов         </t>
  </si>
  <si>
    <t>160119</t>
  </si>
  <si>
    <t xml:space="preserve">Информационные технологии в авиа- и ракетостроении        </t>
  </si>
  <si>
    <t>160201</t>
  </si>
  <si>
    <t>160300</t>
  </si>
  <si>
    <t>160302</t>
  </si>
  <si>
    <t>160303</t>
  </si>
  <si>
    <t xml:space="preserve">Электроракетные двигатели и энергетические установки         </t>
  </si>
  <si>
    <t>160304</t>
  </si>
  <si>
    <t>160400</t>
  </si>
  <si>
    <t>160401</t>
  </si>
  <si>
    <t>160402</t>
  </si>
  <si>
    <t>160403</t>
  </si>
  <si>
    <t>160601</t>
  </si>
  <si>
    <t xml:space="preserve">Прицельно-навигационные системы летательных аппаратов          </t>
  </si>
  <si>
    <t>160602</t>
  </si>
  <si>
    <t xml:space="preserve">Автоматизированные системы управления боевыми авиационными комплексами        </t>
  </si>
  <si>
    <t>160603</t>
  </si>
  <si>
    <t xml:space="preserve">Системы приводов летательных аппаратов          </t>
  </si>
  <si>
    <t>160604</t>
  </si>
  <si>
    <t xml:space="preserve">Робототехнические системы авиационного вооружения          </t>
  </si>
  <si>
    <t>160700</t>
  </si>
  <si>
    <t>160702</t>
  </si>
  <si>
    <t xml:space="preserve">Гидроаэродинамика             </t>
  </si>
  <si>
    <t>160703</t>
  </si>
  <si>
    <t xml:space="preserve">Динамика полета и управление движением летательных аппаратов       </t>
  </si>
  <si>
    <t>160801</t>
  </si>
  <si>
    <t>160802</t>
  </si>
  <si>
    <t xml:space="preserve">Космические летательные аппараты и разгонные блоки        </t>
  </si>
  <si>
    <t>160803</t>
  </si>
  <si>
    <t>160804</t>
  </si>
  <si>
    <t xml:space="preserve">Системы жизнеобеспечения и защиты ракетно-космических аппаратов        </t>
  </si>
  <si>
    <t>160900</t>
  </si>
  <si>
    <t xml:space="preserve">Эксплуатация и испытания авиационной и космической техники       </t>
  </si>
  <si>
    <t>160906</t>
  </si>
  <si>
    <t>161001</t>
  </si>
  <si>
    <t>161100</t>
  </si>
  <si>
    <t xml:space="preserve">Приборы и системы ориентации и навигации        </t>
  </si>
  <si>
    <t>161101</t>
  </si>
  <si>
    <t>161400</t>
  </si>
  <si>
    <t>161700</t>
  </si>
  <si>
    <t>162110</t>
  </si>
  <si>
    <t>170101</t>
  </si>
  <si>
    <t xml:space="preserve">Испытание и эксплуатация техники          </t>
  </si>
  <si>
    <t>170102</t>
  </si>
  <si>
    <t>190109</t>
  </si>
  <si>
    <t>190110</t>
  </si>
  <si>
    <t>190205</t>
  </si>
  <si>
    <t xml:space="preserve">Подъемно-транспортные, строительные, дорожные машины и оборудование        </t>
  </si>
  <si>
    <t>190301</t>
  </si>
  <si>
    <t>200100</t>
  </si>
  <si>
    <t>200102</t>
  </si>
  <si>
    <t xml:space="preserve">Приборы и методы контроля качества и диагностики       </t>
  </si>
  <si>
    <t>200103</t>
  </si>
  <si>
    <t xml:space="preserve">Авиационные приборы и измерительно-вычислительные комплексы         </t>
  </si>
  <si>
    <t>200104</t>
  </si>
  <si>
    <t xml:space="preserve">Авиационные приборы и комплексы          </t>
  </si>
  <si>
    <t>200106</t>
  </si>
  <si>
    <t>200200</t>
  </si>
  <si>
    <t>200201</t>
  </si>
  <si>
    <t>200202</t>
  </si>
  <si>
    <t xml:space="preserve">Лазерные системы в ракетной технике и космонавтике       </t>
  </si>
  <si>
    <t>200203</t>
  </si>
  <si>
    <t xml:space="preserve">Оптико-электронные приборы и системы          </t>
  </si>
  <si>
    <t>200204</t>
  </si>
  <si>
    <t xml:space="preserve">Оптические технологии и материалы          </t>
  </si>
  <si>
    <t>200400</t>
  </si>
  <si>
    <t>200401</t>
  </si>
  <si>
    <t>200501</t>
  </si>
  <si>
    <t xml:space="preserve">Метрология и метрологическое обеспечение          </t>
  </si>
  <si>
    <t>200503</t>
  </si>
  <si>
    <t xml:space="preserve">Стандартизация и сертификация           </t>
  </si>
  <si>
    <t>201000</t>
  </si>
  <si>
    <t>201304</t>
  </si>
  <si>
    <t>210100</t>
  </si>
  <si>
    <t>210101</t>
  </si>
  <si>
    <t xml:space="preserve">Физическая электроника            </t>
  </si>
  <si>
    <t>210104</t>
  </si>
  <si>
    <t xml:space="preserve">Микроэлектроника и твердотельная электроника          </t>
  </si>
  <si>
    <t>210105</t>
  </si>
  <si>
    <t xml:space="preserve">Электронные приборы и устройства          </t>
  </si>
  <si>
    <t>210106</t>
  </si>
  <si>
    <t xml:space="preserve">Промышленная электроника            </t>
  </si>
  <si>
    <t>210200</t>
  </si>
  <si>
    <t xml:space="preserve">Проектирование и технология электронных средств         </t>
  </si>
  <si>
    <t>210201</t>
  </si>
  <si>
    <t>210202</t>
  </si>
  <si>
    <t xml:space="preserve">Проектирование и технология электронно-вычислительных средств         </t>
  </si>
  <si>
    <t>210300</t>
  </si>
  <si>
    <t>210301</t>
  </si>
  <si>
    <t xml:space="preserve">Радиофизика и электроника           </t>
  </si>
  <si>
    <t>210302</t>
  </si>
  <si>
    <t>210304</t>
  </si>
  <si>
    <t>210305</t>
  </si>
  <si>
    <t xml:space="preserve">Средства радиоэлектронной борьбы           </t>
  </si>
  <si>
    <t>210400</t>
  </si>
  <si>
    <t xml:space="preserve">Телекоммуникации             </t>
  </si>
  <si>
    <t>210402</t>
  </si>
  <si>
    <t>210403</t>
  </si>
  <si>
    <t xml:space="preserve">Нанотехнологии в электронике           </t>
  </si>
  <si>
    <t>210601</t>
  </si>
  <si>
    <t>210602</t>
  </si>
  <si>
    <t>210700</t>
  </si>
  <si>
    <t>211000</t>
  </si>
  <si>
    <t>220100</t>
  </si>
  <si>
    <t>220200</t>
  </si>
  <si>
    <t xml:space="preserve">Автоматизация и управление           </t>
  </si>
  <si>
    <t>220201</t>
  </si>
  <si>
    <t>220203</t>
  </si>
  <si>
    <t xml:space="preserve">Автономные информационные и управляющие системы         </t>
  </si>
  <si>
    <t>220301</t>
  </si>
  <si>
    <t>220400</t>
  </si>
  <si>
    <t>220401</t>
  </si>
  <si>
    <t xml:space="preserve">Мехатроника             </t>
  </si>
  <si>
    <t>220402</t>
  </si>
  <si>
    <t xml:space="preserve">Роботы и робототехнические системы          </t>
  </si>
  <si>
    <t>220501</t>
  </si>
  <si>
    <t>220700</t>
  </si>
  <si>
    <t>221000</t>
  </si>
  <si>
    <t>221700</t>
  </si>
  <si>
    <t xml:space="preserve">Сертификационные испытания авиационной и космической техники        </t>
  </si>
  <si>
    <t>230100</t>
  </si>
  <si>
    <t>230101</t>
  </si>
  <si>
    <t>230102</t>
  </si>
  <si>
    <t>230104</t>
  </si>
  <si>
    <t xml:space="preserve">Системы автоматизированного проектирования           </t>
  </si>
  <si>
    <t>230105</t>
  </si>
  <si>
    <t xml:space="preserve">Программное обеспечение вычислительной техники и автоматизированных систем       </t>
  </si>
  <si>
    <t>230200</t>
  </si>
  <si>
    <t>230201</t>
  </si>
  <si>
    <t>230400</t>
  </si>
  <si>
    <t>230401</t>
  </si>
  <si>
    <t>231000</t>
  </si>
  <si>
    <t>240100</t>
  </si>
  <si>
    <t>240302</t>
  </si>
  <si>
    <t xml:space="preserve">Технология электрохимических производств           </t>
  </si>
  <si>
    <t>240801</t>
  </si>
  <si>
    <t xml:space="preserve">Машины и аппараты химических производств         </t>
  </si>
  <si>
    <t>270109</t>
  </si>
  <si>
    <t xml:space="preserve">Теплогазоснабжение и вентиляция           </t>
  </si>
  <si>
    <t>270112</t>
  </si>
  <si>
    <t xml:space="preserve">Водоснабжение и водоотведение           </t>
  </si>
  <si>
    <t>010400</t>
  </si>
  <si>
    <t>010501</t>
  </si>
  <si>
    <t>010502</t>
  </si>
  <si>
    <t>010701</t>
  </si>
  <si>
    <t>022200</t>
  </si>
  <si>
    <t xml:space="preserve">Экология и природополь-зование (бакалавр)          </t>
  </si>
  <si>
    <t>051403</t>
  </si>
  <si>
    <t>061100</t>
  </si>
  <si>
    <t xml:space="preserve">Менеджмент организации            </t>
  </si>
  <si>
    <t>080502</t>
  </si>
  <si>
    <t xml:space="preserve">Экономика и управление на предприятии (по отраслям)       </t>
  </si>
  <si>
    <t>080507</t>
  </si>
  <si>
    <t>090000</t>
  </si>
  <si>
    <t>090102</t>
  </si>
  <si>
    <t>090103</t>
  </si>
  <si>
    <t xml:space="preserve">Организация и технология защиты информации         </t>
  </si>
  <si>
    <t>090106</t>
  </si>
  <si>
    <t>090107</t>
  </si>
  <si>
    <t>090301</t>
  </si>
  <si>
    <t>090302</t>
  </si>
  <si>
    <t>090303</t>
  </si>
  <si>
    <t>090304</t>
  </si>
  <si>
    <t>090900</t>
  </si>
  <si>
    <t>160903</t>
  </si>
  <si>
    <t>190202</t>
  </si>
  <si>
    <t xml:space="preserve">Многоцелевые гусеничные и колесные машины         </t>
  </si>
  <si>
    <t>210404</t>
  </si>
  <si>
    <t xml:space="preserve">Многоканальные телекоммуникационные системы           </t>
  </si>
  <si>
    <t>220701</t>
  </si>
  <si>
    <t xml:space="preserve">Менеджмент высоких технологий           </t>
  </si>
  <si>
    <t>221400</t>
  </si>
  <si>
    <t>230301</t>
  </si>
  <si>
    <t xml:space="preserve">Моделирование и исследования в организационно-технических системах        </t>
  </si>
  <si>
    <t>280200</t>
  </si>
  <si>
    <t xml:space="preserve">Защита окружающей среды           </t>
  </si>
  <si>
    <t>280202</t>
  </si>
  <si>
    <t xml:space="preserve">Инженерная защита окружающей среды          </t>
  </si>
  <si>
    <t>ИУ3</t>
  </si>
  <si>
    <t xml:space="preserve">Информационные системы и телекоммуникации          </t>
  </si>
  <si>
    <t>ИУ4</t>
  </si>
  <si>
    <t xml:space="preserve">Проектирование и технология производства электронной аппаратуры        </t>
  </si>
  <si>
    <t>ИУ5</t>
  </si>
  <si>
    <t xml:space="preserve">Системы обработки информации           </t>
  </si>
  <si>
    <t>ИУ6</t>
  </si>
  <si>
    <t xml:space="preserve">Компьютерные системы и сети          </t>
  </si>
  <si>
    <t>ИУ7</t>
  </si>
  <si>
    <t xml:space="preserve">Программное обеспечение ЭВМ и информационные технологии        </t>
  </si>
  <si>
    <t xml:space="preserve">Математика и механика           </t>
  </si>
  <si>
    <t xml:space="preserve">Компьютерные и информационные науки          </t>
  </si>
  <si>
    <t xml:space="preserve">Физика и астрономия           </t>
  </si>
  <si>
    <t xml:space="preserve">Химические науки            </t>
  </si>
  <si>
    <t xml:space="preserve">Науки о земле           </t>
  </si>
  <si>
    <t xml:space="preserve">Биологические науки            </t>
  </si>
  <si>
    <t xml:space="preserve">Техника и технологии строительства          </t>
  </si>
  <si>
    <t xml:space="preserve">Электроника, радиотехника и системы связи         </t>
  </si>
  <si>
    <t xml:space="preserve">Фотоника, приборостроение, оптические и биотехнические системы и технологии      </t>
  </si>
  <si>
    <t xml:space="preserve">Электро- и теплотехника           </t>
  </si>
  <si>
    <t xml:space="preserve">Ядерная, тепловая и возобновляемая энергетика и сопутствующие технологии      </t>
  </si>
  <si>
    <t xml:space="preserve">Физико-технические науки и технологии          </t>
  </si>
  <si>
    <t>17.06.01</t>
  </si>
  <si>
    <t xml:space="preserve">Оружие и системы вооружения          </t>
  </si>
  <si>
    <t xml:space="preserve">Химические технологии            </t>
  </si>
  <si>
    <t xml:space="preserve">Промышленная экология и биотехнологии          </t>
  </si>
  <si>
    <t>20.06.14</t>
  </si>
  <si>
    <t xml:space="preserve">Вооружение и военная техника, комплексы и системы военного назначения     </t>
  </si>
  <si>
    <t xml:space="preserve">Геология, разведка и разработка полезных ископаемых        </t>
  </si>
  <si>
    <t xml:space="preserve">Геодезия             </t>
  </si>
  <si>
    <t xml:space="preserve">Технологии материалов            </t>
  </si>
  <si>
    <t xml:space="preserve">Техника и технологии наземного транспорта         </t>
  </si>
  <si>
    <t xml:space="preserve">Авиационная и ракетно-космическая техника          </t>
  </si>
  <si>
    <t xml:space="preserve">Аэронавигация и эксплуатация авиационной и ракетно-космической техники       </t>
  </si>
  <si>
    <t xml:space="preserve">Техника и технологии кораблестроения и водного транспорта       </t>
  </si>
  <si>
    <t xml:space="preserve">Нанотехнологии и наноматериалы           </t>
  </si>
  <si>
    <t xml:space="preserve">Технологии легкой промышленности           </t>
  </si>
  <si>
    <t xml:space="preserve">Фундаментальная медицина            </t>
  </si>
  <si>
    <t xml:space="preserve">Клиническая медицина            </t>
  </si>
  <si>
    <t xml:space="preserve">Сельское хозяйство            </t>
  </si>
  <si>
    <t xml:space="preserve">Лесное хозяйство            </t>
  </si>
  <si>
    <t xml:space="preserve">Рыбное хозяйство            </t>
  </si>
  <si>
    <t xml:space="preserve">Технологии, средства механизации и энергетическое оборудование в сельском, лесном и рыбном хозяйстве  </t>
  </si>
  <si>
    <t xml:space="preserve">Ветеринария и зоотехния           </t>
  </si>
  <si>
    <t xml:space="preserve">Психологические науки            </t>
  </si>
  <si>
    <t xml:space="preserve">Социологические науки            </t>
  </si>
  <si>
    <t xml:space="preserve">Политические науки и регионоведение          </t>
  </si>
  <si>
    <t xml:space="preserve">Средства массовой информации и информационно-библиотечное дело        </t>
  </si>
  <si>
    <t xml:space="preserve">Образование и педагогические науки          </t>
  </si>
  <si>
    <t xml:space="preserve">Языкознание и литературоведение           </t>
  </si>
  <si>
    <t xml:space="preserve">Исторические науки и археология          </t>
  </si>
  <si>
    <t xml:space="preserve">Философия, этика и религиоведение          </t>
  </si>
  <si>
    <t xml:space="preserve">Физическая культура и спорт          </t>
  </si>
  <si>
    <t xml:space="preserve">Искусствоведение             </t>
  </si>
  <si>
    <t>56.06.01</t>
  </si>
  <si>
    <t xml:space="preserve">Военные науки            </t>
  </si>
  <si>
    <t>01.01.01</t>
  </si>
  <si>
    <t xml:space="preserve">Вещественный комплексный и функциональный анализ         </t>
  </si>
  <si>
    <t>01.02.04</t>
  </si>
  <si>
    <t xml:space="preserve">Механика деформируемого твёрдого тела          </t>
  </si>
  <si>
    <t>01.02.05</t>
  </si>
  <si>
    <t>01.02.06</t>
  </si>
  <si>
    <t xml:space="preserve">Динамика, прочность машин, приборов и аппаратуры        </t>
  </si>
  <si>
    <t>01.02.07</t>
  </si>
  <si>
    <t>01.02.08</t>
  </si>
  <si>
    <t>01.04.05</t>
  </si>
  <si>
    <t xml:space="preserve">Оптика             </t>
  </si>
  <si>
    <t>01.04.10</t>
  </si>
  <si>
    <t xml:space="preserve">Физика полупроводников            </t>
  </si>
  <si>
    <t>01.04.14</t>
  </si>
  <si>
    <t xml:space="preserve">Теплофизика и теоретическая теплотехника          </t>
  </si>
  <si>
    <t>05.01.01</t>
  </si>
  <si>
    <t xml:space="preserve">Инженерная геометрия и компьютерная графика(в машиностроении)        </t>
  </si>
  <si>
    <t xml:space="preserve">Стандартизация и управление качеством продукции         </t>
  </si>
  <si>
    <t>05.02.07</t>
  </si>
  <si>
    <t xml:space="preserve">Технология и оборудование механической и физико-технической обработки       </t>
  </si>
  <si>
    <t>05.02.08</t>
  </si>
  <si>
    <t xml:space="preserve">Технология машино-строения            </t>
  </si>
  <si>
    <t>05.02.10</t>
  </si>
  <si>
    <t xml:space="preserve">Сварка, родственные процессы и технологии         </t>
  </si>
  <si>
    <t>05.02.11</t>
  </si>
  <si>
    <t xml:space="preserve">Методы контроля и диагностики в машиностроении        </t>
  </si>
  <si>
    <t>05.02.22</t>
  </si>
  <si>
    <t xml:space="preserve">Организация производства            </t>
  </si>
  <si>
    <t xml:space="preserve">Технология и машины сварочного производства         </t>
  </si>
  <si>
    <t>05.04.13</t>
  </si>
  <si>
    <t xml:space="preserve">Гидравлические машины, гидропневмоагрегаты           </t>
  </si>
  <si>
    <t>05.07.01</t>
  </si>
  <si>
    <t xml:space="preserve">Аэродинамика и процессы теплообмена летательных аппаратов        </t>
  </si>
  <si>
    <t>05.07.02</t>
  </si>
  <si>
    <t xml:space="preserve">Проектирование, конструкция и производство летательных аппаратов        </t>
  </si>
  <si>
    <t>05.07.03</t>
  </si>
  <si>
    <t xml:space="preserve">Прочность и тепловые режимы летательных аппаратов        </t>
  </si>
  <si>
    <t>05.07.05</t>
  </si>
  <si>
    <t xml:space="preserve">Тепловые, электроракетные двигатели и энергоустановки летательных аппаратов       </t>
  </si>
  <si>
    <t>05.07.06</t>
  </si>
  <si>
    <t xml:space="preserve">Наземные комплексы, стартовое оборудование, эксплуатация летательных аппаратов       </t>
  </si>
  <si>
    <t>05.07.07</t>
  </si>
  <si>
    <t xml:space="preserve">Контроль и испытание летательных аппаратов и систем       </t>
  </si>
  <si>
    <t>05.07.09</t>
  </si>
  <si>
    <t xml:space="preserve">Динамика, баллистика, дистанционное управление движением летательных аппаратов       </t>
  </si>
  <si>
    <t>05.09.01</t>
  </si>
  <si>
    <t xml:space="preserve">Электромеханика и электрические аппараты          </t>
  </si>
  <si>
    <t>05.09.03</t>
  </si>
  <si>
    <t xml:space="preserve">Электротехнические комплексы и системы          </t>
  </si>
  <si>
    <t>05.11.01</t>
  </si>
  <si>
    <t xml:space="preserve">Приборы и методы измерения (по видам измерений)       </t>
  </si>
  <si>
    <t>05.11.03</t>
  </si>
  <si>
    <t xml:space="preserve">Приборы навигации            </t>
  </si>
  <si>
    <t>05.11.07</t>
  </si>
  <si>
    <t xml:space="preserve">Оптические и оптико-электронные приборы и комплексы        </t>
  </si>
  <si>
    <t>05.11.14</t>
  </si>
  <si>
    <t xml:space="preserve">Технология приборостроения            </t>
  </si>
  <si>
    <t>05.11.16</t>
  </si>
  <si>
    <t xml:space="preserve">Информационно-измерительные и управляющие системы          </t>
  </si>
  <si>
    <t>05.12.04</t>
  </si>
  <si>
    <t xml:space="preserve">Радиотехника, в том числе системы и устройства телевидения      </t>
  </si>
  <si>
    <t>05.12.07</t>
  </si>
  <si>
    <t xml:space="preserve">Антенны, СВЧ-устройства и их технологии         </t>
  </si>
  <si>
    <t>05.12.13</t>
  </si>
  <si>
    <t xml:space="preserve">Системы, сети и устройства телекоммуни-каций         </t>
  </si>
  <si>
    <t>05.12.14</t>
  </si>
  <si>
    <t xml:space="preserve">Радиолокация и радионавигация           </t>
  </si>
  <si>
    <t>05.13.01</t>
  </si>
  <si>
    <t xml:space="preserve">Системный анализ, управление и обработка информации (машиностроение)       </t>
  </si>
  <si>
    <t>05.13.05</t>
  </si>
  <si>
    <t xml:space="preserve">Элементы и устройства вычислительной техники и систем управления      </t>
  </si>
  <si>
    <t>05.13.06</t>
  </si>
  <si>
    <t xml:space="preserve">Автоматизация и управление технологичес-кими процессами и производствами       </t>
  </si>
  <si>
    <t>05.13.10</t>
  </si>
  <si>
    <t xml:space="preserve">Управление в социальных и экономических системах        </t>
  </si>
  <si>
    <t>05.13.11</t>
  </si>
  <si>
    <t xml:space="preserve">Математическое и программное обеспечение вычислительных машин, комплексов и компьютерных сетей    </t>
  </si>
  <si>
    <t>05.13.12</t>
  </si>
  <si>
    <t>05.13.13</t>
  </si>
  <si>
    <t xml:space="preserve">Телекоммуникационные системы и компьютерные сети         </t>
  </si>
  <si>
    <t>05.13.18</t>
  </si>
  <si>
    <t xml:space="preserve">Математическое моделирование, численные методы и комплексы программ       </t>
  </si>
  <si>
    <t>05.16.01</t>
  </si>
  <si>
    <t>05.16.02</t>
  </si>
  <si>
    <t xml:space="preserve">Металлургия черных, цветных металлов          </t>
  </si>
  <si>
    <t>05.16.05</t>
  </si>
  <si>
    <t>05.16.09</t>
  </si>
  <si>
    <t xml:space="preserve">Материаловедение (машиностроение)            </t>
  </si>
  <si>
    <t>05.16.10</t>
  </si>
  <si>
    <t>08.00.05</t>
  </si>
  <si>
    <t xml:space="preserve">Экономика и управление народным хозяйством(экономика, организация и управление предприятием, отраслями, комплексами промышленности)  </t>
  </si>
  <si>
    <t>12.00.03</t>
  </si>
  <si>
    <t xml:space="preserve">Гражданское право, предпринимательское право, семейное право, международное частное право     </t>
  </si>
  <si>
    <t>18.00.02</t>
  </si>
  <si>
    <t xml:space="preserve">Архитектура зданий и сооружений. Творческие концепции архитектурной деятельности      </t>
  </si>
  <si>
    <t>22.00.04</t>
  </si>
  <si>
    <t xml:space="preserve">Социальная структура, социальные институты и процессы        </t>
  </si>
  <si>
    <t xml:space="preserve">Гидрометнаблюдатель             </t>
  </si>
  <si>
    <t>08.01.01</t>
  </si>
  <si>
    <t xml:space="preserve">Изготовитель арматурных сеток и каркасов         </t>
  </si>
  <si>
    <t>08.01.02</t>
  </si>
  <si>
    <t xml:space="preserve">Монтажник трубопроводов            </t>
  </si>
  <si>
    <t>08.01.03</t>
  </si>
  <si>
    <t xml:space="preserve">Трубоклад             </t>
  </si>
  <si>
    <t>08.01.04</t>
  </si>
  <si>
    <t xml:space="preserve">Кровельщик             </t>
  </si>
  <si>
    <t>08.01.05</t>
  </si>
  <si>
    <t xml:space="preserve">Мастер столярно-плотничных и паркетных работ         </t>
  </si>
  <si>
    <t>08.01.06</t>
  </si>
  <si>
    <t xml:space="preserve">Мастер сухого строительства           </t>
  </si>
  <si>
    <t>08.01.07</t>
  </si>
  <si>
    <t xml:space="preserve">Мастер общестроительных работ           </t>
  </si>
  <si>
    <t>08.01.08</t>
  </si>
  <si>
    <t xml:space="preserve">Мастер отделочных строительных работ          </t>
  </si>
  <si>
    <t>08.01.09</t>
  </si>
  <si>
    <t xml:space="preserve">Слесарь по строительно-монтажным работам          </t>
  </si>
  <si>
    <t>08.01.10</t>
  </si>
  <si>
    <t xml:space="preserve">Мастер жилищно-коммунального хозяйства           </t>
  </si>
  <si>
    <t>08.01.11</t>
  </si>
  <si>
    <t xml:space="preserve">Машинист машин и оборудования в производстве цемента       </t>
  </si>
  <si>
    <t>08.01.12</t>
  </si>
  <si>
    <t xml:space="preserve">Оператор технологического оборудования в производстве стеновых и вяжущих материалов     </t>
  </si>
  <si>
    <t>08.01.13</t>
  </si>
  <si>
    <t xml:space="preserve">Изготовитель железобетонных изделий           </t>
  </si>
  <si>
    <t>08.01.14</t>
  </si>
  <si>
    <t xml:space="preserve">Монтажник санитарно-технических, вентиляционных систем и оборудования        </t>
  </si>
  <si>
    <t>08.01.15</t>
  </si>
  <si>
    <t xml:space="preserve">Слесарь по изготовлению деталей и узлов технических систем в строительстве    </t>
  </si>
  <si>
    <t>08.01.16</t>
  </si>
  <si>
    <t xml:space="preserve">Электромонтажник по сигнализации, централизации и блокировке        </t>
  </si>
  <si>
    <t>08.01.17</t>
  </si>
  <si>
    <t xml:space="preserve">Электромонтажник-наладчик             </t>
  </si>
  <si>
    <t>08.01.18</t>
  </si>
  <si>
    <t xml:space="preserve">Электромонтажник электрических сетей и электрооборудования         </t>
  </si>
  <si>
    <t>08.01.19</t>
  </si>
  <si>
    <t xml:space="preserve">Электромонтажник по силовым сетям и электрооборудованию        </t>
  </si>
  <si>
    <t>08.01.20</t>
  </si>
  <si>
    <t xml:space="preserve">Электромонтажник по электрическим машинам          </t>
  </si>
  <si>
    <t>08.01.21</t>
  </si>
  <si>
    <t xml:space="preserve">Монтажник электрических подъемников (лифтов)          </t>
  </si>
  <si>
    <t>08.01.22</t>
  </si>
  <si>
    <t xml:space="preserve">Мастер путевых машин           </t>
  </si>
  <si>
    <t>08.01.23</t>
  </si>
  <si>
    <t xml:space="preserve">Бригадир-путеец             </t>
  </si>
  <si>
    <t>09.01.01</t>
  </si>
  <si>
    <t xml:space="preserve">Наладчик аппаратного и программного обеспечения         </t>
  </si>
  <si>
    <t>09.01.02</t>
  </si>
  <si>
    <t xml:space="preserve">Наладчик компьютерных сетей           </t>
  </si>
  <si>
    <t>09.01.03</t>
  </si>
  <si>
    <t xml:space="preserve">Мастер по обработке цифровой информации         </t>
  </si>
  <si>
    <t>11.01.01</t>
  </si>
  <si>
    <t xml:space="preserve">Монтажник радиоэлектронной аппаратуры и приборов         </t>
  </si>
  <si>
    <t>11.01.02</t>
  </si>
  <si>
    <t xml:space="preserve">Радиомеханик             </t>
  </si>
  <si>
    <t>11.01.03</t>
  </si>
  <si>
    <t xml:space="preserve">Радиооператор             </t>
  </si>
  <si>
    <t>11.01.04</t>
  </si>
  <si>
    <t xml:space="preserve">Монтажник оборудования радио- и телефонной связи        </t>
  </si>
  <si>
    <t>11.01.05</t>
  </si>
  <si>
    <t xml:space="preserve">Монтажник связи            </t>
  </si>
  <si>
    <t>11.01.06</t>
  </si>
  <si>
    <t xml:space="preserve">Электромонтер оборудования электросвязи и проводного вещания        </t>
  </si>
  <si>
    <t>11.01.07</t>
  </si>
  <si>
    <t xml:space="preserve">Электромонтер по ремонту линейно-кабельных сооружений телефонной связи и проводного вещания    </t>
  </si>
  <si>
    <t>11.01.08</t>
  </si>
  <si>
    <t xml:space="preserve">Оператор связи            </t>
  </si>
  <si>
    <t>11.01.09</t>
  </si>
  <si>
    <t xml:space="preserve">Оператор микроэлектронного производства           </t>
  </si>
  <si>
    <t>11.01.10</t>
  </si>
  <si>
    <t xml:space="preserve">Оператор оборудования элионных процессов          </t>
  </si>
  <si>
    <t>11.01.11</t>
  </si>
  <si>
    <t xml:space="preserve">Наладчик технологического оборудования (электронная техника)         </t>
  </si>
  <si>
    <t>11.01.12</t>
  </si>
  <si>
    <t xml:space="preserve">Сборщик изделий электронной техники          </t>
  </si>
  <si>
    <t>11.01.13</t>
  </si>
  <si>
    <t xml:space="preserve">Сборщик приборов вакуумной электроники          </t>
  </si>
  <si>
    <t>12.01.01</t>
  </si>
  <si>
    <t xml:space="preserve">Наладчик оборудования оптического производства          </t>
  </si>
  <si>
    <t>12.01.02</t>
  </si>
  <si>
    <t xml:space="preserve">Оптик-механик             </t>
  </si>
  <si>
    <t>12.01.03</t>
  </si>
  <si>
    <t xml:space="preserve">Сборщик очков            </t>
  </si>
  <si>
    <t>12.01.04</t>
  </si>
  <si>
    <t xml:space="preserve">Электромеханик по ремонту и обслуживанию наркознодыхательной аппаратуры       </t>
  </si>
  <si>
    <t>12.01.05</t>
  </si>
  <si>
    <t xml:space="preserve">Электромеханик по ремонту и обслуживанию медицинского оборудования       </t>
  </si>
  <si>
    <t>12.01.06</t>
  </si>
  <si>
    <t xml:space="preserve">Электромеханик по ремонту и обслуживанию медицинских оптических приборов      </t>
  </si>
  <si>
    <t>12.01.07</t>
  </si>
  <si>
    <t xml:space="preserve">Электромеханик по ремонту и обслуживанию электронной медицинской аппаратуры      </t>
  </si>
  <si>
    <t>12.01.08</t>
  </si>
  <si>
    <t xml:space="preserve">Механик протезно-ортопедических изделий           </t>
  </si>
  <si>
    <t>13.01.01</t>
  </si>
  <si>
    <t xml:space="preserve">Машинист котлов            </t>
  </si>
  <si>
    <t>13.01.02</t>
  </si>
  <si>
    <t xml:space="preserve">Машинист паровых турбин           </t>
  </si>
  <si>
    <t>13.01.03</t>
  </si>
  <si>
    <t xml:space="preserve">Электрослесарь по ремонту оборудования электростанций         </t>
  </si>
  <si>
    <t>13.01.04</t>
  </si>
  <si>
    <t xml:space="preserve">Слесарь по ремонту оборудования электростанций         </t>
  </si>
  <si>
    <t>13.01.05</t>
  </si>
  <si>
    <t xml:space="preserve">Электромонтер по техническому обслуживанию электростанций и сетей       </t>
  </si>
  <si>
    <t>13.01.06</t>
  </si>
  <si>
    <t xml:space="preserve">Электромонтер-линейщик по монтажу воздушных линий высокого напряжения и контактной сети    </t>
  </si>
  <si>
    <t>13.01.07</t>
  </si>
  <si>
    <t xml:space="preserve">Электромонтер по ремонту электросетей          </t>
  </si>
  <si>
    <t>13.01.08</t>
  </si>
  <si>
    <t xml:space="preserve">Сборщик трансформаторов            </t>
  </si>
  <si>
    <t>13.01.09</t>
  </si>
  <si>
    <t xml:space="preserve">Сборщик электрических машин и аппаратов         </t>
  </si>
  <si>
    <t>13.01.10</t>
  </si>
  <si>
    <t xml:space="preserve">Электромонтер по ремонту и обслуживанию электрооборудования (по отраслям)      </t>
  </si>
  <si>
    <t>13.01.11</t>
  </si>
  <si>
    <t xml:space="preserve">Электромеханик по испытанию и ремонту электрооборудования летательных аппаратов      </t>
  </si>
  <si>
    <t>13.01.12</t>
  </si>
  <si>
    <t xml:space="preserve">Сборщик электроизмерительных приборов           </t>
  </si>
  <si>
    <t>13.01.13</t>
  </si>
  <si>
    <t xml:space="preserve">Электромонтажник-схемщик             </t>
  </si>
  <si>
    <t>13.01.14</t>
  </si>
  <si>
    <t xml:space="preserve">Электромеханик по лифтам           </t>
  </si>
  <si>
    <t>15.01.01</t>
  </si>
  <si>
    <t xml:space="preserve">Оператор в производстве металлических изделий         </t>
  </si>
  <si>
    <t>15.01.02</t>
  </si>
  <si>
    <t xml:space="preserve">Наладчик холодноштамповочного оборудования           </t>
  </si>
  <si>
    <t>15.01.03</t>
  </si>
  <si>
    <t xml:space="preserve">Наладчик кузнечно-прессового оборудования           </t>
  </si>
  <si>
    <t>15.01.04</t>
  </si>
  <si>
    <t xml:space="preserve">Наладчик сварочного и газоплазморезательного оборудования         </t>
  </si>
  <si>
    <t>15.01.05</t>
  </si>
  <si>
    <t xml:space="preserve">Сварщик (электросварочные и газосварочные работы)         </t>
  </si>
  <si>
    <t>15.01.06</t>
  </si>
  <si>
    <t xml:space="preserve">Сварщик на лазерных установках          </t>
  </si>
  <si>
    <t>15.01.07</t>
  </si>
  <si>
    <t xml:space="preserve">Сварщик на электронно-лучевых сварочных установках         </t>
  </si>
  <si>
    <t>15.01.08</t>
  </si>
  <si>
    <t xml:space="preserve">Наладчик литейного оборудования           </t>
  </si>
  <si>
    <t>15.01.09</t>
  </si>
  <si>
    <t xml:space="preserve">Машинист лесозаготовительных и трелевочных машин         </t>
  </si>
  <si>
    <t>15.01.10</t>
  </si>
  <si>
    <t xml:space="preserve">Слесарь по ремонту лесозаготовительного оборудования         </t>
  </si>
  <si>
    <t>15.01.11</t>
  </si>
  <si>
    <t xml:space="preserve">Электромонтажник блоков электронно-механических часов          </t>
  </si>
  <si>
    <t>15.01.12</t>
  </si>
  <si>
    <t xml:space="preserve">Часовщик-ремонтник             </t>
  </si>
  <si>
    <t>15.01.13</t>
  </si>
  <si>
    <t xml:space="preserve">Монтажник технологического оборудования (по видам оборудования)        </t>
  </si>
  <si>
    <t>15.01.14</t>
  </si>
  <si>
    <t xml:space="preserve">Наладчик оборудования в бумажном производстве         </t>
  </si>
  <si>
    <t>15.01.15</t>
  </si>
  <si>
    <t xml:space="preserve">Наладчик деревообрабатывающего оборудования           </t>
  </si>
  <si>
    <t>15.01.16</t>
  </si>
  <si>
    <t xml:space="preserve">Наладчик технологического оборудования в производстве строительных материалов       </t>
  </si>
  <si>
    <t>15.01.17</t>
  </si>
  <si>
    <t xml:space="preserve">Электромеханик по торговому и холодильному оборудованию        </t>
  </si>
  <si>
    <t>15.01.18</t>
  </si>
  <si>
    <t xml:space="preserve">Машинист холодильных установок           </t>
  </si>
  <si>
    <t>15.01.19</t>
  </si>
  <si>
    <t xml:space="preserve">Наладчик контрольно-измерительных приборов и автоматики         </t>
  </si>
  <si>
    <t>15.01.20</t>
  </si>
  <si>
    <t xml:space="preserve">Слесарь по контрольно-измерительным приборам и автоматике        </t>
  </si>
  <si>
    <t>15.01.21</t>
  </si>
  <si>
    <t xml:space="preserve">Электромонтер охранно-пожарной сигнализации           </t>
  </si>
  <si>
    <t>15.01.22</t>
  </si>
  <si>
    <t xml:space="preserve">Чертежник-конструктор             </t>
  </si>
  <si>
    <t>15.01.23</t>
  </si>
  <si>
    <t xml:space="preserve">Наладчик станков и оборудования в механообработке        </t>
  </si>
  <si>
    <t>15.01.24</t>
  </si>
  <si>
    <t xml:space="preserve">Наладчик шлифовальных станков           </t>
  </si>
  <si>
    <t>15.01.25</t>
  </si>
  <si>
    <t xml:space="preserve">Станочник (металлообработка)            </t>
  </si>
  <si>
    <t>15.01.26</t>
  </si>
  <si>
    <t xml:space="preserve">Токарь-универсал             </t>
  </si>
  <si>
    <t>15.01.27</t>
  </si>
  <si>
    <t xml:space="preserve">Фрезеровщик-универсал             </t>
  </si>
  <si>
    <t>15.01.28</t>
  </si>
  <si>
    <t xml:space="preserve">Шлифовщик-универсал             </t>
  </si>
  <si>
    <t>15.01.29</t>
  </si>
  <si>
    <t xml:space="preserve">Контролер станочных и слесарных работ         </t>
  </si>
  <si>
    <t>15.01.30</t>
  </si>
  <si>
    <t xml:space="preserve">Слесарь             </t>
  </si>
  <si>
    <t>18.01.01</t>
  </si>
  <si>
    <t xml:space="preserve">Лаборант по физико-механическим испытаниям          </t>
  </si>
  <si>
    <t>18.01.02</t>
  </si>
  <si>
    <t xml:space="preserve">Лаборант-эколог             </t>
  </si>
  <si>
    <t>18.01.03</t>
  </si>
  <si>
    <t xml:space="preserve">Аппаратчик-оператор экологических установок           </t>
  </si>
  <si>
    <t>18.01.04</t>
  </si>
  <si>
    <t xml:space="preserve">Изготовитель изделий строительной керамики          </t>
  </si>
  <si>
    <t>18.01.05</t>
  </si>
  <si>
    <t xml:space="preserve">Аппаратчик-оператор производства неорганических веществ          </t>
  </si>
  <si>
    <t>18.01.06</t>
  </si>
  <si>
    <t xml:space="preserve">Оператор производства стекловолокна, стекловолокнистых материалов и изделий стеклопластиков      </t>
  </si>
  <si>
    <t>18.01.07</t>
  </si>
  <si>
    <t xml:space="preserve">Аппаратчик производства стекловолокнистых материалов и стеклопластиков        </t>
  </si>
  <si>
    <t>18.01.08</t>
  </si>
  <si>
    <t xml:space="preserve">Мастер-изготовитель деталей и изделий из стекла        </t>
  </si>
  <si>
    <t>18.01.09</t>
  </si>
  <si>
    <t xml:space="preserve">Мастер-обработчик стекла и стеклоизделий          </t>
  </si>
  <si>
    <t>18.01.10</t>
  </si>
  <si>
    <t xml:space="preserve">Отдельщик и резчик стекла          </t>
  </si>
  <si>
    <t>18.01.11</t>
  </si>
  <si>
    <t xml:space="preserve">Контролер стекольного производства           </t>
  </si>
  <si>
    <t>18.01.12</t>
  </si>
  <si>
    <t xml:space="preserve">Изготовитель фарфоровых и фаянсовых изделий         </t>
  </si>
  <si>
    <t>18.01.13</t>
  </si>
  <si>
    <t xml:space="preserve">Отделочник и комплектовщик фарфоровых и фаянсовых изделий       </t>
  </si>
  <si>
    <t>18.01.14</t>
  </si>
  <si>
    <t xml:space="preserve">Контролер-приемщик фарфоровых, фаянсовых и керамических изделий        </t>
  </si>
  <si>
    <t>18.01.15</t>
  </si>
  <si>
    <t xml:space="preserve">Изготовитель эмалированной посуды           </t>
  </si>
  <si>
    <t>18.01.16</t>
  </si>
  <si>
    <t xml:space="preserve">Аппаратчик в производстве химических волокон         </t>
  </si>
  <si>
    <t>18.01.17</t>
  </si>
  <si>
    <t xml:space="preserve">Оператор в производстве химических волокон         </t>
  </si>
  <si>
    <t>18.01.18</t>
  </si>
  <si>
    <t xml:space="preserve">Аппаратчик производства синтетических смол и пластических масс       </t>
  </si>
  <si>
    <t>18.01.19</t>
  </si>
  <si>
    <t xml:space="preserve">Машинист-оператор в производстве изделий из пластмасс        </t>
  </si>
  <si>
    <t>18.01.20</t>
  </si>
  <si>
    <t xml:space="preserve">Прессовщик изделий из пластмасс          </t>
  </si>
  <si>
    <t>18.01.21</t>
  </si>
  <si>
    <t xml:space="preserve">Машинист-аппаратчик подготовительных процессов в производстве резиновых смесей, резиновых технических изделий и шин  </t>
  </si>
  <si>
    <t>18.01.22</t>
  </si>
  <si>
    <t xml:space="preserve">Оператор в производстве шин          </t>
  </si>
  <si>
    <t>18.01.23</t>
  </si>
  <si>
    <t xml:space="preserve">Оператор процессов вулканизации           </t>
  </si>
  <si>
    <t>18.01.24</t>
  </si>
  <si>
    <t xml:space="preserve">Мастер шиномонтажной мастерской           </t>
  </si>
  <si>
    <t>18.01.25</t>
  </si>
  <si>
    <t xml:space="preserve">Оператор в производстве резиновых технических изделий и обуви      </t>
  </si>
  <si>
    <t>18.01.26</t>
  </si>
  <si>
    <t xml:space="preserve">Аппаратчик-оператор нефтехимического производства           </t>
  </si>
  <si>
    <t>18.01.27</t>
  </si>
  <si>
    <t xml:space="preserve">Машинист технологических насосов и компрессоров         </t>
  </si>
  <si>
    <t>18.01.28</t>
  </si>
  <si>
    <t xml:space="preserve">Оператор нефтепереработки            </t>
  </si>
  <si>
    <t>18.01.29</t>
  </si>
  <si>
    <t xml:space="preserve">Мастер по обслуживанию магистральных трубопроводов         </t>
  </si>
  <si>
    <t>18.01.30</t>
  </si>
  <si>
    <t xml:space="preserve">Аппаратчик-оператор коксохимического производства           </t>
  </si>
  <si>
    <t>18.01.31</t>
  </si>
  <si>
    <t xml:space="preserve">Машинист машин коксохимического производства          </t>
  </si>
  <si>
    <t>18.01.32</t>
  </si>
  <si>
    <t xml:space="preserve">Аппаратчик-оператор азотных производств и продуктов органического синтеза       </t>
  </si>
  <si>
    <t>19.01.01</t>
  </si>
  <si>
    <t xml:space="preserve">Аппаратчик-оператор в биотехнологии           </t>
  </si>
  <si>
    <t>19.01.02</t>
  </si>
  <si>
    <t xml:space="preserve">Лаборант-аналитик             </t>
  </si>
  <si>
    <t>19.01.03</t>
  </si>
  <si>
    <t xml:space="preserve">Аппаратчик элеваторного, мукомольного, крупяного и комбикормового производства       </t>
  </si>
  <si>
    <t>19.01.04</t>
  </si>
  <si>
    <t xml:space="preserve">Пекарь             </t>
  </si>
  <si>
    <t>19.01.05</t>
  </si>
  <si>
    <t xml:space="preserve">Оператор поточно-автоматической линии (макаронное производство)         </t>
  </si>
  <si>
    <t>19.01.06</t>
  </si>
  <si>
    <t xml:space="preserve">Аппаратчик производства сахара           </t>
  </si>
  <si>
    <t>19.01.07</t>
  </si>
  <si>
    <t xml:space="preserve">Кондитер сахаристых изделий           </t>
  </si>
  <si>
    <t>19.01.08</t>
  </si>
  <si>
    <t xml:space="preserve">Пивовар             </t>
  </si>
  <si>
    <t>19.01.09</t>
  </si>
  <si>
    <t xml:space="preserve">Наладчик оборудования в производстве пищевой продукции (по отраслям производства)     </t>
  </si>
  <si>
    <t>19.01.10</t>
  </si>
  <si>
    <t xml:space="preserve">Мастер производства молочной продукции          </t>
  </si>
  <si>
    <t>19.01.11</t>
  </si>
  <si>
    <t xml:space="preserve">Изготовитель мороженого            </t>
  </si>
  <si>
    <t>19.01.12</t>
  </si>
  <si>
    <t xml:space="preserve">Переработчик скота и мяса          </t>
  </si>
  <si>
    <t>19.01.13</t>
  </si>
  <si>
    <t xml:space="preserve">Обработчик птицы и кроликов          </t>
  </si>
  <si>
    <t>19.01.14</t>
  </si>
  <si>
    <t xml:space="preserve">Оператор процессов колбасного производства          </t>
  </si>
  <si>
    <t>19.01.15</t>
  </si>
  <si>
    <t xml:space="preserve">Аппаратчик получения растительного масла          </t>
  </si>
  <si>
    <t>19.01.16</t>
  </si>
  <si>
    <t xml:space="preserve">Оператор линии производства маргарина          </t>
  </si>
  <si>
    <t>19.01.17</t>
  </si>
  <si>
    <t xml:space="preserve">Повар, кондитер            </t>
  </si>
  <si>
    <t>20.01.01</t>
  </si>
  <si>
    <t xml:space="preserve">Пожарный             </t>
  </si>
  <si>
    <t>21.01.01</t>
  </si>
  <si>
    <t xml:space="preserve">Оператор нефтяных и газовых скважин         </t>
  </si>
  <si>
    <t>21.01.02</t>
  </si>
  <si>
    <t xml:space="preserve">Оператор по ремонту скважин          </t>
  </si>
  <si>
    <t>21.01.03</t>
  </si>
  <si>
    <t xml:space="preserve">Бурильщик эксплуатационных и разведочных скважин         </t>
  </si>
  <si>
    <t>21.01.04</t>
  </si>
  <si>
    <t xml:space="preserve">Машинист на буровых установках          </t>
  </si>
  <si>
    <t>21.01.05</t>
  </si>
  <si>
    <t xml:space="preserve">Оператор (моторист) по цементажу скважин         </t>
  </si>
  <si>
    <t>21.01.06</t>
  </si>
  <si>
    <t xml:space="preserve">Вышкомонтажник (широкого профиля)           </t>
  </si>
  <si>
    <t>21.01.07</t>
  </si>
  <si>
    <t xml:space="preserve">Бурильщик морского бурения скважин          </t>
  </si>
  <si>
    <t>21.01.08</t>
  </si>
  <si>
    <t xml:space="preserve">Машинист на открытых горных работах         </t>
  </si>
  <si>
    <t>21.01.09</t>
  </si>
  <si>
    <t xml:space="preserve">Машинист машин по добыче и переработке торфа       </t>
  </si>
  <si>
    <t>21.01.10</t>
  </si>
  <si>
    <t xml:space="preserve">Ремонтник горного оборудования           </t>
  </si>
  <si>
    <t>21.01.11</t>
  </si>
  <si>
    <t xml:space="preserve">Горнорабочий на подземных работах          </t>
  </si>
  <si>
    <t>21.01.12</t>
  </si>
  <si>
    <t xml:space="preserve">Машинист электровоза (на горных выработках)         </t>
  </si>
  <si>
    <t>21.01.13</t>
  </si>
  <si>
    <t xml:space="preserve">Проходчик             </t>
  </si>
  <si>
    <t>21.01.14</t>
  </si>
  <si>
    <t xml:space="preserve">Горномонтажник подземный            </t>
  </si>
  <si>
    <t>21.01.15</t>
  </si>
  <si>
    <t xml:space="preserve">Электрослесарь подземный            </t>
  </si>
  <si>
    <t>21.01.16</t>
  </si>
  <si>
    <t xml:space="preserve">Обогатитель полезных ископаемых           </t>
  </si>
  <si>
    <t>22.01.01</t>
  </si>
  <si>
    <t xml:space="preserve">Доменщик             </t>
  </si>
  <si>
    <t>22.01.02</t>
  </si>
  <si>
    <t xml:space="preserve">Сталеплавильщик (по типам производства)          </t>
  </si>
  <si>
    <t>22.01.03</t>
  </si>
  <si>
    <t xml:space="preserve">Машинист крана металлургического производства          </t>
  </si>
  <si>
    <t>22.01.04</t>
  </si>
  <si>
    <t xml:space="preserve">Контролер металлургического производства           </t>
  </si>
  <si>
    <t>22.01.05</t>
  </si>
  <si>
    <t xml:space="preserve">Аппаратчик-оператор в производстве цветных металлов         </t>
  </si>
  <si>
    <t>22.01.06</t>
  </si>
  <si>
    <t xml:space="preserve">Оператор-обработчик цветных металлов           </t>
  </si>
  <si>
    <t>22.01.07</t>
  </si>
  <si>
    <t xml:space="preserve">Модельщик             </t>
  </si>
  <si>
    <t>22.01.08</t>
  </si>
  <si>
    <t xml:space="preserve">Оператор прокатного производства           </t>
  </si>
  <si>
    <t>22.01.09</t>
  </si>
  <si>
    <t xml:space="preserve">Оператор трубного производства           </t>
  </si>
  <si>
    <t>22.01.10</t>
  </si>
  <si>
    <t xml:space="preserve">Оператор в производстве огнеупоров          </t>
  </si>
  <si>
    <t>23.01.01</t>
  </si>
  <si>
    <t xml:space="preserve">Оператор транспортного терминала           </t>
  </si>
  <si>
    <t>23.01.02</t>
  </si>
  <si>
    <t xml:space="preserve">Докер-механизатор             </t>
  </si>
  <si>
    <t>23.01.03</t>
  </si>
  <si>
    <t xml:space="preserve">Автомеханик             </t>
  </si>
  <si>
    <t>23.01.04</t>
  </si>
  <si>
    <t xml:space="preserve">Водитель городского электротранспорта           </t>
  </si>
  <si>
    <t>23.01.05</t>
  </si>
  <si>
    <t xml:space="preserve">Слесарь по ремонту городского электротранспорта         </t>
  </si>
  <si>
    <t>23.01.06</t>
  </si>
  <si>
    <t xml:space="preserve">Машинист дорожных и строительных машин         </t>
  </si>
  <si>
    <t>23.01.07</t>
  </si>
  <si>
    <t xml:space="preserve">Машинист крана (крановщик)           </t>
  </si>
  <si>
    <t>23.01.08</t>
  </si>
  <si>
    <t xml:space="preserve">Слесарь по ремонту строительных машин         </t>
  </si>
  <si>
    <t>23.01.09</t>
  </si>
  <si>
    <t xml:space="preserve">Машинист локомотива            </t>
  </si>
  <si>
    <t>23.01.10</t>
  </si>
  <si>
    <t xml:space="preserve">Слесарь по обслуживанию и ремонту подвижного состава       </t>
  </si>
  <si>
    <t>23.01.11</t>
  </si>
  <si>
    <t xml:space="preserve">Слесарь-электрик по ремонту электрооборудования подвижного состава (электровозов, электропоездов)      </t>
  </si>
  <si>
    <t>23.01.12</t>
  </si>
  <si>
    <t xml:space="preserve">Слесарь-электрик метрополитена            </t>
  </si>
  <si>
    <t>23.01.13</t>
  </si>
  <si>
    <t xml:space="preserve">Электромонтер тяговой подстанции           </t>
  </si>
  <si>
    <t>23.01.14</t>
  </si>
  <si>
    <t xml:space="preserve">Электромонтер устройств сигнализации, централизации, блокировки (СЦБ)        </t>
  </si>
  <si>
    <t>23.01.15</t>
  </si>
  <si>
    <t xml:space="preserve">Оператор поста централизации           </t>
  </si>
  <si>
    <t>23.01.16</t>
  </si>
  <si>
    <t xml:space="preserve">Составитель поездов            </t>
  </si>
  <si>
    <t>24.01.01</t>
  </si>
  <si>
    <t xml:space="preserve">Слесарь-сборщик авиационной техники           </t>
  </si>
  <si>
    <t>24.01.02</t>
  </si>
  <si>
    <t xml:space="preserve">Электромонтажник авиационной техники           </t>
  </si>
  <si>
    <t>24.01.03</t>
  </si>
  <si>
    <t xml:space="preserve">Слесарь-механик авиационных приборов           </t>
  </si>
  <si>
    <t>24.01.04</t>
  </si>
  <si>
    <t xml:space="preserve">Слесарь по ремонту авиационной техники         </t>
  </si>
  <si>
    <t>26.01.01</t>
  </si>
  <si>
    <t xml:space="preserve">Судостроитель-судоремонтник металлических судов           </t>
  </si>
  <si>
    <t>26.01.02</t>
  </si>
  <si>
    <t xml:space="preserve">Судостроитель-судоремонтник неметаллических судов           </t>
  </si>
  <si>
    <t>26.01.03</t>
  </si>
  <si>
    <t xml:space="preserve">Слесарь-монтажник судовой            </t>
  </si>
  <si>
    <t>26.01.04</t>
  </si>
  <si>
    <t xml:space="preserve">Слесарь-механик судовой            </t>
  </si>
  <si>
    <t>26.01.05</t>
  </si>
  <si>
    <t xml:space="preserve">Электрорадиомонтажник судовой            </t>
  </si>
  <si>
    <t>26.01.06</t>
  </si>
  <si>
    <t xml:space="preserve">Судоводитель-помощник механика маломерного судна          </t>
  </si>
  <si>
    <t>26.01.07</t>
  </si>
  <si>
    <t xml:space="preserve">Матрос             </t>
  </si>
  <si>
    <t>26.01.08</t>
  </si>
  <si>
    <t xml:space="preserve">Моторист (машинист)            </t>
  </si>
  <si>
    <t>26.01.09</t>
  </si>
  <si>
    <t xml:space="preserve">Моторист судовой            </t>
  </si>
  <si>
    <t>26.01.10</t>
  </si>
  <si>
    <t xml:space="preserve">Механик маломерного судна           </t>
  </si>
  <si>
    <t>26.01.11</t>
  </si>
  <si>
    <t xml:space="preserve">Машинист-котельный судовой            </t>
  </si>
  <si>
    <t>26.01.12</t>
  </si>
  <si>
    <t xml:space="preserve">Электрик судовой            </t>
  </si>
  <si>
    <t>26.01.13</t>
  </si>
  <si>
    <t xml:space="preserve">Водолаз             </t>
  </si>
  <si>
    <t>29.01.01</t>
  </si>
  <si>
    <t xml:space="preserve">Скорняк             </t>
  </si>
  <si>
    <t>29.01.02</t>
  </si>
  <si>
    <t xml:space="preserve">Обувщик (широкого профиля)           </t>
  </si>
  <si>
    <t>29.01.03</t>
  </si>
  <si>
    <t xml:space="preserve">Сборщик обуви            </t>
  </si>
  <si>
    <t>29.01.04</t>
  </si>
  <si>
    <t xml:space="preserve">Художник по костюму           </t>
  </si>
  <si>
    <t>29.01.05</t>
  </si>
  <si>
    <t xml:space="preserve">Закройщик             </t>
  </si>
  <si>
    <t>29.01.06</t>
  </si>
  <si>
    <t xml:space="preserve">Раскройщик материалов            </t>
  </si>
  <si>
    <t>29.01.07</t>
  </si>
  <si>
    <t xml:space="preserve">Портной             </t>
  </si>
  <si>
    <t>29.01.08</t>
  </si>
  <si>
    <t xml:space="preserve">Оператор швейного оборудования           </t>
  </si>
  <si>
    <t>29.01.09</t>
  </si>
  <si>
    <t xml:space="preserve">Вышивальщица             </t>
  </si>
  <si>
    <t>29.01.10</t>
  </si>
  <si>
    <t xml:space="preserve">Модистка головных уборов           </t>
  </si>
  <si>
    <t>29.01.11</t>
  </si>
  <si>
    <t xml:space="preserve">Контролер качества текстильных изделий          </t>
  </si>
  <si>
    <t>29.01.12</t>
  </si>
  <si>
    <t xml:space="preserve">Оператор крутильного оборудования (для всех видов производств)       </t>
  </si>
  <si>
    <t>29.01.13</t>
  </si>
  <si>
    <t xml:space="preserve">Оператор оборудования чесального производства (для всех видов производств)      </t>
  </si>
  <si>
    <t>29.01.14</t>
  </si>
  <si>
    <t xml:space="preserve">Оператор прядильного производства           </t>
  </si>
  <si>
    <t>29.01.15</t>
  </si>
  <si>
    <t xml:space="preserve">Раклист             </t>
  </si>
  <si>
    <t>29.01.16</t>
  </si>
  <si>
    <t xml:space="preserve">Ткач             </t>
  </si>
  <si>
    <t>29.01.17</t>
  </si>
  <si>
    <t xml:space="preserve">Оператор вязально-швейного оборудования           </t>
  </si>
  <si>
    <t>29.01.18</t>
  </si>
  <si>
    <t xml:space="preserve">Вязальщица текстильно-галантерейных изделий           </t>
  </si>
  <si>
    <t>29.01.19</t>
  </si>
  <si>
    <t xml:space="preserve">Оператор производства нетканых материалов          </t>
  </si>
  <si>
    <t>29.01.20</t>
  </si>
  <si>
    <t xml:space="preserve">Красильщик (общие профессии производства текстиля)         </t>
  </si>
  <si>
    <t>29.01.21</t>
  </si>
  <si>
    <t xml:space="preserve">Оператор оборудования отделочного производства (общие профессии производства текстиля)      </t>
  </si>
  <si>
    <t>29.01.22</t>
  </si>
  <si>
    <t xml:space="preserve">Аппаратчик отделочного производства (общие профессии производства текстиля)       </t>
  </si>
  <si>
    <t>29.01.23</t>
  </si>
  <si>
    <t xml:space="preserve">Наладчик полиграфического оборудования           </t>
  </si>
  <si>
    <t>29.01.24</t>
  </si>
  <si>
    <t xml:space="preserve">Оператор электронного набора и верстки         </t>
  </si>
  <si>
    <t>29.01.25</t>
  </si>
  <si>
    <t xml:space="preserve">Переплетчик             </t>
  </si>
  <si>
    <t>29.01.26</t>
  </si>
  <si>
    <t xml:space="preserve">Печатник плоской печати           </t>
  </si>
  <si>
    <t>29.01.27</t>
  </si>
  <si>
    <t xml:space="preserve">Мастер печатного дела           </t>
  </si>
  <si>
    <t>29.01.28</t>
  </si>
  <si>
    <t xml:space="preserve">Огранщик алмазов в бриллианты          </t>
  </si>
  <si>
    <t>29.01.29</t>
  </si>
  <si>
    <t xml:space="preserve">Мастер столярного и мебельного производства         </t>
  </si>
  <si>
    <t>29.01.30</t>
  </si>
  <si>
    <t xml:space="preserve">Обойщик мебели            </t>
  </si>
  <si>
    <t>34.01.01</t>
  </si>
  <si>
    <t xml:space="preserve">Младшая медицинская сестра по уходу за больными       </t>
  </si>
  <si>
    <t>35.01.01</t>
  </si>
  <si>
    <t xml:space="preserve">Мастер по лесному хозяйству          </t>
  </si>
  <si>
    <t>35.01.02</t>
  </si>
  <si>
    <t xml:space="preserve">Станочник деревообрабатывающих станков           </t>
  </si>
  <si>
    <t>35.01.03</t>
  </si>
  <si>
    <t xml:space="preserve">Станочник-обработчик             </t>
  </si>
  <si>
    <t>35.01.04</t>
  </si>
  <si>
    <t xml:space="preserve">Оператор линий и установок в деревообработке        </t>
  </si>
  <si>
    <t>35.01.05</t>
  </si>
  <si>
    <t xml:space="preserve">Контролер полуфабрикатов и изделий из древесины        </t>
  </si>
  <si>
    <t>35.01.06</t>
  </si>
  <si>
    <t xml:space="preserve">Машинист машин по производству бумаги и картона       </t>
  </si>
  <si>
    <t>35.01.07</t>
  </si>
  <si>
    <t xml:space="preserve">Сушильщик в бумажном производстве          </t>
  </si>
  <si>
    <t>35.01.08</t>
  </si>
  <si>
    <t xml:space="preserve">Контролер целлюлозно-бумажного производства           </t>
  </si>
  <si>
    <t>35.01.09</t>
  </si>
  <si>
    <t xml:space="preserve">Мастер растениеводства            </t>
  </si>
  <si>
    <t>35.01.10</t>
  </si>
  <si>
    <t xml:space="preserve">Овощевод защищенного грунта           </t>
  </si>
  <si>
    <t>35.01.11</t>
  </si>
  <si>
    <t xml:space="preserve">Мастер сельскохозяйственного производства           </t>
  </si>
  <si>
    <t>35.01.12</t>
  </si>
  <si>
    <t xml:space="preserve">Заготовитель продуктов и сырья          </t>
  </si>
  <si>
    <t>35.01.13</t>
  </si>
  <si>
    <t xml:space="preserve">Тракторист-машинист сельскохозяйственного производства           </t>
  </si>
  <si>
    <t>35.01.14</t>
  </si>
  <si>
    <t xml:space="preserve">Мастер по техническому обслуживанию и ремонту машинно-тракторного парка      </t>
  </si>
  <si>
    <t>35.01.15</t>
  </si>
  <si>
    <t xml:space="preserve">Электромонтер по ремонту и обслуживанию электрооборудования в сельскохозяйственном производстве     </t>
  </si>
  <si>
    <t>35.01.16</t>
  </si>
  <si>
    <t xml:space="preserve">Рыбовод             </t>
  </si>
  <si>
    <t>35.01.17</t>
  </si>
  <si>
    <t xml:space="preserve">Обработчик рыбы и морепродуктов          </t>
  </si>
  <si>
    <t>35.01.18</t>
  </si>
  <si>
    <t xml:space="preserve">Рыбак прибрежного лова           </t>
  </si>
  <si>
    <t>35.01.19</t>
  </si>
  <si>
    <t xml:space="preserve">Мастер садово-паркового и ландшафтного строительства         </t>
  </si>
  <si>
    <t>35.01.20</t>
  </si>
  <si>
    <t xml:space="preserve">Пчеловод             </t>
  </si>
  <si>
    <t>35.01.21</t>
  </si>
  <si>
    <t xml:space="preserve">Оленевод-механизатор             </t>
  </si>
  <si>
    <t>35.01.22</t>
  </si>
  <si>
    <t xml:space="preserve">Охотник промысловый            </t>
  </si>
  <si>
    <t>35.01.23</t>
  </si>
  <si>
    <t xml:space="preserve">Хозяйка (ин) усадьбы           </t>
  </si>
  <si>
    <t>35.01.24</t>
  </si>
  <si>
    <t xml:space="preserve">Управляющий сельской усадьбой           </t>
  </si>
  <si>
    <t>36.01.01</t>
  </si>
  <si>
    <t xml:space="preserve">Младший ветеринарный фельдшер           </t>
  </si>
  <si>
    <t>36.01.02</t>
  </si>
  <si>
    <t xml:space="preserve">Мастер животноводства            </t>
  </si>
  <si>
    <t>36.01.03</t>
  </si>
  <si>
    <t xml:space="preserve">Тренер-наездник лошадей            </t>
  </si>
  <si>
    <t>38.01.01</t>
  </si>
  <si>
    <t xml:space="preserve">Оператор диспетчерской (производственно-диспетчерской) службы          </t>
  </si>
  <si>
    <t>38.01.02</t>
  </si>
  <si>
    <t xml:space="preserve">Продавец, контролер-кассир            </t>
  </si>
  <si>
    <t>38.01.03</t>
  </si>
  <si>
    <t xml:space="preserve">Контролер банка            </t>
  </si>
  <si>
    <t>39.01.01</t>
  </si>
  <si>
    <t xml:space="preserve">Социальный работник            </t>
  </si>
  <si>
    <t>42.01.01</t>
  </si>
  <si>
    <t xml:space="preserve">Агент рекламный            </t>
  </si>
  <si>
    <t>43.01.01</t>
  </si>
  <si>
    <t xml:space="preserve">Официант, бармен            </t>
  </si>
  <si>
    <t>43.01.02</t>
  </si>
  <si>
    <t xml:space="preserve">Парикмахер             </t>
  </si>
  <si>
    <t>43.01.03</t>
  </si>
  <si>
    <t xml:space="preserve">Бортпроводник судовой            </t>
  </si>
  <si>
    <t>43.01.04</t>
  </si>
  <si>
    <t xml:space="preserve">Повар судовой            </t>
  </si>
  <si>
    <t>43.01.05</t>
  </si>
  <si>
    <t xml:space="preserve">Оператор по обработке перевозочных документов на железнодорожном транспорте      </t>
  </si>
  <si>
    <t>43.01.06</t>
  </si>
  <si>
    <t xml:space="preserve">Проводник на железнодорожном транспорте          </t>
  </si>
  <si>
    <t>43.01.07</t>
  </si>
  <si>
    <t xml:space="preserve">Слесарь по эксплуатации и ремонту газового оборудования       </t>
  </si>
  <si>
    <t>43.01.08</t>
  </si>
  <si>
    <t xml:space="preserve">Аппаратчик химической чистки           </t>
  </si>
  <si>
    <t>46.01.01</t>
  </si>
  <si>
    <t xml:space="preserve">Секретарь             </t>
  </si>
  <si>
    <t>46.01.02</t>
  </si>
  <si>
    <t xml:space="preserve">Архивариус             </t>
  </si>
  <si>
    <t>46.01.03</t>
  </si>
  <si>
    <t xml:space="preserve">Делопроизводитель             </t>
  </si>
  <si>
    <t>54.01.01</t>
  </si>
  <si>
    <t xml:space="preserve">Исполнитель художественно-оформительских работ           </t>
  </si>
  <si>
    <t>54.01.02</t>
  </si>
  <si>
    <t xml:space="preserve">Ювелир             </t>
  </si>
  <si>
    <t>54.01.03</t>
  </si>
  <si>
    <t xml:space="preserve">Фотограф             </t>
  </si>
  <si>
    <t>54.01.04</t>
  </si>
  <si>
    <t xml:space="preserve">Мастер народных художественных промыслов          </t>
  </si>
  <si>
    <t>54.01.05</t>
  </si>
  <si>
    <t xml:space="preserve">Изготовитель художественных изделий из тканей с художественной росписью      </t>
  </si>
  <si>
    <t>54.01.06</t>
  </si>
  <si>
    <t xml:space="preserve">Изготовитель художественных изделий из металла         </t>
  </si>
  <si>
    <t>54.01.07</t>
  </si>
  <si>
    <t xml:space="preserve">Изготовитель художественных изделий из керамики         </t>
  </si>
  <si>
    <t>54.01.08</t>
  </si>
  <si>
    <t xml:space="preserve">Художник декоративной росписи по металлу         </t>
  </si>
  <si>
    <t>54.01.09</t>
  </si>
  <si>
    <t xml:space="preserve">Художник росписи по эмали          </t>
  </si>
  <si>
    <t>54.01.10</t>
  </si>
  <si>
    <t xml:space="preserve">Художник росписи по дереву          </t>
  </si>
  <si>
    <t>54.01.11</t>
  </si>
  <si>
    <t xml:space="preserve">Художник росписи по ткани          </t>
  </si>
  <si>
    <t>54.01.12</t>
  </si>
  <si>
    <t xml:space="preserve">Художник миниатюрной живописи           </t>
  </si>
  <si>
    <t>54.01.13</t>
  </si>
  <si>
    <t xml:space="preserve">Изготовитель художественных изделий из дерева         </t>
  </si>
  <si>
    <t>54.01.14</t>
  </si>
  <si>
    <t xml:space="preserve">Резчик             </t>
  </si>
  <si>
    <t>54.01.15</t>
  </si>
  <si>
    <t xml:space="preserve">Инкрустатор             </t>
  </si>
  <si>
    <t>54.01.16</t>
  </si>
  <si>
    <t xml:space="preserve">Лепщик-модельщик архитектурных деталей           </t>
  </si>
  <si>
    <t>54.01.17</t>
  </si>
  <si>
    <t xml:space="preserve">Реставратор строительный            </t>
  </si>
  <si>
    <t>54.01.18</t>
  </si>
  <si>
    <t xml:space="preserve">Реставратор тканей, гобеленов и ковров         </t>
  </si>
  <si>
    <t>54.01.19</t>
  </si>
  <si>
    <t xml:space="preserve">Реставратор памятников каменного и деревянного зодчества        </t>
  </si>
  <si>
    <t>55.01.01</t>
  </si>
  <si>
    <t xml:space="preserve">Киномеханик             </t>
  </si>
  <si>
    <t xml:space="preserve">Картография             </t>
  </si>
  <si>
    <t xml:space="preserve">Гидрология             </t>
  </si>
  <si>
    <t xml:space="preserve">Метеорология             </t>
  </si>
  <si>
    <t xml:space="preserve">Строительство и эксплуатация зданий и сооружений        </t>
  </si>
  <si>
    <t xml:space="preserve">Строительство и эксплуатация инженерных сооружений         </t>
  </si>
  <si>
    <t xml:space="preserve">Производство неметаллических строительных изделий и конструкций        </t>
  </si>
  <si>
    <t xml:space="preserve">Строительство и эксплуатация автомобильных дорог и аэродромов       </t>
  </si>
  <si>
    <t xml:space="preserve">Строительство и эксплуатация городских путей сообщения        </t>
  </si>
  <si>
    <t xml:space="preserve">Монтаж и эксплуатация внутренних сантехнических устройств, кондиционирования воздуха и вентиляции    </t>
  </si>
  <si>
    <t xml:space="preserve">Монтаж и эксплуатация оборудования и систем газоснабжения       </t>
  </si>
  <si>
    <t xml:space="preserve">Монтаж, наладка и эксплуатация электрооборудования промышленных и гражданских зданий      </t>
  </si>
  <si>
    <t xml:space="preserve">Строительство железных дорог, путь и путевое хозяйство       </t>
  </si>
  <si>
    <t xml:space="preserve">Компьютерные системы и комплексы          </t>
  </si>
  <si>
    <t xml:space="preserve">Компьютерные сети            </t>
  </si>
  <si>
    <t xml:space="preserve">Программирование в компьютерных системах          </t>
  </si>
  <si>
    <t xml:space="preserve">Информационные системы (по отраслям)          </t>
  </si>
  <si>
    <t xml:space="preserve">Прикладная информатика (по отраслям)          </t>
  </si>
  <si>
    <t xml:space="preserve">Радиоаппаратостроение             </t>
  </si>
  <si>
    <t xml:space="preserve">Техническое обслуживание и ремонт радиоэлектронной техники (по отраслям)      </t>
  </si>
  <si>
    <t xml:space="preserve">Эксплуатация оборудования радиосвязи и электрорадионавигации судов        </t>
  </si>
  <si>
    <t xml:space="preserve">Радиотехнические комплексы и системы управления космических летательных аппаратов      </t>
  </si>
  <si>
    <t xml:space="preserve">Аудиовизуальная техника            </t>
  </si>
  <si>
    <t xml:space="preserve">Техническая эксплуатация транспортного радиоэлектронного оборудования (по видам транспорта)      </t>
  </si>
  <si>
    <t xml:space="preserve">Радиотехнические информационные системы           </t>
  </si>
  <si>
    <t xml:space="preserve">Радиосвязь, радиовещание и телевидение          </t>
  </si>
  <si>
    <t xml:space="preserve">Сети связи и системы коммутации         </t>
  </si>
  <si>
    <t xml:space="preserve">Почтовая связь            </t>
  </si>
  <si>
    <t xml:space="preserve">Твердотельная электроника            </t>
  </si>
  <si>
    <t xml:space="preserve">Акустические приборы и системы          </t>
  </si>
  <si>
    <t xml:space="preserve">Радиоэлектронные приборные устройства           </t>
  </si>
  <si>
    <t xml:space="preserve">Электромеханические приборные устройства           </t>
  </si>
  <si>
    <t xml:space="preserve">Оптические и оптико-электронные приборы и системы        </t>
  </si>
  <si>
    <t xml:space="preserve">Биотехнические и медицинские аппараты и системы        </t>
  </si>
  <si>
    <t xml:space="preserve">Монтаж, техническое обслуживание и ремонт медицинской техники       </t>
  </si>
  <si>
    <t xml:space="preserve">Протезно-ортопедическая и реабилитационная техника          </t>
  </si>
  <si>
    <t xml:space="preserve">Тепловые электрические станции           </t>
  </si>
  <si>
    <t xml:space="preserve">Теплоснабжение и теплотехническое оборудование          </t>
  </si>
  <si>
    <t xml:space="preserve">Электрические станции, сети и системы         </t>
  </si>
  <si>
    <t xml:space="preserve">Гидроэлектроэнергетические установки            </t>
  </si>
  <si>
    <t xml:space="preserve">Технология воды, топлива и смазочных материалов на электрических станциях     </t>
  </si>
  <si>
    <t xml:space="preserve">Релейная защита и автоматизация электроэнергетических систем        </t>
  </si>
  <si>
    <t xml:space="preserve">Электроснабжение (по отраслям)           </t>
  </si>
  <si>
    <t xml:space="preserve">Электроизоляционная, кабельная и конденсаторная техника         </t>
  </si>
  <si>
    <t xml:space="preserve">Монтаж и эксплуатация линий электропередачи         </t>
  </si>
  <si>
    <t xml:space="preserve">Электрические машины и аппараты          </t>
  </si>
  <si>
    <t xml:space="preserve">Техническая эксплуатация и обслуживание электрического и электромеханического оборудования (по отраслям)    </t>
  </si>
  <si>
    <t xml:space="preserve">Атомные электрические станции и установки         </t>
  </si>
  <si>
    <t xml:space="preserve">Радиационная безопасность            </t>
  </si>
  <si>
    <t xml:space="preserve">Технология разделения изотопов           </t>
  </si>
  <si>
    <t xml:space="preserve">Монтаж и техническая эксплуатация промышленного оборудования (по отраслям)      </t>
  </si>
  <si>
    <t xml:space="preserve">Техническая эксплуатация оборудования для производства электронной техники       </t>
  </si>
  <si>
    <t xml:space="preserve">Техническая эксплуатация гидравлических машин, гидроприводов и гидропневмоавтоматики       </t>
  </si>
  <si>
    <t xml:space="preserve">Специальные машины и устройства          </t>
  </si>
  <si>
    <t xml:space="preserve">Техническая эксплуатация оборудования в торговле и общественном питании      </t>
  </si>
  <si>
    <t xml:space="preserve">Монтаж и техническая эксплуатация холодильно-компрессорных машин и установок (по отраслям)    </t>
  </si>
  <si>
    <t xml:space="preserve">Автоматизация технологических процессов и производств (по отраслям)       </t>
  </si>
  <si>
    <t xml:space="preserve">Аналитический контроль качества химических соединений         </t>
  </si>
  <si>
    <t xml:space="preserve">Химическая технология отделочного производства и обработки изделий       </t>
  </si>
  <si>
    <t xml:space="preserve">Химическая технология неорганических веществ          </t>
  </si>
  <si>
    <t xml:space="preserve">Электрохимическое производство            </t>
  </si>
  <si>
    <t xml:space="preserve">Производство тугоплавких неметаллических и силикатных материалов и изделий      </t>
  </si>
  <si>
    <t xml:space="preserve">Химическая технология органических веществ          </t>
  </si>
  <si>
    <t xml:space="preserve">Технология производства и переработки пластических масс и эластомеров      </t>
  </si>
  <si>
    <t xml:space="preserve">Технология кинофотоматериалов и магнитных носителей         </t>
  </si>
  <si>
    <t xml:space="preserve">Переработка нефти и газа          </t>
  </si>
  <si>
    <t xml:space="preserve">Коксохимическое производство            </t>
  </si>
  <si>
    <t xml:space="preserve">Технология пиротехнических составов и изделий         </t>
  </si>
  <si>
    <t xml:space="preserve">Биохимическое производство            </t>
  </si>
  <si>
    <t xml:space="preserve">Технология хранения и переработки зерна         </t>
  </si>
  <si>
    <t xml:space="preserve">Технология хлеба, кондитерских и макаронных изделий        </t>
  </si>
  <si>
    <t xml:space="preserve">Технология сахаристых продуктов           </t>
  </si>
  <si>
    <t xml:space="preserve">Технология бродильных производств и виноделие         </t>
  </si>
  <si>
    <t xml:space="preserve">Технология консервов и пищеконцентратов          </t>
  </si>
  <si>
    <t xml:space="preserve">Технология молока и молочных продуктов         </t>
  </si>
  <si>
    <t xml:space="preserve">Технология мяса и мясных продуктов         </t>
  </si>
  <si>
    <t xml:space="preserve">Технология жиров и жирозаменителей          </t>
  </si>
  <si>
    <t xml:space="preserve">Технология продукции общественного питания          </t>
  </si>
  <si>
    <t xml:space="preserve">Рациональное использование природохозяйственных комплексов          </t>
  </si>
  <si>
    <t xml:space="preserve">Защита в чрезвычайных ситуациях          </t>
  </si>
  <si>
    <t xml:space="preserve">Природоохранное обустройство территорий           </t>
  </si>
  <si>
    <t xml:space="preserve">Разработка и эксплуатация нефтяных и газовых месторождений       </t>
  </si>
  <si>
    <t xml:space="preserve">Бурение нефтяных и газовых скважин         </t>
  </si>
  <si>
    <t xml:space="preserve">Сооружение и эксплуатация газонефтепроводов и газонефтехранилищ        </t>
  </si>
  <si>
    <t xml:space="preserve">Землеустройство             </t>
  </si>
  <si>
    <t xml:space="preserve">Земельно-имущественные отношения            </t>
  </si>
  <si>
    <t xml:space="preserve">Информационные системы обеспечения градостроительной деятельности         </t>
  </si>
  <si>
    <t xml:space="preserve">Аэрофотогеодезия             </t>
  </si>
  <si>
    <t xml:space="preserve">Гидрогеология и инженерная геология          </t>
  </si>
  <si>
    <t xml:space="preserve">Геология и разведка нефтяных и газовых месторождений       </t>
  </si>
  <si>
    <t xml:space="preserve">Геофизические методы поисков и разведки месторождений полезных ископаемых      </t>
  </si>
  <si>
    <t xml:space="preserve">Технология и техника разведки месторождений полезных ископаемых       </t>
  </si>
  <si>
    <t xml:space="preserve">Геологическая съемка, поиски и разведка месторождений полезных ископаемых      </t>
  </si>
  <si>
    <t xml:space="preserve">Маркшейдерское дело            </t>
  </si>
  <si>
    <t xml:space="preserve">Открытые горные работы           </t>
  </si>
  <si>
    <t xml:space="preserve">Шахтное строительство            </t>
  </si>
  <si>
    <t xml:space="preserve">Подземная разработка месторождений полезных ископаемых         </t>
  </si>
  <si>
    <t xml:space="preserve">Обогащение полезных ископаемых           </t>
  </si>
  <si>
    <t xml:space="preserve">Металлургия цветных металлов           </t>
  </si>
  <si>
    <t xml:space="preserve">Сварочное производство            </t>
  </si>
  <si>
    <t xml:space="preserve">Порошковая металлургия, композиционные материалы, покрытия         </t>
  </si>
  <si>
    <t xml:space="preserve">Организация перевозок и управление на транспорте (по видам)      </t>
  </si>
  <si>
    <t xml:space="preserve">Автомобиле- и тракторостроение           </t>
  </si>
  <si>
    <t xml:space="preserve">Техническое обслуживание и ремонт автомобильного транспорта        </t>
  </si>
  <si>
    <t xml:space="preserve">Техническая эксплуатация подъемно-транспортных, строительных, дорожных машин и оборудования (по отраслям)    </t>
  </si>
  <si>
    <t xml:space="preserve">Эксплуатация транспортного электрооборудования и автоматики (по видам транспорта, за исключением водного)   </t>
  </si>
  <si>
    <t xml:space="preserve">Техническая эксплуатация подвижного состава железных дорог        </t>
  </si>
  <si>
    <t xml:space="preserve">Производство летательных аппаратов           </t>
  </si>
  <si>
    <t xml:space="preserve">Производство авиационных двигателей           </t>
  </si>
  <si>
    <t xml:space="preserve">Обслуживание летательных аппаратов горюче-смазочными материалами         </t>
  </si>
  <si>
    <t xml:space="preserve">Техническая эксплуатация электрифицированных и пилотажно-навигационных комплексов        </t>
  </si>
  <si>
    <t xml:space="preserve">Летная эксплуатация летательных аппаратов          </t>
  </si>
  <si>
    <t xml:space="preserve">Управление движением воздушного транспорта          </t>
  </si>
  <si>
    <t xml:space="preserve">Эксплуатация внутренних водных путей          </t>
  </si>
  <si>
    <t xml:space="preserve">Судостроение             </t>
  </si>
  <si>
    <t xml:space="preserve">Монтаж и техническое обслуживание судовых машин и механизмов      </t>
  </si>
  <si>
    <t xml:space="preserve">Метрология             </t>
  </si>
  <si>
    <t xml:space="preserve">Техническое регулирование и управление качеством         </t>
  </si>
  <si>
    <t xml:space="preserve">Автоматика и телемеханика на транспорте (железнодорожном транспорте)       </t>
  </si>
  <si>
    <t xml:space="preserve">Автоматические системы управления           </t>
  </si>
  <si>
    <t xml:space="preserve">Системы и средства диспетчерского управления         </t>
  </si>
  <si>
    <t xml:space="preserve">Конструирование, моделирование и технология изделий из кожи       </t>
  </si>
  <si>
    <t xml:space="preserve">Технология кожи и меха          </t>
  </si>
  <si>
    <t xml:space="preserve">Конструирование, моделирование и технология изделий из меха       </t>
  </si>
  <si>
    <t xml:space="preserve">Конструирование, моделирование и технология швейных изделий        </t>
  </si>
  <si>
    <t xml:space="preserve">Технология текстильных изделий (по видам)         </t>
  </si>
  <si>
    <t xml:space="preserve">Полиграфическое производство            </t>
  </si>
  <si>
    <t xml:space="preserve">Производство изделий из бумаги и картона        </t>
  </si>
  <si>
    <t xml:space="preserve">Технология обработки алмазов           </t>
  </si>
  <si>
    <t xml:space="preserve">Акушерское дело            </t>
  </si>
  <si>
    <t xml:space="preserve">Лабораторная диагностика            </t>
  </si>
  <si>
    <t xml:space="preserve">Медицинская оптика            </t>
  </si>
  <si>
    <t xml:space="preserve">Стоматология ортопедическая            </t>
  </si>
  <si>
    <t xml:space="preserve">Стоматология профилактическая            </t>
  </si>
  <si>
    <t xml:space="preserve">Медицинский массаж (для обучения лиц с ограниченными возможностями здоровья по зрению)   </t>
  </si>
  <si>
    <t xml:space="preserve">Лесное и лесопарковое хозяйство          </t>
  </si>
  <si>
    <t xml:space="preserve">Технология лесозаготовок            </t>
  </si>
  <si>
    <t xml:space="preserve">Технология деревообработки            </t>
  </si>
  <si>
    <t xml:space="preserve">Технология комплексной переработки древесины          </t>
  </si>
  <si>
    <t xml:space="preserve">Механизация сельского хозяйства           </t>
  </si>
  <si>
    <t xml:space="preserve">Электрификация и автоматизация сельского хозяйства         </t>
  </si>
  <si>
    <t xml:space="preserve">Ихтиология и рыбоводство           </t>
  </si>
  <si>
    <t xml:space="preserve">Обработка водных биоресурсов           </t>
  </si>
  <si>
    <t xml:space="preserve">Садово-парковое и ландшафтное строительство          </t>
  </si>
  <si>
    <t xml:space="preserve">Пчеловодство             </t>
  </si>
  <si>
    <t xml:space="preserve">Охотоведение и звероводство           </t>
  </si>
  <si>
    <t xml:space="preserve">Кинология             </t>
  </si>
  <si>
    <t xml:space="preserve">Экономика и бухгалтерский учет (по отраслям)        </t>
  </si>
  <si>
    <t xml:space="preserve">Страховое дело (по отраслям)          </t>
  </si>
  <si>
    <t xml:space="preserve">Операционная деятельность в логистике          </t>
  </si>
  <si>
    <t xml:space="preserve">Коммерция (по отраслям)           </t>
  </si>
  <si>
    <t xml:space="preserve">Товароведение и экспертиза качества потребительских товаров        </t>
  </si>
  <si>
    <t xml:space="preserve">Финансы             </t>
  </si>
  <si>
    <t xml:space="preserve">Банковское дело            </t>
  </si>
  <si>
    <t xml:space="preserve">Организация сурдокоммуникации            </t>
  </si>
  <si>
    <t xml:space="preserve">Право и организация социального обеспечения         </t>
  </si>
  <si>
    <t>40.02.03</t>
  </si>
  <si>
    <t xml:space="preserve">Право и судебное администрирование          </t>
  </si>
  <si>
    <t xml:space="preserve">Реклама             </t>
  </si>
  <si>
    <t xml:space="preserve">Организация обслуживания в общественном питании         </t>
  </si>
  <si>
    <t xml:space="preserve">Парикмахерское искусство            </t>
  </si>
  <si>
    <t xml:space="preserve">Стилистика и искусство визажа          </t>
  </si>
  <si>
    <t xml:space="preserve">Прикладная эстетика            </t>
  </si>
  <si>
    <t xml:space="preserve">Флористика             </t>
  </si>
  <si>
    <t xml:space="preserve">Сервис на транспорте (по видам транспорта)        </t>
  </si>
  <si>
    <t xml:space="preserve">Сервис по химической обработке изделий         </t>
  </si>
  <si>
    <t xml:space="preserve">Сервис домашнего и коммунального хозяйства         </t>
  </si>
  <si>
    <t xml:space="preserve">Ритуальный сервис            </t>
  </si>
  <si>
    <t xml:space="preserve">Гостиничный сервис            </t>
  </si>
  <si>
    <t xml:space="preserve">Дошкольное образование            </t>
  </si>
  <si>
    <t xml:space="preserve">Преподавание в начальных классах          </t>
  </si>
  <si>
    <t xml:space="preserve">Педагогика дополнительного образования           </t>
  </si>
  <si>
    <t xml:space="preserve">Специальное дошкольное образование           </t>
  </si>
  <si>
    <t xml:space="preserve">Коррекционная педагогика в начальном образовании         </t>
  </si>
  <si>
    <t xml:space="preserve">Документационное обеспечение управления и архивоведение         </t>
  </si>
  <si>
    <t xml:space="preserve">Адаптивная физическая культура           </t>
  </si>
  <si>
    <t xml:space="preserve">Мировая художественная культура           </t>
  </si>
  <si>
    <t xml:space="preserve">Народное художественное творчество (по видам)         </t>
  </si>
  <si>
    <t xml:space="preserve">Социально-культурная деятельность (по видам)          </t>
  </si>
  <si>
    <t xml:space="preserve">Библиотековедение             </t>
  </si>
  <si>
    <t xml:space="preserve">Искусство балета            </t>
  </si>
  <si>
    <t xml:space="preserve">Искусство танца (по видам)          </t>
  </si>
  <si>
    <t xml:space="preserve">Искусство эстрады            </t>
  </si>
  <si>
    <t xml:space="preserve">Музыкальное образование            </t>
  </si>
  <si>
    <t xml:space="preserve">Музыкальное искусство эстрады (по видам)         </t>
  </si>
  <si>
    <t xml:space="preserve">Инструментальное исполнительство (по видам инструментов)         </t>
  </si>
  <si>
    <t xml:space="preserve">Сольное и хоровое народное пение         </t>
  </si>
  <si>
    <t xml:space="preserve">Хоровое дирижирование            </t>
  </si>
  <si>
    <t xml:space="preserve">Теория музыки            </t>
  </si>
  <si>
    <t xml:space="preserve">Музыкальное звукооператорское мастерство           </t>
  </si>
  <si>
    <t xml:space="preserve">Театрально-декорационное искусство (по видам)          </t>
  </si>
  <si>
    <t xml:space="preserve">Дизайн (по отраслям)           </t>
  </si>
  <si>
    <t xml:space="preserve">Декоративно-прикладное искусство и народные промыслы (по видам)       </t>
  </si>
  <si>
    <t xml:space="preserve">Художественное оформление изделий текстильной и легкой промышленности       </t>
  </si>
  <si>
    <t xml:space="preserve">Живопись (по видам)           </t>
  </si>
  <si>
    <t xml:space="preserve">Изобразительное искусство и черчение          </t>
  </si>
  <si>
    <t xml:space="preserve">Техника и искусство фотографии          </t>
  </si>
  <si>
    <t xml:space="preserve">Театральная и аудиовизуальная техника (по видам)        </t>
  </si>
  <si>
    <t xml:space="preserve">Анимация (по видам)           </t>
  </si>
  <si>
    <t>57.02.01</t>
  </si>
  <si>
    <t xml:space="preserve">Пограничная деятельность (по видам)          </t>
  </si>
  <si>
    <t>140613</t>
  </si>
  <si>
    <t xml:space="preserve">Техническая эксплуатация и обслуживание электрического и электромеханического оборудования      </t>
  </si>
  <si>
    <t>150203</t>
  </si>
  <si>
    <t>150406</t>
  </si>
  <si>
    <t>150409</t>
  </si>
  <si>
    <t>150415</t>
  </si>
  <si>
    <t>151031</t>
  </si>
  <si>
    <t xml:space="preserve">Монтаж и технология эксплуатации промышленного оборудования        </t>
  </si>
  <si>
    <t>151901</t>
  </si>
  <si>
    <t>160108</t>
  </si>
  <si>
    <t>160203</t>
  </si>
  <si>
    <t>160706</t>
  </si>
  <si>
    <t>200105</t>
  </si>
  <si>
    <t>200111</t>
  </si>
  <si>
    <t>210306</t>
  </si>
  <si>
    <t>210310</t>
  </si>
  <si>
    <t>210413</t>
  </si>
  <si>
    <t>210414</t>
  </si>
  <si>
    <t xml:space="preserve">Техническое обслуживание и ремонт радиоэлектронной техники        </t>
  </si>
  <si>
    <t>220205</t>
  </si>
  <si>
    <t>220407</t>
  </si>
  <si>
    <t xml:space="preserve">Автоматизированные системы управления           </t>
  </si>
  <si>
    <t>220417</t>
  </si>
  <si>
    <t>220703</t>
  </si>
  <si>
    <t>230106</t>
  </si>
  <si>
    <t xml:space="preserve">Техническое обслуживание средств вычислительной техники и компьютерных систем      </t>
  </si>
  <si>
    <t>230111</t>
  </si>
  <si>
    <t>230113</t>
  </si>
  <si>
    <t xml:space="preserve">Компьютерные системы и комплексы (230113)         </t>
  </si>
  <si>
    <t>230115</t>
  </si>
  <si>
    <t>270116</t>
  </si>
  <si>
    <t xml:space="preserve">Монтаж, наладка и эксплуатация электрооборудования промышленных и гражданский зданий     </t>
  </si>
  <si>
    <t>270843</t>
  </si>
  <si>
    <t xml:space="preserve">Монтаж, наладка и эксплуатация электрооборудования предприятий и гражданских зданий     </t>
  </si>
  <si>
    <t>Количество отчисленных со всех курсов обучения из числа обучающихся по квоте целевого приема на 30 сентября текущего года, чел.</t>
  </si>
  <si>
    <t>от 1 до 3 лет, чел.</t>
  </si>
  <si>
    <t>Количество заявок в отраслевой кадровый резерв, поданных от организации за отчетный период, шт.</t>
  </si>
  <si>
    <t>Значение</t>
  </si>
  <si>
    <t>Наименование показателей</t>
  </si>
  <si>
    <t>Наименование показателя</t>
  </si>
  <si>
    <r>
      <t xml:space="preserve">ОПП
</t>
    </r>
    <r>
      <rPr>
        <sz val="11"/>
        <color theme="1"/>
        <rFont val="Calibri"/>
        <family val="2"/>
        <charset val="204"/>
        <scheme val="minor"/>
      </rPr>
      <t>Основной производственный персонал</t>
    </r>
  </si>
  <si>
    <r>
      <rPr>
        <b/>
        <sz val="11"/>
        <color theme="1"/>
        <rFont val="Calibri"/>
        <family val="2"/>
        <charset val="204"/>
        <scheme val="minor"/>
      </rPr>
      <t>ПНС</t>
    </r>
    <r>
      <rPr>
        <sz val="11"/>
        <color theme="1"/>
        <rFont val="Calibri"/>
        <family val="2"/>
        <charset val="204"/>
        <scheme val="minor"/>
      </rPr>
      <t xml:space="preserve">
Персонал непромышленной сферы</t>
    </r>
  </si>
  <si>
    <t>из строки 8 имеют степень кандидата наук, чел.</t>
  </si>
  <si>
    <t>из строки 8 имеют степень доктора наук, чел.</t>
  </si>
  <si>
    <r>
      <t xml:space="preserve">ИТР </t>
    </r>
    <r>
      <rPr>
        <sz val="11"/>
        <color indexed="8"/>
        <rFont val="Calibri"/>
        <family val="2"/>
        <charset val="204"/>
      </rPr>
      <t>(КБ, Заводов, Испытательных комплексов и Научных подразделений)</t>
    </r>
  </si>
  <si>
    <t>из строки 23 имеют степень кандидата наук, чел.</t>
  </si>
  <si>
    <t>из строки 23 имеют степень доктора наук, чел.</t>
  </si>
  <si>
    <t>из строки 38 имеют степень кандидата наук, чел.</t>
  </si>
  <si>
    <t>из строки 38 имеют степень доктора наук, чел.</t>
  </si>
  <si>
    <t>из строки 53 имеют степень кандидата наук, чел.</t>
  </si>
  <si>
    <t>из строки 53 имеют степень доктора наук, чел.</t>
  </si>
  <si>
    <t>6. Формы 1-к, 2-к, 3-к, 10-к, 11-к, 12-к, 13-к, 14-к, 15-к представляются на каждый филиал с учетом вышеназванных ограничений также общим пакетом, в котором остальные формы остаются пустыми.</t>
  </si>
  <si>
    <t>из стр. 30 работников в возрасте до 29 лет, чел.</t>
  </si>
  <si>
    <t>Форма № 16-к (упрощенная)</t>
  </si>
  <si>
    <t>Списочная численность на конец отчетного периода, чел.</t>
  </si>
  <si>
    <t>всего</t>
  </si>
  <si>
    <t>Средний возраст, лет</t>
  </si>
  <si>
    <t>специалисты</t>
  </si>
  <si>
    <t>служащие</t>
  </si>
  <si>
    <t>из строки 14 имеют степень кандидата наук, чел.</t>
  </si>
  <si>
    <t>из строки 14 имеют степень доктора наук, чел.</t>
  </si>
  <si>
    <r>
      <t xml:space="preserve">Численность уволенных работников  за отчетный период по всем основаниям ТК РФ, </t>
    </r>
    <r>
      <rPr>
        <b/>
        <u/>
        <sz val="12"/>
        <color theme="1"/>
        <rFont val="Calibri"/>
        <family val="2"/>
        <charset val="204"/>
        <scheme val="minor"/>
      </rPr>
      <t>за исключением следующих оснований</t>
    </r>
    <r>
      <rPr>
        <b/>
        <sz val="12"/>
        <color theme="1"/>
        <rFont val="Calibri"/>
        <family val="2"/>
        <charset val="204"/>
        <scheme val="minor"/>
      </rPr>
      <t>:
1. Cоглашение сторон – ст. 78 ТК РФ;
2. Ликвидация организации либо прекращение деятельности индивидуальным предпринимателем – п. 1 ст. 81 ТК РФ;
3. Сокращение численности или штата работников организации, индивидуального предпринимателя – п. 2 ст. 81 ТК РФ.</t>
    </r>
  </si>
  <si>
    <t>Численность уволенных работников  за отчетный период по всем основаниям ТК РФ, за исключением следующих оснований:
1. Cоглашение сторон – ст. 78 ТК РФ;
2. Ликвидация организации либо прекращение деятельности индивидуальным предпринимателем – п. 1 ст. 81 ТК РФ;
3. Сокращение численности или штата работников организации, индивидуального предпринимателя – п. 2 ст. 81 ТК РФ., 
деленная на среднесписочную численность персонала за отчетный период.</t>
  </si>
  <si>
    <t>№ 16-к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</si>
</sst>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00&quot;р.&quot;_-;\-* #,##0.00&quot;р.&quot;_-;_-* &quot;-&quot;??&quot;р.&quot;_-;_-@_-"/>
    <numFmt numFmtId="165" formatCode="_-* #,##0.00_р_._-;\-* #,##0.00_р_._-;_-* &quot;-&quot;??_р_._-;_-@_-"/>
    <numFmt numFmtId="166" formatCode="[$-F800]dddd\,\ mmmm\ dd\,\ yyyy"/>
    <numFmt numFmtId="167" formatCode="[&lt;=9999999]###\-####;\(###\)\ ###\-####"/>
    <numFmt numFmtId="168" formatCode="0.0"/>
    <numFmt numFmtId="169" formatCode="dd/mm/yy;@"/>
    <numFmt numFmtId="170" formatCode="#,##0.00&quot;р.&quot;"/>
  </numFmts>
  <fonts count="39"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4"/>
      <color indexed="8"/>
      <name val="Calibri"/>
      <family val="2"/>
      <charset val="204"/>
    </font>
    <font>
      <sz val="11"/>
      <color indexed="8"/>
      <name val="Calibri"/>
      <family val="2"/>
      <charset val="204"/>
    </font>
    <font>
      <b/>
      <sz val="11"/>
      <color indexed="8"/>
      <name val="Calibri"/>
      <family val="2"/>
      <charset val="204"/>
    </font>
    <font>
      <u/>
      <sz val="11"/>
      <color indexed="8"/>
      <name val="Calibri"/>
      <family val="2"/>
      <charset val="204"/>
    </font>
    <font>
      <sz val="12"/>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12"/>
      <color theme="1"/>
      <name val="Calibri"/>
      <family val="2"/>
      <charset val="204"/>
      <scheme val="minor"/>
    </font>
    <font>
      <i/>
      <sz val="12"/>
      <color theme="1"/>
      <name val="Calibri"/>
      <family val="2"/>
      <charset val="204"/>
      <scheme val="minor"/>
    </font>
    <font>
      <b/>
      <sz val="18"/>
      <color theme="1"/>
      <name val="Calibri"/>
      <family val="2"/>
      <charset val="204"/>
      <scheme val="minor"/>
    </font>
    <font>
      <b/>
      <sz val="20"/>
      <color theme="1"/>
      <name val="Calibri"/>
      <family val="2"/>
      <charset val="204"/>
      <scheme val="minor"/>
    </font>
    <font>
      <i/>
      <sz val="11"/>
      <color theme="1"/>
      <name val="Calibri"/>
      <family val="2"/>
      <charset val="204"/>
      <scheme val="minor"/>
    </font>
    <font>
      <u/>
      <sz val="11"/>
      <color theme="1"/>
      <name val="Calibri"/>
      <family val="2"/>
      <charset val="204"/>
      <scheme val="minor"/>
    </font>
    <font>
      <sz val="9"/>
      <color indexed="81"/>
      <name val="Tahoma"/>
      <family val="2"/>
      <charset val="204"/>
    </font>
    <font>
      <b/>
      <sz val="9"/>
      <color indexed="81"/>
      <name val="Tahoma"/>
      <family val="2"/>
      <charset val="204"/>
    </font>
    <font>
      <b/>
      <u/>
      <sz val="12"/>
      <color theme="1"/>
      <name val="Calibri"/>
      <family val="2"/>
      <charset val="204"/>
      <scheme val="minor"/>
    </font>
    <font>
      <b/>
      <sz val="10"/>
      <color theme="1"/>
      <name val="Calibri"/>
      <family val="2"/>
      <charset val="204"/>
      <scheme val="minor"/>
    </font>
    <font>
      <u/>
      <sz val="9"/>
      <color indexed="81"/>
      <name val="Tahoma"/>
      <family val="2"/>
      <charset val="204"/>
    </font>
    <font>
      <sz val="11"/>
      <color rgb="FF9C0006"/>
      <name val="Calibri"/>
      <family val="2"/>
      <charset val="204"/>
      <scheme val="minor"/>
    </font>
    <font>
      <sz val="16"/>
      <color theme="1"/>
      <name val="Calibri"/>
      <family val="2"/>
      <charset val="204"/>
      <scheme val="minor"/>
    </font>
    <font>
      <sz val="10"/>
      <name val="Arial Cyr"/>
    </font>
    <font>
      <sz val="8"/>
      <color theme="1"/>
      <name val="Calibri"/>
      <family val="2"/>
      <charset val="204"/>
      <scheme val="minor"/>
    </font>
    <font>
      <sz val="8"/>
      <color indexed="81"/>
      <name val="Tahoma"/>
      <family val="2"/>
      <charset val="204"/>
    </font>
    <font>
      <sz val="10"/>
      <name val="Calibri"/>
      <family val="2"/>
      <charset val="204"/>
      <scheme val="minor"/>
    </font>
    <font>
      <b/>
      <sz val="10"/>
      <name val="Calibri"/>
      <family val="2"/>
      <charset val="204"/>
      <scheme val="minor"/>
    </font>
    <font>
      <sz val="11"/>
      <name val="Calibri"/>
      <family val="2"/>
      <charset val="204"/>
      <scheme val="minor"/>
    </font>
    <font>
      <sz val="8"/>
      <name val="Calibri"/>
      <family val="2"/>
      <charset val="204"/>
      <scheme val="minor"/>
    </font>
    <font>
      <i/>
      <sz val="10"/>
      <name val="Calibri"/>
      <family val="2"/>
      <charset val="204"/>
      <scheme val="minor"/>
    </font>
    <font>
      <i/>
      <sz val="11"/>
      <name val="Calibri"/>
      <family val="2"/>
      <charset val="204"/>
      <scheme val="minor"/>
    </font>
    <font>
      <sz val="14"/>
      <name val="Calibri"/>
      <family val="2"/>
      <charset val="204"/>
      <scheme val="minor"/>
    </font>
    <font>
      <sz val="12"/>
      <color rgb="FF313131"/>
      <name val="Calibri"/>
      <family val="2"/>
      <charset val="204"/>
      <scheme val="minor"/>
    </font>
    <font>
      <b/>
      <sz val="11"/>
      <name val="Calibri"/>
      <family val="2"/>
      <charset val="204"/>
      <scheme val="minor"/>
    </font>
    <font>
      <b/>
      <u/>
      <sz val="11"/>
      <color theme="1"/>
      <name val="Calibri"/>
      <family val="2"/>
      <charset val="204"/>
      <scheme val="minor"/>
    </font>
    <font>
      <b/>
      <u/>
      <sz val="11"/>
      <name val="Calibri"/>
      <family val="2"/>
      <charset val="204"/>
      <scheme val="minor"/>
    </font>
    <font>
      <sz val="10"/>
      <color indexed="81"/>
      <name val="Tahoma"/>
      <family val="2"/>
      <charset val="204"/>
    </font>
  </fonts>
  <fills count="10">
    <fill>
      <patternFill patternType="none"/>
    </fill>
    <fill>
      <patternFill patternType="gray125"/>
    </fill>
    <fill>
      <patternFill patternType="solid">
        <fgColor theme="2" tint="-9.9978637043366805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FFC7CE"/>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tint="0.79998168889431442"/>
        <bgColor indexed="64"/>
      </patternFill>
    </fill>
  </fills>
  <borders count="75">
    <border>
      <left/>
      <right/>
      <top/>
      <bottom/>
      <diagonal/>
    </border>
    <border>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thin">
        <color indexed="64"/>
      </right>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right/>
      <top style="medium">
        <color indexed="64"/>
      </top>
      <bottom style="thin">
        <color auto="1"/>
      </bottom>
      <diagonal/>
    </border>
    <border>
      <left/>
      <right style="medium">
        <color auto="1"/>
      </right>
      <top style="medium">
        <color indexed="64"/>
      </top>
      <bottom style="thin">
        <color auto="1"/>
      </bottom>
      <diagonal/>
    </border>
    <border>
      <left/>
      <right style="medium">
        <color indexed="64"/>
      </right>
      <top style="thin">
        <color indexed="64"/>
      </top>
      <bottom style="medium">
        <color indexed="64"/>
      </bottom>
      <diagonal/>
    </border>
    <border>
      <left/>
      <right/>
      <top/>
      <bottom style="hair">
        <color auto="1"/>
      </bottom>
      <diagonal/>
    </border>
    <border>
      <left/>
      <right/>
      <top style="hair">
        <color auto="1"/>
      </top>
      <bottom style="hair">
        <color auto="1"/>
      </bottom>
      <diagonal/>
    </border>
    <border>
      <left style="medium">
        <color indexed="64"/>
      </left>
      <right/>
      <top/>
      <bottom/>
      <diagonal/>
    </border>
    <border>
      <left/>
      <right style="medium">
        <color indexed="64"/>
      </right>
      <top style="medium">
        <color indexed="64"/>
      </top>
      <bottom/>
      <diagonal/>
    </border>
    <border>
      <left/>
      <right style="thin">
        <color indexed="64"/>
      </right>
      <top style="medium">
        <color indexed="64"/>
      </top>
      <bottom style="medium">
        <color indexed="64"/>
      </bottom>
      <diagonal/>
    </border>
  </borders>
  <cellStyleXfs count="5">
    <xf numFmtId="0" fontId="0" fillId="0" borderId="0"/>
    <xf numFmtId="9" fontId="1" fillId="0" borderId="0" applyFont="0" applyFill="0" applyBorder="0" applyAlignment="0" applyProtection="0"/>
    <xf numFmtId="0" fontId="22" fillId="6" borderId="0" applyNumberFormat="0" applyBorder="0" applyAlignment="0" applyProtection="0"/>
    <xf numFmtId="164" fontId="1" fillId="0" borderId="0" applyFont="0" applyFill="0" applyBorder="0" applyAlignment="0" applyProtection="0"/>
    <xf numFmtId="0" fontId="24" fillId="0" borderId="0"/>
  </cellStyleXfs>
  <cellXfs count="853">
    <xf numFmtId="0" fontId="0" fillId="0" borderId="0" xfId="0"/>
    <xf numFmtId="0" fontId="0" fillId="0" borderId="0" xfId="0" applyAlignment="1">
      <alignment horizontal="center" vertical="center"/>
    </xf>
    <xf numFmtId="0" fontId="8" fillId="0" borderId="0" xfId="0" applyFont="1" applyAlignment="1">
      <alignment horizontal="center" vertical="center"/>
    </xf>
    <xf numFmtId="0" fontId="4" fillId="2" borderId="3" xfId="0" applyFont="1" applyFill="1" applyBorder="1" applyAlignment="1">
      <alignment horizontal="center" vertical="center" wrapText="1"/>
    </xf>
    <xf numFmtId="0" fontId="0" fillId="2" borderId="3" xfId="0" applyFill="1" applyBorder="1" applyAlignment="1">
      <alignment horizontal="center" vertical="center" wrapText="1"/>
    </xf>
    <xf numFmtId="0" fontId="0" fillId="0" borderId="4" xfId="0" applyBorder="1"/>
    <xf numFmtId="0" fontId="6" fillId="2" borderId="3" xfId="0" applyFont="1" applyFill="1" applyBorder="1" applyAlignment="1">
      <alignment horizontal="left" vertical="center" wrapText="1" indent="1"/>
    </xf>
    <xf numFmtId="0" fontId="6" fillId="2" borderId="3" xfId="0" applyFont="1" applyFill="1" applyBorder="1" applyAlignment="1">
      <alignment horizontal="center" vertical="center" wrapText="1"/>
    </xf>
    <xf numFmtId="0" fontId="0" fillId="0" borderId="0" xfId="0" applyBorder="1"/>
    <xf numFmtId="0" fontId="0" fillId="0" borderId="0" xfId="0" applyBorder="1" applyAlignment="1">
      <alignment horizontal="center"/>
    </xf>
    <xf numFmtId="0" fontId="0" fillId="2" borderId="2" xfId="0" applyFill="1" applyBorder="1"/>
    <xf numFmtId="0" fontId="9" fillId="2" borderId="7" xfId="0" applyFont="1" applyFill="1" applyBorder="1" applyAlignment="1">
      <alignment horizontal="center" vertical="center"/>
    </xf>
    <xf numFmtId="0" fontId="11" fillId="2" borderId="8" xfId="0" applyFont="1" applyFill="1" applyBorder="1" applyAlignment="1">
      <alignment horizontal="center" vertical="center" wrapText="1"/>
    </xf>
    <xf numFmtId="0" fontId="9" fillId="2" borderId="9" xfId="0" applyFont="1" applyFill="1" applyBorder="1" applyAlignment="1">
      <alignment horizontal="center" vertical="center"/>
    </xf>
    <xf numFmtId="0" fontId="9" fillId="0" borderId="14" xfId="0" applyFont="1" applyBorder="1" applyAlignment="1">
      <alignment horizontal="center"/>
    </xf>
    <xf numFmtId="0" fontId="9" fillId="0" borderId="12" xfId="0" applyFont="1" applyBorder="1" applyAlignment="1">
      <alignment horizontal="center"/>
    </xf>
    <xf numFmtId="0" fontId="11" fillId="0" borderId="17" xfId="0" applyFont="1" applyBorder="1" applyAlignment="1">
      <alignment horizontal="center" vertical="center"/>
    </xf>
    <xf numFmtId="0" fontId="7" fillId="0" borderId="4" xfId="0" applyFont="1" applyBorder="1" applyAlignment="1">
      <alignment horizontal="center" vertical="center"/>
    </xf>
    <xf numFmtId="0" fontId="7" fillId="0" borderId="15" xfId="0" applyFont="1" applyBorder="1" applyAlignment="1">
      <alignment horizontal="center" vertical="center"/>
    </xf>
    <xf numFmtId="0" fontId="7" fillId="0" borderId="5" xfId="0" applyFont="1" applyBorder="1" applyAlignment="1">
      <alignment horizontal="center" vertical="center"/>
    </xf>
    <xf numFmtId="0" fontId="7" fillId="0" borderId="11" xfId="0" applyFont="1" applyBorder="1" applyAlignment="1">
      <alignment horizontal="center" vertical="center"/>
    </xf>
    <xf numFmtId="0" fontId="7" fillId="0" borderId="0" xfId="0" applyFont="1" applyAlignment="1">
      <alignment horizontal="center" vertical="center"/>
    </xf>
    <xf numFmtId="9" fontId="11" fillId="2" borderId="8" xfId="1" applyFont="1" applyFill="1" applyBorder="1" applyAlignment="1">
      <alignment horizontal="center" vertical="center" wrapText="1"/>
    </xf>
    <xf numFmtId="9" fontId="7" fillId="0" borderId="0" xfId="1" applyFont="1" applyAlignment="1">
      <alignment horizontal="center" vertical="center"/>
    </xf>
    <xf numFmtId="0" fontId="10" fillId="0" borderId="0" xfId="0" applyFont="1" applyAlignment="1">
      <alignment horizontal="center" vertical="center"/>
    </xf>
    <xf numFmtId="0" fontId="11" fillId="0" borderId="20" xfId="0" applyFont="1" applyBorder="1" applyAlignment="1">
      <alignment horizontal="center" vertical="center"/>
    </xf>
    <xf numFmtId="0" fontId="0" fillId="2" borderId="3" xfId="0" applyFill="1" applyBorder="1" applyAlignment="1">
      <alignment vertical="center" wrapText="1"/>
    </xf>
    <xf numFmtId="0" fontId="7" fillId="2" borderId="3" xfId="0" applyFont="1" applyFill="1" applyBorder="1" applyAlignment="1">
      <alignment horizontal="center" vertical="center"/>
    </xf>
    <xf numFmtId="9" fontId="7" fillId="2" borderId="3" xfId="1" applyFont="1" applyFill="1" applyBorder="1" applyAlignment="1">
      <alignment horizontal="center" vertical="center"/>
    </xf>
    <xf numFmtId="0" fontId="11" fillId="2" borderId="2" xfId="0" applyFont="1" applyFill="1" applyBorder="1" applyAlignment="1">
      <alignment horizontal="center" vertical="center"/>
    </xf>
    <xf numFmtId="0" fontId="7" fillId="0" borderId="4" xfId="0" applyFont="1" applyBorder="1" applyAlignment="1">
      <alignment horizontal="center" vertical="center" wrapText="1"/>
    </xf>
    <xf numFmtId="0" fontId="0" fillId="2" borderId="4" xfId="0" applyFill="1" applyBorder="1" applyAlignment="1">
      <alignment horizontal="center"/>
    </xf>
    <xf numFmtId="0" fontId="0" fillId="0" borderId="0" xfId="0" applyFont="1" applyBorder="1" applyAlignment="1">
      <alignment horizontal="center"/>
    </xf>
    <xf numFmtId="0" fontId="0" fillId="0" borderId="0" xfId="0" applyFont="1" applyBorder="1"/>
    <xf numFmtId="0" fontId="0" fillId="0" borderId="0" xfId="0" applyFont="1"/>
    <xf numFmtId="0" fontId="0" fillId="2" borderId="16"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13" xfId="0" applyFont="1" applyFill="1" applyBorder="1" applyAlignment="1">
      <alignment horizontal="center" vertical="center"/>
    </xf>
    <xf numFmtId="0" fontId="0" fillId="2" borderId="18" xfId="0" applyFont="1" applyFill="1" applyBorder="1" applyAlignment="1">
      <alignment horizontal="center" vertical="center"/>
    </xf>
    <xf numFmtId="0" fontId="0" fillId="2" borderId="10" xfId="0" applyFont="1" applyFill="1" applyBorder="1" applyAlignment="1">
      <alignment horizontal="center" vertical="center"/>
    </xf>
    <xf numFmtId="0" fontId="10" fillId="0" borderId="0" xfId="0" applyFont="1" applyBorder="1" applyAlignment="1"/>
    <xf numFmtId="0" fontId="0" fillId="2" borderId="4" xfId="0" applyFont="1" applyFill="1" applyBorder="1" applyAlignment="1">
      <alignment horizontal="center" vertical="center"/>
    </xf>
    <xf numFmtId="0" fontId="0" fillId="2" borderId="4" xfId="0" applyFont="1" applyFill="1" applyBorder="1" applyAlignment="1">
      <alignment horizontal="center"/>
    </xf>
    <xf numFmtId="0" fontId="4" fillId="0" borderId="4" xfId="0" applyFont="1" applyBorder="1" applyAlignment="1">
      <alignment horizontal="center" vertical="center" wrapText="1"/>
    </xf>
    <xf numFmtId="0" fontId="3" fillId="2" borderId="8" xfId="0" applyFont="1" applyFill="1" applyBorder="1" applyAlignment="1">
      <alignment horizontal="center" vertical="center" wrapText="1"/>
    </xf>
    <xf numFmtId="0" fontId="11" fillId="0" borderId="4" xfId="0" applyFont="1" applyBorder="1" applyAlignment="1">
      <alignment horizontal="center" vertical="center"/>
    </xf>
    <xf numFmtId="0" fontId="0" fillId="2" borderId="5" xfId="0" applyFont="1" applyFill="1" applyBorder="1" applyAlignment="1">
      <alignment horizontal="center" vertical="center"/>
    </xf>
    <xf numFmtId="0" fontId="0" fillId="2" borderId="28" xfId="0" applyFont="1" applyFill="1" applyBorder="1" applyAlignment="1">
      <alignment horizontal="center" vertical="center"/>
    </xf>
    <xf numFmtId="0" fontId="4" fillId="0" borderId="29" xfId="0" applyFont="1" applyFill="1" applyBorder="1" applyAlignment="1">
      <alignment horizontal="center" vertical="center" wrapText="1"/>
    </xf>
    <xf numFmtId="0" fontId="7" fillId="0" borderId="29" xfId="0" applyFont="1" applyBorder="1" applyAlignment="1">
      <alignment horizontal="center" vertical="center"/>
    </xf>
    <xf numFmtId="0" fontId="11" fillId="0" borderId="30" xfId="0" applyFont="1" applyBorder="1" applyAlignment="1">
      <alignment horizontal="center" vertical="center"/>
    </xf>
    <xf numFmtId="0" fontId="7" fillId="0" borderId="14" xfId="0" applyFont="1" applyBorder="1" applyAlignment="1">
      <alignment horizontal="center" vertical="center"/>
    </xf>
    <xf numFmtId="0" fontId="7" fillId="0" borderId="23" xfId="0" applyFont="1" applyBorder="1" applyAlignment="1">
      <alignment horizontal="center" vertical="center"/>
    </xf>
    <xf numFmtId="0" fontId="0" fillId="2" borderId="35" xfId="0" applyFont="1" applyFill="1" applyBorder="1" applyAlignment="1">
      <alignment horizontal="center" vertical="center"/>
    </xf>
    <xf numFmtId="0" fontId="0" fillId="2" borderId="15" xfId="0" applyFont="1" applyFill="1" applyBorder="1" applyAlignment="1">
      <alignment horizontal="center" vertical="center"/>
    </xf>
    <xf numFmtId="0" fontId="7" fillId="0" borderId="30" xfId="0" applyFont="1" applyBorder="1" applyAlignment="1">
      <alignment horizontal="center" vertical="center"/>
    </xf>
    <xf numFmtId="0" fontId="0" fillId="2" borderId="7" xfId="0" applyFont="1" applyFill="1" applyBorder="1" applyAlignment="1">
      <alignment horizontal="center" vertical="center"/>
    </xf>
    <xf numFmtId="0" fontId="7" fillId="0" borderId="8" xfId="0" applyFont="1" applyBorder="1" applyAlignment="1">
      <alignment horizontal="center" vertical="center"/>
    </xf>
    <xf numFmtId="0" fontId="9" fillId="0" borderId="9" xfId="0" applyFont="1" applyBorder="1" applyAlignment="1">
      <alignment horizontal="center" vertical="center"/>
    </xf>
    <xf numFmtId="9" fontId="7" fillId="4" borderId="29" xfId="1" applyFont="1" applyFill="1" applyBorder="1" applyAlignment="1">
      <alignment horizontal="center" vertical="center"/>
    </xf>
    <xf numFmtId="9" fontId="7" fillId="4" borderId="4" xfId="1" applyFont="1" applyFill="1" applyBorder="1" applyAlignment="1">
      <alignment horizontal="center" vertical="center"/>
    </xf>
    <xf numFmtId="0" fontId="3" fillId="2" borderId="31" xfId="0" applyFont="1" applyFill="1" applyBorder="1" applyAlignment="1">
      <alignment horizontal="center" vertical="center" wrapText="1"/>
    </xf>
    <xf numFmtId="0" fontId="11" fillId="2" borderId="31" xfId="0" applyFont="1" applyFill="1" applyBorder="1" applyAlignment="1">
      <alignment horizontal="center" vertical="center" wrapText="1"/>
    </xf>
    <xf numFmtId="9" fontId="11" fillId="2" borderId="31" xfId="1" applyFont="1" applyFill="1" applyBorder="1" applyAlignment="1">
      <alignment horizontal="center" vertical="center" wrapText="1"/>
    </xf>
    <xf numFmtId="0" fontId="9" fillId="2" borderId="33" xfId="0" applyFont="1" applyFill="1" applyBorder="1" applyAlignment="1">
      <alignment horizontal="center" vertical="center"/>
    </xf>
    <xf numFmtId="0" fontId="12" fillId="0" borderId="4" xfId="0" applyFont="1" applyBorder="1" applyAlignment="1">
      <alignment horizontal="center" vertical="center"/>
    </xf>
    <xf numFmtId="9" fontId="12" fillId="0" borderId="4" xfId="1" applyFont="1" applyBorder="1" applyAlignment="1">
      <alignment horizontal="center" vertical="center"/>
    </xf>
    <xf numFmtId="9" fontId="0" fillId="0" borderId="0" xfId="1" applyFont="1"/>
    <xf numFmtId="0" fontId="7" fillId="4" borderId="4" xfId="0" applyFont="1" applyFill="1" applyBorder="1" applyAlignment="1">
      <alignment horizontal="center" vertical="center" wrapText="1"/>
    </xf>
    <xf numFmtId="0" fontId="0" fillId="0" borderId="0" xfId="0" applyAlignment="1">
      <alignment horizontal="center" vertical="center" wrapText="1"/>
    </xf>
    <xf numFmtId="0" fontId="12" fillId="0" borderId="4" xfId="0" applyFont="1" applyBorder="1" applyAlignment="1">
      <alignment horizontal="center" vertical="center" wrapText="1"/>
    </xf>
    <xf numFmtId="0" fontId="15" fillId="0" borderId="0" xfId="0" applyFont="1"/>
    <xf numFmtId="0" fontId="12" fillId="4" borderId="4" xfId="0" applyFont="1" applyFill="1" applyBorder="1" applyAlignment="1">
      <alignment horizontal="center" vertical="center" wrapText="1"/>
    </xf>
    <xf numFmtId="0" fontId="11" fillId="0" borderId="28" xfId="0" applyFont="1" applyFill="1" applyBorder="1" applyAlignment="1">
      <alignment horizontal="center"/>
    </xf>
    <xf numFmtId="0" fontId="11" fillId="0" borderId="29" xfId="0" applyFont="1" applyBorder="1" applyAlignment="1">
      <alignment horizontal="center" vertical="center"/>
    </xf>
    <xf numFmtId="0" fontId="12" fillId="0" borderId="11" xfId="0" applyFont="1" applyBorder="1" applyAlignment="1">
      <alignment horizontal="center" vertical="center" wrapText="1"/>
    </xf>
    <xf numFmtId="9" fontId="12" fillId="4" borderId="4" xfId="1" applyFont="1" applyFill="1" applyBorder="1"/>
    <xf numFmtId="9" fontId="12" fillId="4" borderId="4" xfId="1" applyFont="1" applyFill="1" applyBorder="1" applyAlignment="1">
      <alignment horizontal="center" vertical="center" wrapText="1"/>
    </xf>
    <xf numFmtId="9" fontId="12" fillId="0" borderId="11" xfId="1" applyFont="1" applyBorder="1" applyAlignment="1">
      <alignment horizontal="center" vertical="center"/>
    </xf>
    <xf numFmtId="0" fontId="0" fillId="3" borderId="4" xfId="0" applyFill="1" applyBorder="1"/>
    <xf numFmtId="10" fontId="15" fillId="0" borderId="4" xfId="1" applyNumberFormat="1" applyFont="1" applyBorder="1" applyAlignment="1">
      <alignment horizontal="center" vertical="center"/>
    </xf>
    <xf numFmtId="10" fontId="15" fillId="0" borderId="14" xfId="1" applyNumberFormat="1" applyFont="1" applyBorder="1" applyAlignment="1">
      <alignment horizontal="center" vertical="center"/>
    </xf>
    <xf numFmtId="10" fontId="0" fillId="0" borderId="4" xfId="1" applyNumberFormat="1" applyFont="1" applyBorder="1" applyAlignment="1">
      <alignment horizontal="center" vertical="center"/>
    </xf>
    <xf numFmtId="10" fontId="0" fillId="0" borderId="14" xfId="1" applyNumberFormat="1" applyFont="1" applyBorder="1" applyAlignment="1">
      <alignment horizontal="center" vertical="center"/>
    </xf>
    <xf numFmtId="10" fontId="15" fillId="0" borderId="12" xfId="1" applyNumberFormat="1" applyFont="1" applyBorder="1" applyAlignment="1">
      <alignment horizontal="center" vertical="center"/>
    </xf>
    <xf numFmtId="0" fontId="7" fillId="4" borderId="4" xfId="1" applyNumberFormat="1" applyFont="1" applyFill="1" applyBorder="1"/>
    <xf numFmtId="0" fontId="7" fillId="0" borderId="4" xfId="1" applyNumberFormat="1" applyFont="1" applyFill="1" applyBorder="1" applyAlignment="1">
      <alignment horizontal="center"/>
    </xf>
    <xf numFmtId="0" fontId="0" fillId="2" borderId="13" xfId="0" applyFill="1" applyBorder="1" applyAlignment="1">
      <alignment horizontal="center" vertical="center"/>
    </xf>
    <xf numFmtId="0" fontId="0" fillId="2" borderId="10" xfId="0" applyFill="1" applyBorder="1" applyAlignment="1">
      <alignment horizontal="center" vertical="center"/>
    </xf>
    <xf numFmtId="0" fontId="0" fillId="4" borderId="4" xfId="0" applyFill="1" applyBorder="1"/>
    <xf numFmtId="9" fontId="12" fillId="4" borderId="4" xfId="1" applyFont="1" applyFill="1" applyBorder="1" applyAlignment="1">
      <alignment horizontal="center" vertical="center"/>
    </xf>
    <xf numFmtId="9" fontId="0" fillId="4" borderId="11" xfId="1" applyFont="1" applyFill="1" applyBorder="1" applyAlignment="1">
      <alignment horizontal="center" vertical="center"/>
    </xf>
    <xf numFmtId="14" fontId="0" fillId="0" borderId="0" xfId="0" applyNumberFormat="1"/>
    <xf numFmtId="0" fontId="9" fillId="0" borderId="0" xfId="0" applyFont="1" applyAlignment="1">
      <alignment horizontal="right"/>
    </xf>
    <xf numFmtId="167" fontId="0" fillId="0" borderId="0" xfId="0" applyNumberFormat="1"/>
    <xf numFmtId="14" fontId="11" fillId="0" borderId="29" xfId="0" applyNumberFormat="1" applyFont="1" applyBorder="1" applyAlignment="1">
      <alignment horizontal="center" vertical="center"/>
    </xf>
    <xf numFmtId="167" fontId="11" fillId="0" borderId="29" xfId="0" applyNumberFormat="1" applyFont="1" applyBorder="1" applyAlignment="1">
      <alignment horizontal="center" vertical="center" wrapText="1"/>
    </xf>
    <xf numFmtId="167" fontId="11" fillId="0" borderId="29" xfId="0" applyNumberFormat="1" applyFont="1" applyBorder="1" applyAlignment="1">
      <alignment horizontal="center" vertical="center"/>
    </xf>
    <xf numFmtId="14" fontId="11" fillId="0" borderId="30" xfId="0" applyNumberFormat="1" applyFont="1" applyBorder="1" applyAlignment="1">
      <alignment horizontal="center" vertical="center" wrapText="1"/>
    </xf>
    <xf numFmtId="9" fontId="12" fillId="0" borderId="15" xfId="1" applyFont="1" applyBorder="1" applyAlignment="1">
      <alignment horizontal="center" vertical="center"/>
    </xf>
    <xf numFmtId="0" fontId="12" fillId="0" borderId="11" xfId="0" applyFont="1" applyBorder="1" applyAlignment="1">
      <alignment horizontal="center" vertical="center"/>
    </xf>
    <xf numFmtId="0" fontId="7" fillId="0" borderId="11" xfId="0" applyFont="1" applyBorder="1" applyAlignment="1">
      <alignment horizontal="center" vertical="center" wrapText="1"/>
    </xf>
    <xf numFmtId="9" fontId="7" fillId="4" borderId="15" xfId="1" applyFont="1" applyFill="1" applyBorder="1" applyAlignment="1">
      <alignment horizontal="center"/>
    </xf>
    <xf numFmtId="0" fontId="7" fillId="0" borderId="29" xfId="0" applyFont="1" applyFill="1" applyBorder="1" applyAlignment="1">
      <alignment horizontal="center"/>
    </xf>
    <xf numFmtId="10" fontId="0" fillId="0" borderId="14" xfId="1" applyNumberFormat="1" applyFont="1" applyFill="1" applyBorder="1" applyAlignment="1">
      <alignment horizontal="center" vertical="center"/>
    </xf>
    <xf numFmtId="10" fontId="0" fillId="0" borderId="12" xfId="1" applyNumberFormat="1" applyFont="1" applyFill="1" applyBorder="1" applyAlignment="1">
      <alignment horizontal="center" vertical="center"/>
    </xf>
    <xf numFmtId="0" fontId="0" fillId="5" borderId="0" xfId="0" applyFill="1" applyAlignment="1">
      <alignment horizontal="center" vertical="center"/>
    </xf>
    <xf numFmtId="0" fontId="0" fillId="5" borderId="0" xfId="0" applyFill="1"/>
    <xf numFmtId="9" fontId="20" fillId="2" borderId="31" xfId="1" applyFont="1" applyFill="1" applyBorder="1" applyAlignment="1">
      <alignment horizontal="center" vertical="center" wrapText="1"/>
    </xf>
    <xf numFmtId="9" fontId="20" fillId="2" borderId="8" xfId="1" applyFont="1" applyFill="1" applyBorder="1" applyAlignment="1">
      <alignment horizontal="center" vertical="center" wrapText="1"/>
    </xf>
    <xf numFmtId="0" fontId="14" fillId="0" borderId="15" xfId="0" applyFont="1" applyFill="1" applyBorder="1" applyAlignment="1">
      <alignment horizontal="center" vertical="center" wrapText="1"/>
    </xf>
    <xf numFmtId="0" fontId="11" fillId="0" borderId="5" xfId="0" applyFont="1" applyBorder="1" applyAlignment="1">
      <alignment horizontal="center" vertical="center" wrapText="1"/>
    </xf>
    <xf numFmtId="0" fontId="0" fillId="2" borderId="18" xfId="0" applyFill="1" applyBorder="1" applyAlignment="1">
      <alignment horizontal="center" vertical="center"/>
    </xf>
    <xf numFmtId="0" fontId="14" fillId="0" borderId="15" xfId="0" applyFont="1" applyFill="1" applyBorder="1" applyAlignment="1">
      <alignment horizontal="center" vertical="center"/>
    </xf>
    <xf numFmtId="0" fontId="0" fillId="2" borderId="15" xfId="0" applyFill="1" applyBorder="1" applyAlignment="1">
      <alignment horizontal="center"/>
    </xf>
    <xf numFmtId="0" fontId="0" fillId="2" borderId="16" xfId="0" applyFill="1" applyBorder="1" applyAlignment="1">
      <alignment horizontal="center" vertical="center"/>
    </xf>
    <xf numFmtId="0" fontId="0" fillId="2" borderId="28" xfId="0" applyFill="1" applyBorder="1" applyAlignment="1">
      <alignment horizontal="center" vertical="center"/>
    </xf>
    <xf numFmtId="9" fontId="12" fillId="4" borderId="15" xfId="1" applyFont="1" applyFill="1" applyBorder="1" applyAlignment="1">
      <alignment horizontal="center" vertical="center"/>
    </xf>
    <xf numFmtId="0" fontId="11" fillId="0" borderId="29" xfId="0" applyFont="1" applyFill="1" applyBorder="1" applyAlignment="1">
      <alignment horizontal="center" vertical="center" wrapText="1"/>
    </xf>
    <xf numFmtId="9" fontId="12" fillId="4" borderId="11" xfId="1" applyFont="1" applyFill="1" applyBorder="1" applyAlignment="1">
      <alignment horizontal="center" vertical="center"/>
    </xf>
    <xf numFmtId="0" fontId="0" fillId="2" borderId="42" xfId="0" applyFont="1" applyFill="1" applyBorder="1" applyAlignment="1">
      <alignment horizontal="center" vertical="center"/>
    </xf>
    <xf numFmtId="0" fontId="4" fillId="2" borderId="43"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0" borderId="29" xfId="0" applyFont="1" applyBorder="1" applyAlignment="1">
      <alignment horizontal="center" vertical="center" wrapText="1"/>
    </xf>
    <xf numFmtId="0" fontId="0" fillId="4" borderId="5" xfId="0" applyFont="1" applyFill="1" applyBorder="1" applyAlignment="1">
      <alignment horizontal="center" vertical="center"/>
    </xf>
    <xf numFmtId="0" fontId="0" fillId="4" borderId="5" xfId="0" applyNumberFormat="1" applyFont="1" applyFill="1" applyBorder="1" applyAlignment="1">
      <alignment horizontal="center" vertical="center"/>
    </xf>
    <xf numFmtId="0" fontId="0" fillId="4" borderId="5" xfId="0" applyNumberFormat="1" applyFont="1" applyFill="1" applyBorder="1" applyAlignment="1">
      <alignment horizontal="center" vertical="center" wrapText="1"/>
    </xf>
    <xf numFmtId="0" fontId="0" fillId="4" borderId="17" xfId="0" applyNumberFormat="1" applyFont="1" applyFill="1" applyBorder="1" applyAlignment="1">
      <alignment horizontal="center" vertical="center" wrapText="1"/>
    </xf>
    <xf numFmtId="0" fontId="2" fillId="0" borderId="4" xfId="0" applyFont="1" applyBorder="1" applyAlignment="1">
      <alignment horizontal="center"/>
    </xf>
    <xf numFmtId="0" fontId="4" fillId="0" borderId="29" xfId="0" applyFont="1" applyBorder="1" applyAlignment="1">
      <alignment horizontal="center" vertical="center" wrapText="1"/>
    </xf>
    <xf numFmtId="0" fontId="4" fillId="0" borderId="4"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5" xfId="0" applyFont="1" applyBorder="1" applyAlignment="1">
      <alignment horizontal="center" vertical="center" wrapText="1"/>
    </xf>
    <xf numFmtId="0" fontId="7" fillId="3" borderId="29" xfId="0" applyFont="1" applyFill="1" applyBorder="1" applyAlignment="1" applyProtection="1">
      <alignment horizontal="center" vertical="center"/>
      <protection locked="0"/>
    </xf>
    <xf numFmtId="0" fontId="7" fillId="3" borderId="4" xfId="0" applyFont="1" applyFill="1" applyBorder="1" applyAlignment="1" applyProtection="1">
      <alignment horizontal="center" vertical="center"/>
      <protection locked="0"/>
    </xf>
    <xf numFmtId="0" fontId="7" fillId="3" borderId="5" xfId="0" applyFont="1" applyFill="1" applyBorder="1" applyAlignment="1" applyProtection="1">
      <alignment horizontal="center" vertical="center"/>
      <protection locked="0"/>
    </xf>
    <xf numFmtId="0" fontId="7" fillId="3" borderId="15" xfId="0" applyFont="1"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14" xfId="0" applyFill="1" applyBorder="1" applyAlignment="1" applyProtection="1">
      <alignment horizontal="center" vertical="center"/>
      <protection locked="0"/>
    </xf>
    <xf numFmtId="0" fontId="0" fillId="3" borderId="29"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11" xfId="0" applyFill="1" applyBorder="1" applyAlignment="1" applyProtection="1">
      <alignment horizontal="center" vertical="center"/>
      <protection locked="0"/>
    </xf>
    <xf numFmtId="0" fontId="0" fillId="3" borderId="12" xfId="0" applyFill="1" applyBorder="1" applyAlignment="1" applyProtection="1">
      <alignment horizontal="center" vertical="center"/>
      <protection locked="0"/>
    </xf>
    <xf numFmtId="0" fontId="0" fillId="3" borderId="5" xfId="0"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0" fontId="1" fillId="3" borderId="14" xfId="1" applyNumberFormat="1" applyFont="1" applyFill="1" applyBorder="1" applyAlignment="1" applyProtection="1">
      <alignment horizontal="center" vertical="center"/>
      <protection locked="0"/>
    </xf>
    <xf numFmtId="0" fontId="0" fillId="3" borderId="30" xfId="1" applyNumberFormat="1" applyFont="1" applyFill="1" applyBorder="1" applyAlignment="1" applyProtection="1">
      <alignment horizontal="center" vertical="center"/>
      <protection locked="0"/>
    </xf>
    <xf numFmtId="0" fontId="0" fillId="3" borderId="14" xfId="1" applyNumberFormat="1" applyFont="1" applyFill="1" applyBorder="1" applyAlignment="1" applyProtection="1">
      <alignment horizontal="center" vertical="center"/>
      <protection locked="0"/>
    </xf>
    <xf numFmtId="1" fontId="0" fillId="3" borderId="4" xfId="1" applyNumberFormat="1" applyFont="1" applyFill="1" applyBorder="1" applyAlignment="1" applyProtection="1">
      <alignment horizontal="center" vertical="center"/>
      <protection locked="0"/>
    </xf>
    <xf numFmtId="10" fontId="7" fillId="0" borderId="29" xfId="1" applyNumberFormat="1" applyFont="1" applyBorder="1" applyAlignment="1">
      <alignment horizontal="center" vertical="center"/>
    </xf>
    <xf numFmtId="10" fontId="7" fillId="0" borderId="5" xfId="1" applyNumberFormat="1" applyFont="1" applyBorder="1" applyAlignment="1">
      <alignment horizontal="center" vertical="center"/>
    </xf>
    <xf numFmtId="10" fontId="7" fillId="0" borderId="31" xfId="1" applyNumberFormat="1" applyFont="1" applyBorder="1" applyAlignment="1">
      <alignment horizontal="center" vertical="center"/>
    </xf>
    <xf numFmtId="10" fontId="7" fillId="0" borderId="19" xfId="1" applyNumberFormat="1" applyFont="1" applyBorder="1" applyAlignment="1">
      <alignment horizontal="center" vertical="center"/>
    </xf>
    <xf numFmtId="10" fontId="7" fillId="2" borderId="3" xfId="0" applyNumberFormat="1" applyFont="1" applyFill="1" applyBorder="1" applyAlignment="1">
      <alignment horizontal="center" vertical="center"/>
    </xf>
    <xf numFmtId="10" fontId="7" fillId="0" borderId="8" xfId="1" applyNumberFormat="1" applyFont="1" applyBorder="1" applyAlignment="1">
      <alignment horizontal="center" vertical="center"/>
    </xf>
    <xf numFmtId="10" fontId="7" fillId="0" borderId="11" xfId="1" applyNumberFormat="1" applyFont="1" applyBorder="1" applyAlignment="1">
      <alignment horizontal="center" vertical="center"/>
    </xf>
    <xf numFmtId="10" fontId="7" fillId="2" borderId="3" xfId="1" applyNumberFormat="1" applyFont="1" applyFill="1" applyBorder="1" applyAlignment="1">
      <alignment horizontal="center" vertical="center"/>
    </xf>
    <xf numFmtId="10" fontId="7" fillId="3" borderId="8" xfId="1" applyNumberFormat="1" applyFont="1" applyFill="1" applyBorder="1" applyAlignment="1" applyProtection="1">
      <alignment horizontal="center" vertical="center"/>
      <protection locked="0"/>
    </xf>
    <xf numFmtId="10" fontId="7" fillId="3" borderId="5" xfId="1" applyNumberFormat="1" applyFont="1" applyFill="1" applyBorder="1" applyAlignment="1" applyProtection="1">
      <alignment horizontal="center" vertical="center"/>
      <protection locked="0"/>
    </xf>
    <xf numFmtId="10" fontId="7" fillId="3" borderId="11" xfId="1" applyNumberFormat="1" applyFont="1" applyFill="1" applyBorder="1" applyAlignment="1" applyProtection="1">
      <alignment horizontal="center" vertical="center"/>
      <protection locked="0"/>
    </xf>
    <xf numFmtId="10" fontId="7" fillId="3" borderId="19" xfId="1" applyNumberFormat="1" applyFont="1" applyFill="1" applyBorder="1" applyAlignment="1" applyProtection="1">
      <alignment horizontal="center" vertical="center"/>
      <protection locked="0"/>
    </xf>
    <xf numFmtId="10" fontId="7" fillId="3" borderId="29" xfId="1" applyNumberFormat="1" applyFont="1" applyFill="1" applyBorder="1" applyAlignment="1" applyProtection="1">
      <alignment horizontal="center" vertical="center"/>
      <protection locked="0"/>
    </xf>
    <xf numFmtId="10" fontId="7" fillId="4" borderId="29" xfId="1" applyNumberFormat="1" applyFont="1" applyFill="1" applyBorder="1" applyAlignment="1">
      <alignment horizontal="center" vertical="center"/>
    </xf>
    <xf numFmtId="10" fontId="7" fillId="4" borderId="4" xfId="1" applyNumberFormat="1" applyFont="1" applyFill="1" applyBorder="1" applyAlignment="1">
      <alignment horizontal="center" vertical="center"/>
    </xf>
    <xf numFmtId="10" fontId="7" fillId="4" borderId="15" xfId="1" applyNumberFormat="1" applyFont="1" applyFill="1" applyBorder="1" applyAlignment="1">
      <alignment horizontal="center" vertical="center"/>
    </xf>
    <xf numFmtId="9" fontId="0" fillId="0" borderId="0" xfId="0" applyNumberFormat="1" applyBorder="1"/>
    <xf numFmtId="10" fontId="7" fillId="4" borderId="34" xfId="1" applyNumberFormat="1" applyFont="1" applyFill="1" applyBorder="1" applyAlignment="1">
      <alignment horizontal="center" vertical="center"/>
    </xf>
    <xf numFmtId="10" fontId="7" fillId="4" borderId="25" xfId="1" applyNumberFormat="1" applyFont="1" applyFill="1" applyBorder="1" applyAlignment="1">
      <alignment horizontal="center" vertical="center"/>
    </xf>
    <xf numFmtId="10" fontId="7" fillId="4" borderId="26" xfId="1" applyNumberFormat="1" applyFont="1" applyFill="1" applyBorder="1" applyAlignment="1">
      <alignment horizontal="center" vertical="center"/>
    </xf>
    <xf numFmtId="164" fontId="0" fillId="3" borderId="30" xfId="3" applyNumberFormat="1" applyFont="1" applyFill="1" applyBorder="1" applyAlignment="1" applyProtection="1">
      <alignment horizontal="center" vertical="center"/>
      <protection locked="0"/>
    </xf>
    <xf numFmtId="164" fontId="0" fillId="3" borderId="14" xfId="3" applyNumberFormat="1" applyFont="1" applyFill="1" applyBorder="1" applyAlignment="1" applyProtection="1">
      <alignment horizontal="center" vertical="center"/>
      <protection locked="0"/>
    </xf>
    <xf numFmtId="10" fontId="15" fillId="3" borderId="14" xfId="1" applyNumberFormat="1" applyFont="1" applyFill="1" applyBorder="1" applyAlignment="1" applyProtection="1">
      <alignment horizontal="center" vertical="center"/>
      <protection locked="0"/>
    </xf>
    <xf numFmtId="10" fontId="15" fillId="3" borderId="12" xfId="1" applyNumberFormat="1" applyFont="1" applyFill="1" applyBorder="1" applyAlignment="1" applyProtection="1">
      <alignment horizontal="center" vertical="center"/>
      <protection locked="0"/>
    </xf>
    <xf numFmtId="10" fontId="15" fillId="3" borderId="23" xfId="1" applyNumberFormat="1" applyFont="1" applyFill="1" applyBorder="1" applyAlignment="1" applyProtection="1">
      <alignment horizontal="center" vertical="center"/>
      <protection locked="0"/>
    </xf>
    <xf numFmtId="10" fontId="0" fillId="0" borderId="0" xfId="1" applyNumberFormat="1" applyFont="1"/>
    <xf numFmtId="0" fontId="11" fillId="0" borderId="29" xfId="0" applyFont="1" applyBorder="1" applyAlignment="1">
      <alignment horizontal="center" vertical="center" wrapText="1"/>
    </xf>
    <xf numFmtId="0" fontId="11" fillId="0" borderId="4" xfId="0" applyFont="1" applyBorder="1" applyAlignment="1">
      <alignment horizontal="center" vertical="center" wrapText="1"/>
    </xf>
    <xf numFmtId="0" fontId="7" fillId="4" borderId="29" xfId="0" applyFont="1" applyFill="1" applyBorder="1" applyAlignment="1">
      <alignment horizontal="center" vertical="center" wrapText="1"/>
    </xf>
    <xf numFmtId="1" fontId="0" fillId="3" borderId="29" xfId="1" applyNumberFormat="1" applyFont="1" applyFill="1" applyBorder="1" applyAlignment="1" applyProtection="1">
      <alignment horizontal="center" vertical="center"/>
      <protection locked="0"/>
    </xf>
    <xf numFmtId="10" fontId="15" fillId="0" borderId="15" xfId="1" applyNumberFormat="1" applyFont="1" applyBorder="1" applyAlignment="1">
      <alignment horizontal="center" vertical="center"/>
    </xf>
    <xf numFmtId="1" fontId="0" fillId="0" borderId="4" xfId="0" applyNumberFormat="1" applyBorder="1" applyAlignment="1">
      <alignment horizontal="center" vertical="center"/>
    </xf>
    <xf numFmtId="0" fontId="15" fillId="0" borderId="4" xfId="0" applyFont="1" applyBorder="1" applyAlignment="1">
      <alignment horizontal="center"/>
    </xf>
    <xf numFmtId="10" fontId="0" fillId="0" borderId="4" xfId="1" applyNumberFormat="1" applyFont="1" applyBorder="1" applyAlignment="1">
      <alignment horizontal="center"/>
    </xf>
    <xf numFmtId="0" fontId="2" fillId="0" borderId="29" xfId="0" applyFont="1" applyBorder="1" applyAlignment="1">
      <alignment horizontal="center" wrapText="1"/>
    </xf>
    <xf numFmtId="0" fontId="0" fillId="0" borderId="29" xfId="0" applyBorder="1"/>
    <xf numFmtId="1" fontId="0" fillId="0" borderId="29" xfId="0" applyNumberFormat="1" applyBorder="1" applyAlignment="1">
      <alignment horizontal="center" vertical="center"/>
    </xf>
    <xf numFmtId="1" fontId="0" fillId="0" borderId="30" xfId="0" applyNumberFormat="1" applyBorder="1" applyAlignment="1">
      <alignment horizontal="center" vertical="center"/>
    </xf>
    <xf numFmtId="10" fontId="0" fillId="0" borderId="14" xfId="1" applyNumberFormat="1" applyFont="1" applyBorder="1" applyAlignment="1">
      <alignment horizontal="center"/>
    </xf>
    <xf numFmtId="1" fontId="0" fillId="0" borderId="14" xfId="0" applyNumberFormat="1" applyBorder="1" applyAlignment="1">
      <alignment horizontal="center" vertical="center"/>
    </xf>
    <xf numFmtId="0" fontId="15" fillId="0" borderId="11" xfId="0" applyFont="1" applyBorder="1" applyAlignment="1">
      <alignment horizontal="center"/>
    </xf>
    <xf numFmtId="0" fontId="0" fillId="0" borderId="11" xfId="0" applyBorder="1"/>
    <xf numFmtId="10" fontId="0" fillId="0" borderId="11" xfId="1" applyNumberFormat="1" applyFont="1" applyBorder="1" applyAlignment="1">
      <alignment horizontal="center" vertical="center"/>
    </xf>
    <xf numFmtId="10" fontId="0" fillId="0" borderId="12" xfId="1" applyNumberFormat="1" applyFont="1" applyBorder="1" applyAlignment="1">
      <alignment horizontal="center" vertical="center"/>
    </xf>
    <xf numFmtId="0" fontId="0" fillId="3" borderId="15" xfId="0" applyFill="1" applyBorder="1" applyAlignment="1" applyProtection="1">
      <alignment horizontal="center" vertical="center" wrapText="1"/>
      <protection locked="0"/>
    </xf>
    <xf numFmtId="10" fontId="0" fillId="3" borderId="4" xfId="1" applyNumberFormat="1" applyFont="1" applyFill="1" applyBorder="1" applyAlignment="1" applyProtection="1">
      <alignment horizontal="center" vertical="center"/>
      <protection locked="0"/>
    </xf>
    <xf numFmtId="10" fontId="0" fillId="3" borderId="14" xfId="1" applyNumberFormat="1" applyFont="1" applyFill="1" applyBorder="1" applyAlignment="1" applyProtection="1">
      <alignment horizontal="center" vertical="center"/>
      <protection locked="0"/>
    </xf>
    <xf numFmtId="10" fontId="0" fillId="3" borderId="11" xfId="1" applyNumberFormat="1" applyFont="1" applyFill="1" applyBorder="1" applyAlignment="1" applyProtection="1">
      <alignment horizontal="center" vertical="center"/>
      <protection locked="0"/>
    </xf>
    <xf numFmtId="10" fontId="0" fillId="3" borderId="12" xfId="1" applyNumberFormat="1" applyFont="1" applyFill="1" applyBorder="1" applyAlignment="1" applyProtection="1">
      <alignment horizontal="center" vertical="center"/>
      <protection locked="0"/>
    </xf>
    <xf numFmtId="10" fontId="0" fillId="3" borderId="15" xfId="1" applyNumberFormat="1" applyFont="1" applyFill="1" applyBorder="1" applyAlignment="1" applyProtection="1">
      <alignment horizontal="center" vertical="center"/>
      <protection locked="0"/>
    </xf>
    <xf numFmtId="10" fontId="0" fillId="3" borderId="23" xfId="1" applyNumberFormat="1" applyFont="1" applyFill="1" applyBorder="1" applyAlignment="1" applyProtection="1">
      <alignment horizontal="center" vertical="center"/>
      <protection locked="0"/>
    </xf>
    <xf numFmtId="0" fontId="0" fillId="3" borderId="29" xfId="0" quotePrefix="1" applyFill="1" applyBorder="1" applyAlignment="1" applyProtection="1">
      <alignment horizontal="center" vertical="center"/>
      <protection locked="0"/>
    </xf>
    <xf numFmtId="0" fontId="0" fillId="3" borderId="23" xfId="0" applyFill="1" applyBorder="1" applyAlignment="1" applyProtection="1">
      <alignment horizontal="center" vertical="center" wrapText="1"/>
      <protection locked="0"/>
    </xf>
    <xf numFmtId="4" fontId="25" fillId="4" borderId="4" xfId="1" applyNumberFormat="1" applyFont="1" applyFill="1" applyBorder="1" applyAlignment="1" applyProtection="1">
      <alignment horizontal="center" vertical="center"/>
    </xf>
    <xf numFmtId="4" fontId="25" fillId="4" borderId="14" xfId="1" applyNumberFormat="1" applyFont="1" applyFill="1" applyBorder="1" applyAlignment="1" applyProtection="1">
      <alignment horizontal="center" vertical="center"/>
    </xf>
    <xf numFmtId="0" fontId="0" fillId="0" borderId="4" xfId="0" applyBorder="1" applyAlignment="1">
      <alignment horizontal="center" vertical="center" wrapText="1"/>
    </xf>
    <xf numFmtId="0" fontId="11" fillId="0" borderId="4" xfId="0" applyFont="1" applyBorder="1" applyAlignment="1">
      <alignment horizontal="center" vertical="center" wrapText="1"/>
    </xf>
    <xf numFmtId="0" fontId="27" fillId="0" borderId="0" xfId="4" applyFont="1" applyFill="1" applyBorder="1" applyAlignment="1" applyProtection="1">
      <alignment vertical="center" wrapText="1"/>
      <protection locked="0"/>
    </xf>
    <xf numFmtId="0" fontId="29" fillId="0" borderId="0" xfId="4" applyFont="1" applyFill="1" applyBorder="1" applyAlignment="1" applyProtection="1">
      <alignment horizontal="center" vertical="center" wrapText="1"/>
      <protection locked="0"/>
    </xf>
    <xf numFmtId="0" fontId="29" fillId="4" borderId="51" xfId="4" applyFont="1" applyFill="1" applyBorder="1" applyAlignment="1" applyProtection="1">
      <alignment horizontal="center" vertical="center" wrapText="1"/>
    </xf>
    <xf numFmtId="0" fontId="27" fillId="0" borderId="0" xfId="4" applyFont="1" applyFill="1" applyBorder="1" applyAlignment="1" applyProtection="1">
      <alignment vertical="center"/>
      <protection locked="0"/>
    </xf>
    <xf numFmtId="0" fontId="27" fillId="0" borderId="0" xfId="4" applyFont="1" applyBorder="1" applyAlignment="1" applyProtection="1">
      <alignment vertical="center"/>
      <protection locked="0"/>
    </xf>
    <xf numFmtId="0" fontId="28" fillId="0" borderId="14" xfId="4" applyFont="1" applyFill="1" applyBorder="1" applyAlignment="1" applyProtection="1">
      <alignment horizontal="center" vertical="center" wrapText="1"/>
    </xf>
    <xf numFmtId="0" fontId="31" fillId="0" borderId="21" xfId="0" applyFont="1" applyFill="1" applyBorder="1" applyAlignment="1" applyProtection="1">
      <alignment horizontal="left" vertical="center" wrapText="1"/>
    </xf>
    <xf numFmtId="0" fontId="30" fillId="0" borderId="4" xfId="0" applyFont="1" applyFill="1" applyBorder="1" applyAlignment="1" applyProtection="1">
      <alignment horizontal="left" vertical="center" wrapText="1"/>
    </xf>
    <xf numFmtId="0" fontId="28" fillId="0" borderId="46" xfId="4" applyFont="1" applyFill="1" applyBorder="1" applyAlignment="1" applyProtection="1">
      <alignment horizontal="left" vertical="center" wrapText="1"/>
    </xf>
    <xf numFmtId="4" fontId="30" fillId="3" borderId="4" xfId="4" applyNumberFormat="1" applyFont="1" applyFill="1" applyBorder="1" applyAlignment="1" applyProtection="1">
      <alignment horizontal="right" vertical="center"/>
      <protection locked="0"/>
    </xf>
    <xf numFmtId="4" fontId="30" fillId="0" borderId="4" xfId="4" applyNumberFormat="1" applyFont="1" applyFill="1" applyBorder="1" applyAlignment="1" applyProtection="1">
      <alignment horizontal="right" vertical="center"/>
    </xf>
    <xf numFmtId="4" fontId="30" fillId="0" borderId="14" xfId="4" applyNumberFormat="1" applyFont="1" applyFill="1" applyBorder="1" applyAlignment="1" applyProtection="1">
      <alignment horizontal="right" vertical="center"/>
    </xf>
    <xf numFmtId="0" fontId="27" fillId="0" borderId="0" xfId="4" applyFont="1" applyBorder="1" applyAlignment="1" applyProtection="1">
      <alignment vertical="center" wrapText="1"/>
      <protection locked="0"/>
    </xf>
    <xf numFmtId="0" fontId="28" fillId="0" borderId="49" xfId="4" applyFont="1" applyFill="1" applyBorder="1" applyAlignment="1" applyProtection="1">
      <alignment horizontal="left" vertical="center" wrapText="1"/>
    </xf>
    <xf numFmtId="0" fontId="27" fillId="0" borderId="45" xfId="4" applyFont="1" applyFill="1" applyBorder="1" applyAlignment="1" applyProtection="1">
      <alignment horizontal="left" vertical="center" wrapText="1"/>
    </xf>
    <xf numFmtId="0" fontId="31" fillId="0" borderId="39" xfId="0" applyFont="1" applyFill="1" applyBorder="1" applyAlignment="1" applyProtection="1">
      <alignment horizontal="left" vertical="center" wrapText="1"/>
    </xf>
    <xf numFmtId="0" fontId="30" fillId="0" borderId="15" xfId="0" applyFont="1" applyFill="1" applyBorder="1" applyAlignment="1" applyProtection="1">
      <alignment horizontal="left" vertical="center" wrapText="1"/>
    </xf>
    <xf numFmtId="0" fontId="28" fillId="0" borderId="39" xfId="4" applyFont="1" applyFill="1" applyBorder="1" applyAlignment="1" applyProtection="1">
      <alignment horizontal="left" vertical="center" wrapText="1"/>
    </xf>
    <xf numFmtId="0" fontId="27" fillId="0" borderId="15" xfId="4" applyFont="1" applyFill="1" applyBorder="1" applyAlignment="1" applyProtection="1">
      <alignment horizontal="left" vertical="center" wrapText="1"/>
    </xf>
    <xf numFmtId="4" fontId="30" fillId="0" borderId="15" xfId="4" applyNumberFormat="1" applyFont="1" applyFill="1" applyBorder="1" applyAlignment="1" applyProtection="1">
      <alignment horizontal="right" vertical="center"/>
    </xf>
    <xf numFmtId="4" fontId="30" fillId="0" borderId="23" xfId="4" applyNumberFormat="1" applyFont="1" applyFill="1" applyBorder="1" applyAlignment="1" applyProtection="1">
      <alignment horizontal="right" vertical="center"/>
    </xf>
    <xf numFmtId="0" fontId="27" fillId="0" borderId="0" xfId="4" applyFont="1" applyFill="1" applyBorder="1" applyAlignment="1" applyProtection="1">
      <alignment horizontal="center" vertical="center"/>
      <protection locked="0"/>
    </xf>
    <xf numFmtId="0" fontId="27" fillId="0" borderId="0" xfId="4" applyFont="1" applyFill="1" applyBorder="1" applyAlignment="1" applyProtection="1">
      <alignment horizontal="left" vertical="center"/>
      <protection locked="0"/>
    </xf>
    <xf numFmtId="0" fontId="27" fillId="0" borderId="0" xfId="4" applyFont="1" applyFill="1" applyBorder="1" applyAlignment="1" applyProtection="1">
      <alignment vertical="center" wrapText="1"/>
    </xf>
    <xf numFmtId="0" fontId="27" fillId="0" borderId="0" xfId="4" applyFont="1" applyBorder="1" applyAlignment="1" applyProtection="1">
      <alignment vertical="center" wrapText="1"/>
    </xf>
    <xf numFmtId="0" fontId="27" fillId="0" borderId="0" xfId="4" applyFont="1" applyFill="1" applyBorder="1" applyAlignment="1" applyProtection="1">
      <alignment vertical="center"/>
    </xf>
    <xf numFmtId="0" fontId="27" fillId="0" borderId="0" xfId="4" applyFont="1" applyBorder="1" applyAlignment="1" applyProtection="1">
      <alignment vertical="center"/>
    </xf>
    <xf numFmtId="0" fontId="29" fillId="4" borderId="52" xfId="4" applyFont="1" applyFill="1" applyBorder="1" applyAlignment="1" applyProtection="1">
      <alignment horizontal="center" vertical="center" wrapText="1"/>
    </xf>
    <xf numFmtId="0" fontId="27" fillId="4" borderId="13" xfId="4" applyFont="1" applyFill="1" applyBorder="1" applyAlignment="1" applyProtection="1">
      <alignment horizontal="center" vertical="center"/>
    </xf>
    <xf numFmtId="0" fontId="0" fillId="0" borderId="4" xfId="0" applyBorder="1" applyAlignment="1">
      <alignment horizontal="center" vertical="center"/>
    </xf>
    <xf numFmtId="0" fontId="9" fillId="0" borderId="0" xfId="0" applyFont="1" applyAlignment="1">
      <alignment horizontal="center" vertical="center" wrapText="1"/>
    </xf>
    <xf numFmtId="0" fontId="0" fillId="4" borderId="4" xfId="0" applyFont="1" applyFill="1" applyBorder="1" applyAlignment="1">
      <alignment horizontal="center" vertical="center"/>
    </xf>
    <xf numFmtId="0" fontId="0" fillId="4" borderId="4" xfId="0" applyFont="1" applyFill="1" applyBorder="1" applyAlignment="1">
      <alignment horizontal="center" vertical="center" wrapText="1"/>
    </xf>
    <xf numFmtId="0" fontId="0" fillId="0" borderId="4" xfId="0" applyBorder="1" applyAlignment="1">
      <alignment horizontal="center"/>
    </xf>
    <xf numFmtId="16" fontId="0" fillId="0" borderId="4" xfId="0" applyNumberFormat="1" applyBorder="1" applyAlignment="1">
      <alignment horizontal="center"/>
    </xf>
    <xf numFmtId="0" fontId="9" fillId="4" borderId="28" xfId="0" applyFont="1" applyFill="1" applyBorder="1" applyAlignment="1">
      <alignment horizontal="center"/>
    </xf>
    <xf numFmtId="0" fontId="9" fillId="4" borderId="30" xfId="0" applyFont="1" applyFill="1" applyBorder="1" applyAlignment="1">
      <alignment horizontal="center"/>
    </xf>
    <xf numFmtId="0" fontId="2" fillId="0" borderId="13" xfId="0" applyFont="1" applyBorder="1" applyAlignment="1">
      <alignment horizontal="center" vertical="center"/>
    </xf>
    <xf numFmtId="0" fontId="0" fillId="0" borderId="53" xfId="0" applyBorder="1" applyAlignment="1">
      <alignment horizontal="left" vertical="center" wrapText="1"/>
    </xf>
    <xf numFmtId="0" fontId="2" fillId="0" borderId="13" xfId="0" applyFont="1" applyBorder="1" applyAlignment="1">
      <alignment horizontal="center"/>
    </xf>
    <xf numFmtId="0" fontId="0" fillId="0" borderId="14" xfId="0" applyBorder="1"/>
    <xf numFmtId="0" fontId="2" fillId="0" borderId="18" xfId="0" applyFont="1" applyBorder="1" applyAlignment="1">
      <alignment horizontal="center"/>
    </xf>
    <xf numFmtId="0" fontId="0" fillId="0" borderId="23" xfId="0" applyBorder="1"/>
    <xf numFmtId="0" fontId="2" fillId="0" borderId="16" xfId="0" applyFont="1" applyBorder="1" applyAlignment="1">
      <alignment horizontal="center" vertical="center"/>
    </xf>
    <xf numFmtId="0" fontId="0" fillId="0" borderId="17" xfId="0" applyFont="1" applyFill="1" applyBorder="1" applyAlignment="1">
      <alignment horizontal="left" vertical="center" wrapText="1"/>
    </xf>
    <xf numFmtId="0" fontId="0" fillId="0" borderId="14" xfId="0" applyFont="1" applyFill="1" applyBorder="1" applyAlignment="1">
      <alignment horizontal="left" vertical="center" wrapText="1"/>
    </xf>
    <xf numFmtId="0" fontId="2" fillId="0" borderId="13" xfId="0" applyFont="1" applyBorder="1" applyAlignment="1">
      <alignment horizontal="center" vertical="center" wrapText="1"/>
    </xf>
    <xf numFmtId="0" fontId="2" fillId="0" borderId="13" xfId="0" applyFont="1" applyFill="1" applyBorder="1" applyAlignment="1">
      <alignment horizontal="center" wrapText="1"/>
    </xf>
    <xf numFmtId="0" fontId="0" fillId="0" borderId="14" xfId="0" applyBorder="1" applyAlignment="1">
      <alignment wrapText="1"/>
    </xf>
    <xf numFmtId="0" fontId="2" fillId="0" borderId="13" xfId="0" applyFont="1" applyFill="1" applyBorder="1" applyAlignment="1">
      <alignment horizontal="center" vertical="center" wrapText="1"/>
    </xf>
    <xf numFmtId="0" fontId="0" fillId="0" borderId="14" xfId="0" applyBorder="1" applyAlignment="1">
      <alignment vertical="center"/>
    </xf>
    <xf numFmtId="0" fontId="0" fillId="0" borderId="14" xfId="0" applyBorder="1" applyAlignment="1">
      <alignment vertical="center" wrapText="1"/>
    </xf>
    <xf numFmtId="0" fontId="0" fillId="0" borderId="14" xfId="0" applyFill="1" applyBorder="1" applyAlignment="1">
      <alignment horizontal="left" vertical="center" wrapText="1"/>
    </xf>
    <xf numFmtId="0" fontId="10" fillId="0" borderId="1" xfId="0" applyFont="1" applyBorder="1" applyAlignment="1">
      <alignment horizontal="right" vertical="center"/>
    </xf>
    <xf numFmtId="0" fontId="2" fillId="0" borderId="4" xfId="0" applyFont="1" applyFill="1" applyBorder="1" applyAlignment="1">
      <alignment horizontal="center"/>
    </xf>
    <xf numFmtId="0" fontId="7" fillId="0" borderId="5" xfId="0" applyFont="1" applyFill="1" applyBorder="1" applyAlignment="1">
      <alignment horizontal="center" vertical="center"/>
    </xf>
    <xf numFmtId="0" fontId="0" fillId="0" borderId="4" xfId="0" applyBorder="1" applyAlignment="1">
      <alignment horizontal="left" vertical="center"/>
    </xf>
    <xf numFmtId="0" fontId="11" fillId="0" borderId="16" xfId="0" applyFont="1" applyFill="1" applyBorder="1" applyAlignment="1">
      <alignment horizontal="center"/>
    </xf>
    <xf numFmtId="0" fontId="11" fillId="0" borderId="5" xfId="0" applyFont="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2" fillId="0" borderId="29" xfId="0" applyFont="1" applyBorder="1" applyAlignment="1">
      <alignment horizontal="center" vertical="center"/>
    </xf>
    <xf numFmtId="0" fontId="0" fillId="4" borderId="29" xfId="0" applyFill="1" applyBorder="1"/>
    <xf numFmtId="9" fontId="15" fillId="0" borderId="4" xfId="1" applyFont="1" applyBorder="1" applyAlignment="1">
      <alignment horizontal="center" wrapText="1"/>
    </xf>
    <xf numFmtId="0" fontId="0" fillId="2" borderId="23" xfId="0" applyFill="1" applyBorder="1" applyAlignment="1">
      <alignment horizontal="center"/>
    </xf>
    <xf numFmtId="9" fontId="15" fillId="0" borderId="11" xfId="1" applyFont="1" applyBorder="1" applyAlignment="1">
      <alignment horizontal="center" wrapText="1"/>
    </xf>
    <xf numFmtId="0" fontId="0" fillId="2" borderId="42" xfId="0" applyFill="1" applyBorder="1" applyAlignment="1">
      <alignment horizontal="center" vertical="center"/>
    </xf>
    <xf numFmtId="0" fontId="2" fillId="0" borderId="29" xfId="0" applyFont="1" applyBorder="1" applyAlignment="1">
      <alignment horizontal="center"/>
    </xf>
    <xf numFmtId="0" fontId="2" fillId="0" borderId="4" xfId="0" applyFont="1" applyBorder="1" applyAlignment="1">
      <alignment horizontal="center" wrapText="1"/>
    </xf>
    <xf numFmtId="0" fontId="10" fillId="0" borderId="0" xfId="0" applyFont="1" applyAlignment="1">
      <alignment horizontal="right"/>
    </xf>
    <xf numFmtId="0" fontId="10" fillId="0" borderId="1" xfId="0" applyFont="1" applyBorder="1" applyAlignment="1">
      <alignment horizontal="right" vertical="center"/>
    </xf>
    <xf numFmtId="0" fontId="10" fillId="0" borderId="0" xfId="0" applyFont="1" applyBorder="1" applyAlignment="1">
      <alignment horizontal="right" vertical="center"/>
    </xf>
    <xf numFmtId="0" fontId="15" fillId="0" borderId="4" xfId="0" applyFont="1" applyBorder="1" applyAlignment="1">
      <alignment horizontal="center" vertical="center" wrapText="1"/>
    </xf>
    <xf numFmtId="9" fontId="2" fillId="0" borderId="4" xfId="1" applyFont="1" applyBorder="1" applyAlignment="1">
      <alignment horizontal="center" wrapText="1"/>
    </xf>
    <xf numFmtId="0" fontId="2" fillId="0" borderId="56" xfId="0" applyFont="1" applyBorder="1" applyAlignment="1">
      <alignment horizontal="center" vertical="center" wrapText="1"/>
    </xf>
    <xf numFmtId="0" fontId="2" fillId="0" borderId="51" xfId="0" applyFont="1" applyBorder="1" applyAlignment="1">
      <alignment horizontal="center" vertical="center" wrapText="1"/>
    </xf>
    <xf numFmtId="0" fontId="15" fillId="0" borderId="51" xfId="0" applyFont="1" applyBorder="1" applyAlignment="1">
      <alignment horizontal="center" vertical="center" wrapText="1"/>
    </xf>
    <xf numFmtId="9" fontId="15" fillId="0" borderId="38" xfId="1" applyFont="1" applyBorder="1" applyAlignment="1">
      <alignment horizontal="center" wrapText="1"/>
    </xf>
    <xf numFmtId="0" fontId="2" fillId="0" borderId="56" xfId="0" applyFont="1" applyBorder="1" applyAlignment="1">
      <alignment horizontal="center" wrapText="1"/>
    </xf>
    <xf numFmtId="0" fontId="0" fillId="0" borderId="4" xfId="0" applyFill="1" applyBorder="1" applyAlignment="1">
      <alignment horizontal="center"/>
    </xf>
    <xf numFmtId="0" fontId="2" fillId="0" borderId="19" xfId="0" applyFont="1" applyBorder="1" applyAlignment="1">
      <alignment horizontal="center"/>
    </xf>
    <xf numFmtId="0" fontId="2" fillId="0" borderId="29" xfId="0" applyFont="1" applyFill="1" applyBorder="1" applyAlignment="1">
      <alignment horizontal="center"/>
    </xf>
    <xf numFmtId="0" fontId="15" fillId="0" borderId="11" xfId="0" applyFont="1" applyBorder="1" applyAlignment="1">
      <alignment horizontal="center" vertical="center" wrapText="1"/>
    </xf>
    <xf numFmtId="9" fontId="2" fillId="0" borderId="11" xfId="1" applyFont="1" applyBorder="1" applyAlignment="1">
      <alignment horizontal="center" wrapText="1"/>
    </xf>
    <xf numFmtId="0" fontId="0" fillId="2" borderId="7" xfId="0" applyFill="1" applyBorder="1" applyAlignment="1">
      <alignment horizontal="center" vertical="center"/>
    </xf>
    <xf numFmtId="0" fontId="2" fillId="0" borderId="8" xfId="0" applyFont="1" applyBorder="1" applyAlignment="1">
      <alignment horizontal="center"/>
    </xf>
    <xf numFmtId="0" fontId="0" fillId="2" borderId="8" xfId="0" applyFill="1" applyBorder="1"/>
    <xf numFmtId="9" fontId="2" fillId="0" borderId="29" xfId="1" applyFont="1" applyBorder="1" applyAlignment="1">
      <alignment horizontal="center" wrapText="1"/>
    </xf>
    <xf numFmtId="0" fontId="0" fillId="2" borderId="18" xfId="0" applyFill="1" applyBorder="1" applyAlignment="1">
      <alignment horizontal="center"/>
    </xf>
    <xf numFmtId="0" fontId="0" fillId="2" borderId="59" xfId="0" applyFill="1" applyBorder="1" applyAlignment="1">
      <alignment horizontal="center"/>
    </xf>
    <xf numFmtId="0" fontId="0" fillId="0" borderId="4" xfId="0" applyFont="1" applyFill="1" applyBorder="1" applyAlignment="1">
      <alignment horizontal="center" vertical="center" wrapText="1"/>
    </xf>
    <xf numFmtId="0" fontId="10" fillId="0" borderId="0" xfId="0" applyFont="1" applyAlignment="1">
      <alignment vertical="center"/>
    </xf>
    <xf numFmtId="0" fontId="7" fillId="0" borderId="4" xfId="0" applyFont="1" applyFill="1" applyBorder="1" applyAlignment="1">
      <alignment horizontal="left" wrapText="1"/>
    </xf>
    <xf numFmtId="0" fontId="0" fillId="2" borderId="4" xfId="0" applyFont="1" applyFill="1" applyBorder="1" applyAlignment="1">
      <alignment horizontal="center" vertical="center" wrapText="1"/>
    </xf>
    <xf numFmtId="0" fontId="0" fillId="0" borderId="4" xfId="0" applyFont="1" applyFill="1" applyBorder="1" applyAlignment="1">
      <alignment horizontal="center" vertical="center"/>
    </xf>
    <xf numFmtId="0" fontId="2" fillId="0" borderId="0" xfId="0" applyFont="1"/>
    <xf numFmtId="0" fontId="11" fillId="0" borderId="4" xfId="0" applyFont="1" applyFill="1" applyBorder="1" applyAlignment="1">
      <alignment horizontal="center" vertical="center" wrapText="1"/>
    </xf>
    <xf numFmtId="0" fontId="7" fillId="2" borderId="4" xfId="0" applyFont="1" applyFill="1" applyBorder="1" applyAlignment="1">
      <alignment horizontal="center" vertical="center"/>
    </xf>
    <xf numFmtId="0" fontId="11" fillId="0" borderId="5" xfId="0" applyFont="1" applyFill="1" applyBorder="1" applyAlignment="1">
      <alignment horizontal="center" vertical="center" wrapText="1"/>
    </xf>
    <xf numFmtId="0" fontId="11" fillId="0" borderId="61" xfId="0" applyFont="1" applyFill="1" applyBorder="1" applyAlignment="1">
      <alignment horizontal="center" vertical="center" wrapText="1"/>
    </xf>
    <xf numFmtId="0" fontId="11" fillId="0" borderId="19" xfId="0" applyFont="1" applyFill="1" applyBorder="1" applyAlignment="1">
      <alignment horizontal="center" vertical="center" wrapText="1"/>
    </xf>
    <xf numFmtId="0" fontId="11" fillId="0" borderId="57" xfId="0" applyFont="1" applyFill="1" applyBorder="1" applyAlignment="1">
      <alignment horizontal="center" vertical="center" wrapText="1"/>
    </xf>
    <xf numFmtId="0" fontId="0" fillId="0" borderId="0" xfId="0" applyFont="1" applyAlignment="1">
      <alignment horizontal="center" vertical="center"/>
    </xf>
    <xf numFmtId="0" fontId="0" fillId="0" borderId="1" xfId="0" applyFont="1" applyBorder="1" applyAlignment="1">
      <alignment horizontal="center" vertical="center"/>
    </xf>
    <xf numFmtId="0" fontId="0" fillId="0" borderId="0" xfId="0" applyFont="1" applyFill="1" applyBorder="1"/>
    <xf numFmtId="0" fontId="7" fillId="0" borderId="4" xfId="0" applyFont="1" applyBorder="1" applyAlignment="1">
      <alignment vertical="center" wrapText="1"/>
    </xf>
    <xf numFmtId="0" fontId="7" fillId="0" borderId="0" xfId="0" applyFont="1" applyFill="1" applyBorder="1"/>
    <xf numFmtId="0" fontId="11" fillId="0" borderId="0" xfId="0" applyFont="1" applyFill="1" applyBorder="1" applyAlignment="1">
      <alignment horizontal="center"/>
    </xf>
    <xf numFmtId="0" fontId="34" fillId="0" borderId="0" xfId="0" applyFont="1" applyFill="1" applyBorder="1" applyAlignment="1">
      <alignment vertical="top" wrapText="1"/>
    </xf>
    <xf numFmtId="0" fontId="11" fillId="2" borderId="21" xfId="0" applyFont="1" applyFill="1" applyBorder="1" applyAlignment="1">
      <alignment horizontal="center"/>
    </xf>
    <xf numFmtId="0" fontId="34" fillId="2" borderId="21" xfId="0" applyFont="1" applyFill="1" applyBorder="1" applyAlignment="1">
      <alignment vertical="top" wrapText="1"/>
    </xf>
    <xf numFmtId="0" fontId="34" fillId="2" borderId="36" xfId="0" applyFont="1" applyFill="1" applyBorder="1" applyAlignment="1">
      <alignment vertical="top" wrapText="1"/>
    </xf>
    <xf numFmtId="169" fontId="11" fillId="0" borderId="51" xfId="0" applyNumberFormat="1" applyFont="1" applyBorder="1" applyAlignment="1">
      <alignment horizontal="center" vertical="center" wrapText="1"/>
    </xf>
    <xf numFmtId="169" fontId="0" fillId="0" borderId="0" xfId="0" applyNumberFormat="1" applyFont="1" applyAlignment="1">
      <alignment horizontal="center" vertical="center"/>
    </xf>
    <xf numFmtId="0" fontId="0" fillId="2" borderId="4" xfId="0" applyFont="1" applyFill="1" applyBorder="1" applyAlignment="1">
      <alignment horizontal="center" wrapText="1"/>
    </xf>
    <xf numFmtId="0" fontId="0" fillId="0" borderId="0" xfId="0" applyFont="1" applyAlignment="1">
      <alignment wrapText="1"/>
    </xf>
    <xf numFmtId="0" fontId="0" fillId="0" borderId="15" xfId="0" applyFont="1" applyFill="1" applyBorder="1" applyAlignment="1">
      <alignment horizontal="center" vertical="center" wrapText="1"/>
    </xf>
    <xf numFmtId="0" fontId="0" fillId="0" borderId="0" xfId="0" applyFont="1" applyBorder="1" applyAlignment="1">
      <alignment horizontal="center" vertical="center"/>
    </xf>
    <xf numFmtId="169" fontId="0" fillId="0" borderId="0" xfId="0" applyNumberFormat="1" applyAlignment="1">
      <alignment horizontal="center"/>
    </xf>
    <xf numFmtId="165" fontId="9" fillId="0" borderId="4" xfId="0" applyNumberFormat="1" applyFont="1" applyFill="1" applyBorder="1" applyAlignment="1">
      <alignment horizontal="center" vertical="center"/>
    </xf>
    <xf numFmtId="1" fontId="9" fillId="0" borderId="4" xfId="0" applyNumberFormat="1" applyFont="1" applyFill="1" applyBorder="1" applyAlignment="1">
      <alignment horizontal="center" vertical="center"/>
    </xf>
    <xf numFmtId="2" fontId="9" fillId="0" borderId="4" xfId="0" applyNumberFormat="1" applyFont="1" applyFill="1" applyBorder="1" applyAlignment="1">
      <alignment horizontal="center" vertical="center"/>
    </xf>
    <xf numFmtId="1" fontId="2" fillId="0" borderId="4" xfId="0" applyNumberFormat="1" applyFont="1" applyBorder="1" applyAlignment="1">
      <alignment horizontal="center" vertical="center"/>
    </xf>
    <xf numFmtId="49" fontId="7" fillId="0" borderId="4" xfId="0" applyNumberFormat="1" applyFont="1" applyBorder="1" applyAlignment="1">
      <alignment horizontal="center"/>
    </xf>
    <xf numFmtId="0" fontId="7" fillId="2" borderId="4" xfId="0" applyFont="1" applyFill="1" applyBorder="1"/>
    <xf numFmtId="169" fontId="7" fillId="3" borderId="4"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center" vertical="center"/>
      <protection locked="0"/>
    </xf>
    <xf numFmtId="165" fontId="7" fillId="3" borderId="4" xfId="0" applyNumberFormat="1" applyFont="1" applyFill="1" applyBorder="1" applyAlignment="1" applyProtection="1">
      <alignment horizontal="center" vertical="center"/>
      <protection locked="0"/>
    </xf>
    <xf numFmtId="2" fontId="7" fillId="3" borderId="4" xfId="0" applyNumberFormat="1" applyFont="1" applyFill="1" applyBorder="1" applyAlignment="1" applyProtection="1">
      <alignment horizontal="center" vertical="center"/>
      <protection locked="0"/>
    </xf>
    <xf numFmtId="2" fontId="0" fillId="3" borderId="4" xfId="0" applyNumberFormat="1" applyFont="1" applyFill="1" applyBorder="1" applyAlignment="1" applyProtection="1">
      <alignment horizontal="center" vertical="center"/>
      <protection locked="0"/>
    </xf>
    <xf numFmtId="9" fontId="15" fillId="0" borderId="12" xfId="1" applyFont="1" applyBorder="1" applyAlignment="1">
      <alignment horizontal="center" vertical="center"/>
    </xf>
    <xf numFmtId="0" fontId="0" fillId="5" borderId="61" xfId="0" applyFill="1" applyBorder="1"/>
    <xf numFmtId="0" fontId="0" fillId="5" borderId="60" xfId="0" applyFill="1" applyBorder="1"/>
    <xf numFmtId="0" fontId="0" fillId="5" borderId="36" xfId="0" applyFill="1" applyBorder="1"/>
    <xf numFmtId="0" fontId="2" fillId="7" borderId="51" xfId="0" applyFont="1" applyFill="1" applyBorder="1" applyAlignment="1">
      <alignment horizontal="center" vertical="center"/>
    </xf>
    <xf numFmtId="0" fontId="2" fillId="7" borderId="21" xfId="0" applyFont="1" applyFill="1" applyBorder="1" applyAlignment="1">
      <alignment horizontal="center" vertical="center"/>
    </xf>
    <xf numFmtId="1" fontId="0" fillId="3" borderId="30" xfId="0" applyNumberFormat="1" applyFill="1" applyBorder="1" applyAlignment="1" applyProtection="1">
      <alignment horizontal="center" vertical="center"/>
      <protection locked="0"/>
    </xf>
    <xf numFmtId="1" fontId="0" fillId="3" borderId="4" xfId="0" applyNumberFormat="1" applyFill="1" applyBorder="1" applyAlignment="1" applyProtection="1">
      <alignment horizontal="center" vertical="center"/>
      <protection locked="0"/>
    </xf>
    <xf numFmtId="10" fontId="15" fillId="0" borderId="14" xfId="1" applyNumberFormat="1" applyFont="1" applyFill="1" applyBorder="1" applyAlignment="1">
      <alignment horizontal="center" vertical="center"/>
    </xf>
    <xf numFmtId="1" fontId="0" fillId="3" borderId="14" xfId="0" applyNumberFormat="1" applyFill="1" applyBorder="1" applyAlignment="1" applyProtection="1">
      <alignment horizontal="center" vertical="center"/>
      <protection locked="0"/>
    </xf>
    <xf numFmtId="10" fontId="15" fillId="0" borderId="14" xfId="1" applyNumberFormat="1" applyFont="1" applyBorder="1" applyAlignment="1">
      <alignment horizontal="center"/>
    </xf>
    <xf numFmtId="0" fontId="31" fillId="0" borderId="49" xfId="4" applyFont="1" applyFill="1" applyBorder="1" applyAlignment="1" applyProtection="1">
      <alignment horizontal="left" vertical="center" wrapText="1"/>
    </xf>
    <xf numFmtId="0" fontId="0" fillId="5" borderId="0" xfId="0" applyFill="1" applyBorder="1"/>
    <xf numFmtId="0" fontId="22" fillId="6" borderId="4" xfId="2" applyBorder="1" applyAlignment="1">
      <alignment horizontal="center"/>
    </xf>
    <xf numFmtId="10" fontId="15" fillId="3" borderId="14" xfId="1" applyNumberFormat="1" applyFont="1" applyFill="1" applyBorder="1" applyAlignment="1" applyProtection="1">
      <alignment horizontal="center"/>
      <protection locked="0"/>
    </xf>
    <xf numFmtId="170" fontId="0" fillId="3" borderId="17" xfId="0" applyNumberFormat="1" applyFill="1" applyBorder="1" applyAlignment="1" applyProtection="1">
      <alignment horizontal="center" vertical="center"/>
      <protection locked="0"/>
    </xf>
    <xf numFmtId="10" fontId="15" fillId="3" borderId="17" xfId="1" applyNumberFormat="1" applyFont="1" applyFill="1" applyBorder="1" applyAlignment="1" applyProtection="1">
      <alignment horizontal="center" vertical="center"/>
      <protection locked="0"/>
    </xf>
    <xf numFmtId="170" fontId="0" fillId="3" borderId="14" xfId="3" applyNumberFormat="1" applyFont="1" applyFill="1" applyBorder="1" applyAlignment="1" applyProtection="1">
      <alignment horizontal="center" vertical="center"/>
      <protection locked="0"/>
    </xf>
    <xf numFmtId="170" fontId="0" fillId="3" borderId="14" xfId="0" applyNumberFormat="1" applyFill="1" applyBorder="1" applyAlignment="1" applyProtection="1">
      <alignment horizontal="center" vertical="center"/>
      <protection locked="0"/>
    </xf>
    <xf numFmtId="9" fontId="0" fillId="3" borderId="14" xfId="1" applyFont="1" applyFill="1" applyBorder="1" applyAlignment="1" applyProtection="1">
      <alignment horizontal="center" vertical="center"/>
      <protection locked="0"/>
    </xf>
    <xf numFmtId="10" fontId="15" fillId="3" borderId="12" xfId="1" applyNumberFormat="1" applyFont="1" applyFill="1" applyBorder="1" applyAlignment="1" applyProtection="1">
      <alignment horizontal="center"/>
      <protection locked="0"/>
    </xf>
    <xf numFmtId="10" fontId="0" fillId="3" borderId="9" xfId="1" applyNumberFormat="1" applyFont="1" applyFill="1" applyBorder="1" applyAlignment="1" applyProtection="1">
      <alignment horizontal="center" vertical="center"/>
      <protection locked="0"/>
    </xf>
    <xf numFmtId="1" fontId="0" fillId="3" borderId="4" xfId="0" applyNumberFormat="1" applyFill="1" applyBorder="1" applyProtection="1">
      <protection locked="0"/>
    </xf>
    <xf numFmtId="0" fontId="0" fillId="3" borderId="4" xfId="0" applyFont="1" applyFill="1" applyBorder="1" applyAlignment="1" applyProtection="1">
      <alignment vertical="center" wrapText="1"/>
      <protection locked="0"/>
    </xf>
    <xf numFmtId="0" fontId="0" fillId="3" borderId="15" xfId="0" applyFont="1" applyFill="1" applyBorder="1" applyAlignment="1" applyProtection="1">
      <alignment vertical="center" wrapText="1"/>
      <protection locked="0"/>
    </xf>
    <xf numFmtId="1" fontId="0" fillId="3" borderId="4" xfId="0" applyNumberFormat="1" applyFont="1" applyFill="1" applyBorder="1" applyAlignment="1" applyProtection="1">
      <alignment horizontal="center" vertical="center" wrapText="1"/>
      <protection locked="0"/>
    </xf>
    <xf numFmtId="1" fontId="0" fillId="3" borderId="4" xfId="0" applyNumberFormat="1" applyFont="1" applyFill="1" applyBorder="1" applyAlignment="1" applyProtection="1">
      <alignment horizontal="center" vertical="center"/>
      <protection locked="0"/>
    </xf>
    <xf numFmtId="1" fontId="0" fillId="3" borderId="15" xfId="0" applyNumberFormat="1" applyFont="1" applyFill="1" applyBorder="1" applyAlignment="1" applyProtection="1">
      <alignment horizontal="center" vertical="center" wrapText="1"/>
      <protection locked="0"/>
    </xf>
    <xf numFmtId="1" fontId="0" fillId="3" borderId="15" xfId="0" applyNumberFormat="1" applyFont="1" applyFill="1" applyBorder="1" applyAlignment="1" applyProtection="1">
      <alignment horizontal="center" vertical="center"/>
      <protection locked="0"/>
    </xf>
    <xf numFmtId="165" fontId="0" fillId="3" borderId="14" xfId="0" applyNumberFormat="1" applyFill="1" applyBorder="1" applyAlignment="1" applyProtection="1">
      <alignment horizontal="center" vertical="center"/>
      <protection locked="0"/>
    </xf>
    <xf numFmtId="165" fontId="0" fillId="3" borderId="30" xfId="0" applyNumberFormat="1" applyFill="1" applyBorder="1" applyAlignment="1" applyProtection="1">
      <alignment horizontal="center" vertical="center"/>
      <protection locked="0"/>
    </xf>
    <xf numFmtId="0" fontId="0" fillId="0" borderId="4" xfId="0" applyFill="1" applyBorder="1" applyAlignment="1">
      <alignment horizontal="center" vertical="center" wrapText="1"/>
    </xf>
    <xf numFmtId="0" fontId="27" fillId="0" borderId="0" xfId="4" applyFont="1" applyBorder="1" applyAlignment="1" applyProtection="1">
      <alignment horizontal="center" vertical="center"/>
    </xf>
    <xf numFmtId="0" fontId="29" fillId="4" borderId="13" xfId="4" applyFont="1" applyFill="1" applyBorder="1" applyAlignment="1" applyProtection="1">
      <alignment horizontal="center" vertical="center" wrapText="1"/>
    </xf>
    <xf numFmtId="0" fontId="27" fillId="0" borderId="0" xfId="4" applyFont="1" applyFill="1" applyBorder="1" applyAlignment="1" applyProtection="1">
      <alignment horizontal="center" vertical="center"/>
    </xf>
    <xf numFmtId="0" fontId="0" fillId="0" borderId="0" xfId="0" applyProtection="1"/>
    <xf numFmtId="0" fontId="11" fillId="0" borderId="28" xfId="0" applyFont="1" applyBorder="1" applyAlignment="1" applyProtection="1">
      <alignment horizontal="center" vertical="center"/>
    </xf>
    <xf numFmtId="0" fontId="0" fillId="4" borderId="16" xfId="0" applyFont="1" applyFill="1" applyBorder="1" applyAlignment="1" applyProtection="1">
      <alignment horizontal="center" vertical="center"/>
    </xf>
    <xf numFmtId="0" fontId="0" fillId="0" borderId="13" xfId="0" applyFill="1" applyBorder="1" applyAlignment="1" applyProtection="1">
      <alignment horizontal="center"/>
    </xf>
    <xf numFmtId="0" fontId="0" fillId="0" borderId="10" xfId="0" applyFill="1" applyBorder="1" applyAlignment="1" applyProtection="1">
      <alignment horizontal="center"/>
    </xf>
    <xf numFmtId="0" fontId="0" fillId="2" borderId="41" xfId="0" applyFill="1" applyBorder="1" applyAlignment="1">
      <alignment horizontal="center" vertical="center"/>
    </xf>
    <xf numFmtId="0" fontId="0" fillId="2" borderId="18" xfId="0" applyFill="1" applyBorder="1" applyAlignment="1">
      <alignment horizontal="center" vertical="center" wrapText="1"/>
    </xf>
    <xf numFmtId="0" fontId="0" fillId="2" borderId="15" xfId="0" applyFill="1" applyBorder="1" applyAlignment="1">
      <alignment horizontal="center" wrapText="1"/>
    </xf>
    <xf numFmtId="0" fontId="0" fillId="0" borderId="0" xfId="0" applyAlignment="1">
      <alignment wrapText="1"/>
    </xf>
    <xf numFmtId="0" fontId="31" fillId="0" borderId="49" xfId="0" applyFont="1" applyFill="1" applyBorder="1" applyAlignment="1" applyProtection="1">
      <alignment vertical="center" wrapText="1"/>
    </xf>
    <xf numFmtId="170" fontId="30" fillId="0" borderId="4" xfId="4" applyNumberFormat="1" applyFont="1" applyFill="1" applyBorder="1" applyAlignment="1" applyProtection="1">
      <alignment horizontal="right" vertical="center"/>
    </xf>
    <xf numFmtId="0" fontId="0" fillId="0" borderId="4" xfId="0" applyBorder="1" applyAlignment="1">
      <alignment horizontal="center" vertical="center" wrapText="1"/>
    </xf>
    <xf numFmtId="0" fontId="10" fillId="0" borderId="0" xfId="0" applyFont="1" applyAlignment="1">
      <alignment horizontal="center" vertical="center"/>
    </xf>
    <xf numFmtId="0" fontId="10" fillId="0" borderId="1" xfId="0" applyFont="1" applyBorder="1" applyAlignment="1">
      <alignment horizontal="right" vertical="center"/>
    </xf>
    <xf numFmtId="0" fontId="11" fillId="0" borderId="5"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29" xfId="0" applyFont="1" applyBorder="1" applyAlignment="1">
      <alignment horizontal="center" vertical="center"/>
    </xf>
    <xf numFmtId="0" fontId="2" fillId="0" borderId="4" xfId="0" applyFont="1" applyBorder="1" applyAlignment="1">
      <alignment horizontal="center" vertical="center" wrapText="1"/>
    </xf>
    <xf numFmtId="0" fontId="28" fillId="0" borderId="4" xfId="4" applyFont="1" applyFill="1" applyBorder="1" applyAlignment="1" applyProtection="1">
      <alignment horizontal="center" vertical="center" wrapText="1"/>
    </xf>
    <xf numFmtId="0" fontId="11" fillId="0" borderId="4" xfId="0" applyFont="1" applyFill="1" applyBorder="1" applyAlignment="1">
      <alignment horizontal="center" vertical="center" wrapText="1"/>
    </xf>
    <xf numFmtId="0" fontId="0" fillId="0" borderId="14" xfId="0" applyFill="1" applyBorder="1" applyAlignment="1">
      <alignment wrapText="1"/>
    </xf>
    <xf numFmtId="0" fontId="2" fillId="0" borderId="10" xfId="0" applyFont="1" applyFill="1" applyBorder="1" applyAlignment="1">
      <alignment horizontal="center" wrapText="1"/>
    </xf>
    <xf numFmtId="0" fontId="0" fillId="0" borderId="12" xfId="0" applyFill="1" applyBorder="1"/>
    <xf numFmtId="0" fontId="30" fillId="4" borderId="4" xfId="0" applyFont="1" applyFill="1" applyBorder="1" applyAlignment="1" applyProtection="1">
      <alignment horizontal="left" vertical="center" wrapText="1"/>
    </xf>
    <xf numFmtId="0" fontId="27" fillId="0" borderId="4" xfId="4" applyFont="1" applyFill="1" applyBorder="1" applyAlignment="1" applyProtection="1">
      <alignment horizontal="left" vertical="center" wrapText="1"/>
    </xf>
    <xf numFmtId="0" fontId="0" fillId="2" borderId="18" xfId="0" applyFont="1" applyFill="1" applyBorder="1" applyAlignment="1">
      <alignment horizontal="center" vertical="center" wrapText="1"/>
    </xf>
    <xf numFmtId="0" fontId="7" fillId="4" borderId="15" xfId="0" applyFont="1" applyFill="1" applyBorder="1" applyAlignment="1">
      <alignment horizontal="center" vertical="center" wrapText="1"/>
    </xf>
    <xf numFmtId="49" fontId="0" fillId="3" borderId="15" xfId="0" applyNumberFormat="1" applyFont="1" applyFill="1" applyBorder="1" applyAlignment="1" applyProtection="1">
      <alignment horizontal="center" vertical="center" wrapText="1"/>
      <protection locked="0"/>
    </xf>
    <xf numFmtId="49" fontId="0" fillId="3" borderId="23" xfId="0" applyNumberFormat="1" applyFont="1" applyFill="1" applyBorder="1" applyAlignment="1" applyProtection="1">
      <alignment horizontal="center" vertical="center" wrapText="1"/>
      <protection locked="0"/>
    </xf>
    <xf numFmtId="0" fontId="11" fillId="0" borderId="8" xfId="0" applyFont="1" applyBorder="1" applyAlignment="1">
      <alignment horizontal="center" vertical="center" wrapText="1"/>
    </xf>
    <xf numFmtId="0" fontId="7" fillId="4" borderId="8" xfId="0" applyFont="1" applyFill="1" applyBorder="1"/>
    <xf numFmtId="0" fontId="0" fillId="3" borderId="8" xfId="0"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1" fontId="0" fillId="3" borderId="30" xfId="1" applyNumberFormat="1" applyFont="1" applyFill="1" applyBorder="1" applyAlignment="1" applyProtection="1">
      <alignment horizontal="center" vertical="center"/>
      <protection locked="0"/>
    </xf>
    <xf numFmtId="1" fontId="0" fillId="3" borderId="14" xfId="1" applyNumberFormat="1" applyFont="1" applyFill="1" applyBorder="1" applyAlignment="1" applyProtection="1">
      <alignment horizontal="center" vertical="center"/>
      <protection locked="0"/>
    </xf>
    <xf numFmtId="0" fontId="7" fillId="4" borderId="11" xfId="0" applyFont="1" applyFill="1" applyBorder="1"/>
    <xf numFmtId="0" fontId="7" fillId="4" borderId="5" xfId="0" applyFont="1" applyFill="1" applyBorder="1" applyAlignment="1">
      <alignment horizontal="center" vertical="center" wrapText="1"/>
    </xf>
    <xf numFmtId="1" fontId="0" fillId="3" borderId="5" xfId="1" applyNumberFormat="1" applyFont="1" applyFill="1" applyBorder="1" applyAlignment="1" applyProtection="1">
      <alignment horizontal="center" vertical="center"/>
      <protection locked="0"/>
    </xf>
    <xf numFmtId="1" fontId="0" fillId="3" borderId="17" xfId="1" applyNumberFormat="1" applyFont="1" applyFill="1" applyBorder="1" applyAlignment="1" applyProtection="1">
      <alignment horizontal="center" vertical="center"/>
      <protection locked="0"/>
    </xf>
    <xf numFmtId="0" fontId="12" fillId="0" borderId="15" xfId="0" applyFont="1" applyBorder="1" applyAlignment="1">
      <alignment horizontal="center" vertical="center" wrapText="1"/>
    </xf>
    <xf numFmtId="0" fontId="12" fillId="4" borderId="15" xfId="0" applyFont="1" applyFill="1" applyBorder="1" applyAlignment="1">
      <alignment horizontal="center" vertical="center" wrapText="1"/>
    </xf>
    <xf numFmtId="10" fontId="15" fillId="0" borderId="23" xfId="1" applyNumberFormat="1" applyFont="1" applyBorder="1" applyAlignment="1">
      <alignment horizontal="center" vertical="center"/>
    </xf>
    <xf numFmtId="0" fontId="0" fillId="0" borderId="23" xfId="0" applyBorder="1" applyAlignment="1">
      <alignment wrapText="1"/>
    </xf>
    <xf numFmtId="0" fontId="2" fillId="0" borderId="18" xfId="0" applyFont="1" applyBorder="1" applyAlignment="1">
      <alignment horizontal="center" vertical="center"/>
    </xf>
    <xf numFmtId="0" fontId="0" fillId="3" borderId="4" xfId="0" applyFill="1" applyBorder="1" applyAlignment="1" applyProtection="1">
      <alignment vertical="center"/>
      <protection locked="0"/>
    </xf>
    <xf numFmtId="0" fontId="0" fillId="3" borderId="4" xfId="0" applyFill="1" applyBorder="1" applyAlignment="1" applyProtection="1">
      <alignment vertical="center" wrapText="1"/>
      <protection locked="0"/>
    </xf>
    <xf numFmtId="168" fontId="0" fillId="0" borderId="4" xfId="0" applyNumberFormat="1" applyFill="1" applyBorder="1" applyAlignment="1" applyProtection="1">
      <alignment horizontal="center" vertical="center"/>
    </xf>
    <xf numFmtId="14" fontId="0" fillId="3" borderId="4" xfId="0" applyNumberFormat="1" applyFill="1" applyBorder="1" applyAlignment="1" applyProtection="1">
      <alignment vertical="center"/>
      <protection locked="0"/>
    </xf>
    <xf numFmtId="167" fontId="0" fillId="3" borderId="4" xfId="0" applyNumberFormat="1" applyFill="1" applyBorder="1" applyAlignment="1" applyProtection="1">
      <alignment horizontal="center" vertical="center"/>
      <protection locked="0"/>
    </xf>
    <xf numFmtId="14" fontId="0" fillId="3" borderId="14" xfId="0" applyNumberFormat="1" applyFill="1" applyBorder="1" applyAlignment="1" applyProtection="1">
      <alignment horizontal="center" vertical="center"/>
      <protection locked="0"/>
    </xf>
    <xf numFmtId="0" fontId="0" fillId="3" borderId="11" xfId="0" applyFill="1" applyBorder="1" applyAlignment="1" applyProtection="1">
      <alignment vertical="center"/>
      <protection locked="0"/>
    </xf>
    <xf numFmtId="0" fontId="0" fillId="3" borderId="11" xfId="0" applyFill="1" applyBorder="1" applyAlignment="1" applyProtection="1">
      <alignment vertical="center" wrapText="1"/>
      <protection locked="0"/>
    </xf>
    <xf numFmtId="168" fontId="0" fillId="0" borderId="11" xfId="0" applyNumberFormat="1" applyFill="1" applyBorder="1" applyAlignment="1" applyProtection="1">
      <alignment horizontal="center" vertical="center"/>
    </xf>
    <xf numFmtId="14" fontId="0" fillId="3" borderId="11" xfId="0" applyNumberFormat="1" applyFill="1" applyBorder="1" applyAlignment="1" applyProtection="1">
      <alignment vertical="center"/>
      <protection locked="0"/>
    </xf>
    <xf numFmtId="167" fontId="0" fillId="3" borderId="11" xfId="0" applyNumberFormat="1" applyFill="1" applyBorder="1" applyAlignment="1" applyProtection="1">
      <alignment horizontal="center" vertical="center"/>
      <protection locked="0"/>
    </xf>
    <xf numFmtId="14" fontId="0" fillId="3" borderId="12" xfId="0" applyNumberFormat="1" applyFill="1" applyBorder="1" applyAlignment="1" applyProtection="1">
      <alignment horizontal="center" vertical="center"/>
      <protection locked="0"/>
    </xf>
    <xf numFmtId="0" fontId="7" fillId="0" borderId="4" xfId="0" applyFont="1" applyFill="1" applyBorder="1" applyAlignment="1">
      <alignment horizontal="center" vertical="center" wrapText="1"/>
    </xf>
    <xf numFmtId="0" fontId="7" fillId="3" borderId="4" xfId="0" applyFont="1" applyFill="1" applyBorder="1" applyAlignment="1" applyProtection="1">
      <alignment horizontal="left" vertical="center" wrapText="1"/>
      <protection locked="0"/>
    </xf>
    <xf numFmtId="1" fontId="7" fillId="3" borderId="4" xfId="0" applyNumberFormat="1" applyFont="1" applyFill="1" applyBorder="1" applyAlignment="1" applyProtection="1">
      <alignment horizontal="center" vertical="center" wrapText="1"/>
      <protection locked="0"/>
    </xf>
    <xf numFmtId="2" fontId="7" fillId="3" borderId="4" xfId="0" applyNumberFormat="1" applyFont="1" applyFill="1" applyBorder="1" applyAlignment="1" applyProtection="1">
      <alignment horizontal="center" vertical="center" wrapText="1"/>
      <protection locked="0"/>
    </xf>
    <xf numFmtId="1" fontId="11" fillId="0" borderId="4" xfId="0" applyNumberFormat="1" applyFont="1" applyFill="1" applyBorder="1" applyAlignment="1">
      <alignment horizontal="center" vertical="center" wrapText="1"/>
    </xf>
    <xf numFmtId="165" fontId="7" fillId="3" borderId="4" xfId="0" applyNumberFormat="1" applyFont="1" applyFill="1" applyBorder="1" applyAlignment="1" applyProtection="1">
      <alignment horizontal="center" vertical="center" wrapText="1"/>
      <protection locked="0"/>
    </xf>
    <xf numFmtId="0" fontId="7" fillId="0" borderId="4" xfId="0" applyFont="1" applyFill="1" applyBorder="1" applyAlignment="1">
      <alignment horizontal="left" vertical="center" wrapText="1"/>
    </xf>
    <xf numFmtId="0" fontId="0" fillId="0" borderId="0" xfId="0" applyAlignment="1">
      <alignment vertical="center" wrapText="1"/>
    </xf>
    <xf numFmtId="0" fontId="10" fillId="0" borderId="0" xfId="0" applyFont="1" applyBorder="1" applyAlignment="1">
      <alignment vertical="top"/>
    </xf>
    <xf numFmtId="0" fontId="10" fillId="0" borderId="0" xfId="0" applyFont="1" applyFill="1" applyBorder="1" applyAlignment="1" applyProtection="1">
      <protection locked="0"/>
    </xf>
    <xf numFmtId="0" fontId="10" fillId="0" borderId="0" xfId="0" applyFont="1" applyFill="1" applyBorder="1" applyAlignment="1" applyProtection="1">
      <alignment vertical="center"/>
      <protection locked="0"/>
    </xf>
    <xf numFmtId="0" fontId="2" fillId="0" borderId="13" xfId="0" applyFont="1" applyFill="1" applyBorder="1" applyAlignment="1">
      <alignment horizontal="center"/>
    </xf>
    <xf numFmtId="0" fontId="0" fillId="0" borderId="14" xfId="0" applyFont="1" applyFill="1" applyBorder="1" applyAlignment="1">
      <alignment horizontal="left"/>
    </xf>
    <xf numFmtId="170" fontId="30" fillId="0" borderId="14" xfId="4" applyNumberFormat="1" applyFont="1" applyFill="1" applyBorder="1" applyAlignment="1" applyProtection="1">
      <alignment horizontal="right" vertical="center"/>
    </xf>
    <xf numFmtId="0" fontId="27" fillId="4" borderId="10" xfId="4" applyFont="1" applyFill="1" applyBorder="1" applyAlignment="1" applyProtection="1">
      <alignment horizontal="center" vertical="center"/>
    </xf>
    <xf numFmtId="1" fontId="0" fillId="3" borderId="12" xfId="0" applyNumberFormat="1" applyFill="1" applyBorder="1" applyAlignment="1" applyProtection="1">
      <alignment horizontal="center" vertical="center"/>
      <protection locked="0"/>
    </xf>
    <xf numFmtId="1" fontId="15" fillId="3" borderId="14" xfId="1" applyNumberFormat="1" applyFont="1" applyFill="1" applyBorder="1" applyAlignment="1" applyProtection="1">
      <alignment horizontal="center" vertical="center"/>
      <protection locked="0"/>
    </xf>
    <xf numFmtId="10" fontId="15" fillId="0" borderId="14" xfId="1" applyNumberFormat="1" applyFont="1" applyFill="1" applyBorder="1" applyAlignment="1">
      <alignment horizontal="center"/>
    </xf>
    <xf numFmtId="1" fontId="0" fillId="3" borderId="30" xfId="0" applyNumberFormat="1" applyFill="1" applyBorder="1" applyAlignment="1" applyProtection="1">
      <alignment horizontal="center"/>
      <protection locked="0"/>
    </xf>
    <xf numFmtId="1" fontId="15" fillId="3" borderId="14" xfId="1" applyNumberFormat="1" applyFont="1" applyFill="1" applyBorder="1" applyAlignment="1" applyProtection="1">
      <alignment horizontal="center"/>
      <protection locked="0"/>
    </xf>
    <xf numFmtId="1" fontId="0" fillId="3" borderId="14" xfId="0" applyNumberFormat="1" applyFill="1" applyBorder="1" applyAlignment="1" applyProtection="1">
      <alignment horizontal="center"/>
      <protection locked="0"/>
    </xf>
    <xf numFmtId="1" fontId="0" fillId="3" borderId="23" xfId="0" applyNumberFormat="1" applyFill="1" applyBorder="1" applyAlignment="1" applyProtection="1">
      <alignment horizontal="center" vertical="center"/>
      <protection locked="0"/>
    </xf>
    <xf numFmtId="0" fontId="35" fillId="0" borderId="13" xfId="0" applyFont="1" applyFill="1" applyBorder="1" applyAlignment="1">
      <alignment horizontal="center"/>
    </xf>
    <xf numFmtId="0" fontId="29" fillId="0" borderId="14" xfId="0" applyFont="1" applyFill="1" applyBorder="1" applyAlignment="1">
      <alignment horizontal="left"/>
    </xf>
    <xf numFmtId="0" fontId="29" fillId="0" borderId="14" xfId="0" applyFont="1" applyFill="1" applyBorder="1" applyAlignment="1">
      <alignment horizontal="left" wrapText="1"/>
    </xf>
    <xf numFmtId="0" fontId="35" fillId="0" borderId="13" xfId="0" applyFont="1" applyFill="1" applyBorder="1" applyAlignment="1">
      <alignment horizontal="center" vertical="center"/>
    </xf>
    <xf numFmtId="0" fontId="4" fillId="0" borderId="4" xfId="0" applyFont="1" applyBorder="1" applyAlignment="1">
      <alignment horizontal="center" vertical="center" wrapText="1"/>
    </xf>
    <xf numFmtId="0" fontId="4" fillId="0" borderId="11" xfId="0" applyFont="1" applyBorder="1" applyAlignment="1">
      <alignment horizontal="center" vertical="center" wrapText="1"/>
    </xf>
    <xf numFmtId="0" fontId="10" fillId="0" borderId="0" xfId="0" applyFont="1" applyBorder="1" applyAlignment="1">
      <alignment horizontal="center" vertical="center"/>
    </xf>
    <xf numFmtId="0" fontId="4" fillId="0" borderId="4"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5" xfId="0" applyFont="1" applyBorder="1" applyAlignment="1">
      <alignment horizontal="center" vertical="center" wrapText="1"/>
    </xf>
    <xf numFmtId="0" fontId="0" fillId="2" borderId="40" xfId="0" applyFill="1" applyBorder="1" applyAlignment="1">
      <alignment horizontal="center" vertical="center"/>
    </xf>
    <xf numFmtId="0" fontId="14" fillId="0" borderId="13" xfId="0" applyFont="1" applyBorder="1" applyAlignment="1">
      <alignment horizontal="center" vertical="center"/>
    </xf>
    <xf numFmtId="9" fontId="7" fillId="0" borderId="29" xfId="1" applyFont="1" applyFill="1" applyBorder="1" applyAlignment="1">
      <alignment horizontal="center"/>
    </xf>
    <xf numFmtId="10" fontId="1" fillId="3" borderId="30" xfId="1" applyNumberFormat="1" applyFont="1" applyFill="1" applyBorder="1" applyAlignment="1" applyProtection="1">
      <alignment horizontal="center" vertical="center"/>
      <protection locked="0"/>
    </xf>
    <xf numFmtId="0" fontId="7" fillId="4" borderId="29" xfId="0" applyFont="1" applyFill="1" applyBorder="1"/>
    <xf numFmtId="0" fontId="0" fillId="5" borderId="0" xfId="0" applyFill="1" applyAlignment="1">
      <alignment vertical="center"/>
    </xf>
    <xf numFmtId="0" fontId="36" fillId="5" borderId="0" xfId="0" applyFont="1" applyFill="1"/>
    <xf numFmtId="0" fontId="2" fillId="0" borderId="5" xfId="0" applyFont="1" applyBorder="1" applyAlignment="1">
      <alignment horizontal="center" vertical="center" wrapText="1"/>
    </xf>
    <xf numFmtId="0" fontId="0" fillId="5" borderId="0" xfId="0" applyFill="1" applyAlignment="1">
      <alignment vertical="center" wrapText="1"/>
    </xf>
    <xf numFmtId="0" fontId="2" fillId="7" borderId="15" xfId="0" applyFont="1" applyFill="1" applyBorder="1" applyAlignment="1">
      <alignment horizontal="center" vertical="center"/>
    </xf>
    <xf numFmtId="0" fontId="24" fillId="0" borderId="60" xfId="4" applyBorder="1"/>
    <xf numFmtId="0" fontId="7" fillId="3" borderId="19" xfId="0" applyFont="1" applyFill="1" applyBorder="1" applyAlignment="1" applyProtection="1">
      <alignment horizontal="center" vertical="center"/>
      <protection locked="0"/>
    </xf>
    <xf numFmtId="10" fontId="7" fillId="0" borderId="4" xfId="1" applyNumberFormat="1" applyFont="1" applyBorder="1" applyAlignment="1">
      <alignment horizontal="center" vertical="center"/>
    </xf>
    <xf numFmtId="10" fontId="7" fillId="3" borderId="4" xfId="1" applyNumberFormat="1" applyFont="1" applyFill="1" applyBorder="1" applyAlignment="1" applyProtection="1">
      <alignment horizontal="center" vertical="center"/>
      <protection locked="0"/>
    </xf>
    <xf numFmtId="0" fontId="11" fillId="0" borderId="14" xfId="0" applyFont="1" applyBorder="1" applyAlignment="1">
      <alignment horizontal="center" vertical="center"/>
    </xf>
    <xf numFmtId="0" fontId="0" fillId="2" borderId="11" xfId="0" applyFont="1" applyFill="1" applyBorder="1" applyAlignment="1">
      <alignment horizontal="center" vertical="center"/>
    </xf>
    <xf numFmtId="0" fontId="35" fillId="0" borderId="13" xfId="0" applyFont="1" applyFill="1" applyBorder="1" applyAlignment="1">
      <alignment horizontal="center" vertical="center" wrapText="1"/>
    </xf>
    <xf numFmtId="0" fontId="29" fillId="0" borderId="14" xfId="0" applyFont="1" applyFill="1" applyBorder="1" applyAlignment="1">
      <alignment vertical="center" wrapText="1"/>
    </xf>
    <xf numFmtId="0" fontId="9" fillId="0" borderId="30" xfId="0" applyFont="1" applyBorder="1" applyAlignment="1">
      <alignment horizontal="center" vertical="center"/>
    </xf>
    <xf numFmtId="9" fontId="7" fillId="4" borderId="11" xfId="1" applyFont="1" applyFill="1" applyBorder="1" applyAlignment="1">
      <alignment horizontal="center" vertical="center"/>
    </xf>
    <xf numFmtId="10" fontId="7" fillId="4" borderId="11" xfId="1" applyNumberFormat="1" applyFont="1" applyFill="1" applyBorder="1" applyAlignment="1">
      <alignment horizontal="center" vertical="center"/>
    </xf>
    <xf numFmtId="0" fontId="7" fillId="0" borderId="12" xfId="0" applyFont="1" applyBorder="1" applyAlignment="1">
      <alignment horizontal="center" vertical="center"/>
    </xf>
    <xf numFmtId="0" fontId="2" fillId="0" borderId="11" xfId="0" applyFont="1" applyBorder="1" applyAlignment="1">
      <alignment horizontal="center" vertical="center"/>
    </xf>
    <xf numFmtId="0" fontId="16" fillId="0" borderId="14" xfId="0" applyFont="1" applyBorder="1" applyAlignment="1">
      <alignment vertical="center" wrapText="1"/>
    </xf>
    <xf numFmtId="0" fontId="0" fillId="0" borderId="14" xfId="0" applyFont="1" applyBorder="1" applyAlignment="1">
      <alignment wrapText="1"/>
    </xf>
    <xf numFmtId="10" fontId="1" fillId="0" borderId="14" xfId="1" applyNumberFormat="1" applyFont="1" applyFill="1" applyBorder="1" applyAlignment="1" applyProtection="1">
      <alignment horizontal="center" vertical="center"/>
    </xf>
    <xf numFmtId="10" fontId="1" fillId="0" borderId="12" xfId="1" applyNumberFormat="1" applyFont="1" applyFill="1" applyBorder="1" applyAlignment="1" applyProtection="1">
      <alignment horizontal="center" vertical="center"/>
    </xf>
    <xf numFmtId="10" fontId="15" fillId="0" borderId="4" xfId="1" applyNumberFormat="1" applyFont="1" applyBorder="1" applyAlignment="1" applyProtection="1">
      <alignment horizontal="center" vertical="center"/>
    </xf>
    <xf numFmtId="10" fontId="15" fillId="0" borderId="14" xfId="1" applyNumberFormat="1" applyFont="1" applyBorder="1" applyAlignment="1" applyProtection="1">
      <alignment horizontal="center" vertical="center"/>
    </xf>
    <xf numFmtId="0" fontId="0" fillId="0" borderId="4" xfId="0" applyFill="1" applyBorder="1" applyAlignment="1" applyProtection="1">
      <alignment horizontal="center" vertical="center"/>
    </xf>
    <xf numFmtId="0" fontId="0" fillId="0" borderId="14" xfId="0" applyFill="1" applyBorder="1" applyAlignment="1" applyProtection="1">
      <alignment horizontal="center" vertical="center"/>
    </xf>
    <xf numFmtId="10" fontId="15" fillId="0" borderId="11" xfId="1" applyNumberFormat="1" applyFont="1" applyBorder="1" applyAlignment="1" applyProtection="1">
      <alignment horizontal="center" vertical="center"/>
    </xf>
    <xf numFmtId="10" fontId="15" fillId="0" borderId="12" xfId="1" applyNumberFormat="1" applyFont="1" applyBorder="1" applyAlignment="1" applyProtection="1">
      <alignment horizontal="center" vertical="center"/>
    </xf>
    <xf numFmtId="10" fontId="7" fillId="3" borderId="34" xfId="1" applyNumberFormat="1" applyFont="1" applyFill="1" applyBorder="1" applyAlignment="1" applyProtection="1">
      <alignment horizontal="center" vertical="center"/>
      <protection locked="0"/>
    </xf>
    <xf numFmtId="10" fontId="7" fillId="3" borderId="25" xfId="1" applyNumberFormat="1" applyFont="1" applyFill="1" applyBorder="1" applyAlignment="1" applyProtection="1">
      <alignment horizontal="center" vertical="center"/>
      <protection locked="0"/>
    </xf>
    <xf numFmtId="10" fontId="7" fillId="3" borderId="22" xfId="1" applyNumberFormat="1" applyFont="1" applyFill="1" applyBorder="1" applyAlignment="1" applyProtection="1">
      <alignment horizontal="center" vertical="center"/>
      <protection locked="0"/>
    </xf>
    <xf numFmtId="10" fontId="7" fillId="3" borderId="26" xfId="1" applyNumberFormat="1" applyFont="1" applyFill="1" applyBorder="1" applyAlignment="1" applyProtection="1">
      <alignment horizontal="center" vertical="center"/>
      <protection locked="0"/>
    </xf>
    <xf numFmtId="10" fontId="7" fillId="3" borderId="24" xfId="1" applyNumberFormat="1" applyFont="1" applyFill="1" applyBorder="1" applyAlignment="1" applyProtection="1">
      <alignment horizontal="center" vertical="center"/>
      <protection locked="0"/>
    </xf>
    <xf numFmtId="10" fontId="7" fillId="3" borderId="27" xfId="1" applyNumberFormat="1" applyFont="1" applyFill="1" applyBorder="1" applyAlignment="1" applyProtection="1">
      <alignment horizontal="center" vertical="center"/>
      <protection locked="0"/>
    </xf>
    <xf numFmtId="0" fontId="0" fillId="2" borderId="4" xfId="0" applyFill="1" applyBorder="1" applyAlignment="1">
      <alignment horizontal="center"/>
    </xf>
    <xf numFmtId="2" fontId="0" fillId="3" borderId="9" xfId="0" applyNumberFormat="1" applyFill="1" applyBorder="1" applyAlignment="1" applyProtection="1">
      <alignment horizontal="center" vertical="center"/>
      <protection locked="0"/>
    </xf>
    <xf numFmtId="2" fontId="0" fillId="3" borderId="12" xfId="0" applyNumberFormat="1" applyFill="1" applyBorder="1" applyAlignment="1" applyProtection="1">
      <alignment horizontal="center" vertical="center"/>
      <protection locked="0"/>
    </xf>
    <xf numFmtId="168" fontId="7" fillId="3" borderId="8" xfId="1" applyNumberFormat="1" applyFont="1" applyFill="1" applyBorder="1" applyAlignment="1" applyProtection="1">
      <alignment horizontal="center" vertical="center"/>
      <protection locked="0"/>
    </xf>
    <xf numFmtId="168" fontId="7" fillId="3" borderId="5" xfId="1" applyNumberFormat="1" applyFont="1" applyFill="1" applyBorder="1" applyAlignment="1" applyProtection="1">
      <alignment horizontal="center" vertical="center"/>
      <protection locked="0"/>
    </xf>
    <xf numFmtId="168" fontId="7" fillId="3" borderId="11" xfId="1" applyNumberFormat="1" applyFont="1" applyFill="1" applyBorder="1" applyAlignment="1" applyProtection="1">
      <alignment horizontal="center" vertical="center"/>
      <protection locked="0"/>
    </xf>
    <xf numFmtId="0" fontId="0" fillId="0" borderId="0" xfId="0" applyProtection="1">
      <protection hidden="1"/>
    </xf>
    <xf numFmtId="0" fontId="10" fillId="0" borderId="0" xfId="0" applyFont="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0" xfId="0" applyBorder="1" applyProtection="1">
      <protection hidden="1"/>
    </xf>
    <xf numFmtId="0" fontId="0" fillId="0" borderId="0" xfId="0" applyAlignment="1" applyProtection="1">
      <alignment horizontal="center" vertical="center"/>
      <protection hidden="1"/>
    </xf>
    <xf numFmtId="0" fontId="10" fillId="0" borderId="0" xfId="0" applyFont="1" applyBorder="1" applyAlignment="1" applyProtection="1">
      <alignment horizontal="right" vertical="center"/>
      <protection hidden="1"/>
    </xf>
    <xf numFmtId="0" fontId="11" fillId="0" borderId="28" xfId="0" applyFont="1" applyBorder="1" applyAlignment="1" applyProtection="1">
      <alignment horizontal="center"/>
      <protection hidden="1"/>
    </xf>
    <xf numFmtId="0" fontId="0" fillId="4" borderId="18" xfId="0" applyFill="1" applyBorder="1" applyAlignment="1" applyProtection="1">
      <alignment horizontal="center"/>
      <protection hidden="1"/>
    </xf>
    <xf numFmtId="0" fontId="0" fillId="4" borderId="13" xfId="0" applyFill="1" applyBorder="1" applyAlignment="1" applyProtection="1">
      <alignment horizontal="center" vertical="center" wrapText="1"/>
      <protection hidden="1"/>
    </xf>
    <xf numFmtId="0" fontId="10" fillId="2" borderId="3" xfId="0" applyFont="1" applyFill="1" applyBorder="1" applyAlignment="1" applyProtection="1">
      <alignment vertical="center"/>
      <protection hidden="1"/>
    </xf>
    <xf numFmtId="10" fontId="7" fillId="2" borderId="3" xfId="1" applyNumberFormat="1" applyFont="1" applyFill="1" applyBorder="1" applyAlignment="1" applyProtection="1">
      <alignment horizontal="center" vertical="center"/>
      <protection hidden="1"/>
    </xf>
    <xf numFmtId="10" fontId="7" fillId="2" borderId="2" xfId="1" applyNumberFormat="1" applyFont="1" applyFill="1" applyBorder="1" applyAlignment="1" applyProtection="1">
      <alignment horizontal="center" vertical="center"/>
      <protection hidden="1"/>
    </xf>
    <xf numFmtId="0" fontId="11" fillId="0" borderId="25" xfId="0" applyFont="1" applyFill="1" applyBorder="1" applyAlignment="1" applyProtection="1">
      <alignment horizontal="left" vertical="center" wrapText="1"/>
      <protection hidden="1"/>
    </xf>
    <xf numFmtId="0" fontId="11" fillId="0" borderId="22" xfId="0" applyFont="1" applyFill="1" applyBorder="1" applyAlignment="1" applyProtection="1">
      <alignment horizontal="left" vertical="center" wrapText="1"/>
      <protection hidden="1"/>
    </xf>
    <xf numFmtId="0" fontId="11" fillId="0" borderId="59" xfId="0" applyFont="1" applyFill="1" applyBorder="1" applyAlignment="1" applyProtection="1">
      <alignment horizontal="left" vertical="center" wrapText="1"/>
      <protection hidden="1"/>
    </xf>
    <xf numFmtId="0" fontId="11" fillId="0" borderId="22" xfId="0" applyFont="1" applyFill="1" applyBorder="1" applyAlignment="1" applyProtection="1">
      <alignment horizontal="left" vertical="center" wrapText="1" indent="6"/>
      <protection hidden="1"/>
    </xf>
    <xf numFmtId="10" fontId="12" fillId="2" borderId="8" xfId="1" applyNumberFormat="1" applyFont="1" applyFill="1" applyBorder="1" applyAlignment="1" applyProtection="1">
      <alignment horizontal="center" vertical="center"/>
      <protection hidden="1"/>
    </xf>
    <xf numFmtId="10" fontId="12" fillId="2" borderId="9" xfId="1" applyNumberFormat="1" applyFont="1" applyFill="1" applyBorder="1" applyAlignment="1" applyProtection="1">
      <alignment horizontal="center" vertical="center"/>
      <protection hidden="1"/>
    </xf>
    <xf numFmtId="2" fontId="7" fillId="0" borderId="5" xfId="0" applyNumberFormat="1" applyFont="1" applyFill="1" applyBorder="1" applyAlignment="1" applyProtection="1">
      <alignment horizontal="center" vertical="center" wrapText="1"/>
      <protection hidden="1"/>
    </xf>
    <xf numFmtId="2" fontId="7" fillId="0" borderId="17" xfId="0" applyNumberFormat="1" applyFont="1" applyFill="1" applyBorder="1" applyAlignment="1" applyProtection="1">
      <alignment horizontal="center" vertical="center" wrapText="1"/>
      <protection hidden="1"/>
    </xf>
    <xf numFmtId="0" fontId="0" fillId="4" borderId="10" xfId="0" applyFill="1" applyBorder="1" applyAlignment="1" applyProtection="1">
      <alignment horizontal="center" vertical="center" wrapText="1"/>
      <protection hidden="1"/>
    </xf>
    <xf numFmtId="0" fontId="11" fillId="0" borderId="33" xfId="0" applyFont="1" applyFill="1" applyBorder="1" applyAlignment="1" applyProtection="1">
      <alignment horizontal="left" vertical="center" wrapText="1"/>
      <protection hidden="1"/>
    </xf>
    <xf numFmtId="0" fontId="7" fillId="3" borderId="31" xfId="0" applyFont="1" applyFill="1" applyBorder="1" applyAlignment="1" applyProtection="1">
      <alignment horizontal="center" vertical="center" wrapText="1"/>
      <protection locked="0" hidden="1"/>
    </xf>
    <xf numFmtId="2" fontId="7" fillId="0" borderId="31" xfId="0" applyNumberFormat="1" applyFont="1" applyFill="1" applyBorder="1" applyAlignment="1" applyProtection="1">
      <alignment horizontal="center" vertical="center" wrapText="1"/>
      <protection hidden="1"/>
    </xf>
    <xf numFmtId="2" fontId="7" fillId="0" borderId="33" xfId="0" applyNumberFormat="1" applyFont="1" applyFill="1" applyBorder="1" applyAlignment="1" applyProtection="1">
      <alignment horizontal="center" vertical="center" wrapText="1"/>
      <protection hidden="1"/>
    </xf>
    <xf numFmtId="0" fontId="0" fillId="0" borderId="0" xfId="0" applyFill="1" applyBorder="1" applyAlignment="1">
      <alignment horizontal="center" vertical="center" wrapText="1"/>
    </xf>
    <xf numFmtId="0" fontId="0" fillId="0" borderId="0" xfId="0" applyFont="1" applyFill="1" applyBorder="1" applyAlignment="1">
      <alignment horizontal="center" vertical="center"/>
    </xf>
    <xf numFmtId="0" fontId="10" fillId="0" borderId="1" xfId="0" applyFont="1" applyBorder="1" applyAlignment="1">
      <alignment horizontal="right" vertical="center"/>
    </xf>
    <xf numFmtId="0" fontId="10" fillId="0" borderId="0" xfId="0" applyFont="1" applyBorder="1" applyAlignment="1">
      <alignment horizontal="right" vertical="center"/>
    </xf>
    <xf numFmtId="0" fontId="11" fillId="0" borderId="5" xfId="0" applyFont="1" applyFill="1" applyBorder="1" applyAlignment="1">
      <alignment horizontal="center" vertical="center" wrapText="1"/>
    </xf>
    <xf numFmtId="0" fontId="11" fillId="0" borderId="19" xfId="0" applyFont="1" applyFill="1" applyBorder="1" applyAlignment="1">
      <alignment horizontal="center" vertical="center" wrapText="1"/>
    </xf>
    <xf numFmtId="0" fontId="11" fillId="0" borderId="61" xfId="0" applyFont="1" applyFill="1" applyBorder="1" applyAlignment="1">
      <alignment horizontal="center" vertical="center" wrapText="1"/>
    </xf>
    <xf numFmtId="0" fontId="11" fillId="0" borderId="4" xfId="0" applyFont="1" applyFill="1" applyBorder="1" applyAlignment="1">
      <alignment horizontal="center" vertical="center" wrapText="1"/>
    </xf>
    <xf numFmtId="0" fontId="0" fillId="0" borderId="70" xfId="0" applyBorder="1"/>
    <xf numFmtId="0" fontId="0" fillId="0" borderId="71" xfId="0" applyBorder="1"/>
    <xf numFmtId="0" fontId="2" fillId="7" borderId="0" xfId="0" applyFont="1" applyFill="1"/>
    <xf numFmtId="0" fontId="2" fillId="8" borderId="0" xfId="0" applyFont="1" applyFill="1"/>
    <xf numFmtId="1" fontId="7" fillId="9" borderId="4" xfId="0" applyNumberFormat="1" applyFont="1" applyFill="1" applyBorder="1" applyAlignment="1" applyProtection="1">
      <alignment horizontal="center" vertical="center"/>
      <protection locked="0"/>
    </xf>
    <xf numFmtId="0" fontId="10" fillId="0" borderId="0" xfId="0" applyFont="1" applyBorder="1" applyAlignment="1">
      <alignment horizontal="right" vertical="center"/>
    </xf>
    <xf numFmtId="0" fontId="11" fillId="0" borderId="29" xfId="0" applyFont="1" applyFill="1" applyBorder="1" applyAlignment="1" applyProtection="1">
      <alignment horizontal="center"/>
      <protection hidden="1"/>
    </xf>
    <xf numFmtId="0" fontId="0" fillId="2" borderId="15" xfId="0" applyFont="1" applyFill="1" applyBorder="1" applyAlignment="1" applyProtection="1">
      <alignment horizontal="center"/>
      <protection hidden="1"/>
    </xf>
    <xf numFmtId="0" fontId="7" fillId="3" borderId="5" xfId="0" applyFont="1" applyFill="1" applyBorder="1" applyAlignment="1" applyProtection="1">
      <alignment horizontal="center" vertical="center" wrapText="1"/>
      <protection locked="0" hidden="1"/>
    </xf>
    <xf numFmtId="0" fontId="2" fillId="0" borderId="29" xfId="0" applyFont="1" applyBorder="1" applyAlignment="1">
      <alignment horizontal="center" vertical="center" wrapText="1"/>
    </xf>
    <xf numFmtId="0" fontId="2" fillId="0" borderId="4" xfId="0" applyFont="1" applyBorder="1" applyAlignment="1">
      <alignment horizontal="center" vertical="center" wrapText="1"/>
    </xf>
    <xf numFmtId="0" fontId="0" fillId="2" borderId="4" xfId="0" applyFill="1" applyBorder="1" applyAlignment="1">
      <alignment horizontal="center"/>
    </xf>
    <xf numFmtId="0" fontId="2" fillId="0" borderId="15" xfId="0" applyFont="1" applyBorder="1" applyAlignment="1">
      <alignment horizontal="center" vertical="center" wrapText="1"/>
    </xf>
    <xf numFmtId="0" fontId="0" fillId="2" borderId="14" xfId="0" applyFont="1" applyFill="1" applyBorder="1" applyAlignment="1">
      <alignment horizontal="center" vertical="center"/>
    </xf>
    <xf numFmtId="0" fontId="0" fillId="0" borderId="0" xfId="0" applyFill="1" applyBorder="1" applyAlignment="1">
      <alignment horizontal="center" vertical="center"/>
    </xf>
    <xf numFmtId="0" fontId="10" fillId="3" borderId="4" xfId="0" applyFont="1" applyFill="1" applyBorder="1" applyAlignment="1" applyProtection="1">
      <alignment vertical="center"/>
      <protection locked="0"/>
    </xf>
    <xf numFmtId="0" fontId="10" fillId="0" borderId="0" xfId="0" applyFont="1" applyAlignment="1"/>
    <xf numFmtId="0" fontId="0" fillId="2" borderId="14" xfId="0" applyFill="1" applyBorder="1" applyAlignment="1">
      <alignment horizontal="center"/>
    </xf>
    <xf numFmtId="0" fontId="10" fillId="0" borderId="61" xfId="0" applyFont="1" applyBorder="1" applyAlignment="1"/>
    <xf numFmtId="10" fontId="0" fillId="2" borderId="4" xfId="1" applyNumberFormat="1" applyFont="1" applyFill="1" applyBorder="1" applyAlignment="1">
      <alignment horizontal="center" vertical="center"/>
    </xf>
    <xf numFmtId="1" fontId="0" fillId="0" borderId="0" xfId="0" applyNumberFormat="1" applyAlignment="1">
      <alignment horizontal="center" vertical="center"/>
    </xf>
    <xf numFmtId="0" fontId="4" fillId="0" borderId="19"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9" xfId="0" applyFont="1" applyBorder="1" applyAlignment="1">
      <alignment horizontal="center" vertical="center"/>
    </xf>
    <xf numFmtId="0" fontId="11" fillId="0" borderId="29" xfId="0" applyFont="1" applyBorder="1" applyAlignment="1">
      <alignment horizontal="center" vertical="center" wrapText="1"/>
    </xf>
    <xf numFmtId="0" fontId="11" fillId="0" borderId="29" xfId="0" applyFont="1" applyBorder="1" applyAlignment="1">
      <alignment horizontal="center" vertical="center"/>
    </xf>
    <xf numFmtId="0" fontId="0" fillId="2" borderId="28" xfId="0" applyFill="1" applyBorder="1" applyAlignment="1">
      <alignment horizontal="center"/>
    </xf>
    <xf numFmtId="1" fontId="0" fillId="3" borderId="29" xfId="0" applyNumberFormat="1" applyFill="1" applyBorder="1" applyAlignment="1" applyProtection="1">
      <alignment horizontal="center" vertical="center"/>
      <protection locked="0"/>
    </xf>
    <xf numFmtId="0" fontId="0" fillId="2" borderId="13" xfId="0" applyFill="1" applyBorder="1" applyAlignment="1">
      <alignment horizontal="center"/>
    </xf>
    <xf numFmtId="10" fontId="0" fillId="2" borderId="14" xfId="1" applyNumberFormat="1" applyFont="1" applyFill="1" applyBorder="1" applyAlignment="1">
      <alignment horizontal="center" vertical="center"/>
    </xf>
    <xf numFmtId="0" fontId="0" fillId="2" borderId="10" xfId="0" applyFill="1" applyBorder="1" applyAlignment="1">
      <alignment horizontal="center"/>
    </xf>
    <xf numFmtId="10" fontId="0" fillId="2" borderId="11" xfId="1" applyNumberFormat="1" applyFont="1" applyFill="1" applyBorder="1" applyAlignment="1">
      <alignment horizontal="center" vertical="center"/>
    </xf>
    <xf numFmtId="10" fontId="0" fillId="2" borderId="12" xfId="1" applyNumberFormat="1" applyFont="1" applyFill="1" applyBorder="1" applyAlignment="1">
      <alignment horizontal="center" vertical="center"/>
    </xf>
    <xf numFmtId="1" fontId="2" fillId="0" borderId="29" xfId="0" applyNumberFormat="1" applyFont="1" applyBorder="1" applyAlignment="1">
      <alignment horizontal="center" vertical="center"/>
    </xf>
    <xf numFmtId="1" fontId="2" fillId="0" borderId="30" xfId="0" applyNumberFormat="1" applyFont="1" applyBorder="1" applyAlignment="1">
      <alignment horizontal="center" vertical="center"/>
    </xf>
    <xf numFmtId="1" fontId="2" fillId="0" borderId="14" xfId="0" applyNumberFormat="1" applyFont="1" applyBorder="1" applyAlignment="1">
      <alignment horizontal="center" vertical="center"/>
    </xf>
    <xf numFmtId="0" fontId="0" fillId="2" borderId="65" xfId="0" applyFill="1" applyBorder="1" applyAlignment="1">
      <alignment horizontal="center"/>
    </xf>
    <xf numFmtId="1" fontId="0" fillId="0" borderId="28" xfId="0" applyNumberFormat="1" applyBorder="1" applyAlignment="1">
      <alignment horizontal="center" vertical="center"/>
    </xf>
    <xf numFmtId="10" fontId="0" fillId="0" borderId="13" xfId="1" applyNumberFormat="1" applyFont="1" applyBorder="1" applyAlignment="1">
      <alignment horizontal="center" vertical="center"/>
    </xf>
    <xf numFmtId="10" fontId="0" fillId="2" borderId="13" xfId="1" applyNumberFormat="1" applyFont="1" applyFill="1" applyBorder="1" applyAlignment="1">
      <alignment horizontal="center" vertical="center"/>
    </xf>
    <xf numFmtId="1" fontId="0" fillId="0" borderId="13" xfId="0" applyNumberFormat="1" applyBorder="1" applyAlignment="1">
      <alignment horizontal="center" vertical="center"/>
    </xf>
    <xf numFmtId="10" fontId="0" fillId="2" borderId="10" xfId="1" applyNumberFormat="1" applyFont="1" applyFill="1" applyBorder="1" applyAlignment="1">
      <alignment horizontal="center" vertical="center"/>
    </xf>
    <xf numFmtId="1" fontId="2" fillId="0" borderId="28" xfId="0" applyNumberFormat="1" applyFont="1" applyBorder="1" applyAlignment="1">
      <alignment horizontal="center" vertical="center"/>
    </xf>
    <xf numFmtId="10" fontId="0" fillId="3" borderId="13" xfId="1" applyNumberFormat="1" applyFont="1" applyFill="1" applyBorder="1" applyAlignment="1" applyProtection="1">
      <alignment horizontal="center" vertical="center"/>
      <protection locked="0"/>
    </xf>
    <xf numFmtId="1" fontId="2" fillId="0" borderId="13" xfId="0" applyNumberFormat="1" applyFont="1" applyBorder="1" applyAlignment="1">
      <alignment horizontal="center" vertical="center"/>
    </xf>
    <xf numFmtId="10" fontId="0" fillId="3" borderId="10" xfId="1" applyNumberFormat="1" applyFont="1" applyFill="1" applyBorder="1" applyAlignment="1" applyProtection="1">
      <alignment horizontal="center" vertical="center"/>
      <protection locked="0"/>
    </xf>
    <xf numFmtId="0" fontId="4" fillId="0" borderId="41" xfId="0" applyFont="1" applyBorder="1" applyAlignment="1">
      <alignment horizontal="center" vertical="center" wrapText="1"/>
    </xf>
    <xf numFmtId="0" fontId="4" fillId="0" borderId="20" xfId="0" applyFont="1" applyBorder="1" applyAlignment="1">
      <alignment horizontal="center" vertical="center" wrapText="1"/>
    </xf>
    <xf numFmtId="1" fontId="0" fillId="3" borderId="28" xfId="0" applyNumberFormat="1" applyFill="1" applyBorder="1" applyAlignment="1" applyProtection="1">
      <alignment horizontal="center" vertical="center"/>
      <protection locked="0"/>
    </xf>
    <xf numFmtId="1" fontId="0" fillId="3" borderId="13" xfId="0" applyNumberFormat="1" applyFill="1" applyBorder="1" applyAlignment="1" applyProtection="1">
      <alignment horizontal="center" vertical="center"/>
      <protection locked="0"/>
    </xf>
    <xf numFmtId="1" fontId="0" fillId="3" borderId="13" xfId="0" applyNumberFormat="1" applyFill="1" applyBorder="1" applyProtection="1">
      <protection locked="0"/>
    </xf>
    <xf numFmtId="1" fontId="0" fillId="3" borderId="14" xfId="0" applyNumberFormat="1" applyFill="1" applyBorder="1" applyProtection="1">
      <protection locked="0"/>
    </xf>
    <xf numFmtId="0" fontId="4" fillId="0" borderId="41" xfId="0" applyFont="1" applyFill="1" applyBorder="1" applyAlignment="1">
      <alignment horizontal="center" vertical="center" wrapText="1"/>
    </xf>
    <xf numFmtId="0" fontId="11" fillId="0" borderId="34" xfId="0" applyFont="1" applyBorder="1"/>
    <xf numFmtId="0" fontId="12" fillId="0" borderId="22" xfId="0" applyFont="1" applyBorder="1" applyAlignment="1">
      <alignment horizontal="right"/>
    </xf>
    <xf numFmtId="0" fontId="0" fillId="0" borderId="22" xfId="0" applyFont="1" applyBorder="1"/>
    <xf numFmtId="0" fontId="11" fillId="0" borderId="22" xfId="0" applyFont="1" applyBorder="1"/>
    <xf numFmtId="0" fontId="11" fillId="0" borderId="22" xfId="0" applyFont="1" applyBorder="1" applyAlignment="1">
      <alignment horizontal="left" indent="3"/>
    </xf>
    <xf numFmtId="0" fontId="0" fillId="0" borderId="22" xfId="0" applyFont="1" applyBorder="1" applyAlignment="1">
      <alignment horizontal="left" indent="3"/>
    </xf>
    <xf numFmtId="0" fontId="0" fillId="0" borderId="27" xfId="0" applyFont="1" applyBorder="1" applyAlignment="1">
      <alignment horizontal="left" indent="3"/>
    </xf>
    <xf numFmtId="9" fontId="12" fillId="4" borderId="15" xfId="1" applyFont="1" applyFill="1" applyBorder="1" applyAlignment="1">
      <alignment horizontal="center" vertical="center" wrapText="1"/>
    </xf>
    <xf numFmtId="0" fontId="0" fillId="3" borderId="17" xfId="1" applyNumberFormat="1" applyFont="1" applyFill="1" applyBorder="1" applyAlignment="1" applyProtection="1">
      <alignment horizontal="center" vertical="center"/>
      <protection locked="0"/>
    </xf>
    <xf numFmtId="0" fontId="0" fillId="2" borderId="21" xfId="0" applyFont="1" applyFill="1" applyBorder="1" applyAlignment="1">
      <alignment horizontal="center" vertical="center"/>
    </xf>
    <xf numFmtId="0" fontId="11" fillId="0" borderId="39" xfId="0" applyFont="1" applyBorder="1" applyAlignment="1">
      <alignment horizontal="center" vertical="center"/>
    </xf>
    <xf numFmtId="9" fontId="12" fillId="0" borderId="39" xfId="1" applyFont="1" applyBorder="1" applyAlignment="1">
      <alignment horizontal="center" vertical="center"/>
    </xf>
    <xf numFmtId="0" fontId="11" fillId="0" borderId="56" xfId="0" applyFont="1" applyBorder="1" applyAlignment="1">
      <alignment vertical="center" wrapText="1"/>
    </xf>
    <xf numFmtId="0" fontId="11" fillId="0" borderId="56" xfId="0" applyFont="1" applyBorder="1" applyAlignment="1">
      <alignment horizontal="center" vertical="center" wrapText="1"/>
    </xf>
    <xf numFmtId="9" fontId="12" fillId="0" borderId="21" xfId="1" applyFont="1" applyBorder="1" applyAlignment="1">
      <alignment horizontal="center" vertical="center"/>
    </xf>
    <xf numFmtId="0" fontId="11" fillId="0" borderId="21" xfId="1" applyNumberFormat="1" applyFont="1" applyBorder="1" applyAlignment="1">
      <alignment horizontal="center" vertical="center"/>
    </xf>
    <xf numFmtId="0" fontId="11" fillId="0" borderId="21" xfId="0" applyFont="1" applyBorder="1" applyAlignment="1">
      <alignment horizontal="center" vertical="center" wrapText="1"/>
    </xf>
    <xf numFmtId="0" fontId="2" fillId="0" borderId="56" xfId="0" applyFont="1" applyBorder="1" applyAlignment="1">
      <alignment horizontal="center" vertical="center"/>
    </xf>
    <xf numFmtId="0" fontId="2" fillId="0" borderId="21" xfId="0" applyFont="1" applyBorder="1" applyAlignment="1">
      <alignment horizontal="center" vertical="center"/>
    </xf>
    <xf numFmtId="0" fontId="2" fillId="0" borderId="21" xfId="0" applyFont="1" applyBorder="1" applyAlignment="1">
      <alignment horizontal="center" vertical="center" wrapText="1"/>
    </xf>
    <xf numFmtId="0" fontId="0" fillId="0" borderId="38" xfId="0" applyBorder="1"/>
    <xf numFmtId="0" fontId="2" fillId="0" borderId="74" xfId="0" applyFont="1" applyBorder="1" applyAlignment="1">
      <alignment horizontal="center"/>
    </xf>
    <xf numFmtId="0" fontId="2" fillId="0" borderId="38" xfId="0" applyFont="1" applyBorder="1" applyAlignment="1">
      <alignment horizontal="center" vertical="center" wrapText="1"/>
    </xf>
    <xf numFmtId="14" fontId="23" fillId="3" borderId="15" xfId="0" applyNumberFormat="1" applyFont="1" applyFill="1" applyBorder="1" applyAlignment="1" applyProtection="1">
      <alignment vertical="center"/>
      <protection locked="0"/>
    </xf>
    <xf numFmtId="0" fontId="8" fillId="3" borderId="4" xfId="0" applyFont="1" applyFill="1" applyBorder="1" applyAlignment="1" applyProtection="1">
      <alignment horizontal="center" vertical="center"/>
      <protection locked="0"/>
    </xf>
    <xf numFmtId="166" fontId="8" fillId="3" borderId="15" xfId="0" applyNumberFormat="1" applyFont="1" applyFill="1" applyBorder="1" applyAlignment="1" applyProtection="1">
      <alignment horizontal="center" vertical="center"/>
      <protection locked="0"/>
    </xf>
    <xf numFmtId="0" fontId="28" fillId="0" borderId="4" xfId="4" applyFont="1" applyFill="1" applyBorder="1" applyAlignment="1" applyProtection="1">
      <alignment horizontal="center" vertical="center" wrapText="1"/>
    </xf>
    <xf numFmtId="0" fontId="0" fillId="0" borderId="0" xfId="0" applyFill="1"/>
    <xf numFmtId="0" fontId="27" fillId="0" borderId="4" xfId="4" applyFont="1" applyFill="1" applyBorder="1" applyAlignment="1" applyProtection="1">
      <alignment horizontal="center" vertical="center" wrapText="1"/>
    </xf>
    <xf numFmtId="0" fontId="27" fillId="0" borderId="4" xfId="0" applyFont="1" applyFill="1" applyBorder="1" applyAlignment="1" applyProtection="1">
      <alignment horizontal="left" vertical="center" wrapText="1"/>
    </xf>
    <xf numFmtId="4" fontId="27" fillId="0" borderId="4" xfId="4" applyNumberFormat="1" applyFont="1" applyFill="1" applyBorder="1" applyAlignment="1" applyProtection="1">
      <alignment horizontal="right" vertical="center"/>
    </xf>
    <xf numFmtId="0" fontId="27" fillId="0" borderId="4" xfId="0" applyFont="1" applyFill="1" applyBorder="1" applyAlignment="1" applyProtection="1">
      <alignment horizontal="left" vertical="center" wrapText="1" indent="1"/>
    </xf>
    <xf numFmtId="0" fontId="28" fillId="0" borderId="4" xfId="0" applyFont="1" applyFill="1" applyBorder="1" applyAlignment="1" applyProtection="1">
      <alignment horizontal="left" vertical="center" wrapText="1"/>
    </xf>
    <xf numFmtId="0" fontId="0" fillId="5" borderId="0" xfId="0" applyFill="1" applyAlignment="1">
      <alignment horizontal="left" vertical="center" wrapText="1"/>
    </xf>
    <xf numFmtId="0" fontId="2" fillId="7" borderId="15" xfId="0" applyFont="1" applyFill="1" applyBorder="1" applyAlignment="1">
      <alignment horizontal="center" vertical="center"/>
    </xf>
    <xf numFmtId="0" fontId="2" fillId="7" borderId="5" xfId="0" applyFont="1" applyFill="1" applyBorder="1" applyAlignment="1">
      <alignment horizontal="center" vertical="center"/>
    </xf>
    <xf numFmtId="0" fontId="2" fillId="7" borderId="39" xfId="0" applyFont="1" applyFill="1" applyBorder="1" applyAlignment="1">
      <alignment horizontal="center" vertical="center"/>
    </xf>
    <xf numFmtId="0" fontId="2" fillId="7" borderId="51" xfId="0" applyFont="1" applyFill="1" applyBorder="1" applyAlignment="1">
      <alignment horizontal="center" vertical="center"/>
    </xf>
    <xf numFmtId="0" fontId="0" fillId="5" borderId="36" xfId="0" applyFill="1" applyBorder="1" applyAlignment="1">
      <alignment horizontal="left" vertical="center" wrapText="1"/>
    </xf>
    <xf numFmtId="0" fontId="2" fillId="5" borderId="15" xfId="0" applyFont="1" applyFill="1" applyBorder="1" applyAlignment="1">
      <alignment horizontal="center"/>
    </xf>
    <xf numFmtId="0" fontId="4" fillId="0" borderId="43"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31" xfId="0" applyFont="1" applyBorder="1" applyAlignment="1">
      <alignment horizontal="center" vertical="center" wrapText="1"/>
    </xf>
    <xf numFmtId="0" fontId="5" fillId="0" borderId="66" xfId="0" applyFont="1" applyBorder="1" applyAlignment="1">
      <alignment horizontal="center" vertical="center" wrapText="1"/>
    </xf>
    <xf numFmtId="0" fontId="5" fillId="0" borderId="58" xfId="0" applyFont="1" applyBorder="1" applyAlignment="1">
      <alignment horizontal="center" vertical="center" wrapText="1"/>
    </xf>
    <xf numFmtId="0" fontId="5" fillId="0" borderId="26" xfId="0" applyFont="1" applyBorder="1" applyAlignment="1">
      <alignment horizontal="center" vertical="center" wrapText="1"/>
    </xf>
    <xf numFmtId="0" fontId="5" fillId="0" borderId="57"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64" xfId="0" applyFont="1" applyBorder="1" applyAlignment="1">
      <alignment horizontal="center" vertical="center" wrapText="1"/>
    </xf>
    <xf numFmtId="0" fontId="5" fillId="0" borderId="59"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51" xfId="0" applyFont="1" applyBorder="1" applyAlignment="1">
      <alignment horizontal="center" vertical="center" wrapText="1"/>
    </xf>
    <xf numFmtId="0" fontId="8" fillId="0" borderId="11" xfId="0" applyFont="1" applyBorder="1" applyAlignment="1">
      <alignment horizontal="right"/>
    </xf>
    <xf numFmtId="0" fontId="5" fillId="0" borderId="4" xfId="0" applyFont="1" applyBorder="1" applyAlignment="1">
      <alignment horizontal="center" vertical="center" wrapText="1"/>
    </xf>
    <xf numFmtId="0" fontId="9" fillId="0" borderId="29" xfId="0" applyFont="1" applyBorder="1" applyAlignment="1">
      <alignment horizontal="right"/>
    </xf>
    <xf numFmtId="0" fontId="8" fillId="0" borderId="4" xfId="0" applyFont="1" applyBorder="1" applyAlignment="1">
      <alignment horizontal="right"/>
    </xf>
    <xf numFmtId="0" fontId="0" fillId="0" borderId="32" xfId="0" applyBorder="1" applyAlignment="1">
      <alignment horizontal="center" vertical="center" wrapText="1"/>
    </xf>
    <xf numFmtId="0" fontId="0" fillId="0" borderId="64" xfId="0" applyBorder="1" applyAlignment="1">
      <alignment horizontal="center" vertical="center" wrapText="1"/>
    </xf>
    <xf numFmtId="0" fontId="3" fillId="2" borderId="31" xfId="0" applyFont="1" applyFill="1" applyBorder="1" applyAlignment="1">
      <alignment horizontal="center" vertical="center" wrapText="1"/>
    </xf>
    <xf numFmtId="0" fontId="9" fillId="0" borderId="8" xfId="0" applyFont="1" applyBorder="1" applyAlignment="1">
      <alignment horizontal="right"/>
    </xf>
    <xf numFmtId="0" fontId="8" fillId="0" borderId="5" xfId="0" applyFont="1" applyBorder="1" applyAlignment="1">
      <alignment horizontal="right"/>
    </xf>
    <xf numFmtId="0" fontId="5" fillId="0" borderId="5" xfId="0" applyFont="1" applyBorder="1" applyAlignment="1">
      <alignment horizontal="center" vertical="center" wrapText="1"/>
    </xf>
    <xf numFmtId="0" fontId="0" fillId="0" borderId="4" xfId="0" applyBorder="1" applyAlignment="1">
      <alignment horizontal="center" vertical="center" wrapText="1"/>
    </xf>
    <xf numFmtId="0" fontId="4" fillId="0" borderId="4" xfId="0" applyFont="1" applyBorder="1" applyAlignment="1">
      <alignment horizontal="center" vertical="center" wrapText="1"/>
    </xf>
    <xf numFmtId="0" fontId="0" fillId="0" borderId="4" xfId="0" applyBorder="1" applyAlignment="1">
      <alignment vertical="center" wrapText="1"/>
    </xf>
    <xf numFmtId="0" fontId="0" fillId="0" borderId="15" xfId="0" applyBorder="1" applyAlignment="1">
      <alignment vertical="center" wrapText="1"/>
    </xf>
    <xf numFmtId="0" fontId="4" fillId="0" borderId="66"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57"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64" xfId="0" applyFont="1" applyBorder="1" applyAlignment="1">
      <alignment horizontal="center" vertical="center" wrapText="1"/>
    </xf>
    <xf numFmtId="0" fontId="10" fillId="0" borderId="0" xfId="0" applyFont="1" applyAlignment="1">
      <alignment horizontal="center" vertical="center"/>
    </xf>
    <xf numFmtId="0" fontId="10" fillId="0" borderId="1" xfId="0" applyFont="1" applyBorder="1" applyAlignment="1">
      <alignment horizontal="right" vertical="center"/>
    </xf>
    <xf numFmtId="166" fontId="10" fillId="3" borderId="27" xfId="0" applyNumberFormat="1" applyFont="1" applyFill="1" applyBorder="1" applyAlignment="1" applyProtection="1">
      <alignment horizontal="center"/>
      <protection locked="0"/>
    </xf>
    <xf numFmtId="166" fontId="10" fillId="3" borderId="37" xfId="0" applyNumberFormat="1" applyFont="1" applyFill="1" applyBorder="1" applyAlignment="1" applyProtection="1">
      <alignment horizontal="center"/>
      <protection locked="0"/>
    </xf>
    <xf numFmtId="166" fontId="10" fillId="3" borderId="38" xfId="0" applyNumberFormat="1" applyFont="1" applyFill="1" applyBorder="1" applyAlignment="1" applyProtection="1">
      <alignment horizontal="center"/>
      <protection locked="0"/>
    </xf>
    <xf numFmtId="0" fontId="10" fillId="0" borderId="0" xfId="0" applyFont="1" applyBorder="1" applyAlignment="1">
      <alignment horizontal="center"/>
    </xf>
    <xf numFmtId="0" fontId="10" fillId="0" borderId="0" xfId="0" applyFont="1" applyBorder="1" applyAlignment="1">
      <alignment horizontal="right" vertical="center"/>
    </xf>
    <xf numFmtId="0" fontId="10" fillId="3" borderId="22" xfId="0" applyFont="1" applyFill="1" applyBorder="1" applyAlignment="1" applyProtection="1">
      <alignment horizontal="center"/>
      <protection locked="0"/>
    </xf>
    <xf numFmtId="0" fontId="10" fillId="3" borderId="36" xfId="0" applyFont="1" applyFill="1" applyBorder="1" applyAlignment="1" applyProtection="1">
      <alignment horizontal="center"/>
      <protection locked="0"/>
    </xf>
    <xf numFmtId="0" fontId="10" fillId="3" borderId="21" xfId="0" applyFont="1" applyFill="1" applyBorder="1" applyAlignment="1" applyProtection="1">
      <alignment horizontal="center"/>
      <protection locked="0"/>
    </xf>
    <xf numFmtId="0" fontId="3" fillId="2" borderId="8" xfId="0" applyFont="1" applyFill="1" applyBorder="1" applyAlignment="1">
      <alignment horizontal="center" vertical="center" wrapText="1"/>
    </xf>
    <xf numFmtId="0" fontId="8" fillId="0" borderId="15" xfId="0" applyFont="1" applyBorder="1" applyAlignment="1">
      <alignment horizontal="right"/>
    </xf>
    <xf numFmtId="0" fontId="8" fillId="0" borderId="29" xfId="0" applyFont="1" applyBorder="1" applyAlignment="1">
      <alignment horizontal="right"/>
    </xf>
    <xf numFmtId="0" fontId="11" fillId="0" borderId="57" xfId="0" applyFont="1" applyBorder="1" applyAlignment="1">
      <alignment horizontal="center" vertical="center" wrapText="1"/>
    </xf>
    <xf numFmtId="0" fontId="11" fillId="0" borderId="64" xfId="0" applyFont="1" applyBorder="1" applyAlignment="1">
      <alignment horizontal="center" vertical="center" wrapText="1"/>
    </xf>
    <xf numFmtId="0" fontId="11" fillId="0" borderId="58" xfId="0" applyFont="1" applyBorder="1" applyAlignment="1">
      <alignment horizontal="center" vertical="center" wrapText="1"/>
    </xf>
    <xf numFmtId="0" fontId="11" fillId="0" borderId="56" xfId="0" applyFont="1" applyBorder="1" applyAlignment="1">
      <alignment horizontal="center"/>
    </xf>
    <xf numFmtId="0" fontId="11" fillId="0" borderId="29" xfId="0" applyFont="1" applyBorder="1" applyAlignment="1">
      <alignment horizontal="center"/>
    </xf>
    <xf numFmtId="9" fontId="12" fillId="0" borderId="58" xfId="1" applyFont="1" applyBorder="1" applyAlignment="1">
      <alignment horizontal="center" vertical="center"/>
    </xf>
    <xf numFmtId="9" fontId="12" fillId="0" borderId="57" xfId="1" applyFont="1" applyBorder="1" applyAlignment="1">
      <alignment horizontal="center" vertical="center"/>
    </xf>
    <xf numFmtId="9" fontId="12" fillId="0" borderId="64" xfId="1" applyFont="1" applyBorder="1" applyAlignment="1">
      <alignment horizontal="center" vertical="center"/>
    </xf>
    <xf numFmtId="14" fontId="23" fillId="3" borderId="11" xfId="0" applyNumberFormat="1" applyFont="1" applyFill="1" applyBorder="1" applyAlignment="1" applyProtection="1">
      <alignment horizontal="center" vertical="center"/>
      <protection locked="0"/>
    </xf>
    <xf numFmtId="0" fontId="11" fillId="0" borderId="5" xfId="0" applyFont="1" applyBorder="1" applyAlignment="1">
      <alignment horizontal="center"/>
    </xf>
    <xf numFmtId="0" fontId="11" fillId="0" borderId="29"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25" xfId="0" applyFont="1" applyBorder="1" applyAlignment="1">
      <alignment horizontal="center" vertical="center"/>
    </xf>
    <xf numFmtId="0" fontId="11" fillId="0" borderId="51" xfId="0" applyFont="1" applyBorder="1" applyAlignment="1">
      <alignment horizontal="center" vertical="center"/>
    </xf>
    <xf numFmtId="14" fontId="23" fillId="3" borderId="4" xfId="0" applyNumberFormat="1" applyFont="1" applyFill="1" applyBorder="1" applyAlignment="1" applyProtection="1">
      <alignment horizontal="center" vertical="center"/>
      <protection locked="0"/>
    </xf>
    <xf numFmtId="0" fontId="13" fillId="0" borderId="0" xfId="0" applyFont="1" applyAlignment="1">
      <alignment horizontal="center" vertical="center"/>
    </xf>
    <xf numFmtId="0" fontId="8" fillId="3" borderId="4" xfId="0" applyFont="1" applyFill="1" applyBorder="1" applyAlignment="1" applyProtection="1">
      <alignment horizontal="center" vertical="center"/>
      <protection locked="0"/>
    </xf>
    <xf numFmtId="166" fontId="8" fillId="3" borderId="15" xfId="0" applyNumberFormat="1" applyFont="1" applyFill="1" applyBorder="1" applyAlignment="1" applyProtection="1">
      <alignment horizontal="center" vertical="center"/>
      <protection locked="0"/>
    </xf>
    <xf numFmtId="0" fontId="28" fillId="0" borderId="29" xfId="4" applyFont="1" applyFill="1" applyBorder="1" applyAlignment="1" applyProtection="1">
      <alignment horizontal="center" vertical="center" wrapText="1"/>
    </xf>
    <xf numFmtId="0" fontId="28" fillId="0" borderId="49" xfId="0" applyFont="1" applyFill="1" applyBorder="1" applyAlignment="1" applyProtection="1">
      <alignment horizontal="left" vertical="center" wrapText="1"/>
    </xf>
    <xf numFmtId="0" fontId="28" fillId="0" borderId="47" xfId="0" applyFont="1" applyFill="1" applyBorder="1" applyAlignment="1" applyProtection="1">
      <alignment horizontal="left" vertical="center" wrapText="1"/>
    </xf>
    <xf numFmtId="0" fontId="28" fillId="0" borderId="50" xfId="0" applyFont="1" applyFill="1" applyBorder="1" applyAlignment="1" applyProtection="1">
      <alignment horizontal="left" vertical="center" wrapText="1"/>
    </xf>
    <xf numFmtId="0" fontId="31" fillId="0" borderId="49" xfId="0" applyFont="1" applyFill="1" applyBorder="1" applyAlignment="1" applyProtection="1">
      <alignment horizontal="left" vertical="center" wrapText="1"/>
    </xf>
    <xf numFmtId="0" fontId="31" fillId="0" borderId="47" xfId="0" applyFont="1" applyFill="1" applyBorder="1" applyAlignment="1" applyProtection="1">
      <alignment horizontal="left" vertical="center" wrapText="1"/>
    </xf>
    <xf numFmtId="0" fontId="28" fillId="0" borderId="28" xfId="4" applyFont="1" applyFill="1" applyBorder="1" applyAlignment="1" applyProtection="1">
      <alignment horizontal="center" vertical="center" wrapText="1"/>
    </xf>
    <xf numFmtId="0" fontId="28" fillId="0" borderId="13" xfId="4" applyFont="1" applyFill="1" applyBorder="1" applyAlignment="1" applyProtection="1">
      <alignment horizontal="center" vertical="center" wrapText="1"/>
    </xf>
    <xf numFmtId="0" fontId="32" fillId="0" borderId="11" xfId="4" applyFont="1" applyFill="1" applyBorder="1" applyAlignment="1" applyProtection="1">
      <alignment horizontal="left" vertical="center"/>
      <protection locked="0"/>
    </xf>
    <xf numFmtId="0" fontId="27" fillId="3" borderId="11" xfId="4" applyFont="1" applyFill="1" applyBorder="1" applyAlignment="1" applyProtection="1">
      <alignment horizontal="left" vertical="center" wrapText="1"/>
      <protection locked="0"/>
    </xf>
    <xf numFmtId="0" fontId="27" fillId="3" borderId="12" xfId="4" applyFont="1" applyFill="1" applyBorder="1" applyAlignment="1" applyProtection="1">
      <alignment horizontal="left" vertical="center" wrapText="1"/>
      <protection locked="0"/>
    </xf>
    <xf numFmtId="0" fontId="10" fillId="0" borderId="0" xfId="0" applyFont="1" applyAlignment="1" applyProtection="1">
      <alignment horizontal="center" vertical="center"/>
    </xf>
    <xf numFmtId="0" fontId="10" fillId="0" borderId="0" xfId="0" applyFont="1" applyBorder="1" applyAlignment="1" applyProtection="1">
      <alignment horizontal="center"/>
    </xf>
    <xf numFmtId="0" fontId="10" fillId="0" borderId="0" xfId="0" applyFont="1" applyBorder="1" applyAlignment="1" applyProtection="1">
      <alignment horizontal="right" vertical="center"/>
    </xf>
    <xf numFmtId="0" fontId="9" fillId="3" borderId="4" xfId="0" applyFont="1" applyFill="1" applyBorder="1" applyAlignment="1" applyProtection="1">
      <alignment horizontal="center" vertical="center"/>
      <protection locked="0"/>
    </xf>
    <xf numFmtId="166" fontId="33" fillId="3" borderId="27" xfId="4" applyNumberFormat="1" applyFont="1" applyFill="1" applyBorder="1" applyAlignment="1" applyProtection="1">
      <alignment horizontal="center" vertical="center"/>
      <protection locked="0"/>
    </xf>
    <xf numFmtId="166" fontId="33" fillId="3" borderId="37" xfId="4" applyNumberFormat="1" applyFont="1" applyFill="1" applyBorder="1" applyAlignment="1" applyProtection="1">
      <alignment horizontal="center" vertical="center"/>
      <protection locked="0"/>
    </xf>
    <xf numFmtId="166" fontId="33" fillId="3" borderId="38" xfId="4" applyNumberFormat="1" applyFont="1" applyFill="1" applyBorder="1" applyAlignment="1" applyProtection="1">
      <alignment horizontal="center" vertical="center"/>
      <protection locked="0"/>
    </xf>
    <xf numFmtId="0" fontId="28" fillId="0" borderId="4" xfId="4" applyFont="1" applyFill="1" applyBorder="1" applyAlignment="1" applyProtection="1">
      <alignment horizontal="center" vertical="center" wrapText="1"/>
    </xf>
    <xf numFmtId="0" fontId="28" fillId="0" borderId="30" xfId="4" applyFont="1" applyFill="1" applyBorder="1" applyAlignment="1" applyProtection="1">
      <alignment horizontal="center" vertical="center" wrapText="1"/>
    </xf>
    <xf numFmtId="0" fontId="28" fillId="0" borderId="46" xfId="0" applyFont="1" applyFill="1" applyBorder="1" applyAlignment="1" applyProtection="1">
      <alignment horizontal="left" vertical="center" wrapText="1"/>
    </xf>
    <xf numFmtId="0" fontId="28" fillId="0" borderId="48" xfId="0" applyFont="1" applyFill="1" applyBorder="1" applyAlignment="1" applyProtection="1">
      <alignment horizontal="left" vertical="center" wrapText="1"/>
    </xf>
    <xf numFmtId="0" fontId="31" fillId="0" borderId="48" xfId="0" applyFont="1" applyFill="1" applyBorder="1" applyAlignment="1" applyProtection="1">
      <alignment horizontal="left" vertical="center" wrapText="1"/>
    </xf>
    <xf numFmtId="0" fontId="7" fillId="3" borderId="22" xfId="0" applyFont="1" applyFill="1" applyBorder="1" applyAlignment="1" applyProtection="1">
      <alignment horizontal="center" vertical="center" wrapText="1"/>
      <protection locked="0" hidden="1"/>
    </xf>
    <xf numFmtId="0" fontId="7" fillId="3" borderId="36" xfId="0" applyFont="1" applyFill="1" applyBorder="1" applyAlignment="1" applyProtection="1">
      <alignment horizontal="center" vertical="center" wrapText="1"/>
      <protection locked="0" hidden="1"/>
    </xf>
    <xf numFmtId="0" fontId="7" fillId="3" borderId="54" xfId="0" applyFont="1" applyFill="1" applyBorder="1" applyAlignment="1" applyProtection="1">
      <alignment horizontal="center" vertical="center" wrapText="1"/>
      <protection locked="0" hidden="1"/>
    </xf>
    <xf numFmtId="9" fontId="7" fillId="0" borderId="15" xfId="1" applyFont="1" applyFill="1" applyBorder="1" applyAlignment="1" applyProtection="1">
      <alignment horizontal="center" vertical="center" wrapText="1"/>
      <protection hidden="1"/>
    </xf>
    <xf numFmtId="9" fontId="7" fillId="0" borderId="27" xfId="1" applyFont="1" applyFill="1" applyBorder="1" applyAlignment="1" applyProtection="1">
      <alignment horizontal="center" vertical="center" wrapText="1"/>
      <protection hidden="1"/>
    </xf>
    <xf numFmtId="9" fontId="7" fillId="0" borderId="37" xfId="1" applyFont="1" applyFill="1" applyBorder="1" applyAlignment="1" applyProtection="1">
      <alignment horizontal="center" vertical="center" wrapText="1"/>
      <protection hidden="1"/>
    </xf>
    <xf numFmtId="9" fontId="7" fillId="0" borderId="38" xfId="1" applyFont="1" applyFill="1" applyBorder="1" applyAlignment="1" applyProtection="1">
      <alignment horizontal="center" vertical="center" wrapText="1"/>
      <protection hidden="1"/>
    </xf>
    <xf numFmtId="0" fontId="7" fillId="3" borderId="21" xfId="0" applyFont="1" applyFill="1" applyBorder="1" applyAlignment="1" applyProtection="1">
      <alignment horizontal="center" vertical="center" wrapText="1"/>
      <protection locked="0" hidden="1"/>
    </xf>
    <xf numFmtId="9" fontId="7" fillId="0" borderId="22" xfId="1" applyFont="1" applyFill="1" applyBorder="1" applyAlignment="1" applyProtection="1">
      <alignment horizontal="center" vertical="center" wrapText="1"/>
      <protection hidden="1"/>
    </xf>
    <xf numFmtId="9" fontId="7" fillId="0" borderId="36" xfId="1" applyFont="1" applyFill="1" applyBorder="1" applyAlignment="1" applyProtection="1">
      <alignment horizontal="center" vertical="center" wrapText="1"/>
      <protection hidden="1"/>
    </xf>
    <xf numFmtId="9" fontId="7" fillId="0" borderId="21" xfId="1" applyFont="1" applyFill="1" applyBorder="1" applyAlignment="1" applyProtection="1">
      <alignment horizontal="center" vertical="center" wrapText="1"/>
      <protection hidden="1"/>
    </xf>
    <xf numFmtId="9" fontId="7" fillId="0" borderId="54" xfId="1" applyFont="1" applyFill="1" applyBorder="1" applyAlignment="1" applyProtection="1">
      <alignment horizontal="center" vertical="center" wrapText="1"/>
      <protection hidden="1"/>
    </xf>
    <xf numFmtId="9" fontId="7" fillId="0" borderId="4" xfId="1" applyFont="1" applyFill="1" applyBorder="1" applyAlignment="1" applyProtection="1">
      <alignment horizontal="center" vertical="center" wrapText="1"/>
      <protection hidden="1"/>
    </xf>
    <xf numFmtId="9" fontId="7" fillId="0" borderId="69" xfId="1" applyFont="1" applyFill="1" applyBorder="1" applyAlignment="1" applyProtection="1">
      <alignment horizontal="center" vertical="center" wrapText="1"/>
      <protection hidden="1"/>
    </xf>
    <xf numFmtId="0" fontId="7" fillId="3" borderId="34" xfId="0" applyFont="1" applyFill="1" applyBorder="1" applyAlignment="1" applyProtection="1">
      <alignment horizontal="center" vertical="center" wrapText="1"/>
      <protection locked="0" hidden="1"/>
    </xf>
    <xf numFmtId="0" fontId="7" fillId="3" borderId="67" xfId="0" applyFont="1" applyFill="1" applyBorder="1" applyAlignment="1" applyProtection="1">
      <alignment horizontal="center" vertical="center" wrapText="1"/>
      <protection locked="0" hidden="1"/>
    </xf>
    <xf numFmtId="0" fontId="7" fillId="3" borderId="56" xfId="0" applyFont="1" applyFill="1" applyBorder="1" applyAlignment="1" applyProtection="1">
      <alignment horizontal="center" vertical="center" wrapText="1"/>
      <protection locked="0" hidden="1"/>
    </xf>
    <xf numFmtId="0" fontId="7" fillId="3" borderId="27" xfId="0" applyFont="1" applyFill="1" applyBorder="1" applyAlignment="1" applyProtection="1">
      <alignment horizontal="center" vertical="center" wrapText="1"/>
      <protection locked="0" hidden="1"/>
    </xf>
    <xf numFmtId="0" fontId="7" fillId="3" borderId="37" xfId="0" applyFont="1" applyFill="1" applyBorder="1" applyAlignment="1" applyProtection="1">
      <alignment horizontal="center" vertical="center" wrapText="1"/>
      <protection locked="0" hidden="1"/>
    </xf>
    <xf numFmtId="0" fontId="7" fillId="3" borderId="38" xfId="0" applyFont="1" applyFill="1" applyBorder="1" applyAlignment="1" applyProtection="1">
      <alignment horizontal="center" vertical="center" wrapText="1"/>
      <protection locked="0" hidden="1"/>
    </xf>
    <xf numFmtId="0" fontId="7" fillId="3" borderId="69" xfId="0" applyFont="1" applyFill="1" applyBorder="1" applyAlignment="1" applyProtection="1">
      <alignment horizontal="center" vertical="center" wrapText="1"/>
      <protection locked="0" hidden="1"/>
    </xf>
    <xf numFmtId="0" fontId="7" fillId="3" borderId="68" xfId="0" applyFont="1" applyFill="1" applyBorder="1" applyAlignment="1" applyProtection="1">
      <alignment horizontal="center" vertical="center" wrapText="1"/>
      <protection locked="0" hidden="1"/>
    </xf>
    <xf numFmtId="0" fontId="0" fillId="2" borderId="15" xfId="0" applyFont="1" applyFill="1" applyBorder="1" applyAlignment="1" applyProtection="1">
      <alignment horizontal="center"/>
      <protection hidden="1"/>
    </xf>
    <xf numFmtId="0" fontId="0" fillId="2" borderId="27" xfId="0" applyFont="1" applyFill="1" applyBorder="1" applyAlignment="1" applyProtection="1">
      <alignment horizontal="center"/>
      <protection hidden="1"/>
    </xf>
    <xf numFmtId="0" fontId="0" fillId="2" borderId="37" xfId="0" applyFont="1" applyFill="1" applyBorder="1" applyAlignment="1" applyProtection="1">
      <alignment horizontal="center"/>
      <protection hidden="1"/>
    </xf>
    <xf numFmtId="0" fontId="0" fillId="2" borderId="38" xfId="0" applyFont="1" applyFill="1" applyBorder="1" applyAlignment="1" applyProtection="1">
      <alignment horizontal="center"/>
      <protection hidden="1"/>
    </xf>
    <xf numFmtId="0" fontId="0" fillId="2" borderId="69" xfId="0" applyFont="1" applyFill="1" applyBorder="1" applyAlignment="1" applyProtection="1">
      <alignment horizontal="center"/>
      <protection hidden="1"/>
    </xf>
    <xf numFmtId="0" fontId="10" fillId="0" borderId="0" xfId="0" applyFont="1" applyBorder="1" applyAlignment="1" applyProtection="1">
      <alignment horizontal="center" vertical="center"/>
      <protection hidden="1"/>
    </xf>
    <xf numFmtId="14" fontId="23" fillId="3" borderId="59" xfId="0" applyNumberFormat="1" applyFont="1" applyFill="1" applyBorder="1" applyAlignment="1" applyProtection="1">
      <alignment vertical="center"/>
      <protection locked="0" hidden="1"/>
    </xf>
    <xf numFmtId="14" fontId="23" fillId="3" borderId="60" xfId="0" applyNumberFormat="1" applyFont="1" applyFill="1" applyBorder="1" applyAlignment="1" applyProtection="1">
      <alignment vertical="center"/>
      <protection locked="0" hidden="1"/>
    </xf>
    <xf numFmtId="14" fontId="23" fillId="3" borderId="39" xfId="0" applyNumberFormat="1" applyFont="1" applyFill="1" applyBorder="1" applyAlignment="1" applyProtection="1">
      <alignment vertical="center"/>
      <protection locked="0" hidden="1"/>
    </xf>
    <xf numFmtId="0" fontId="11" fillId="0" borderId="29" xfId="0" applyFont="1" applyFill="1" applyBorder="1" applyAlignment="1" applyProtection="1">
      <alignment horizontal="center"/>
      <protection hidden="1"/>
    </xf>
    <xf numFmtId="0" fontId="11" fillId="0" borderId="34" xfId="0" applyFont="1" applyFill="1" applyBorder="1" applyAlignment="1" applyProtection="1">
      <alignment horizontal="center"/>
      <protection hidden="1"/>
    </xf>
    <xf numFmtId="0" fontId="11" fillId="0" borderId="67" xfId="0" applyFont="1" applyFill="1" applyBorder="1" applyAlignment="1" applyProtection="1">
      <alignment horizontal="center"/>
      <protection hidden="1"/>
    </xf>
    <xf numFmtId="0" fontId="11" fillId="0" borderId="56" xfId="0" applyFont="1" applyFill="1" applyBorder="1" applyAlignment="1" applyProtection="1">
      <alignment horizontal="center"/>
      <protection hidden="1"/>
    </xf>
    <xf numFmtId="0" fontId="11" fillId="0" borderId="68" xfId="0" applyFont="1" applyFill="1" applyBorder="1" applyAlignment="1" applyProtection="1">
      <alignment horizontal="center"/>
      <protection hidden="1"/>
    </xf>
    <xf numFmtId="0" fontId="7" fillId="3" borderId="4" xfId="0" applyFont="1" applyFill="1" applyBorder="1" applyAlignment="1" applyProtection="1">
      <alignment horizontal="center" vertical="center" wrapText="1"/>
      <protection locked="0" hidden="1"/>
    </xf>
    <xf numFmtId="0" fontId="7" fillId="3" borderId="14" xfId="0" applyFont="1" applyFill="1" applyBorder="1" applyAlignment="1" applyProtection="1">
      <alignment horizontal="center" vertical="center" wrapText="1"/>
      <protection locked="0" hidden="1"/>
    </xf>
    <xf numFmtId="0" fontId="9" fillId="0" borderId="0" xfId="0" applyFont="1" applyAlignment="1">
      <alignment horizontal="right"/>
    </xf>
    <xf numFmtId="0" fontId="9" fillId="0" borderId="0" xfId="0" applyFont="1" applyAlignment="1">
      <alignment horizontal="center" vertical="center"/>
    </xf>
    <xf numFmtId="0" fontId="2" fillId="0" borderId="29"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1" xfId="0" applyFont="1" applyBorder="1" applyAlignment="1">
      <alignment horizontal="center" vertical="center" wrapText="1"/>
    </xf>
    <xf numFmtId="0" fontId="0" fillId="2" borderId="29" xfId="0" applyFill="1" applyBorder="1" applyAlignment="1">
      <alignment horizontal="center"/>
    </xf>
    <xf numFmtId="0" fontId="0" fillId="2" borderId="4" xfId="0" applyFill="1" applyBorder="1" applyAlignment="1">
      <alignment horizontal="center"/>
    </xf>
    <xf numFmtId="0" fontId="0" fillId="2" borderId="11" xfId="0" applyFill="1" applyBorder="1" applyAlignment="1">
      <alignment horizontal="center"/>
    </xf>
    <xf numFmtId="0" fontId="0" fillId="3" borderId="30" xfId="0" applyFill="1" applyBorder="1" applyAlignment="1" applyProtection="1">
      <alignment horizontal="center" vertical="center" wrapText="1"/>
      <protection locked="0"/>
    </xf>
    <xf numFmtId="0" fontId="0" fillId="3" borderId="14" xfId="0" applyFill="1" applyBorder="1" applyAlignment="1" applyProtection="1">
      <alignment horizontal="center" vertical="center" wrapText="1"/>
      <protection locked="0"/>
    </xf>
    <xf numFmtId="0" fontId="0" fillId="3" borderId="12" xfId="0" applyFill="1" applyBorder="1" applyAlignment="1" applyProtection="1">
      <alignment horizontal="center" vertical="center" wrapText="1"/>
      <protection locked="0"/>
    </xf>
    <xf numFmtId="0" fontId="10" fillId="3" borderId="4" xfId="0" applyFont="1" applyFill="1" applyBorder="1" applyAlignment="1" applyProtection="1">
      <alignment horizontal="center" vertical="center"/>
      <protection locked="0"/>
    </xf>
    <xf numFmtId="14" fontId="0" fillId="3" borderId="15" xfId="0" applyNumberFormat="1" applyFill="1" applyBorder="1" applyAlignment="1" applyProtection="1">
      <alignment horizontal="center"/>
      <protection locked="0"/>
    </xf>
    <xf numFmtId="0" fontId="11" fillId="0" borderId="29" xfId="0" applyFont="1" applyBorder="1" applyAlignment="1">
      <alignment horizontal="center" vertical="center"/>
    </xf>
    <xf numFmtId="0" fontId="2" fillId="0" borderId="43" xfId="0" applyFont="1" applyBorder="1" applyAlignment="1">
      <alignment horizontal="center" vertical="center" wrapText="1"/>
    </xf>
    <xf numFmtId="0" fontId="2" fillId="0" borderId="19"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43" xfId="0" applyFont="1" applyBorder="1" applyAlignment="1">
      <alignment horizontal="center" vertical="center"/>
    </xf>
    <xf numFmtId="0" fontId="2" fillId="0" borderId="19" xfId="0" applyFont="1" applyBorder="1" applyAlignment="1">
      <alignment horizontal="center" vertical="center"/>
    </xf>
    <xf numFmtId="0" fontId="2" fillId="0" borderId="31" xfId="0" applyFont="1" applyBorder="1" applyAlignment="1">
      <alignment horizontal="center" vertical="center"/>
    </xf>
    <xf numFmtId="0" fontId="2" fillId="0" borderId="22" xfId="0" applyFont="1" applyBorder="1" applyAlignment="1">
      <alignment horizontal="center" vertical="center" wrapText="1"/>
    </xf>
    <xf numFmtId="0" fontId="2" fillId="0" borderId="15" xfId="0" applyFont="1" applyBorder="1" applyAlignment="1">
      <alignment horizontal="center" vertical="center" wrapText="1"/>
    </xf>
    <xf numFmtId="0" fontId="10" fillId="0" borderId="0" xfId="0" applyFont="1" applyAlignment="1">
      <alignment horizontal="left" vertical="center"/>
    </xf>
    <xf numFmtId="0" fontId="0" fillId="0" borderId="63" xfId="0" applyBorder="1" applyAlignment="1">
      <alignment horizontal="center" vertical="center"/>
    </xf>
    <xf numFmtId="0" fontId="0" fillId="0" borderId="72" xfId="0" applyBorder="1" applyAlignment="1">
      <alignment horizontal="center" vertical="center"/>
    </xf>
    <xf numFmtId="0" fontId="0" fillId="0" borderId="55" xfId="0" applyBorder="1" applyAlignment="1">
      <alignment horizontal="center" vertical="center"/>
    </xf>
    <xf numFmtId="0" fontId="10" fillId="0" borderId="29" xfId="0" applyFont="1" applyBorder="1" applyAlignment="1">
      <alignment horizontal="center" vertical="center"/>
    </xf>
    <xf numFmtId="0" fontId="10" fillId="0" borderId="34" xfId="0" applyFont="1" applyBorder="1" applyAlignment="1">
      <alignment horizontal="center" vertical="center"/>
    </xf>
    <xf numFmtId="0" fontId="10" fillId="0" borderId="4" xfId="0" applyFont="1" applyBorder="1" applyAlignment="1">
      <alignment horizontal="center" vertical="center"/>
    </xf>
    <xf numFmtId="0" fontId="10" fillId="0" borderId="22" xfId="0" applyFont="1" applyBorder="1" applyAlignment="1">
      <alignment horizontal="center" vertical="center"/>
    </xf>
    <xf numFmtId="0" fontId="5" fillId="0" borderId="63" xfId="0" applyFont="1" applyBorder="1" applyAlignment="1">
      <alignment horizontal="center" vertical="center" wrapText="1"/>
    </xf>
    <xf numFmtId="0" fontId="5" fillId="0" borderId="62" xfId="0" applyFont="1" applyBorder="1" applyAlignment="1">
      <alignment horizontal="center" vertical="center" wrapText="1"/>
    </xf>
    <xf numFmtId="0" fontId="5" fillId="0" borderId="73" xfId="0" applyFont="1" applyBorder="1" applyAlignment="1">
      <alignment horizontal="center" vertical="center" wrapText="1"/>
    </xf>
    <xf numFmtId="0" fontId="5" fillId="0" borderId="55" xfId="0" applyFont="1" applyBorder="1" applyAlignment="1">
      <alignment horizontal="center" vertical="center" wrapText="1"/>
    </xf>
    <xf numFmtId="0" fontId="5" fillId="0" borderId="61" xfId="0" applyFont="1" applyBorder="1" applyAlignment="1">
      <alignment horizontal="center" vertical="center" wrapText="1"/>
    </xf>
    <xf numFmtId="0" fontId="5" fillId="0" borderId="52" xfId="0" applyFont="1" applyBorder="1" applyAlignment="1">
      <alignment horizontal="center" vertical="center" wrapText="1"/>
    </xf>
    <xf numFmtId="166" fontId="2" fillId="0" borderId="63" xfId="0" applyNumberFormat="1" applyFont="1" applyFill="1" applyBorder="1" applyAlignment="1" applyProtection="1">
      <alignment horizontal="center" wrapText="1"/>
      <protection locked="0"/>
    </xf>
    <xf numFmtId="166" fontId="2" fillId="0" borderId="62" xfId="0" applyNumberFormat="1" applyFont="1" applyFill="1" applyBorder="1" applyAlignment="1" applyProtection="1">
      <alignment horizontal="center"/>
      <protection locked="0"/>
    </xf>
    <xf numFmtId="166" fontId="2" fillId="0" borderId="73" xfId="0" applyNumberFormat="1" applyFont="1" applyFill="1" applyBorder="1" applyAlignment="1" applyProtection="1">
      <alignment horizontal="center"/>
      <protection locked="0"/>
    </xf>
    <xf numFmtId="0" fontId="5" fillId="0" borderId="15" xfId="0" applyFont="1" applyBorder="1" applyAlignment="1">
      <alignment horizontal="center" vertical="center" wrapText="1"/>
    </xf>
    <xf numFmtId="0" fontId="2" fillId="0" borderId="5" xfId="0" applyFont="1" applyBorder="1" applyAlignment="1">
      <alignment horizontal="center" vertical="center"/>
    </xf>
    <xf numFmtId="0" fontId="2" fillId="0" borderId="44" xfId="0" applyFont="1" applyBorder="1" applyAlignment="1">
      <alignment horizontal="center" vertical="center"/>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9" fillId="0" borderId="42" xfId="0" applyFont="1" applyBorder="1" applyAlignment="1">
      <alignment horizontal="center" vertical="center"/>
    </xf>
    <xf numFmtId="0" fontId="9" fillId="0" borderId="41" xfId="0" applyFont="1" applyBorder="1" applyAlignment="1">
      <alignment horizontal="center" vertical="center"/>
    </xf>
    <xf numFmtId="0" fontId="9" fillId="0" borderId="16" xfId="0" applyFont="1" applyBorder="1" applyAlignment="1">
      <alignment horizontal="center" vertical="center"/>
    </xf>
    <xf numFmtId="0" fontId="5" fillId="0" borderId="13"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17" xfId="0" applyFont="1" applyBorder="1" applyAlignment="1">
      <alignment horizontal="center" vertical="center" wrapText="1"/>
    </xf>
    <xf numFmtId="166" fontId="0" fillId="0" borderId="63" xfId="0" applyNumberFormat="1" applyFont="1" applyFill="1" applyBorder="1" applyAlignment="1" applyProtection="1">
      <alignment horizontal="center" vertical="center" wrapText="1"/>
      <protection locked="0"/>
    </xf>
    <xf numFmtId="166" fontId="0" fillId="0" borderId="62" xfId="0" applyNumberFormat="1" applyFont="1" applyFill="1" applyBorder="1" applyAlignment="1" applyProtection="1">
      <alignment horizontal="center" vertical="center"/>
      <protection locked="0"/>
    </xf>
    <xf numFmtId="166" fontId="0" fillId="0" borderId="73" xfId="0" applyNumberFormat="1" applyFont="1" applyFill="1" applyBorder="1" applyAlignment="1" applyProtection="1">
      <alignment horizontal="center" vertical="center"/>
      <protection locked="0"/>
    </xf>
    <xf numFmtId="166" fontId="0" fillId="0" borderId="55" xfId="0" applyNumberFormat="1" applyFont="1" applyFill="1" applyBorder="1" applyAlignment="1" applyProtection="1">
      <alignment horizontal="center" vertical="center"/>
      <protection locked="0"/>
    </xf>
    <xf numFmtId="166" fontId="0" fillId="0" borderId="61" xfId="0" applyNumberFormat="1" applyFont="1" applyFill="1" applyBorder="1" applyAlignment="1" applyProtection="1">
      <alignment horizontal="center" vertical="center"/>
      <protection locked="0"/>
    </xf>
    <xf numFmtId="166" fontId="0" fillId="0" borderId="52" xfId="0" applyNumberFormat="1" applyFont="1" applyFill="1" applyBorder="1" applyAlignment="1" applyProtection="1">
      <alignment horizontal="center" vertical="center"/>
      <protection locked="0"/>
    </xf>
    <xf numFmtId="0" fontId="9" fillId="0" borderId="4" xfId="0" applyFont="1" applyFill="1" applyBorder="1" applyAlignment="1">
      <alignment horizontal="right" vertical="center"/>
    </xf>
    <xf numFmtId="0" fontId="2" fillId="0" borderId="19"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11" fillId="0" borderId="15" xfId="0" applyFont="1" applyFill="1" applyBorder="1" applyAlignment="1">
      <alignment horizontal="center" vertical="center" wrapText="1"/>
    </xf>
    <xf numFmtId="0" fontId="11" fillId="0" borderId="5" xfId="0" applyFont="1" applyFill="1" applyBorder="1" applyAlignment="1">
      <alignment horizontal="center" vertical="center" wrapText="1"/>
    </xf>
    <xf numFmtId="169" fontId="11" fillId="0" borderId="19" xfId="0" applyNumberFormat="1" applyFont="1" applyFill="1" applyBorder="1" applyAlignment="1">
      <alignment horizontal="center" vertical="center" wrapText="1"/>
    </xf>
    <xf numFmtId="169" fontId="11" fillId="0" borderId="5" xfId="0" applyNumberFormat="1" applyFont="1" applyFill="1" applyBorder="1" applyAlignment="1">
      <alignment horizontal="center" vertical="center" wrapText="1"/>
    </xf>
    <xf numFmtId="0" fontId="11" fillId="0" borderId="19" xfId="0" applyFont="1" applyFill="1" applyBorder="1" applyAlignment="1">
      <alignment horizontal="center" vertical="center" wrapText="1"/>
    </xf>
    <xf numFmtId="0" fontId="10" fillId="3" borderId="4" xfId="0" applyFont="1" applyFill="1" applyBorder="1" applyAlignment="1" applyProtection="1">
      <alignment horizontal="center"/>
      <protection locked="0"/>
    </xf>
    <xf numFmtId="14" fontId="10" fillId="3" borderId="11" xfId="0" applyNumberFormat="1" applyFont="1" applyFill="1" applyBorder="1" applyAlignment="1" applyProtection="1">
      <alignment horizontal="center" vertical="center"/>
      <protection locked="0"/>
    </xf>
    <xf numFmtId="0" fontId="10" fillId="3" borderId="11" xfId="0" applyFont="1" applyFill="1" applyBorder="1" applyAlignment="1" applyProtection="1">
      <alignment horizontal="center" vertical="center"/>
      <protection locked="0"/>
    </xf>
    <xf numFmtId="0" fontId="11" fillId="0" borderId="25" xfId="0" applyFont="1" applyFill="1" applyBorder="1" applyAlignment="1">
      <alignment horizontal="center" vertical="center" wrapText="1"/>
    </xf>
    <xf numFmtId="0" fontId="11" fillId="0" borderId="51" xfId="0" applyFont="1" applyFill="1" applyBorder="1" applyAlignment="1">
      <alignment horizontal="center" vertical="center" wrapText="1"/>
    </xf>
    <xf numFmtId="0" fontId="9" fillId="0" borderId="4" xfId="0" applyFont="1" applyFill="1" applyBorder="1" applyAlignment="1">
      <alignment horizontal="right"/>
    </xf>
    <xf numFmtId="0" fontId="7" fillId="0" borderId="19"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9" fillId="0" borderId="0" xfId="0" applyFont="1" applyBorder="1" applyAlignment="1">
      <alignment horizontal="center" vertical="top"/>
    </xf>
    <xf numFmtId="0" fontId="11" fillId="0" borderId="61" xfId="0" applyFont="1" applyFill="1" applyBorder="1" applyAlignment="1">
      <alignment horizontal="center" vertical="center" wrapText="1"/>
    </xf>
    <xf numFmtId="0" fontId="11" fillId="0" borderId="4" xfId="0" applyFont="1" applyFill="1" applyBorder="1" applyAlignment="1">
      <alignment horizontal="center" vertical="center" wrapText="1"/>
    </xf>
    <xf numFmtId="0" fontId="10" fillId="0" borderId="61" xfId="0" applyFont="1" applyBorder="1" applyAlignment="1">
      <alignment horizontal="center" vertical="top"/>
    </xf>
    <xf numFmtId="0" fontId="10" fillId="3" borderId="4" xfId="0" applyFont="1" applyFill="1" applyBorder="1" applyAlignment="1" applyProtection="1">
      <alignment horizontal="center" vertical="center" wrapText="1"/>
      <protection locked="0"/>
    </xf>
    <xf numFmtId="166" fontId="23" fillId="3" borderId="4" xfId="0" applyNumberFormat="1" applyFont="1" applyFill="1" applyBorder="1" applyAlignment="1" applyProtection="1">
      <alignment horizontal="center" vertical="center"/>
      <protection locked="0"/>
    </xf>
    <xf numFmtId="0" fontId="11" fillId="0" borderId="4" xfId="0" applyFont="1" applyFill="1" applyBorder="1" applyAlignment="1">
      <alignment horizontal="center" vertical="center" textRotation="90" wrapText="1"/>
    </xf>
    <xf numFmtId="169" fontId="11" fillId="0" borderId="4" xfId="0" applyNumberFormat="1" applyFont="1" applyFill="1" applyBorder="1" applyAlignment="1">
      <alignment horizontal="center" vertical="center" wrapText="1"/>
    </xf>
    <xf numFmtId="0" fontId="28" fillId="0" borderId="15" xfId="0" applyFont="1" applyFill="1" applyBorder="1" applyAlignment="1" applyProtection="1">
      <alignment vertical="center" wrapText="1"/>
    </xf>
    <xf numFmtId="0" fontId="28" fillId="0" borderId="19" xfId="0" applyFont="1" applyFill="1" applyBorder="1" applyAlignment="1" applyProtection="1">
      <alignment vertical="center" wrapText="1"/>
    </xf>
    <xf numFmtId="0" fontId="10" fillId="0" borderId="0" xfId="0" applyFont="1" applyFill="1" applyAlignment="1" applyProtection="1">
      <alignment horizontal="center" vertical="center"/>
    </xf>
    <xf numFmtId="0" fontId="10" fillId="0" borderId="0" xfId="0" applyFont="1" applyFill="1" applyBorder="1" applyAlignment="1" applyProtection="1">
      <alignment horizontal="right" vertical="center"/>
    </xf>
    <xf numFmtId="0" fontId="28" fillId="0" borderId="5" xfId="0" applyFont="1" applyFill="1" applyBorder="1" applyAlignment="1" applyProtection="1">
      <alignment vertical="center" wrapText="1"/>
    </xf>
    <xf numFmtId="0" fontId="28" fillId="0" borderId="4" xfId="0" applyFont="1" applyFill="1" applyBorder="1" applyAlignment="1" applyProtection="1">
      <alignment horizontal="left" vertical="center" wrapText="1"/>
    </xf>
    <xf numFmtId="0" fontId="2" fillId="0" borderId="61" xfId="0" applyFont="1" applyBorder="1" applyAlignment="1">
      <alignment horizontal="left" vertical="center" wrapText="1"/>
    </xf>
    <xf numFmtId="0" fontId="2" fillId="4" borderId="40" xfId="0" applyFont="1" applyFill="1" applyBorder="1" applyAlignment="1">
      <alignment horizontal="center"/>
    </xf>
    <xf numFmtId="0" fontId="2" fillId="4" borderId="54" xfId="0" applyFont="1" applyFill="1" applyBorder="1" applyAlignment="1">
      <alignment horizontal="center"/>
    </xf>
    <xf numFmtId="0" fontId="2" fillId="4" borderId="40" xfId="0" applyFont="1" applyFill="1" applyBorder="1" applyAlignment="1">
      <alignment horizontal="center" wrapText="1"/>
    </xf>
    <xf numFmtId="0" fontId="2" fillId="4" borderId="54" xfId="0" applyFont="1" applyFill="1" applyBorder="1" applyAlignment="1">
      <alignment horizontal="center" wrapText="1"/>
    </xf>
  </cellXfs>
  <cellStyles count="5">
    <cellStyle name="Денежный" xfId="3" builtinId="4"/>
    <cellStyle name="Обычный" xfId="0" builtinId="0"/>
    <cellStyle name="Обычный_ГОиТ" xfId="4"/>
    <cellStyle name="Плохой" xfId="2" builtinId="27"/>
    <cellStyle name="Процентный" xfId="1" builtinId="5"/>
  </cellStyles>
  <dxfs count="392">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outline="0">
        <top style="thin">
          <color indexed="64"/>
        </top>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scheme val="minor"/>
      </font>
      <numFmt numFmtId="169" formatCode="dd/mm/yy;@"/>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rgb="FF313131"/>
        <name val="Calibri"/>
        <scheme val="minor"/>
      </font>
      <fill>
        <patternFill patternType="none">
          <fgColor indexed="64"/>
          <bgColor indexed="65"/>
        </patternFill>
      </fill>
      <alignment horizontal="general" vertical="top" textRotation="0" wrapText="1" indent="0" justifyLastLine="0" shrinkToFit="0" readingOrder="0"/>
    </dxf>
    <dxf>
      <border outline="0">
        <right style="thin">
          <color indexed="64"/>
        </right>
      </border>
    </dxf>
    <dxf>
      <font>
        <b val="0"/>
        <i val="0"/>
        <strike val="0"/>
        <condense val="0"/>
        <extend val="0"/>
        <outline val="0"/>
        <shadow val="0"/>
        <u val="none"/>
        <vertAlign val="baseline"/>
        <sz val="12"/>
        <color rgb="FF313131"/>
        <name val="Calibri"/>
        <scheme val="minor"/>
      </font>
      <fill>
        <patternFill patternType="none">
          <fgColor indexed="64"/>
          <bgColor indexed="65"/>
        </patternFill>
      </fill>
      <alignment horizontal="general" vertical="top" textRotation="0" wrapText="1" indent="0" justifyLastLine="0" shrinkToFit="0" readingOrder="0"/>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CC7CE"/>
        </patternFill>
      </fill>
    </dxf>
    <dxf>
      <font>
        <color rgb="FFC00000"/>
      </font>
      <fill>
        <patternFill>
          <bgColor rgb="FFFCC7CE"/>
        </patternFill>
      </fill>
    </dxf>
    <dxf>
      <font>
        <color rgb="FFC00000"/>
      </font>
      <fill>
        <patternFill>
          <bgColor rgb="FFFC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CC7CE"/>
        </patternFill>
      </fill>
    </dxf>
    <dxf>
      <font>
        <color rgb="FFC00000"/>
      </font>
      <fill>
        <patternFill>
          <bgColor rgb="FFFCC7CE"/>
        </patternFill>
      </fill>
    </dxf>
    <dxf>
      <font>
        <color rgb="FFC00000"/>
      </font>
      <fill>
        <patternFill>
          <bgColor rgb="FFFCC7CE"/>
        </patternFill>
      </fill>
    </dxf>
    <dxf>
      <font>
        <color rgb="FFC00000"/>
      </font>
      <fill>
        <patternFill>
          <bgColor rgb="FFFC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CC7CE"/>
        </patternFill>
      </fill>
    </dxf>
    <dxf>
      <font>
        <color rgb="FF9C0006"/>
      </font>
      <fill>
        <patternFill>
          <bgColor rgb="FFFFC7CE"/>
        </patternFill>
      </fill>
    </dxf>
    <dxf>
      <font>
        <color rgb="FF9C0006"/>
      </font>
      <fill>
        <patternFill>
          <bgColor rgb="FFFFC7CE"/>
        </patternFill>
      </fill>
    </dxf>
    <dxf>
      <font>
        <color rgb="FFC00000"/>
      </font>
      <fill>
        <patternFill>
          <bgColor rgb="FFFCC7CE"/>
        </patternFill>
      </fill>
    </dxf>
    <dxf>
      <font>
        <color rgb="FF9C0006"/>
      </font>
      <fill>
        <patternFill>
          <bgColor rgb="FFFFC7CE"/>
        </patternFill>
      </fill>
    </dxf>
    <dxf>
      <font>
        <color rgb="FF9C0006"/>
      </font>
      <fill>
        <patternFill>
          <bgColor rgb="FFFFC7CE"/>
        </patternFill>
      </fill>
    </dxf>
    <dxf>
      <font>
        <color rgb="FFC00000"/>
      </font>
      <fill>
        <patternFill>
          <bgColor rgb="FFFC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4CD"/>
        </patternFill>
      </fill>
    </dxf>
    <dxf>
      <font>
        <color rgb="FF006100"/>
      </font>
      <fill>
        <patternFill>
          <bgColor rgb="FFC6EFCE"/>
        </patternFill>
      </fill>
    </dxf>
  </dxfs>
  <tableStyles count="0" defaultTableStyle="TableStyleMedium2" defaultPivotStyle="PivotStyleLight16"/>
  <colors>
    <mruColors>
      <color rgb="FFFFC7CE"/>
      <color rgb="FF9C0006"/>
      <color rgb="FFFCC7CE"/>
      <color rgb="FF006100"/>
      <color rgb="FFC6EFCE"/>
      <color rgb="FFFFC4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3" name="Таблица3" displayName="Таблица3" ref="A1:A433" totalsRowShown="0" headerRowDxfId="18" dataDxfId="17" tableBorderDxfId="16">
  <autoFilter ref="A1:A433"/>
  <tableColumns count="1">
    <tableColumn id="1" name="Перечень ВУЗов" dataDxfId="15"/>
  </tableColumns>
  <tableStyleInfo name="TableStyleLight9" showFirstColumn="0" showLastColumn="0" showRowStripes="1" showColumnStripes="0"/>
</table>
</file>

<file path=xl/tables/table2.xml><?xml version="1.0" encoding="utf-8"?>
<table xmlns="http://schemas.openxmlformats.org/spreadsheetml/2006/main" id="4" name="Таблица4" displayName="Таблица4" ref="C1:D1464" totalsRowShown="0" headerRowBorderDxfId="14" tableBorderDxfId="13" totalsRowBorderDxfId="12">
  <autoFilter ref="C1:D1464"/>
  <tableColumns count="2">
    <tableColumn id="1" name="Коды специальностей" dataDxfId="11"/>
    <tableColumn id="2" name="Наименования специальностей профессионального образования" dataDxfId="10"/>
  </tableColumns>
  <tableStyleInfo name="TableStyleLight10" showFirstColumn="0" showLastColumn="0" showRowStripes="1" showColumnStripes="0"/>
</table>
</file>

<file path=xl/tables/table3.xml><?xml version="1.0" encoding="utf-8"?>
<table xmlns="http://schemas.openxmlformats.org/spreadsheetml/2006/main" id="5" name="Таблица5" displayName="Таблица5" ref="A3:F1630" totalsRowShown="0" headerRowDxfId="9" dataDxfId="7" headerRowBorderDxfId="8" tableBorderDxfId="6">
  <autoFilter ref="A3:F1630"/>
  <tableColumns count="6">
    <tableColumn id="1" name="код и направление подготовки" dataDxfId="5"/>
    <tableColumn id="2" name="УГСН" dataDxfId="4"/>
    <tableColumn id="3" name="код и направление подготовки2" dataDxfId="3"/>
    <tableColumn id="4" name="УГСН2" dataDxfId="2"/>
    <tableColumn id="5" name="код и направление подготовки3" dataDxfId="1"/>
    <tableColumn id="6" name="УГСН3" dataDxfId="0"/>
  </tableColumns>
  <tableStyleInfo name="TableStyleMedium3"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28"/>
  <sheetViews>
    <sheetView workbookViewId="0">
      <selection activeCell="E22" sqref="E22"/>
    </sheetView>
  </sheetViews>
  <sheetFormatPr defaultRowHeight="15" x14ac:dyDescent="0.25"/>
  <cols>
    <col min="1" max="1" width="9.140625" style="106"/>
    <col min="2" max="16384" width="9.140625" style="107"/>
  </cols>
  <sheetData>
    <row r="1" spans="1:27" x14ac:dyDescent="0.25">
      <c r="A1" s="340">
        <v>1</v>
      </c>
      <c r="B1" s="337" t="s">
        <v>84</v>
      </c>
      <c r="C1" s="337"/>
      <c r="D1" s="337"/>
      <c r="E1" s="337"/>
      <c r="F1" s="337"/>
      <c r="G1" s="337"/>
      <c r="H1" s="337"/>
      <c r="I1" s="337"/>
      <c r="J1" s="337"/>
      <c r="K1" s="79"/>
      <c r="L1" s="337"/>
      <c r="M1" s="337"/>
      <c r="N1" s="337"/>
      <c r="O1" s="337"/>
      <c r="P1" s="337"/>
      <c r="Q1" s="337"/>
      <c r="R1" s="337"/>
      <c r="S1" s="337"/>
      <c r="T1" s="337"/>
      <c r="U1" s="337"/>
      <c r="V1" s="337"/>
      <c r="W1" s="337"/>
      <c r="X1" s="337"/>
      <c r="Y1" s="337"/>
      <c r="Z1" s="337"/>
      <c r="AA1" s="337"/>
    </row>
    <row r="2" spans="1:27" x14ac:dyDescent="0.25">
      <c r="A2" s="341">
        <f>A1+1</f>
        <v>2</v>
      </c>
      <c r="B2" s="339" t="s">
        <v>258</v>
      </c>
      <c r="C2" s="339"/>
      <c r="D2" s="339"/>
      <c r="E2" s="339"/>
      <c r="F2" s="339"/>
      <c r="G2" s="339"/>
      <c r="H2" s="339"/>
      <c r="I2" s="339"/>
      <c r="J2" s="339"/>
      <c r="K2" s="339"/>
      <c r="L2" s="339"/>
      <c r="M2" s="339"/>
      <c r="N2" s="339"/>
      <c r="O2" s="339"/>
      <c r="P2" s="339"/>
      <c r="Q2" s="339"/>
      <c r="R2" s="339"/>
      <c r="S2" s="339"/>
      <c r="T2" s="339"/>
      <c r="U2" s="339"/>
      <c r="V2" s="339"/>
      <c r="W2" s="339"/>
      <c r="X2" s="339"/>
      <c r="Y2" s="339"/>
      <c r="Z2" s="339"/>
      <c r="AA2" s="339"/>
    </row>
    <row r="3" spans="1:27" x14ac:dyDescent="0.25">
      <c r="A3" s="341">
        <f t="shared" ref="A3:A5" si="0">A2+1</f>
        <v>3</v>
      </c>
      <c r="B3" s="339" t="s">
        <v>259</v>
      </c>
      <c r="C3" s="339"/>
      <c r="D3" s="339"/>
      <c r="E3" s="339"/>
      <c r="F3" s="339"/>
      <c r="G3" s="339"/>
      <c r="H3" s="339"/>
      <c r="I3" s="339"/>
      <c r="J3" s="339"/>
      <c r="K3" s="339"/>
      <c r="L3" s="89"/>
      <c r="M3" s="339"/>
      <c r="N3" s="339"/>
      <c r="O3" s="339"/>
      <c r="P3" s="339"/>
      <c r="Q3" s="339"/>
      <c r="R3" s="339"/>
      <c r="S3" s="339"/>
      <c r="T3" s="339"/>
      <c r="U3" s="339"/>
      <c r="V3" s="339"/>
      <c r="W3" s="339"/>
      <c r="X3" s="339"/>
      <c r="Y3" s="339"/>
      <c r="Z3" s="339"/>
      <c r="AA3" s="339"/>
    </row>
    <row r="4" spans="1:27" x14ac:dyDescent="0.25">
      <c r="A4" s="341">
        <f t="shared" si="0"/>
        <v>4</v>
      </c>
      <c r="B4" s="339" t="s">
        <v>108</v>
      </c>
      <c r="C4" s="339"/>
      <c r="D4" s="339"/>
      <c r="E4" s="339"/>
      <c r="F4" s="339"/>
      <c r="G4" s="339"/>
      <c r="H4" s="339"/>
      <c r="I4" s="339"/>
      <c r="J4" s="339"/>
      <c r="K4" s="339"/>
      <c r="L4" s="339"/>
      <c r="M4" s="339"/>
      <c r="N4" s="339"/>
      <c r="O4" s="339"/>
      <c r="P4" s="339"/>
      <c r="Q4" s="339"/>
      <c r="R4" s="339"/>
      <c r="S4" s="339"/>
      <c r="T4" s="339"/>
      <c r="U4" s="339"/>
      <c r="V4" s="339"/>
      <c r="W4" s="339"/>
      <c r="X4" s="339"/>
      <c r="Y4" s="339"/>
      <c r="Z4" s="339"/>
      <c r="AA4" s="339"/>
    </row>
    <row r="5" spans="1:27" x14ac:dyDescent="0.25">
      <c r="A5" s="341">
        <f t="shared" si="0"/>
        <v>5</v>
      </c>
      <c r="B5" s="339" t="s">
        <v>246</v>
      </c>
      <c r="C5" s="339"/>
      <c r="D5" s="339"/>
      <c r="E5" s="339"/>
      <c r="F5" s="339"/>
      <c r="G5" s="339"/>
      <c r="H5" s="339"/>
      <c r="I5" s="339"/>
      <c r="J5" s="339"/>
      <c r="K5" s="339"/>
      <c r="L5" s="339"/>
      <c r="M5" s="339"/>
      <c r="N5" s="339"/>
      <c r="O5" s="339"/>
      <c r="P5" s="339"/>
      <c r="Q5" s="339"/>
      <c r="R5" s="339"/>
      <c r="S5" s="339"/>
      <c r="T5" s="339"/>
      <c r="U5" s="339"/>
      <c r="V5" s="339"/>
      <c r="W5" s="339"/>
      <c r="X5" s="339"/>
      <c r="Y5" s="339"/>
      <c r="Z5" s="339"/>
      <c r="AA5" s="339"/>
    </row>
    <row r="6" spans="1:27" x14ac:dyDescent="0.25">
      <c r="A6" s="630">
        <f>A5+1</f>
        <v>6</v>
      </c>
      <c r="B6" s="338" t="s">
        <v>247</v>
      </c>
      <c r="C6" s="338"/>
      <c r="D6" s="338"/>
      <c r="E6" s="338"/>
      <c r="F6" s="338"/>
      <c r="G6" s="338"/>
      <c r="H6" s="338"/>
      <c r="I6" s="338"/>
      <c r="J6" s="338"/>
      <c r="K6" s="338"/>
      <c r="L6" s="349" t="s">
        <v>135</v>
      </c>
      <c r="M6" s="338" t="s">
        <v>136</v>
      </c>
      <c r="N6" s="338"/>
      <c r="O6" s="338"/>
      <c r="P6" s="338"/>
      <c r="Q6" s="338"/>
      <c r="R6" s="338"/>
      <c r="S6" s="338"/>
      <c r="T6" s="338"/>
      <c r="U6" s="338"/>
      <c r="V6" s="338"/>
      <c r="W6" s="338"/>
      <c r="X6" s="338"/>
      <c r="Y6" s="338"/>
      <c r="Z6" s="338"/>
      <c r="AA6" s="338"/>
    </row>
    <row r="7" spans="1:27" x14ac:dyDescent="0.25">
      <c r="A7" s="631"/>
      <c r="B7" s="337" t="s">
        <v>137</v>
      </c>
      <c r="C7" s="337"/>
      <c r="D7" s="337"/>
      <c r="E7" s="337"/>
      <c r="F7" s="337"/>
      <c r="G7" s="337"/>
      <c r="H7" s="337"/>
      <c r="I7" s="337"/>
      <c r="J7" s="337"/>
      <c r="K7" s="337"/>
      <c r="L7" s="337"/>
      <c r="M7" s="337"/>
      <c r="N7" s="337"/>
      <c r="O7" s="337"/>
      <c r="P7" s="337"/>
      <c r="Q7" s="337"/>
      <c r="R7" s="337"/>
      <c r="S7" s="337"/>
      <c r="T7" s="337"/>
      <c r="U7" s="337"/>
      <c r="V7" s="337"/>
      <c r="W7" s="337"/>
      <c r="X7" s="337"/>
      <c r="Y7" s="337"/>
      <c r="Z7" s="337"/>
      <c r="AA7" s="337"/>
    </row>
    <row r="8" spans="1:27" x14ac:dyDescent="0.25">
      <c r="A8" s="341">
        <f>A6+1</f>
        <v>7</v>
      </c>
      <c r="B8" s="339" t="s">
        <v>138</v>
      </c>
      <c r="C8" s="339"/>
      <c r="D8" s="339"/>
      <c r="E8" s="339"/>
      <c r="F8" s="339"/>
      <c r="G8" s="339"/>
      <c r="H8" s="339"/>
      <c r="I8" s="339"/>
      <c r="J8" s="339"/>
      <c r="K8" s="339"/>
      <c r="L8" s="339"/>
      <c r="M8" s="339"/>
      <c r="N8" s="339"/>
      <c r="O8" s="339"/>
      <c r="P8" s="339"/>
      <c r="Q8" s="339"/>
      <c r="R8" s="339"/>
      <c r="S8" s="339"/>
      <c r="T8" s="339"/>
      <c r="U8" s="339"/>
      <c r="V8" s="339"/>
      <c r="W8" s="339"/>
      <c r="X8" s="339"/>
      <c r="Y8" s="339"/>
      <c r="Z8" s="339"/>
      <c r="AA8" s="339"/>
    </row>
    <row r="9" spans="1:27" ht="30.75" customHeight="1" x14ac:dyDescent="0.25">
      <c r="A9" s="341">
        <f>A8+1</f>
        <v>8</v>
      </c>
      <c r="B9" s="632" t="s">
        <v>193</v>
      </c>
      <c r="C9" s="632"/>
      <c r="D9" s="632"/>
      <c r="E9" s="632"/>
      <c r="F9" s="632"/>
      <c r="G9" s="632"/>
      <c r="H9" s="632"/>
      <c r="I9" s="632"/>
      <c r="J9" s="632"/>
      <c r="K9" s="632"/>
      <c r="L9" s="632"/>
      <c r="M9" s="632"/>
      <c r="N9" s="632"/>
      <c r="O9" s="632"/>
      <c r="P9" s="632"/>
      <c r="Q9" s="632"/>
      <c r="R9" s="632"/>
      <c r="S9" s="632"/>
      <c r="T9" s="632"/>
      <c r="U9" s="632"/>
      <c r="V9" s="632"/>
      <c r="W9" s="632"/>
      <c r="X9" s="632"/>
      <c r="Y9" s="632"/>
      <c r="Z9" s="632"/>
      <c r="AA9" s="632"/>
    </row>
    <row r="10" spans="1:27" x14ac:dyDescent="0.25">
      <c r="A10" s="341">
        <f>A9+1</f>
        <v>9</v>
      </c>
      <c r="B10" s="337" t="s">
        <v>1607</v>
      </c>
      <c r="C10" s="337"/>
      <c r="D10" s="337"/>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x14ac:dyDescent="0.25">
      <c r="A11" s="630">
        <f>A10+1</f>
        <v>10</v>
      </c>
      <c r="B11" s="338" t="s">
        <v>1602</v>
      </c>
      <c r="C11" s="338"/>
      <c r="D11" s="338"/>
      <c r="E11" s="338"/>
      <c r="F11" s="338"/>
      <c r="G11" s="338"/>
      <c r="H11" s="338"/>
      <c r="I11" s="338"/>
      <c r="J11" s="338"/>
      <c r="K11" s="338"/>
      <c r="L11" s="338"/>
      <c r="M11" s="338"/>
      <c r="N11" s="338"/>
      <c r="O11" s="338"/>
      <c r="P11" s="338"/>
      <c r="Q11" s="338"/>
      <c r="R11" s="338"/>
      <c r="S11" s="338"/>
      <c r="T11" s="338"/>
      <c r="U11" s="338"/>
      <c r="V11" s="338"/>
      <c r="W11" s="338"/>
      <c r="X11" s="338"/>
      <c r="Y11" s="338"/>
      <c r="Z11" s="338"/>
      <c r="AA11" s="338"/>
    </row>
    <row r="12" spans="1:27" x14ac:dyDescent="0.25">
      <c r="A12" s="631"/>
      <c r="B12" s="337" t="s">
        <v>1603</v>
      </c>
      <c r="C12" s="337"/>
      <c r="D12" s="337"/>
      <c r="E12" s="337"/>
      <c r="F12" s="337"/>
      <c r="G12" s="337"/>
      <c r="H12" s="337"/>
      <c r="I12" s="337"/>
      <c r="J12" s="337"/>
      <c r="K12" s="337"/>
      <c r="L12" s="337"/>
      <c r="M12" s="337"/>
      <c r="N12" s="337"/>
      <c r="O12" s="337"/>
      <c r="P12" s="337"/>
      <c r="Q12" s="337"/>
      <c r="R12" s="337"/>
      <c r="S12" s="337"/>
      <c r="T12" s="337"/>
      <c r="U12" s="337"/>
      <c r="V12" s="337"/>
      <c r="W12" s="337"/>
      <c r="X12" s="337"/>
      <c r="Y12" s="337"/>
      <c r="Z12" s="348"/>
      <c r="AA12" s="348"/>
    </row>
    <row r="13" spans="1:27" x14ac:dyDescent="0.25">
      <c r="A13" s="471">
        <f>A11+1</f>
        <v>11</v>
      </c>
      <c r="B13" s="338" t="s">
        <v>1608</v>
      </c>
      <c r="C13" s="338"/>
      <c r="D13" s="338"/>
      <c r="E13" s="338"/>
      <c r="F13" s="338"/>
      <c r="G13" s="338"/>
      <c r="H13" s="338"/>
      <c r="I13" s="338"/>
      <c r="J13" s="338"/>
      <c r="K13" s="338"/>
      <c r="L13" s="338"/>
      <c r="M13" s="338"/>
      <c r="N13" s="338"/>
      <c r="O13" s="338"/>
      <c r="P13" s="338"/>
      <c r="Q13" s="338"/>
      <c r="R13" s="338"/>
      <c r="S13" s="338"/>
      <c r="T13" s="338"/>
      <c r="U13" s="338"/>
      <c r="V13" s="338"/>
      <c r="W13" s="338"/>
      <c r="X13" s="633" t="str">
        <f>IF('1-к'!X44='2-к'!X44,"Данные совпадают","Ошибка данных")</f>
        <v>Данные совпадают</v>
      </c>
      <c r="Y13" s="633"/>
      <c r="Z13" s="348"/>
      <c r="AA13" s="348"/>
    </row>
    <row r="14" spans="1:27" x14ac:dyDescent="0.25">
      <c r="A14" s="628">
        <f>A13+1</f>
        <v>12</v>
      </c>
      <c r="B14" s="338" t="s">
        <v>3591</v>
      </c>
      <c r="C14" s="338"/>
      <c r="D14" s="338"/>
      <c r="E14" s="338"/>
      <c r="F14" s="338"/>
      <c r="G14" s="338"/>
      <c r="H14" s="338"/>
      <c r="I14" s="338"/>
      <c r="J14" s="338"/>
      <c r="K14" s="338"/>
      <c r="L14" s="338"/>
      <c r="M14" s="338"/>
      <c r="N14" s="338"/>
      <c r="O14" s="338"/>
      <c r="P14" s="338"/>
      <c r="Q14" s="338"/>
      <c r="R14" s="338"/>
      <c r="S14" s="338"/>
      <c r="T14" s="338"/>
      <c r="U14" s="338"/>
      <c r="V14" s="338"/>
      <c r="W14" s="338"/>
      <c r="X14" s="472"/>
      <c r="Y14" s="472"/>
      <c r="Z14" s="338"/>
      <c r="AA14" s="338"/>
    </row>
    <row r="15" spans="1:27" x14ac:dyDescent="0.25">
      <c r="A15" s="629"/>
      <c r="B15" s="337" t="s">
        <v>3590</v>
      </c>
      <c r="C15" s="337"/>
      <c r="D15" s="337"/>
      <c r="E15" s="337"/>
      <c r="F15" s="337"/>
      <c r="G15" s="337"/>
      <c r="H15" s="337"/>
      <c r="I15" s="337"/>
      <c r="J15" s="337"/>
      <c r="K15" s="337"/>
      <c r="L15" s="337"/>
      <c r="M15" s="337"/>
      <c r="N15" s="337"/>
      <c r="O15" s="337"/>
      <c r="P15" s="337"/>
      <c r="Q15" s="337"/>
      <c r="R15" s="337"/>
      <c r="S15" s="337"/>
      <c r="T15" s="337"/>
      <c r="U15" s="337"/>
      <c r="V15" s="337"/>
      <c r="W15" s="337"/>
      <c r="X15" s="337"/>
      <c r="Y15" s="337"/>
      <c r="Z15" s="337"/>
      <c r="AA15" s="337"/>
    </row>
    <row r="17" spans="1:28" x14ac:dyDescent="0.25">
      <c r="A17" s="468" t="s">
        <v>1687</v>
      </c>
    </row>
    <row r="18" spans="1:28" x14ac:dyDescent="0.25">
      <c r="A18" s="107" t="s">
        <v>1688</v>
      </c>
    </row>
    <row r="19" spans="1:28" x14ac:dyDescent="0.25">
      <c r="A19" s="107" t="s">
        <v>1689</v>
      </c>
    </row>
    <row r="20" spans="1:28" s="467" customFormat="1" ht="95.25" customHeight="1" x14ac:dyDescent="0.25">
      <c r="A20" s="627" t="s">
        <v>1703</v>
      </c>
      <c r="B20" s="627"/>
      <c r="C20" s="627"/>
      <c r="D20" s="627"/>
      <c r="E20" s="627"/>
      <c r="F20" s="627"/>
      <c r="G20" s="627"/>
      <c r="H20" s="627"/>
      <c r="I20" s="627"/>
      <c r="J20" s="627"/>
      <c r="K20" s="627"/>
      <c r="L20" s="627"/>
      <c r="M20" s="627"/>
      <c r="N20" s="627"/>
      <c r="O20" s="627"/>
      <c r="P20" s="627"/>
      <c r="Q20" s="627"/>
      <c r="R20" s="627"/>
      <c r="S20" s="627"/>
      <c r="T20" s="627"/>
      <c r="U20" s="627"/>
      <c r="V20" s="627"/>
      <c r="W20" s="627"/>
      <c r="X20" s="627"/>
      <c r="Y20" s="627"/>
      <c r="Z20" s="627"/>
      <c r="AA20" s="627"/>
      <c r="AB20" s="627"/>
    </row>
    <row r="21" spans="1:28" x14ac:dyDescent="0.25">
      <c r="A21" s="107" t="s">
        <v>1704</v>
      </c>
    </row>
    <row r="22" spans="1:28" x14ac:dyDescent="0.25">
      <c r="A22" s="107" t="s">
        <v>1684</v>
      </c>
    </row>
    <row r="23" spans="1:28" x14ac:dyDescent="0.25">
      <c r="A23" s="107" t="s">
        <v>3592</v>
      </c>
    </row>
    <row r="24" spans="1:28" x14ac:dyDescent="0.25">
      <c r="A24" s="107" t="s">
        <v>3593</v>
      </c>
    </row>
    <row r="25" spans="1:28" x14ac:dyDescent="0.25">
      <c r="A25" s="107" t="s">
        <v>1683</v>
      </c>
    </row>
    <row r="26" spans="1:28" ht="33" customHeight="1" x14ac:dyDescent="0.25">
      <c r="A26" s="627" t="s">
        <v>1705</v>
      </c>
      <c r="B26" s="627"/>
      <c r="C26" s="627"/>
      <c r="D26" s="627"/>
      <c r="E26" s="627"/>
      <c r="F26" s="627"/>
      <c r="G26" s="627"/>
      <c r="H26" s="627"/>
      <c r="I26" s="627"/>
      <c r="J26" s="627"/>
      <c r="K26" s="627"/>
      <c r="L26" s="627"/>
      <c r="M26" s="627"/>
      <c r="N26" s="627"/>
      <c r="O26" s="627"/>
      <c r="P26" s="627"/>
      <c r="Q26" s="627"/>
      <c r="R26" s="627"/>
      <c r="S26" s="627"/>
      <c r="T26" s="627"/>
      <c r="U26" s="627"/>
      <c r="V26" s="627"/>
      <c r="W26" s="627"/>
      <c r="X26" s="627"/>
      <c r="Y26" s="627"/>
      <c r="Z26" s="627"/>
      <c r="AA26" s="627"/>
      <c r="AB26" s="627"/>
    </row>
    <row r="27" spans="1:28" x14ac:dyDescent="0.25">
      <c r="A27" s="107" t="s">
        <v>1706</v>
      </c>
      <c r="O27"/>
    </row>
    <row r="28" spans="1:28" x14ac:dyDescent="0.25">
      <c r="A28" s="107" t="s">
        <v>7456</v>
      </c>
    </row>
  </sheetData>
  <sheetProtection password="D8E9" sheet="1" objects="1" scenarios="1"/>
  <mergeCells count="7">
    <mergeCell ref="A20:AB20"/>
    <mergeCell ref="A26:AB26"/>
    <mergeCell ref="A14:A15"/>
    <mergeCell ref="A6:A7"/>
    <mergeCell ref="B9:AA9"/>
    <mergeCell ref="A11:A12"/>
    <mergeCell ref="X13:Y13"/>
  </mergeCells>
  <conditionalFormatting sqref="X13:Y13">
    <cfRule type="expression" dxfId="391" priority="1">
      <formula>$X$13="Данные совпадают"</formula>
    </cfRule>
    <cfRule type="expression" dxfId="390" priority="2">
      <formula>$X$13="Ошибка данных"</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outlinePr summaryBelow="0"/>
    <pageSetUpPr fitToPage="1"/>
  </sheetPr>
  <dimension ref="A1:AB54"/>
  <sheetViews>
    <sheetView zoomScale="85" zoomScaleNormal="85" workbookViewId="0">
      <selection activeCell="F23" sqref="F23"/>
    </sheetView>
  </sheetViews>
  <sheetFormatPr defaultRowHeight="18.75" outlineLevelRow="1" x14ac:dyDescent="0.25"/>
  <cols>
    <col min="1" max="1" width="5" style="2" customWidth="1"/>
    <col min="2" max="2" width="22.140625" customWidth="1"/>
    <col min="3" max="3" width="24.5703125" style="1" customWidth="1"/>
    <col min="4" max="4" width="30.28515625" style="1" customWidth="1"/>
    <col min="5" max="5" width="28.5703125" bestFit="1" customWidth="1"/>
    <col min="6" max="6" width="17.5703125" style="21" customWidth="1"/>
    <col min="7" max="7" width="9.7109375" style="21" customWidth="1"/>
    <col min="8" max="8" width="12" style="23" customWidth="1"/>
    <col min="9" max="9" width="17.42578125" style="21" customWidth="1"/>
    <col min="10" max="10" width="9.7109375" style="23" customWidth="1"/>
    <col min="11" max="11" width="12.140625" style="23" customWidth="1"/>
    <col min="12" max="12" width="17.5703125" style="21" customWidth="1"/>
    <col min="13" max="13" width="9.7109375" style="23" customWidth="1"/>
    <col min="14" max="14" width="12.140625" style="23" customWidth="1"/>
    <col min="15" max="15" width="17.5703125" style="21" customWidth="1"/>
    <col min="16" max="16" width="9.7109375" style="23" customWidth="1"/>
    <col min="17" max="17" width="12.140625" style="23" customWidth="1"/>
    <col min="18" max="18" width="17.5703125" style="21" customWidth="1"/>
    <col min="19" max="19" width="9.7109375" style="23" customWidth="1"/>
    <col min="20" max="20" width="12.140625" style="23" customWidth="1"/>
    <col min="21" max="21" width="17.5703125" style="21" customWidth="1"/>
    <col min="22" max="22" width="9.7109375" style="23" customWidth="1"/>
    <col min="23" max="23" width="12.140625" style="23" customWidth="1"/>
    <col min="24" max="24" width="17.5703125" customWidth="1"/>
    <col min="25" max="25" width="11.7109375" bestFit="1" customWidth="1"/>
    <col min="26" max="26" width="12.7109375" bestFit="1" customWidth="1"/>
  </cols>
  <sheetData>
    <row r="1" spans="1:28" ht="21" x14ac:dyDescent="0.35">
      <c r="B1" s="669" t="s">
        <v>18</v>
      </c>
      <c r="C1" s="669"/>
      <c r="D1" s="669"/>
      <c r="E1" s="674" t="s">
        <v>51</v>
      </c>
      <c r="F1" s="674"/>
      <c r="G1" s="674"/>
      <c r="H1" s="674"/>
      <c r="I1" s="674"/>
      <c r="J1" s="674"/>
      <c r="K1" s="674"/>
      <c r="L1" s="674"/>
      <c r="M1" s="674"/>
      <c r="N1" s="674"/>
      <c r="O1" s="674"/>
      <c r="P1" s="674"/>
      <c r="Q1" s="674"/>
      <c r="R1" s="674"/>
      <c r="S1" s="674"/>
      <c r="T1" s="674"/>
      <c r="U1" s="674"/>
      <c r="V1" s="674"/>
      <c r="W1" s="674"/>
      <c r="X1" s="674"/>
    </row>
    <row r="2" spans="1:28" ht="21" x14ac:dyDescent="0.35">
      <c r="B2" s="675" t="s">
        <v>1685</v>
      </c>
      <c r="C2" s="675"/>
      <c r="D2" s="675"/>
      <c r="E2" s="676"/>
      <c r="F2" s="677"/>
      <c r="G2" s="677"/>
      <c r="H2" s="677"/>
      <c r="I2" s="677"/>
      <c r="J2" s="677"/>
      <c r="K2" s="677"/>
      <c r="L2" s="677"/>
      <c r="M2" s="677"/>
      <c r="N2" s="677"/>
      <c r="O2" s="677"/>
      <c r="P2" s="677"/>
      <c r="Q2" s="677"/>
      <c r="R2" s="677"/>
      <c r="S2" s="677"/>
      <c r="T2" s="677"/>
      <c r="U2" s="677"/>
      <c r="V2" s="677"/>
      <c r="W2" s="677"/>
      <c r="X2" s="678"/>
    </row>
    <row r="3" spans="1:28" ht="21.75" thickBot="1" x14ac:dyDescent="0.4">
      <c r="B3" s="670" t="s">
        <v>88</v>
      </c>
      <c r="C3" s="670"/>
      <c r="D3" s="670"/>
      <c r="E3" s="671"/>
      <c r="F3" s="672"/>
      <c r="G3" s="672"/>
      <c r="H3" s="672"/>
      <c r="I3" s="672"/>
      <c r="J3" s="672"/>
      <c r="K3" s="672"/>
      <c r="L3" s="672"/>
      <c r="M3" s="672"/>
      <c r="N3" s="672"/>
      <c r="O3" s="672"/>
      <c r="P3" s="672"/>
      <c r="Q3" s="672"/>
      <c r="R3" s="672"/>
      <c r="S3" s="672"/>
      <c r="T3" s="672"/>
      <c r="U3" s="672"/>
      <c r="V3" s="672"/>
      <c r="W3" s="672"/>
      <c r="X3" s="673"/>
    </row>
    <row r="4" spans="1:28" ht="49.5" customHeight="1" thickBot="1" x14ac:dyDescent="0.3">
      <c r="A4" s="11" t="s">
        <v>3</v>
      </c>
      <c r="B4" s="655" t="s">
        <v>0</v>
      </c>
      <c r="C4" s="655"/>
      <c r="D4" s="655"/>
      <c r="E4" s="61" t="s">
        <v>15</v>
      </c>
      <c r="F4" s="62" t="s">
        <v>52</v>
      </c>
      <c r="G4" s="62" t="s">
        <v>17</v>
      </c>
      <c r="H4" s="108" t="s">
        <v>59</v>
      </c>
      <c r="I4" s="62" t="s">
        <v>60</v>
      </c>
      <c r="J4" s="63" t="s">
        <v>17</v>
      </c>
      <c r="K4" s="108" t="s">
        <v>59</v>
      </c>
      <c r="L4" s="62" t="s">
        <v>61</v>
      </c>
      <c r="M4" s="63" t="s">
        <v>17</v>
      </c>
      <c r="N4" s="108" t="s">
        <v>59</v>
      </c>
      <c r="O4" s="62" t="s">
        <v>62</v>
      </c>
      <c r="P4" s="63" t="s">
        <v>17</v>
      </c>
      <c r="Q4" s="108" t="s">
        <v>59</v>
      </c>
      <c r="R4" s="62" t="s">
        <v>109</v>
      </c>
      <c r="S4" s="63" t="s">
        <v>17</v>
      </c>
      <c r="T4" s="108" t="s">
        <v>59</v>
      </c>
      <c r="U4" s="62" t="s">
        <v>63</v>
      </c>
      <c r="V4" s="63" t="s">
        <v>17</v>
      </c>
      <c r="W4" s="108" t="s">
        <v>59</v>
      </c>
      <c r="X4" s="64" t="s">
        <v>16</v>
      </c>
      <c r="Y4" s="9"/>
      <c r="Z4" s="9"/>
      <c r="AA4" s="8"/>
      <c r="AB4" s="8"/>
    </row>
    <row r="5" spans="1:28" s="34" customFormat="1" ht="20.25" customHeight="1" thickBot="1" x14ac:dyDescent="0.3">
      <c r="A5" s="120">
        <v>1</v>
      </c>
      <c r="B5" s="121">
        <f t="shared" ref="B5:X5" si="0">A5+1</f>
        <v>2</v>
      </c>
      <c r="C5" s="121">
        <f t="shared" si="0"/>
        <v>3</v>
      </c>
      <c r="D5" s="121">
        <f t="shared" si="0"/>
        <v>4</v>
      </c>
      <c r="E5" s="121">
        <f t="shared" si="0"/>
        <v>5</v>
      </c>
      <c r="F5" s="121">
        <f t="shared" si="0"/>
        <v>6</v>
      </c>
      <c r="G5" s="121">
        <f t="shared" si="0"/>
        <v>7</v>
      </c>
      <c r="H5" s="121">
        <f t="shared" si="0"/>
        <v>8</v>
      </c>
      <c r="I5" s="121">
        <f t="shared" si="0"/>
        <v>9</v>
      </c>
      <c r="J5" s="121">
        <f t="shared" si="0"/>
        <v>10</v>
      </c>
      <c r="K5" s="121">
        <f t="shared" si="0"/>
        <v>11</v>
      </c>
      <c r="L5" s="121">
        <f t="shared" si="0"/>
        <v>12</v>
      </c>
      <c r="M5" s="121">
        <f t="shared" si="0"/>
        <v>13</v>
      </c>
      <c r="N5" s="121">
        <f t="shared" si="0"/>
        <v>14</v>
      </c>
      <c r="O5" s="121">
        <f t="shared" si="0"/>
        <v>15</v>
      </c>
      <c r="P5" s="121">
        <f t="shared" si="0"/>
        <v>16</v>
      </c>
      <c r="Q5" s="121">
        <f t="shared" si="0"/>
        <v>17</v>
      </c>
      <c r="R5" s="121">
        <f t="shared" si="0"/>
        <v>18</v>
      </c>
      <c r="S5" s="121">
        <f t="shared" si="0"/>
        <v>19</v>
      </c>
      <c r="T5" s="121">
        <f t="shared" si="0"/>
        <v>20</v>
      </c>
      <c r="U5" s="121">
        <f t="shared" si="0"/>
        <v>21</v>
      </c>
      <c r="V5" s="121">
        <f t="shared" si="0"/>
        <v>22</v>
      </c>
      <c r="W5" s="121">
        <f t="shared" si="0"/>
        <v>23</v>
      </c>
      <c r="X5" s="122">
        <f t="shared" si="0"/>
        <v>24</v>
      </c>
      <c r="Y5" s="32"/>
      <c r="Z5" s="32"/>
      <c r="AA5" s="33"/>
      <c r="AB5" s="33"/>
    </row>
    <row r="6" spans="1:28" ht="15.75" customHeight="1" x14ac:dyDescent="0.25">
      <c r="A6" s="47">
        <f>A5+1</f>
        <v>2</v>
      </c>
      <c r="B6" s="639" t="s">
        <v>318</v>
      </c>
      <c r="C6" s="640"/>
      <c r="D6" s="634" t="s">
        <v>3595</v>
      </c>
      <c r="E6" s="123" t="s">
        <v>11</v>
      </c>
      <c r="F6" s="133"/>
      <c r="G6" s="149">
        <f>IF($X6=0,0,F6/$X6)</f>
        <v>0</v>
      </c>
      <c r="H6" s="161"/>
      <c r="I6" s="133"/>
      <c r="J6" s="149">
        <f>IF($X6=0,0,I6/$X6)</f>
        <v>0</v>
      </c>
      <c r="K6" s="161"/>
      <c r="L6" s="133"/>
      <c r="M6" s="149">
        <f>IF($X6=0,0,L6/$X6)</f>
        <v>0</v>
      </c>
      <c r="N6" s="161"/>
      <c r="O6" s="133"/>
      <c r="P6" s="149">
        <f t="shared" ref="P6:P15" si="1">IF($X6=0,0,O6/$X6)</f>
        <v>0</v>
      </c>
      <c r="Q6" s="161"/>
      <c r="R6" s="133"/>
      <c r="S6" s="149">
        <f t="shared" ref="S6:S15" si="2">IF($X6=0,0,R6/$X6)</f>
        <v>0</v>
      </c>
      <c r="T6" s="161"/>
      <c r="U6" s="133"/>
      <c r="V6" s="149">
        <f t="shared" ref="V6:V15" si="3">IF($X6=0,0,U6/$X6)</f>
        <v>0</v>
      </c>
      <c r="W6" s="495"/>
      <c r="X6" s="50">
        <f t="shared" ref="X6:X11" si="4">F6+I6+L6+O6+R6</f>
        <v>0</v>
      </c>
      <c r="Y6" s="8"/>
      <c r="Z6" s="8"/>
      <c r="AA6" s="8"/>
      <c r="AB6" s="8"/>
    </row>
    <row r="7" spans="1:28" ht="15.75" x14ac:dyDescent="0.25">
      <c r="A7" s="37">
        <f>A6+1</f>
        <v>3</v>
      </c>
      <c r="B7" s="641"/>
      <c r="C7" s="642"/>
      <c r="D7" s="635"/>
      <c r="E7" s="43" t="s">
        <v>10</v>
      </c>
      <c r="F7" s="134"/>
      <c r="G7" s="150">
        <f>IF($X7=0,0,F7/$X7)</f>
        <v>0</v>
      </c>
      <c r="H7" s="158"/>
      <c r="I7" s="134"/>
      <c r="J7" s="150">
        <f t="shared" ref="J7:J15" si="5">IF($X7=0,0,I7/$X7)</f>
        <v>0</v>
      </c>
      <c r="K7" s="158"/>
      <c r="L7" s="134"/>
      <c r="M7" s="150">
        <f t="shared" ref="M7:M48" si="6">IF($X7=0,0,L7/$X7)</f>
        <v>0</v>
      </c>
      <c r="N7" s="158"/>
      <c r="O7" s="134"/>
      <c r="P7" s="150">
        <f t="shared" si="1"/>
        <v>0</v>
      </c>
      <c r="Q7" s="158"/>
      <c r="R7" s="134"/>
      <c r="S7" s="150">
        <f t="shared" si="2"/>
        <v>0</v>
      </c>
      <c r="T7" s="158"/>
      <c r="U7" s="134"/>
      <c r="V7" s="150">
        <f t="shared" si="3"/>
        <v>0</v>
      </c>
      <c r="W7" s="496"/>
      <c r="X7" s="16">
        <f t="shared" si="4"/>
        <v>0</v>
      </c>
      <c r="Y7" s="8"/>
      <c r="Z7" s="8"/>
      <c r="AA7" s="8"/>
      <c r="AB7" s="8"/>
    </row>
    <row r="8" spans="1:28" ht="15.75" x14ac:dyDescent="0.25">
      <c r="A8" s="37">
        <f t="shared" ref="A8:A48" si="7">A7+1</f>
        <v>4</v>
      </c>
      <c r="B8" s="641"/>
      <c r="C8" s="642"/>
      <c r="D8" s="636"/>
      <c r="E8" s="43" t="s">
        <v>9</v>
      </c>
      <c r="F8" s="134"/>
      <c r="G8" s="150">
        <f t="shared" ref="G8:G48" si="8">IF($X8=0,0,F8/$X8)</f>
        <v>0</v>
      </c>
      <c r="H8" s="158"/>
      <c r="I8" s="134"/>
      <c r="J8" s="150">
        <f t="shared" si="5"/>
        <v>0</v>
      </c>
      <c r="K8" s="158"/>
      <c r="L8" s="134"/>
      <c r="M8" s="150">
        <f t="shared" si="6"/>
        <v>0</v>
      </c>
      <c r="N8" s="158"/>
      <c r="O8" s="134"/>
      <c r="P8" s="150">
        <f t="shared" si="1"/>
        <v>0</v>
      </c>
      <c r="Q8" s="158"/>
      <c r="R8" s="134"/>
      <c r="S8" s="150">
        <f t="shared" si="2"/>
        <v>0</v>
      </c>
      <c r="T8" s="158"/>
      <c r="U8" s="134"/>
      <c r="V8" s="150">
        <f t="shared" si="3"/>
        <v>0</v>
      </c>
      <c r="W8" s="496"/>
      <c r="X8" s="16">
        <f t="shared" si="4"/>
        <v>0</v>
      </c>
      <c r="Y8" s="8"/>
      <c r="Z8" s="8"/>
      <c r="AA8" s="8"/>
      <c r="AB8" s="8"/>
    </row>
    <row r="9" spans="1:28" ht="15.75" customHeight="1" x14ac:dyDescent="0.25">
      <c r="A9" s="37">
        <f t="shared" si="7"/>
        <v>5</v>
      </c>
      <c r="B9" s="641"/>
      <c r="C9" s="642"/>
      <c r="D9" s="637" t="s">
        <v>3596</v>
      </c>
      <c r="E9" s="43" t="s">
        <v>11</v>
      </c>
      <c r="F9" s="134"/>
      <c r="G9" s="150">
        <f t="shared" si="8"/>
        <v>0</v>
      </c>
      <c r="H9" s="158"/>
      <c r="I9" s="134"/>
      <c r="J9" s="150">
        <f t="shared" si="5"/>
        <v>0</v>
      </c>
      <c r="K9" s="158"/>
      <c r="L9" s="134"/>
      <c r="M9" s="150">
        <f t="shared" si="6"/>
        <v>0</v>
      </c>
      <c r="N9" s="158"/>
      <c r="O9" s="134"/>
      <c r="P9" s="150">
        <f t="shared" si="1"/>
        <v>0</v>
      </c>
      <c r="Q9" s="158"/>
      <c r="R9" s="134"/>
      <c r="S9" s="150">
        <f t="shared" si="2"/>
        <v>0</v>
      </c>
      <c r="T9" s="158"/>
      <c r="U9" s="134"/>
      <c r="V9" s="150">
        <f t="shared" si="3"/>
        <v>0</v>
      </c>
      <c r="W9" s="496"/>
      <c r="X9" s="16">
        <f t="shared" si="4"/>
        <v>0</v>
      </c>
      <c r="Y9" s="8"/>
      <c r="AA9" s="8"/>
      <c r="AB9" s="8"/>
    </row>
    <row r="10" spans="1:28" ht="15.75" x14ac:dyDescent="0.25">
      <c r="A10" s="37">
        <f t="shared" si="7"/>
        <v>6</v>
      </c>
      <c r="B10" s="641"/>
      <c r="C10" s="642"/>
      <c r="D10" s="635"/>
      <c r="E10" s="43" t="s">
        <v>10</v>
      </c>
      <c r="F10" s="134"/>
      <c r="G10" s="150">
        <f t="shared" si="8"/>
        <v>0</v>
      </c>
      <c r="H10" s="158"/>
      <c r="I10" s="134"/>
      <c r="J10" s="150">
        <f t="shared" si="5"/>
        <v>0</v>
      </c>
      <c r="K10" s="158"/>
      <c r="L10" s="134"/>
      <c r="M10" s="150">
        <f t="shared" si="6"/>
        <v>0</v>
      </c>
      <c r="N10" s="158"/>
      <c r="O10" s="134"/>
      <c r="P10" s="150">
        <f t="shared" si="1"/>
        <v>0</v>
      </c>
      <c r="Q10" s="158"/>
      <c r="R10" s="134"/>
      <c r="S10" s="150">
        <f t="shared" si="2"/>
        <v>0</v>
      </c>
      <c r="T10" s="158"/>
      <c r="U10" s="134"/>
      <c r="V10" s="150">
        <f t="shared" si="3"/>
        <v>0</v>
      </c>
      <c r="W10" s="496"/>
      <c r="X10" s="16">
        <f t="shared" si="4"/>
        <v>0</v>
      </c>
      <c r="Y10" s="8"/>
      <c r="Z10" s="8"/>
      <c r="AA10" s="8"/>
      <c r="AB10" s="8"/>
    </row>
    <row r="11" spans="1:28" ht="16.5" thickBot="1" x14ac:dyDescent="0.3">
      <c r="A11" s="37">
        <f t="shared" si="7"/>
        <v>7</v>
      </c>
      <c r="B11" s="643"/>
      <c r="C11" s="644"/>
      <c r="D11" s="638"/>
      <c r="E11" s="43" t="s">
        <v>9</v>
      </c>
      <c r="F11" s="134"/>
      <c r="G11" s="150">
        <f t="shared" si="8"/>
        <v>0</v>
      </c>
      <c r="H11" s="158"/>
      <c r="I11" s="134"/>
      <c r="J11" s="150">
        <f t="shared" si="5"/>
        <v>0</v>
      </c>
      <c r="K11" s="158"/>
      <c r="L11" s="134"/>
      <c r="M11" s="150">
        <f t="shared" si="6"/>
        <v>0</v>
      </c>
      <c r="N11" s="158"/>
      <c r="O11" s="134"/>
      <c r="P11" s="150">
        <f t="shared" si="1"/>
        <v>0</v>
      </c>
      <c r="Q11" s="158"/>
      <c r="R11" s="134"/>
      <c r="S11" s="150">
        <f t="shared" si="2"/>
        <v>0</v>
      </c>
      <c r="T11" s="158"/>
      <c r="U11" s="134"/>
      <c r="V11" s="150">
        <f t="shared" si="3"/>
        <v>0</v>
      </c>
      <c r="W11" s="496"/>
      <c r="X11" s="16">
        <f t="shared" si="4"/>
        <v>0</v>
      </c>
      <c r="Y11" s="8"/>
      <c r="Z11" s="8"/>
      <c r="AA11" s="8"/>
      <c r="AB11" s="8"/>
    </row>
    <row r="12" spans="1:28" ht="18.75" customHeight="1" x14ac:dyDescent="0.3">
      <c r="A12" s="47">
        <f>A11+1</f>
        <v>8</v>
      </c>
      <c r="B12" s="651" t="s">
        <v>4</v>
      </c>
      <c r="C12" s="651"/>
      <c r="D12" s="651"/>
      <c r="E12" s="651"/>
      <c r="F12" s="49">
        <f>SUM(F6:F11)</f>
        <v>0</v>
      </c>
      <c r="G12" s="149">
        <f>IF($X12=0,0,F12/$X12)</f>
        <v>0</v>
      </c>
      <c r="H12" s="59"/>
      <c r="I12" s="49">
        <f>SUM(I6:I11)</f>
        <v>0</v>
      </c>
      <c r="J12" s="149">
        <f t="shared" si="5"/>
        <v>0</v>
      </c>
      <c r="K12" s="162"/>
      <c r="L12" s="49">
        <f>SUM(L6:L11)</f>
        <v>0</v>
      </c>
      <c r="M12" s="149">
        <f t="shared" si="6"/>
        <v>0</v>
      </c>
      <c r="N12" s="162"/>
      <c r="O12" s="49">
        <f>SUM(O6:O11)</f>
        <v>0</v>
      </c>
      <c r="P12" s="149">
        <f t="shared" si="1"/>
        <v>0</v>
      </c>
      <c r="Q12" s="162"/>
      <c r="R12" s="49">
        <f>SUM(R6:R11)</f>
        <v>0</v>
      </c>
      <c r="S12" s="149">
        <f t="shared" si="2"/>
        <v>0</v>
      </c>
      <c r="T12" s="162"/>
      <c r="U12" s="49">
        <f>SUM(U6:U11)</f>
        <v>0</v>
      </c>
      <c r="V12" s="149">
        <f t="shared" si="3"/>
        <v>0</v>
      </c>
      <c r="W12" s="162"/>
      <c r="X12" s="55">
        <f>SUM(X6:X11)</f>
        <v>0</v>
      </c>
      <c r="Y12" s="8"/>
      <c r="Z12" s="8"/>
      <c r="AA12" s="8"/>
      <c r="AB12" s="8"/>
    </row>
    <row r="13" spans="1:28" ht="18.75" customHeight="1" outlineLevel="1" x14ac:dyDescent="0.3">
      <c r="A13" s="37">
        <f t="shared" si="7"/>
        <v>9</v>
      </c>
      <c r="B13" s="652" t="s">
        <v>5</v>
      </c>
      <c r="C13" s="652"/>
      <c r="D13" s="652"/>
      <c r="E13" s="652"/>
      <c r="F13" s="17">
        <f>F6+F9</f>
        <v>0</v>
      </c>
      <c r="G13" s="150">
        <f t="shared" si="8"/>
        <v>0</v>
      </c>
      <c r="H13" s="60"/>
      <c r="I13" s="17">
        <f>I6+I9</f>
        <v>0</v>
      </c>
      <c r="J13" s="150">
        <f t="shared" si="5"/>
        <v>0</v>
      </c>
      <c r="K13" s="163"/>
      <c r="L13" s="17">
        <f>L6+L9</f>
        <v>0</v>
      </c>
      <c r="M13" s="150">
        <f t="shared" si="6"/>
        <v>0</v>
      </c>
      <c r="N13" s="163"/>
      <c r="O13" s="17">
        <f>O6+O9</f>
        <v>0</v>
      </c>
      <c r="P13" s="150">
        <f t="shared" si="1"/>
        <v>0</v>
      </c>
      <c r="Q13" s="163"/>
      <c r="R13" s="17">
        <f>R6+R9</f>
        <v>0</v>
      </c>
      <c r="S13" s="150">
        <f t="shared" si="2"/>
        <v>0</v>
      </c>
      <c r="T13" s="163"/>
      <c r="U13" s="17">
        <f>U6+U9</f>
        <v>0</v>
      </c>
      <c r="V13" s="150">
        <f t="shared" si="3"/>
        <v>0</v>
      </c>
      <c r="W13" s="163"/>
      <c r="X13" s="51">
        <f>X6+X9</f>
        <v>0</v>
      </c>
      <c r="Y13" s="8"/>
      <c r="Z13" s="8"/>
      <c r="AA13" s="8"/>
      <c r="AB13" s="8"/>
    </row>
    <row r="14" spans="1:28" ht="18.75" customHeight="1" outlineLevel="1" x14ac:dyDescent="0.3">
      <c r="A14" s="37">
        <f t="shared" si="7"/>
        <v>10</v>
      </c>
      <c r="B14" s="652" t="s">
        <v>6</v>
      </c>
      <c r="C14" s="652"/>
      <c r="D14" s="652"/>
      <c r="E14" s="652"/>
      <c r="F14" s="17">
        <f>F7+F10</f>
        <v>0</v>
      </c>
      <c r="G14" s="150">
        <f t="shared" si="8"/>
        <v>0</v>
      </c>
      <c r="H14" s="60"/>
      <c r="I14" s="17">
        <f>I7+I10</f>
        <v>0</v>
      </c>
      <c r="J14" s="150">
        <f t="shared" si="5"/>
        <v>0</v>
      </c>
      <c r="K14" s="163"/>
      <c r="L14" s="17">
        <f>L7+L10</f>
        <v>0</v>
      </c>
      <c r="M14" s="150">
        <f t="shared" si="6"/>
        <v>0</v>
      </c>
      <c r="N14" s="163"/>
      <c r="O14" s="17">
        <f>O7+O10</f>
        <v>0</v>
      </c>
      <c r="P14" s="150">
        <f t="shared" si="1"/>
        <v>0</v>
      </c>
      <c r="Q14" s="163"/>
      <c r="R14" s="17">
        <f>R7+R10</f>
        <v>0</v>
      </c>
      <c r="S14" s="150">
        <f t="shared" si="2"/>
        <v>0</v>
      </c>
      <c r="T14" s="163"/>
      <c r="U14" s="17">
        <f>U7+U10</f>
        <v>0</v>
      </c>
      <c r="V14" s="150">
        <f t="shared" si="3"/>
        <v>0</v>
      </c>
      <c r="W14" s="163"/>
      <c r="X14" s="51">
        <f>X7+X10</f>
        <v>0</v>
      </c>
      <c r="Y14" s="8"/>
      <c r="Z14" s="8"/>
      <c r="AA14" s="165"/>
      <c r="AB14" s="8"/>
    </row>
    <row r="15" spans="1:28" ht="18.75" customHeight="1" outlineLevel="1" thickBot="1" x14ac:dyDescent="0.35">
      <c r="A15" s="37">
        <f t="shared" si="7"/>
        <v>11</v>
      </c>
      <c r="B15" s="652" t="s">
        <v>7</v>
      </c>
      <c r="C15" s="652"/>
      <c r="D15" s="652"/>
      <c r="E15" s="652"/>
      <c r="F15" s="17">
        <f>F8+F11</f>
        <v>0</v>
      </c>
      <c r="G15" s="150">
        <f t="shared" si="8"/>
        <v>0</v>
      </c>
      <c r="H15" s="60"/>
      <c r="I15" s="17">
        <f>I8+I11</f>
        <v>0</v>
      </c>
      <c r="J15" s="150">
        <f t="shared" si="5"/>
        <v>0</v>
      </c>
      <c r="K15" s="163"/>
      <c r="L15" s="17">
        <f>L8+L11</f>
        <v>0</v>
      </c>
      <c r="M15" s="150">
        <f t="shared" si="6"/>
        <v>0</v>
      </c>
      <c r="N15" s="163"/>
      <c r="O15" s="17">
        <f>O8+O11</f>
        <v>0</v>
      </c>
      <c r="P15" s="150">
        <f t="shared" si="1"/>
        <v>0</v>
      </c>
      <c r="Q15" s="163"/>
      <c r="R15" s="17">
        <f>R8+R11</f>
        <v>0</v>
      </c>
      <c r="S15" s="150">
        <f t="shared" si="2"/>
        <v>0</v>
      </c>
      <c r="T15" s="163"/>
      <c r="U15" s="17">
        <f>U8+U11</f>
        <v>0</v>
      </c>
      <c r="V15" s="150">
        <f t="shared" si="3"/>
        <v>0</v>
      </c>
      <c r="W15" s="163"/>
      <c r="X15" s="51">
        <f>X8+X11</f>
        <v>0</v>
      </c>
      <c r="Y15" s="8"/>
      <c r="Z15" s="8"/>
      <c r="AA15" s="8"/>
      <c r="AB15" s="8"/>
    </row>
    <row r="16" spans="1:28" ht="16.5" thickBot="1" x14ac:dyDescent="0.3">
      <c r="A16" s="36"/>
      <c r="B16" s="26"/>
      <c r="C16" s="3"/>
      <c r="D16" s="3"/>
      <c r="E16" s="6"/>
      <c r="F16" s="27"/>
      <c r="G16" s="153"/>
      <c r="H16" s="28"/>
      <c r="I16" s="27"/>
      <c r="J16" s="156"/>
      <c r="K16" s="156"/>
      <c r="L16" s="27"/>
      <c r="M16" s="156"/>
      <c r="N16" s="156"/>
      <c r="O16" s="27"/>
      <c r="P16" s="156"/>
      <c r="Q16" s="156"/>
      <c r="R16" s="27"/>
      <c r="S16" s="156"/>
      <c r="T16" s="156"/>
      <c r="U16" s="27"/>
      <c r="V16" s="156"/>
      <c r="W16" s="156"/>
      <c r="X16" s="29"/>
      <c r="Y16" s="8"/>
      <c r="Z16" s="8"/>
      <c r="AA16" s="8"/>
      <c r="AB16" s="8"/>
    </row>
    <row r="17" spans="1:28" ht="15.75" x14ac:dyDescent="0.25">
      <c r="A17" s="35">
        <f>A15+1</f>
        <v>12</v>
      </c>
      <c r="B17" s="634" t="s">
        <v>1</v>
      </c>
      <c r="C17" s="658" t="s">
        <v>3599</v>
      </c>
      <c r="D17" s="658"/>
      <c r="E17" s="48" t="s">
        <v>11</v>
      </c>
      <c r="F17" s="135"/>
      <c r="G17" s="149">
        <f t="shared" si="8"/>
        <v>0</v>
      </c>
      <c r="H17" s="158"/>
      <c r="I17" s="135"/>
      <c r="J17" s="149">
        <f t="shared" ref="J17:J37" si="9">IF($X17=0,0,I17/$X17)</f>
        <v>0</v>
      </c>
      <c r="K17" s="158"/>
      <c r="L17" s="135"/>
      <c r="M17" s="149">
        <f t="shared" si="6"/>
        <v>0</v>
      </c>
      <c r="N17" s="158"/>
      <c r="O17" s="135"/>
      <c r="P17" s="149">
        <f t="shared" ref="P17:P37" si="10">IF($X17=0,0,O17/$X17)</f>
        <v>0</v>
      </c>
      <c r="Q17" s="158"/>
      <c r="R17" s="135"/>
      <c r="S17" s="149">
        <f t="shared" ref="S17:S37" si="11">IF($X17=0,0,R17/$X17)</f>
        <v>0</v>
      </c>
      <c r="T17" s="158"/>
      <c r="U17" s="135"/>
      <c r="V17" s="149">
        <f t="shared" ref="V17:V37" si="12">IF($X17=0,0,U17/$X17)</f>
        <v>0</v>
      </c>
      <c r="W17" s="496"/>
      <c r="X17" s="16">
        <f t="shared" ref="X17:X33" si="13">F17+I17+L17+O17+R17</f>
        <v>0</v>
      </c>
      <c r="Y17" s="8"/>
      <c r="Z17" s="8"/>
      <c r="AA17" s="8"/>
      <c r="AB17" s="8"/>
    </row>
    <row r="18" spans="1:28" ht="15.75" x14ac:dyDescent="0.25">
      <c r="A18" s="37">
        <f t="shared" si="7"/>
        <v>13</v>
      </c>
      <c r="B18" s="635"/>
      <c r="C18" s="650"/>
      <c r="D18" s="650"/>
      <c r="E18" s="458" t="s">
        <v>10</v>
      </c>
      <c r="F18" s="134"/>
      <c r="G18" s="150">
        <f t="shared" si="8"/>
        <v>0</v>
      </c>
      <c r="H18" s="158"/>
      <c r="I18" s="134"/>
      <c r="J18" s="150">
        <f t="shared" si="9"/>
        <v>0</v>
      </c>
      <c r="K18" s="158"/>
      <c r="L18" s="134"/>
      <c r="M18" s="150">
        <f t="shared" si="6"/>
        <v>0</v>
      </c>
      <c r="N18" s="158"/>
      <c r="O18" s="134"/>
      <c r="P18" s="150">
        <f t="shared" si="10"/>
        <v>0</v>
      </c>
      <c r="Q18" s="158"/>
      <c r="R18" s="134"/>
      <c r="S18" s="150">
        <f t="shared" si="11"/>
        <v>0</v>
      </c>
      <c r="T18" s="158"/>
      <c r="U18" s="134"/>
      <c r="V18" s="150">
        <f t="shared" si="12"/>
        <v>0</v>
      </c>
      <c r="W18" s="496"/>
      <c r="X18" s="16">
        <f t="shared" si="13"/>
        <v>0</v>
      </c>
      <c r="Y18" s="8"/>
      <c r="Z18" s="8"/>
      <c r="AA18" s="8"/>
      <c r="AB18" s="8"/>
    </row>
    <row r="19" spans="1:28" ht="15.75" x14ac:dyDescent="0.25">
      <c r="A19" s="37">
        <f t="shared" si="7"/>
        <v>14</v>
      </c>
      <c r="B19" s="635"/>
      <c r="C19" s="650" t="s">
        <v>3598</v>
      </c>
      <c r="D19" s="650"/>
      <c r="E19" s="458" t="s">
        <v>11</v>
      </c>
      <c r="F19" s="134"/>
      <c r="G19" s="150">
        <f t="shared" si="8"/>
        <v>0</v>
      </c>
      <c r="H19" s="158"/>
      <c r="I19" s="134"/>
      <c r="J19" s="150">
        <f t="shared" si="9"/>
        <v>0</v>
      </c>
      <c r="K19" s="158"/>
      <c r="L19" s="134"/>
      <c r="M19" s="150">
        <f t="shared" si="6"/>
        <v>0</v>
      </c>
      <c r="N19" s="158"/>
      <c r="O19" s="134"/>
      <c r="P19" s="150">
        <f t="shared" si="10"/>
        <v>0</v>
      </c>
      <c r="Q19" s="158"/>
      <c r="R19" s="134"/>
      <c r="S19" s="150">
        <f t="shared" si="11"/>
        <v>0</v>
      </c>
      <c r="T19" s="158"/>
      <c r="U19" s="134"/>
      <c r="V19" s="150">
        <f t="shared" si="12"/>
        <v>0</v>
      </c>
      <c r="W19" s="496"/>
      <c r="X19" s="16">
        <f t="shared" si="13"/>
        <v>0</v>
      </c>
      <c r="Y19" s="8"/>
      <c r="Z19" s="8"/>
      <c r="AA19" s="8"/>
      <c r="AB19" s="8"/>
    </row>
    <row r="20" spans="1:28" ht="15.75" x14ac:dyDescent="0.25">
      <c r="A20" s="37">
        <f t="shared" si="7"/>
        <v>15</v>
      </c>
      <c r="B20" s="635"/>
      <c r="C20" s="650"/>
      <c r="D20" s="650"/>
      <c r="E20" s="458" t="s">
        <v>10</v>
      </c>
      <c r="F20" s="134"/>
      <c r="G20" s="150">
        <f t="shared" si="8"/>
        <v>0</v>
      </c>
      <c r="H20" s="158"/>
      <c r="I20" s="134"/>
      <c r="J20" s="150">
        <f t="shared" si="9"/>
        <v>0</v>
      </c>
      <c r="K20" s="158"/>
      <c r="L20" s="134"/>
      <c r="M20" s="150">
        <f t="shared" si="6"/>
        <v>0</v>
      </c>
      <c r="N20" s="158"/>
      <c r="O20" s="134"/>
      <c r="P20" s="150">
        <f t="shared" si="10"/>
        <v>0</v>
      </c>
      <c r="Q20" s="158"/>
      <c r="R20" s="134"/>
      <c r="S20" s="150">
        <f t="shared" si="11"/>
        <v>0</v>
      </c>
      <c r="T20" s="158"/>
      <c r="U20" s="134"/>
      <c r="V20" s="150">
        <f t="shared" si="12"/>
        <v>0</v>
      </c>
      <c r="W20" s="496"/>
      <c r="X20" s="16">
        <f t="shared" si="13"/>
        <v>0</v>
      </c>
      <c r="Y20" s="8"/>
      <c r="Z20" s="8"/>
      <c r="AA20" s="8"/>
      <c r="AB20" s="8"/>
    </row>
    <row r="21" spans="1:28" ht="15.75" x14ac:dyDescent="0.25">
      <c r="A21" s="37">
        <f t="shared" si="7"/>
        <v>16</v>
      </c>
      <c r="B21" s="635"/>
      <c r="C21" s="650" t="s">
        <v>3600</v>
      </c>
      <c r="D21" s="650"/>
      <c r="E21" s="458" t="s">
        <v>11</v>
      </c>
      <c r="F21" s="134"/>
      <c r="G21" s="150">
        <f t="shared" si="8"/>
        <v>0</v>
      </c>
      <c r="H21" s="158"/>
      <c r="I21" s="134"/>
      <c r="J21" s="150">
        <f t="shared" si="9"/>
        <v>0</v>
      </c>
      <c r="K21" s="158"/>
      <c r="L21" s="134"/>
      <c r="M21" s="150">
        <f t="shared" si="6"/>
        <v>0</v>
      </c>
      <c r="N21" s="158"/>
      <c r="O21" s="134"/>
      <c r="P21" s="150">
        <f t="shared" si="10"/>
        <v>0</v>
      </c>
      <c r="Q21" s="158"/>
      <c r="R21" s="134"/>
      <c r="S21" s="150">
        <f t="shared" si="11"/>
        <v>0</v>
      </c>
      <c r="T21" s="158"/>
      <c r="U21" s="134"/>
      <c r="V21" s="150">
        <f t="shared" si="12"/>
        <v>0</v>
      </c>
      <c r="W21" s="496"/>
      <c r="X21" s="16">
        <f t="shared" si="13"/>
        <v>0</v>
      </c>
      <c r="Y21" s="8"/>
      <c r="Z21" s="8"/>
      <c r="AA21" s="8"/>
      <c r="AB21" s="8"/>
    </row>
    <row r="22" spans="1:28" ht="15.75" x14ac:dyDescent="0.25">
      <c r="A22" s="37">
        <f t="shared" si="7"/>
        <v>17</v>
      </c>
      <c r="B22" s="635"/>
      <c r="C22" s="650"/>
      <c r="D22" s="650"/>
      <c r="E22" s="458" t="s">
        <v>10</v>
      </c>
      <c r="F22" s="134"/>
      <c r="G22" s="150">
        <f t="shared" si="8"/>
        <v>0</v>
      </c>
      <c r="H22" s="158"/>
      <c r="I22" s="134"/>
      <c r="J22" s="150">
        <f t="shared" si="9"/>
        <v>0</v>
      </c>
      <c r="K22" s="158"/>
      <c r="L22" s="134"/>
      <c r="M22" s="150">
        <f t="shared" si="6"/>
        <v>0</v>
      </c>
      <c r="N22" s="158"/>
      <c r="O22" s="134"/>
      <c r="P22" s="150">
        <f t="shared" si="10"/>
        <v>0</v>
      </c>
      <c r="Q22" s="158"/>
      <c r="R22" s="134"/>
      <c r="S22" s="150">
        <f t="shared" si="11"/>
        <v>0</v>
      </c>
      <c r="T22" s="158"/>
      <c r="U22" s="134"/>
      <c r="V22" s="150">
        <f t="shared" si="12"/>
        <v>0</v>
      </c>
      <c r="W22" s="496"/>
      <c r="X22" s="16">
        <f>F22+I22+L22+O22+R22</f>
        <v>0</v>
      </c>
      <c r="Y22" s="8"/>
      <c r="Z22" s="8"/>
      <c r="AA22" s="8"/>
      <c r="AB22" s="8"/>
    </row>
    <row r="23" spans="1:28" ht="15.75" x14ac:dyDescent="0.25">
      <c r="A23" s="37">
        <f t="shared" si="7"/>
        <v>18</v>
      </c>
      <c r="B23" s="635"/>
      <c r="C23" s="650" t="s">
        <v>3601</v>
      </c>
      <c r="D23" s="650"/>
      <c r="E23" s="458" t="s">
        <v>11</v>
      </c>
      <c r="F23" s="134"/>
      <c r="G23" s="150">
        <f t="shared" si="8"/>
        <v>0</v>
      </c>
      <c r="H23" s="158"/>
      <c r="I23" s="134"/>
      <c r="J23" s="150">
        <f t="shared" si="9"/>
        <v>0</v>
      </c>
      <c r="K23" s="158"/>
      <c r="L23" s="134"/>
      <c r="M23" s="150">
        <f>IF($X23=0,0,L23/$X23)</f>
        <v>0</v>
      </c>
      <c r="N23" s="158"/>
      <c r="O23" s="134"/>
      <c r="P23" s="150">
        <f t="shared" si="10"/>
        <v>0</v>
      </c>
      <c r="Q23" s="158"/>
      <c r="R23" s="134"/>
      <c r="S23" s="150">
        <f t="shared" si="11"/>
        <v>0</v>
      </c>
      <c r="T23" s="158"/>
      <c r="U23" s="134"/>
      <c r="V23" s="150">
        <f t="shared" si="12"/>
        <v>0</v>
      </c>
      <c r="W23" s="496"/>
      <c r="X23" s="16">
        <f t="shared" si="13"/>
        <v>0</v>
      </c>
      <c r="Y23" s="8"/>
      <c r="Z23" s="8"/>
      <c r="AA23" s="8"/>
      <c r="AB23" s="8"/>
    </row>
    <row r="24" spans="1:28" ht="15.75" x14ac:dyDescent="0.25">
      <c r="A24" s="37">
        <f t="shared" si="7"/>
        <v>19</v>
      </c>
      <c r="B24" s="635"/>
      <c r="C24" s="650"/>
      <c r="D24" s="650"/>
      <c r="E24" s="458" t="s">
        <v>10</v>
      </c>
      <c r="F24" s="134"/>
      <c r="G24" s="150">
        <f t="shared" si="8"/>
        <v>0</v>
      </c>
      <c r="H24" s="158"/>
      <c r="I24" s="134"/>
      <c r="J24" s="150">
        <f t="shared" si="9"/>
        <v>0</v>
      </c>
      <c r="K24" s="158"/>
      <c r="L24" s="134"/>
      <c r="M24" s="150">
        <f t="shared" si="6"/>
        <v>0</v>
      </c>
      <c r="N24" s="158"/>
      <c r="O24" s="134"/>
      <c r="P24" s="150">
        <f t="shared" si="10"/>
        <v>0</v>
      </c>
      <c r="Q24" s="158"/>
      <c r="R24" s="134"/>
      <c r="S24" s="150">
        <f t="shared" si="11"/>
        <v>0</v>
      </c>
      <c r="T24" s="158"/>
      <c r="U24" s="134"/>
      <c r="V24" s="150">
        <f t="shared" si="12"/>
        <v>0</v>
      </c>
      <c r="W24" s="496"/>
      <c r="X24" s="16">
        <f t="shared" si="13"/>
        <v>0</v>
      </c>
      <c r="Y24" s="8"/>
      <c r="Z24" s="8"/>
      <c r="AA24" s="8"/>
      <c r="AB24" s="8"/>
    </row>
    <row r="25" spans="1:28" ht="15.75" customHeight="1" x14ac:dyDescent="0.25">
      <c r="A25" s="37">
        <f t="shared" si="7"/>
        <v>20</v>
      </c>
      <c r="B25" s="635"/>
      <c r="C25" s="650" t="s">
        <v>3604</v>
      </c>
      <c r="D25" s="650"/>
      <c r="E25" s="458" t="s">
        <v>11</v>
      </c>
      <c r="F25" s="134"/>
      <c r="G25" s="150">
        <f t="shared" si="8"/>
        <v>0</v>
      </c>
      <c r="H25" s="158"/>
      <c r="I25" s="134"/>
      <c r="J25" s="150">
        <f t="shared" si="9"/>
        <v>0</v>
      </c>
      <c r="K25" s="158"/>
      <c r="L25" s="134"/>
      <c r="M25" s="150">
        <f t="shared" si="6"/>
        <v>0</v>
      </c>
      <c r="N25" s="158"/>
      <c r="O25" s="134"/>
      <c r="P25" s="150">
        <f t="shared" si="10"/>
        <v>0</v>
      </c>
      <c r="Q25" s="158"/>
      <c r="R25" s="134"/>
      <c r="S25" s="150">
        <f t="shared" si="11"/>
        <v>0</v>
      </c>
      <c r="T25" s="158"/>
      <c r="U25" s="134"/>
      <c r="V25" s="150">
        <f t="shared" si="12"/>
        <v>0</v>
      </c>
      <c r="W25" s="496"/>
      <c r="X25" s="16">
        <f t="shared" si="13"/>
        <v>0</v>
      </c>
      <c r="Y25" s="8"/>
      <c r="Z25" s="8"/>
      <c r="AA25" s="8"/>
      <c r="AB25" s="8"/>
    </row>
    <row r="26" spans="1:28" ht="15.75" x14ac:dyDescent="0.25">
      <c r="A26" s="37">
        <f t="shared" si="7"/>
        <v>21</v>
      </c>
      <c r="B26" s="635"/>
      <c r="C26" s="650"/>
      <c r="D26" s="650"/>
      <c r="E26" s="458" t="s">
        <v>10</v>
      </c>
      <c r="F26" s="134"/>
      <c r="G26" s="150">
        <f t="shared" si="8"/>
        <v>0</v>
      </c>
      <c r="H26" s="158"/>
      <c r="I26" s="134"/>
      <c r="J26" s="150">
        <f t="shared" si="9"/>
        <v>0</v>
      </c>
      <c r="K26" s="158"/>
      <c r="L26" s="134"/>
      <c r="M26" s="150">
        <f t="shared" si="6"/>
        <v>0</v>
      </c>
      <c r="N26" s="158"/>
      <c r="O26" s="134"/>
      <c r="P26" s="150">
        <f t="shared" si="10"/>
        <v>0</v>
      </c>
      <c r="Q26" s="158"/>
      <c r="R26" s="134"/>
      <c r="S26" s="150">
        <f t="shared" si="11"/>
        <v>0</v>
      </c>
      <c r="T26" s="158"/>
      <c r="U26" s="134"/>
      <c r="V26" s="150">
        <f t="shared" si="12"/>
        <v>0</v>
      </c>
      <c r="W26" s="496"/>
      <c r="X26" s="16">
        <f t="shared" si="13"/>
        <v>0</v>
      </c>
      <c r="Y26" s="8"/>
      <c r="Z26" s="8"/>
      <c r="AA26" s="8"/>
      <c r="AB26" s="8"/>
    </row>
    <row r="27" spans="1:28" ht="15.75" x14ac:dyDescent="0.25">
      <c r="A27" s="37">
        <f t="shared" si="7"/>
        <v>22</v>
      </c>
      <c r="B27" s="635"/>
      <c r="C27" s="650" t="s">
        <v>3605</v>
      </c>
      <c r="D27" s="650"/>
      <c r="E27" s="458" t="s">
        <v>11</v>
      </c>
      <c r="F27" s="134"/>
      <c r="G27" s="150">
        <f t="shared" si="8"/>
        <v>0</v>
      </c>
      <c r="H27" s="158"/>
      <c r="I27" s="134"/>
      <c r="J27" s="150">
        <f t="shared" si="9"/>
        <v>0</v>
      </c>
      <c r="K27" s="158"/>
      <c r="L27" s="134"/>
      <c r="M27" s="150">
        <f>IF($X27=0,0,L27/$X27)</f>
        <v>0</v>
      </c>
      <c r="N27" s="158"/>
      <c r="O27" s="134"/>
      <c r="P27" s="150">
        <f t="shared" si="10"/>
        <v>0</v>
      </c>
      <c r="Q27" s="158"/>
      <c r="R27" s="134"/>
      <c r="S27" s="150">
        <f t="shared" si="11"/>
        <v>0</v>
      </c>
      <c r="T27" s="158"/>
      <c r="U27" s="134"/>
      <c r="V27" s="150">
        <f t="shared" si="12"/>
        <v>0</v>
      </c>
      <c r="W27" s="496"/>
      <c r="X27" s="16">
        <f t="shared" si="13"/>
        <v>0</v>
      </c>
      <c r="Y27" s="8"/>
      <c r="Z27" s="8"/>
      <c r="AA27" s="8"/>
      <c r="AB27" s="8"/>
    </row>
    <row r="28" spans="1:28" ht="15.75" x14ac:dyDescent="0.25">
      <c r="A28" s="37">
        <f t="shared" si="7"/>
        <v>23</v>
      </c>
      <c r="B28" s="635"/>
      <c r="C28" s="650"/>
      <c r="D28" s="650"/>
      <c r="E28" s="458" t="s">
        <v>10</v>
      </c>
      <c r="F28" s="134"/>
      <c r="G28" s="150">
        <f t="shared" si="8"/>
        <v>0</v>
      </c>
      <c r="H28" s="158"/>
      <c r="I28" s="134"/>
      <c r="J28" s="150">
        <f t="shared" si="9"/>
        <v>0</v>
      </c>
      <c r="K28" s="158"/>
      <c r="L28" s="134"/>
      <c r="M28" s="150">
        <f t="shared" si="6"/>
        <v>0</v>
      </c>
      <c r="N28" s="158"/>
      <c r="O28" s="134"/>
      <c r="P28" s="150">
        <f t="shared" si="10"/>
        <v>0</v>
      </c>
      <c r="Q28" s="158"/>
      <c r="R28" s="134"/>
      <c r="S28" s="150">
        <f t="shared" si="11"/>
        <v>0</v>
      </c>
      <c r="T28" s="158"/>
      <c r="U28" s="134"/>
      <c r="V28" s="150">
        <f t="shared" si="12"/>
        <v>0</v>
      </c>
      <c r="W28" s="496"/>
      <c r="X28" s="16">
        <f t="shared" si="13"/>
        <v>0</v>
      </c>
      <c r="Y28" s="8"/>
      <c r="Z28" s="8"/>
      <c r="AA28" s="8"/>
      <c r="AB28" s="8"/>
    </row>
    <row r="29" spans="1:28" ht="15.75" x14ac:dyDescent="0.25">
      <c r="A29" s="37">
        <f t="shared" si="7"/>
        <v>24</v>
      </c>
      <c r="B29" s="635"/>
      <c r="C29" s="645" t="s">
        <v>3607</v>
      </c>
      <c r="D29" s="646"/>
      <c r="E29" s="458" t="s">
        <v>11</v>
      </c>
      <c r="F29" s="134"/>
      <c r="G29" s="150">
        <f t="shared" si="8"/>
        <v>0</v>
      </c>
      <c r="H29" s="158"/>
      <c r="I29" s="134"/>
      <c r="J29" s="150">
        <f t="shared" si="9"/>
        <v>0</v>
      </c>
      <c r="K29" s="158"/>
      <c r="L29" s="134"/>
      <c r="M29" s="150">
        <f t="shared" si="6"/>
        <v>0</v>
      </c>
      <c r="N29" s="158"/>
      <c r="O29" s="134"/>
      <c r="P29" s="150">
        <f t="shared" si="10"/>
        <v>0</v>
      </c>
      <c r="Q29" s="158"/>
      <c r="R29" s="134"/>
      <c r="S29" s="150">
        <f t="shared" si="11"/>
        <v>0</v>
      </c>
      <c r="T29" s="158"/>
      <c r="U29" s="134"/>
      <c r="V29" s="150">
        <f t="shared" si="12"/>
        <v>0</v>
      </c>
      <c r="W29" s="496"/>
      <c r="X29" s="16">
        <f t="shared" si="13"/>
        <v>0</v>
      </c>
      <c r="Y29" s="8"/>
      <c r="Z29" s="8"/>
      <c r="AA29" s="8"/>
      <c r="AB29" s="8"/>
    </row>
    <row r="30" spans="1:28" ht="15.75" x14ac:dyDescent="0.25">
      <c r="A30" s="37">
        <f t="shared" si="7"/>
        <v>25</v>
      </c>
      <c r="B30" s="635"/>
      <c r="C30" s="647"/>
      <c r="D30" s="648"/>
      <c r="E30" s="458" t="s">
        <v>10</v>
      </c>
      <c r="F30" s="134"/>
      <c r="G30" s="150">
        <f t="shared" si="8"/>
        <v>0</v>
      </c>
      <c r="H30" s="158"/>
      <c r="I30" s="134"/>
      <c r="J30" s="150">
        <f t="shared" si="9"/>
        <v>0</v>
      </c>
      <c r="K30" s="158"/>
      <c r="L30" s="134"/>
      <c r="M30" s="150">
        <f t="shared" si="6"/>
        <v>0</v>
      </c>
      <c r="N30" s="158"/>
      <c r="O30" s="134"/>
      <c r="P30" s="150">
        <f t="shared" si="10"/>
        <v>0</v>
      </c>
      <c r="Q30" s="158"/>
      <c r="R30" s="134"/>
      <c r="S30" s="150">
        <f t="shared" si="11"/>
        <v>0</v>
      </c>
      <c r="T30" s="158"/>
      <c r="U30" s="134"/>
      <c r="V30" s="150">
        <f t="shared" si="12"/>
        <v>0</v>
      </c>
      <c r="W30" s="496"/>
      <c r="X30" s="16">
        <f t="shared" si="13"/>
        <v>0</v>
      </c>
      <c r="Y30" s="8"/>
      <c r="Z30" s="8"/>
      <c r="AA30" s="8"/>
      <c r="AB30" s="8"/>
    </row>
    <row r="31" spans="1:28" ht="15.75" x14ac:dyDescent="0.25">
      <c r="A31" s="37">
        <f>A30+1</f>
        <v>26</v>
      </c>
      <c r="B31" s="635"/>
      <c r="C31" s="650" t="s">
        <v>3602</v>
      </c>
      <c r="D31" s="458" t="s">
        <v>13</v>
      </c>
      <c r="E31" s="458" t="s">
        <v>12</v>
      </c>
      <c r="F31" s="134"/>
      <c r="G31" s="150">
        <f t="shared" si="8"/>
        <v>0</v>
      </c>
      <c r="H31" s="475"/>
      <c r="I31" s="134"/>
      <c r="J31" s="150">
        <f t="shared" si="9"/>
        <v>0</v>
      </c>
      <c r="K31" s="475"/>
      <c r="L31" s="134"/>
      <c r="M31" s="150">
        <f t="shared" si="6"/>
        <v>0</v>
      </c>
      <c r="N31" s="475"/>
      <c r="O31" s="134"/>
      <c r="P31" s="150">
        <f t="shared" si="10"/>
        <v>0</v>
      </c>
      <c r="Q31" s="475"/>
      <c r="R31" s="134"/>
      <c r="S31" s="150">
        <f t="shared" si="11"/>
        <v>0</v>
      </c>
      <c r="T31" s="475"/>
      <c r="U31" s="134"/>
      <c r="V31" s="150">
        <f t="shared" si="12"/>
        <v>0</v>
      </c>
      <c r="W31" s="497"/>
      <c r="X31" s="476">
        <f t="shared" si="13"/>
        <v>0</v>
      </c>
      <c r="Y31" s="8"/>
      <c r="Z31" s="8"/>
      <c r="AA31" s="8"/>
      <c r="AB31" s="8"/>
    </row>
    <row r="32" spans="1:28" ht="15.75" x14ac:dyDescent="0.25">
      <c r="A32" s="37">
        <f t="shared" si="7"/>
        <v>27</v>
      </c>
      <c r="B32" s="635"/>
      <c r="C32" s="659"/>
      <c r="D32" s="458" t="s">
        <v>14</v>
      </c>
      <c r="E32" s="458" t="s">
        <v>12</v>
      </c>
      <c r="F32" s="134"/>
      <c r="G32" s="474">
        <f t="shared" si="8"/>
        <v>0</v>
      </c>
      <c r="H32" s="158"/>
      <c r="I32" s="134"/>
      <c r="J32" s="474">
        <f t="shared" si="9"/>
        <v>0</v>
      </c>
      <c r="K32" s="158"/>
      <c r="L32" s="134"/>
      <c r="M32" s="474">
        <f t="shared" si="6"/>
        <v>0</v>
      </c>
      <c r="N32" s="158"/>
      <c r="O32" s="134"/>
      <c r="P32" s="474">
        <f t="shared" si="10"/>
        <v>0</v>
      </c>
      <c r="Q32" s="158"/>
      <c r="R32" s="134"/>
      <c r="S32" s="474">
        <f t="shared" si="11"/>
        <v>0</v>
      </c>
      <c r="T32" s="158"/>
      <c r="U32" s="134"/>
      <c r="V32" s="474">
        <f t="shared" si="12"/>
        <v>0</v>
      </c>
      <c r="W32" s="496"/>
      <c r="X32" s="16">
        <f t="shared" si="13"/>
        <v>0</v>
      </c>
      <c r="Y32" s="8"/>
      <c r="Z32" s="8"/>
      <c r="AA32" s="8"/>
      <c r="AB32" s="8"/>
    </row>
    <row r="33" spans="1:28" ht="16.5" customHeight="1" thickBot="1" x14ac:dyDescent="0.3">
      <c r="A33" s="37">
        <f t="shared" si="7"/>
        <v>28</v>
      </c>
      <c r="B33" s="638"/>
      <c r="C33" s="653" t="s">
        <v>3603</v>
      </c>
      <c r="D33" s="654"/>
      <c r="E33" s="460" t="s">
        <v>12</v>
      </c>
      <c r="F33" s="473"/>
      <c r="G33" s="474">
        <f t="shared" si="8"/>
        <v>0</v>
      </c>
      <c r="H33" s="160"/>
      <c r="I33" s="473"/>
      <c r="J33" s="474">
        <f t="shared" si="9"/>
        <v>0</v>
      </c>
      <c r="K33" s="160"/>
      <c r="L33" s="473"/>
      <c r="M33" s="474">
        <f t="shared" si="6"/>
        <v>0</v>
      </c>
      <c r="N33" s="160"/>
      <c r="O33" s="473"/>
      <c r="P33" s="474">
        <f t="shared" si="10"/>
        <v>0</v>
      </c>
      <c r="Q33" s="160"/>
      <c r="R33" s="473"/>
      <c r="S33" s="474">
        <f t="shared" si="11"/>
        <v>0</v>
      </c>
      <c r="T33" s="160"/>
      <c r="U33" s="473"/>
      <c r="V33" s="474">
        <f t="shared" si="12"/>
        <v>0</v>
      </c>
      <c r="W33" s="498"/>
      <c r="X33" s="16">
        <f t="shared" si="13"/>
        <v>0</v>
      </c>
      <c r="Y33" s="8"/>
      <c r="Z33" s="8"/>
      <c r="AA33" s="8"/>
      <c r="AB33" s="8"/>
    </row>
    <row r="34" spans="1:28" ht="18.75" customHeight="1" x14ac:dyDescent="0.3">
      <c r="A34" s="47">
        <f>A33+1</f>
        <v>29</v>
      </c>
      <c r="B34" s="651" t="s">
        <v>4</v>
      </c>
      <c r="C34" s="651"/>
      <c r="D34" s="651"/>
      <c r="E34" s="651"/>
      <c r="F34" s="49">
        <f>SUM(F17:F33)</f>
        <v>0</v>
      </c>
      <c r="G34" s="149">
        <f t="shared" si="8"/>
        <v>0</v>
      </c>
      <c r="H34" s="59"/>
      <c r="I34" s="49">
        <f>SUM(I17:I33)</f>
        <v>0</v>
      </c>
      <c r="J34" s="149">
        <f t="shared" si="9"/>
        <v>0</v>
      </c>
      <c r="K34" s="162"/>
      <c r="L34" s="49">
        <f>SUM(L17:L33)</f>
        <v>0</v>
      </c>
      <c r="M34" s="149">
        <f t="shared" si="6"/>
        <v>0</v>
      </c>
      <c r="N34" s="162"/>
      <c r="O34" s="49">
        <f>SUM(O17:O33)</f>
        <v>0</v>
      </c>
      <c r="P34" s="149">
        <f t="shared" si="10"/>
        <v>0</v>
      </c>
      <c r="Q34" s="162"/>
      <c r="R34" s="49">
        <f>SUM(R17:R33)</f>
        <v>0</v>
      </c>
      <c r="S34" s="149">
        <f t="shared" si="11"/>
        <v>0</v>
      </c>
      <c r="T34" s="162"/>
      <c r="U34" s="49">
        <f>SUM(U17:U33)</f>
        <v>0</v>
      </c>
      <c r="V34" s="149">
        <f t="shared" si="12"/>
        <v>0</v>
      </c>
      <c r="W34" s="162"/>
      <c r="X34" s="55">
        <f>SUM(X17:X33)</f>
        <v>0</v>
      </c>
      <c r="Y34" s="8"/>
      <c r="Z34" s="8"/>
      <c r="AA34" s="8"/>
      <c r="AB34" s="8"/>
    </row>
    <row r="35" spans="1:28" ht="18.75" customHeight="1" outlineLevel="1" x14ac:dyDescent="0.3">
      <c r="A35" s="37">
        <f t="shared" si="7"/>
        <v>30</v>
      </c>
      <c r="B35" s="652" t="s">
        <v>5</v>
      </c>
      <c r="C35" s="652"/>
      <c r="D35" s="652"/>
      <c r="E35" s="652"/>
      <c r="F35" s="17">
        <f>F17+F19+F21+F23+F25+F27+F29</f>
        <v>0</v>
      </c>
      <c r="G35" s="150">
        <f t="shared" si="8"/>
        <v>0</v>
      </c>
      <c r="H35" s="60"/>
      <c r="I35" s="17">
        <f>I17+I19+I21+I23+I25+I27+I29</f>
        <v>0</v>
      </c>
      <c r="J35" s="150">
        <f t="shared" si="9"/>
        <v>0</v>
      </c>
      <c r="K35" s="163"/>
      <c r="L35" s="17">
        <f>L17+L19+L21+L23+L25+L27+L29</f>
        <v>0</v>
      </c>
      <c r="M35" s="150">
        <f t="shared" si="6"/>
        <v>0</v>
      </c>
      <c r="N35" s="163"/>
      <c r="O35" s="17">
        <f>O17+O19+O21+O23+O25+O27+O29</f>
        <v>0</v>
      </c>
      <c r="P35" s="150">
        <f t="shared" si="10"/>
        <v>0</v>
      </c>
      <c r="Q35" s="163"/>
      <c r="R35" s="17">
        <f>R17+R19+R21+R23+R25+R27+R29</f>
        <v>0</v>
      </c>
      <c r="S35" s="150">
        <f t="shared" si="11"/>
        <v>0</v>
      </c>
      <c r="T35" s="163"/>
      <c r="U35" s="17">
        <f>U17+U19+U21+U23+U25+U27+U29</f>
        <v>0</v>
      </c>
      <c r="V35" s="150">
        <f t="shared" si="12"/>
        <v>0</v>
      </c>
      <c r="W35" s="163"/>
      <c r="X35" s="51">
        <f>X17+X19+X21+X23+X25+X27+X29</f>
        <v>0</v>
      </c>
      <c r="Y35" s="8"/>
      <c r="Z35" s="8"/>
      <c r="AA35" s="8"/>
      <c r="AB35" s="8"/>
    </row>
    <row r="36" spans="1:28" ht="18.75" customHeight="1" outlineLevel="1" x14ac:dyDescent="0.3">
      <c r="A36" s="37">
        <f t="shared" si="7"/>
        <v>31</v>
      </c>
      <c r="B36" s="652" t="s">
        <v>6</v>
      </c>
      <c r="C36" s="652"/>
      <c r="D36" s="652"/>
      <c r="E36" s="652"/>
      <c r="F36" s="17">
        <f>F18+F20+F22+F24+F26+F28+F30</f>
        <v>0</v>
      </c>
      <c r="G36" s="150">
        <f t="shared" si="8"/>
        <v>0</v>
      </c>
      <c r="H36" s="60"/>
      <c r="I36" s="17">
        <f>I18+I20+I22+I24+I26+I28+I30</f>
        <v>0</v>
      </c>
      <c r="J36" s="150">
        <f t="shared" si="9"/>
        <v>0</v>
      </c>
      <c r="K36" s="163"/>
      <c r="L36" s="17">
        <f>L18+L20+L22+L24+L26+L28+L30</f>
        <v>0</v>
      </c>
      <c r="M36" s="150">
        <f t="shared" si="6"/>
        <v>0</v>
      </c>
      <c r="N36" s="163"/>
      <c r="O36" s="17">
        <f>O18+O20+O22+O24+O26+O28+O30</f>
        <v>0</v>
      </c>
      <c r="P36" s="150">
        <f t="shared" si="10"/>
        <v>0</v>
      </c>
      <c r="Q36" s="163"/>
      <c r="R36" s="17">
        <f>R18+R20+R22+R24+R26+R28+R30</f>
        <v>0</v>
      </c>
      <c r="S36" s="150">
        <f t="shared" si="11"/>
        <v>0</v>
      </c>
      <c r="T36" s="163"/>
      <c r="U36" s="17">
        <f>U18+U20+U22+U24+U26+U28+U30</f>
        <v>0</v>
      </c>
      <c r="V36" s="150">
        <f t="shared" si="12"/>
        <v>0</v>
      </c>
      <c r="W36" s="163"/>
      <c r="X36" s="51">
        <f>X18+X20+X22+X24+X26+X28+X30</f>
        <v>0</v>
      </c>
      <c r="Y36" s="8"/>
      <c r="Z36" s="8"/>
      <c r="AA36" s="8"/>
      <c r="AB36" s="8"/>
    </row>
    <row r="37" spans="1:28" ht="18.75" customHeight="1" outlineLevel="1" thickBot="1" x14ac:dyDescent="0.35">
      <c r="A37" s="39">
        <f t="shared" si="7"/>
        <v>32</v>
      </c>
      <c r="B37" s="649" t="s">
        <v>8</v>
      </c>
      <c r="C37" s="649"/>
      <c r="D37" s="649"/>
      <c r="E37" s="649"/>
      <c r="F37" s="20">
        <f>F31+F32+F33</f>
        <v>0</v>
      </c>
      <c r="G37" s="151">
        <f t="shared" si="8"/>
        <v>0</v>
      </c>
      <c r="H37" s="481"/>
      <c r="I37" s="20">
        <f>I31+I32+I33</f>
        <v>0</v>
      </c>
      <c r="J37" s="151">
        <f t="shared" si="9"/>
        <v>0</v>
      </c>
      <c r="K37" s="482"/>
      <c r="L37" s="20">
        <f>L31+L32+L33</f>
        <v>0</v>
      </c>
      <c r="M37" s="151">
        <f t="shared" si="6"/>
        <v>0</v>
      </c>
      <c r="N37" s="482"/>
      <c r="O37" s="20">
        <f>O31+O32+O33</f>
        <v>0</v>
      </c>
      <c r="P37" s="151">
        <f t="shared" si="10"/>
        <v>0</v>
      </c>
      <c r="Q37" s="482"/>
      <c r="R37" s="20">
        <f>R31+R32+R33</f>
        <v>0</v>
      </c>
      <c r="S37" s="151">
        <f t="shared" si="11"/>
        <v>0</v>
      </c>
      <c r="T37" s="482"/>
      <c r="U37" s="20">
        <f>U31+U32+U33</f>
        <v>0</v>
      </c>
      <c r="V37" s="151">
        <f t="shared" si="12"/>
        <v>0</v>
      </c>
      <c r="W37" s="482"/>
      <c r="X37" s="483">
        <f>X31+X32+X33</f>
        <v>0</v>
      </c>
      <c r="Y37" s="8"/>
      <c r="Z37" s="8"/>
      <c r="AA37" s="8"/>
      <c r="AB37" s="8"/>
    </row>
    <row r="38" spans="1:28" ht="16.5" thickBot="1" x14ac:dyDescent="0.3">
      <c r="A38" s="36"/>
      <c r="B38" s="26"/>
      <c r="C38" s="4"/>
      <c r="D38" s="3"/>
      <c r="E38" s="7"/>
      <c r="F38" s="27"/>
      <c r="G38" s="153"/>
      <c r="H38" s="28"/>
      <c r="I38" s="27"/>
      <c r="J38" s="156"/>
      <c r="K38" s="156"/>
      <c r="L38" s="27"/>
      <c r="M38" s="156"/>
      <c r="N38" s="156"/>
      <c r="O38" s="27"/>
      <c r="P38" s="156"/>
      <c r="Q38" s="156"/>
      <c r="R38" s="27"/>
      <c r="S38" s="156"/>
      <c r="T38" s="156"/>
      <c r="U38" s="27"/>
      <c r="V38" s="156"/>
      <c r="W38" s="156"/>
      <c r="X38" s="29"/>
      <c r="Y38" s="8"/>
      <c r="Z38" s="8"/>
      <c r="AA38" s="8"/>
      <c r="AB38" s="8"/>
    </row>
    <row r="39" spans="1:28" ht="15.75" customHeight="1" x14ac:dyDescent="0.25">
      <c r="A39" s="46">
        <f>A37+1</f>
        <v>33</v>
      </c>
      <c r="B39" s="636" t="s">
        <v>3606</v>
      </c>
      <c r="C39" s="663" t="s">
        <v>3597</v>
      </c>
      <c r="D39" s="664"/>
      <c r="E39" s="459" t="s">
        <v>11</v>
      </c>
      <c r="F39" s="135"/>
      <c r="G39" s="150">
        <f t="shared" si="8"/>
        <v>0</v>
      </c>
      <c r="H39" s="158"/>
      <c r="I39" s="135"/>
      <c r="J39" s="150">
        <f t="shared" ref="J39:J42" si="14">IF($X39=0,0,I39/$X39)</f>
        <v>0</v>
      </c>
      <c r="K39" s="158"/>
      <c r="L39" s="135"/>
      <c r="M39" s="150">
        <f t="shared" si="6"/>
        <v>0</v>
      </c>
      <c r="N39" s="158"/>
      <c r="O39" s="135"/>
      <c r="P39" s="150">
        <f t="shared" ref="P39:P42" si="15">IF($X39=0,0,O39/$X39)</f>
        <v>0</v>
      </c>
      <c r="Q39" s="158"/>
      <c r="R39" s="135"/>
      <c r="S39" s="150">
        <f t="shared" ref="S39:S42" si="16">IF($X39=0,0,R39/$X39)</f>
        <v>0</v>
      </c>
      <c r="T39" s="158"/>
      <c r="U39" s="135"/>
      <c r="V39" s="150">
        <f t="shared" ref="V39:V42" si="17">IF($X39=0,0,U39/$X39)</f>
        <v>0</v>
      </c>
      <c r="W39" s="496"/>
      <c r="X39" s="16">
        <f>F39+I39+L39+O39+R39</f>
        <v>0</v>
      </c>
      <c r="Y39" s="8"/>
      <c r="Z39" s="8"/>
      <c r="AA39" s="8"/>
      <c r="AB39" s="8"/>
    </row>
    <row r="40" spans="1:28" ht="15.75" customHeight="1" x14ac:dyDescent="0.25">
      <c r="A40" s="41">
        <f t="shared" si="7"/>
        <v>34</v>
      </c>
      <c r="B40" s="660"/>
      <c r="C40" s="665"/>
      <c r="D40" s="666"/>
      <c r="E40" s="458" t="s">
        <v>10</v>
      </c>
      <c r="F40" s="134"/>
      <c r="G40" s="150">
        <f t="shared" si="8"/>
        <v>0</v>
      </c>
      <c r="H40" s="158"/>
      <c r="I40" s="134"/>
      <c r="J40" s="150">
        <f t="shared" si="14"/>
        <v>0</v>
      </c>
      <c r="K40" s="158"/>
      <c r="L40" s="134"/>
      <c r="M40" s="150">
        <f t="shared" si="6"/>
        <v>0</v>
      </c>
      <c r="N40" s="158"/>
      <c r="O40" s="134"/>
      <c r="P40" s="150">
        <f t="shared" si="15"/>
        <v>0</v>
      </c>
      <c r="Q40" s="158"/>
      <c r="R40" s="134"/>
      <c r="S40" s="150">
        <f t="shared" si="16"/>
        <v>0</v>
      </c>
      <c r="T40" s="158"/>
      <c r="U40" s="134"/>
      <c r="V40" s="150">
        <f t="shared" si="17"/>
        <v>0</v>
      </c>
      <c r="W40" s="496"/>
      <c r="X40" s="16">
        <f>F40+I40+L40+O40+R40</f>
        <v>0</v>
      </c>
      <c r="Y40" s="8"/>
      <c r="Z40" s="8"/>
      <c r="AA40" s="8"/>
      <c r="AB40" s="8"/>
    </row>
    <row r="41" spans="1:28" ht="15.75" x14ac:dyDescent="0.25">
      <c r="A41" s="41">
        <f t="shared" si="7"/>
        <v>35</v>
      </c>
      <c r="B41" s="661"/>
      <c r="C41" s="665"/>
      <c r="D41" s="666"/>
      <c r="E41" s="458" t="s">
        <v>9</v>
      </c>
      <c r="F41" s="134"/>
      <c r="G41" s="150">
        <f t="shared" si="8"/>
        <v>0</v>
      </c>
      <c r="H41" s="158"/>
      <c r="I41" s="134"/>
      <c r="J41" s="150">
        <f t="shared" si="14"/>
        <v>0</v>
      </c>
      <c r="K41" s="158"/>
      <c r="L41" s="134"/>
      <c r="M41" s="150">
        <f t="shared" si="6"/>
        <v>0</v>
      </c>
      <c r="N41" s="158"/>
      <c r="O41" s="134"/>
      <c r="P41" s="150">
        <f t="shared" si="15"/>
        <v>0</v>
      </c>
      <c r="Q41" s="158"/>
      <c r="R41" s="134"/>
      <c r="S41" s="150">
        <f t="shared" si="16"/>
        <v>0</v>
      </c>
      <c r="T41" s="158"/>
      <c r="U41" s="134"/>
      <c r="V41" s="150">
        <f t="shared" si="17"/>
        <v>0</v>
      </c>
      <c r="W41" s="496"/>
      <c r="X41" s="16">
        <f>F41+I41+L41+O41+R41</f>
        <v>0</v>
      </c>
      <c r="Y41" s="8"/>
      <c r="Z41" s="8"/>
      <c r="AA41" s="8"/>
      <c r="AB41" s="8"/>
    </row>
    <row r="42" spans="1:28" ht="16.5" customHeight="1" thickBot="1" x14ac:dyDescent="0.3">
      <c r="A42" s="54">
        <f t="shared" si="7"/>
        <v>36</v>
      </c>
      <c r="B42" s="662"/>
      <c r="C42" s="667"/>
      <c r="D42" s="668"/>
      <c r="E42" s="461" t="s">
        <v>12</v>
      </c>
      <c r="F42" s="136"/>
      <c r="G42" s="152">
        <f t="shared" si="8"/>
        <v>0</v>
      </c>
      <c r="H42" s="160"/>
      <c r="I42" s="136"/>
      <c r="J42" s="152">
        <f t="shared" si="14"/>
        <v>0</v>
      </c>
      <c r="K42" s="160"/>
      <c r="L42" s="136"/>
      <c r="M42" s="152">
        <f t="shared" si="6"/>
        <v>0</v>
      </c>
      <c r="N42" s="160"/>
      <c r="O42" s="136"/>
      <c r="P42" s="152">
        <f t="shared" si="15"/>
        <v>0</v>
      </c>
      <c r="Q42" s="160"/>
      <c r="R42" s="136"/>
      <c r="S42" s="152">
        <f t="shared" si="16"/>
        <v>0</v>
      </c>
      <c r="T42" s="160"/>
      <c r="U42" s="136"/>
      <c r="V42" s="152">
        <f t="shared" si="17"/>
        <v>0</v>
      </c>
      <c r="W42" s="498"/>
      <c r="X42" s="25">
        <f>F42+I42+L42+O42+R42</f>
        <v>0</v>
      </c>
      <c r="Y42" s="8"/>
      <c r="Z42" s="8"/>
      <c r="AA42" s="8"/>
      <c r="AB42" s="8"/>
    </row>
    <row r="43" spans="1:28" ht="16.5" thickBot="1" x14ac:dyDescent="0.3">
      <c r="A43" s="36"/>
      <c r="B43" s="26"/>
      <c r="C43" s="3"/>
      <c r="D43" s="3"/>
      <c r="E43" s="6"/>
      <c r="F43" s="27"/>
      <c r="G43" s="153"/>
      <c r="H43" s="28"/>
      <c r="I43" s="27"/>
      <c r="J43" s="156"/>
      <c r="K43" s="156"/>
      <c r="L43" s="27"/>
      <c r="M43" s="156"/>
      <c r="N43" s="156"/>
      <c r="O43" s="27"/>
      <c r="P43" s="156"/>
      <c r="Q43" s="156"/>
      <c r="R43" s="27"/>
      <c r="S43" s="156"/>
      <c r="T43" s="156"/>
      <c r="U43" s="27"/>
      <c r="V43" s="156"/>
      <c r="W43" s="156"/>
      <c r="X43" s="10"/>
      <c r="Y43" s="8"/>
      <c r="Z43" s="8"/>
      <c r="AA43" s="8"/>
      <c r="AB43" s="8"/>
    </row>
    <row r="44" spans="1:28" ht="19.5" thickBot="1" x14ac:dyDescent="0.35">
      <c r="A44" s="56">
        <f>A42+1</f>
        <v>37</v>
      </c>
      <c r="B44" s="656" t="s">
        <v>4</v>
      </c>
      <c r="C44" s="656"/>
      <c r="D44" s="656"/>
      <c r="E44" s="656"/>
      <c r="F44" s="57">
        <f>SUM(F6:F11)+SUM(F17:F33)+SUM(F39:F42)</f>
        <v>0</v>
      </c>
      <c r="G44" s="154">
        <f t="shared" si="8"/>
        <v>0</v>
      </c>
      <c r="H44" s="157"/>
      <c r="I44" s="57">
        <f>SUM(I6:I11)+SUM(I17:I33)+SUM(I39:I42)</f>
        <v>0</v>
      </c>
      <c r="J44" s="154">
        <f t="shared" ref="J44:J48" si="18">IF($X44=0,0,I44/$X44)</f>
        <v>0</v>
      </c>
      <c r="K44" s="157"/>
      <c r="L44" s="57">
        <f>SUM(L6:L11)+SUM(L17:L33)+SUM(L39:L42)</f>
        <v>0</v>
      </c>
      <c r="M44" s="154">
        <f t="shared" si="6"/>
        <v>0</v>
      </c>
      <c r="N44" s="157"/>
      <c r="O44" s="57">
        <f>SUM(O6:O11)+SUM(O17:O33)+SUM(O39:O42)</f>
        <v>0</v>
      </c>
      <c r="P44" s="154">
        <f t="shared" ref="P44:P48" si="19">IF($X44=0,0,O44/$X44)</f>
        <v>0</v>
      </c>
      <c r="Q44" s="157"/>
      <c r="R44" s="57">
        <f>SUM(R6:R11)+SUM(R17:R33)+SUM(R39:R42)</f>
        <v>0</v>
      </c>
      <c r="S44" s="154">
        <f t="shared" ref="S44:S48" si="20">IF($X44=0,0,R44/$X44)</f>
        <v>0</v>
      </c>
      <c r="T44" s="157"/>
      <c r="U44" s="57">
        <f>SUM(U6:U11)+SUM(U17:U33)+SUM(U39:U42)</f>
        <v>0</v>
      </c>
      <c r="V44" s="154">
        <f t="shared" ref="V44:V48" si="21">IF($X44=0,0,U44/$X44)</f>
        <v>0</v>
      </c>
      <c r="W44" s="499"/>
      <c r="X44" s="58">
        <f>SUM(X6:X11)+SUM(X17:X33)+SUM(X39:X42)</f>
        <v>0</v>
      </c>
    </row>
    <row r="45" spans="1:28" outlineLevel="1" x14ac:dyDescent="0.3">
      <c r="A45" s="35">
        <f t="shared" si="7"/>
        <v>38</v>
      </c>
      <c r="B45" s="657" t="s">
        <v>5</v>
      </c>
      <c r="C45" s="657"/>
      <c r="D45" s="657"/>
      <c r="E45" s="657"/>
      <c r="F45" s="19">
        <f>F6+F9+F17+F19+F21+F23+F25+F27+F39+F29</f>
        <v>0</v>
      </c>
      <c r="G45" s="150">
        <f t="shared" si="8"/>
        <v>0</v>
      </c>
      <c r="H45" s="158"/>
      <c r="I45" s="19">
        <f>I6+I9+I17+I19+I21+I23+I25+I27+I39+I29</f>
        <v>0</v>
      </c>
      <c r="J45" s="150">
        <f t="shared" si="18"/>
        <v>0</v>
      </c>
      <c r="K45" s="158"/>
      <c r="L45" s="19">
        <f>L6+L9+L17+L19+L21+L23+L25+L27+L39+L29</f>
        <v>0</v>
      </c>
      <c r="M45" s="150">
        <f t="shared" si="6"/>
        <v>0</v>
      </c>
      <c r="N45" s="158"/>
      <c r="O45" s="19">
        <f>O6+O9+O17+O19+O21+O23+O25+O27+O39+O29</f>
        <v>0</v>
      </c>
      <c r="P45" s="150">
        <f t="shared" si="19"/>
        <v>0</v>
      </c>
      <c r="Q45" s="158"/>
      <c r="R45" s="19">
        <f>R6+R9+R17+R19+R21+R23+R25+R27+R39+R29</f>
        <v>0</v>
      </c>
      <c r="S45" s="150">
        <f t="shared" si="20"/>
        <v>0</v>
      </c>
      <c r="T45" s="158"/>
      <c r="U45" s="19">
        <f>U6+U9+U17+U19+U21+U23+U25+U27+U39+U29</f>
        <v>0</v>
      </c>
      <c r="V45" s="150">
        <f t="shared" si="21"/>
        <v>0</v>
      </c>
      <c r="W45" s="496"/>
      <c r="X45" s="480">
        <f>X6+X9+X17+X19+X21+X23+X25+X27+X29+X39</f>
        <v>0</v>
      </c>
    </row>
    <row r="46" spans="1:28" outlineLevel="1" x14ac:dyDescent="0.3">
      <c r="A46" s="37">
        <f t="shared" si="7"/>
        <v>39</v>
      </c>
      <c r="B46" s="652" t="s">
        <v>6</v>
      </c>
      <c r="C46" s="652"/>
      <c r="D46" s="652"/>
      <c r="E46" s="652"/>
      <c r="F46" s="17">
        <f>F7+F10+F18+F20+F22+F24+F26+F28+F40+F30</f>
        <v>0</v>
      </c>
      <c r="G46" s="150">
        <f t="shared" si="8"/>
        <v>0</v>
      </c>
      <c r="H46" s="158"/>
      <c r="I46" s="17">
        <f>I7+I10+I18+I20+I22+I24+I26+I28+I40+I30</f>
        <v>0</v>
      </c>
      <c r="J46" s="150">
        <f t="shared" si="18"/>
        <v>0</v>
      </c>
      <c r="K46" s="158"/>
      <c r="L46" s="17">
        <f>L7+L10+L18+L20+L22+L24+L26+L28+L40+L30</f>
        <v>0</v>
      </c>
      <c r="M46" s="150">
        <f t="shared" si="6"/>
        <v>0</v>
      </c>
      <c r="N46" s="158"/>
      <c r="O46" s="17">
        <f>O7+O10+O18+O20+O22+O24+O26+O28+O40+O30</f>
        <v>0</v>
      </c>
      <c r="P46" s="150">
        <f t="shared" si="19"/>
        <v>0</v>
      </c>
      <c r="Q46" s="158"/>
      <c r="R46" s="17">
        <f>R7+R10+R18+R20+R22+R24+R26+R28+R40+R30</f>
        <v>0</v>
      </c>
      <c r="S46" s="150">
        <f t="shared" si="20"/>
        <v>0</v>
      </c>
      <c r="T46" s="158"/>
      <c r="U46" s="17">
        <f>U7+U10+U18+U20+U22+U24+U26+U28+U40+U30</f>
        <v>0</v>
      </c>
      <c r="V46" s="150">
        <f t="shared" si="21"/>
        <v>0</v>
      </c>
      <c r="W46" s="496"/>
      <c r="X46" s="14">
        <f>X7+X10+X18+X20+X22+X24+X26+X28+X30+X40</f>
        <v>0</v>
      </c>
    </row>
    <row r="47" spans="1:28" outlineLevel="1" x14ac:dyDescent="0.3">
      <c r="A47" s="37">
        <f t="shared" si="7"/>
        <v>40</v>
      </c>
      <c r="B47" s="652" t="s">
        <v>7</v>
      </c>
      <c r="C47" s="652"/>
      <c r="D47" s="652"/>
      <c r="E47" s="652"/>
      <c r="F47" s="17">
        <f>F8+F11+F41</f>
        <v>0</v>
      </c>
      <c r="G47" s="150">
        <f>IF($X47=0,0,F47/$X47)</f>
        <v>0</v>
      </c>
      <c r="H47" s="158"/>
      <c r="I47" s="17">
        <f>I8+I11+I41</f>
        <v>0</v>
      </c>
      <c r="J47" s="150">
        <f t="shared" si="18"/>
        <v>0</v>
      </c>
      <c r="K47" s="158"/>
      <c r="L47" s="17">
        <f>L8+L11+L41</f>
        <v>0</v>
      </c>
      <c r="M47" s="150">
        <f t="shared" si="6"/>
        <v>0</v>
      </c>
      <c r="N47" s="158"/>
      <c r="O47" s="17">
        <f>O8+O11+O41</f>
        <v>0</v>
      </c>
      <c r="P47" s="150">
        <f t="shared" si="19"/>
        <v>0</v>
      </c>
      <c r="Q47" s="158"/>
      <c r="R47" s="17">
        <f>R8+R11+R41</f>
        <v>0</v>
      </c>
      <c r="S47" s="150">
        <f t="shared" si="20"/>
        <v>0</v>
      </c>
      <c r="T47" s="158"/>
      <c r="U47" s="17">
        <f>U8+U11+U41</f>
        <v>0</v>
      </c>
      <c r="V47" s="150">
        <f t="shared" si="21"/>
        <v>0</v>
      </c>
      <c r="W47" s="496"/>
      <c r="X47" s="14">
        <f>X8+X11+X41</f>
        <v>0</v>
      </c>
    </row>
    <row r="48" spans="1:28" ht="19.5" outlineLevel="1" thickBot="1" x14ac:dyDescent="0.35">
      <c r="A48" s="53">
        <f t="shared" si="7"/>
        <v>41</v>
      </c>
      <c r="B48" s="649" t="s">
        <v>8</v>
      </c>
      <c r="C48" s="649"/>
      <c r="D48" s="649"/>
      <c r="E48" s="649"/>
      <c r="F48" s="20">
        <f>F31+F32+F33+F42</f>
        <v>0</v>
      </c>
      <c r="G48" s="155">
        <f t="shared" si="8"/>
        <v>0</v>
      </c>
      <c r="H48" s="159"/>
      <c r="I48" s="20">
        <f>I31+I32+I33+I42</f>
        <v>0</v>
      </c>
      <c r="J48" s="155">
        <f t="shared" si="18"/>
        <v>0</v>
      </c>
      <c r="K48" s="159"/>
      <c r="L48" s="20">
        <f>L31+L32+L33+L42</f>
        <v>0</v>
      </c>
      <c r="M48" s="155">
        <f t="shared" si="6"/>
        <v>0</v>
      </c>
      <c r="N48" s="159"/>
      <c r="O48" s="20">
        <f>O31+O32+O33+O42</f>
        <v>0</v>
      </c>
      <c r="P48" s="155">
        <f t="shared" si="19"/>
        <v>0</v>
      </c>
      <c r="Q48" s="159"/>
      <c r="R48" s="20">
        <f>R31+R32+R33+R42</f>
        <v>0</v>
      </c>
      <c r="S48" s="155">
        <f t="shared" si="20"/>
        <v>0</v>
      </c>
      <c r="T48" s="159"/>
      <c r="U48" s="20">
        <f>U31+U32+U33+U42</f>
        <v>0</v>
      </c>
      <c r="V48" s="155">
        <f t="shared" si="21"/>
        <v>0</v>
      </c>
      <c r="W48" s="500"/>
      <c r="X48" s="15">
        <f>X31+X32+X33+X42</f>
        <v>0</v>
      </c>
    </row>
    <row r="49" spans="1:28" ht="16.5" thickBot="1" x14ac:dyDescent="0.3">
      <c r="A49" s="36"/>
      <c r="B49" s="26"/>
      <c r="C49" s="3"/>
      <c r="D49" s="3"/>
      <c r="E49" s="6"/>
      <c r="F49" s="27"/>
      <c r="G49" s="153"/>
      <c r="H49" s="28"/>
      <c r="I49" s="27"/>
      <c r="J49" s="156"/>
      <c r="K49" s="156"/>
      <c r="L49" s="27"/>
      <c r="M49" s="156"/>
      <c r="N49" s="156"/>
      <c r="O49" s="27"/>
      <c r="P49" s="156"/>
      <c r="Q49" s="156"/>
      <c r="R49" s="27"/>
      <c r="S49" s="156"/>
      <c r="T49" s="156"/>
      <c r="U49" s="27"/>
      <c r="V49" s="156"/>
      <c r="W49" s="156"/>
      <c r="X49" s="10"/>
      <c r="Y49" s="8"/>
      <c r="Z49" s="8"/>
      <c r="AA49" s="8"/>
      <c r="AB49" s="8"/>
    </row>
    <row r="50" spans="1:28" ht="19.5" thickBot="1" x14ac:dyDescent="0.35">
      <c r="A50" s="56">
        <f>A48+1</f>
        <v>42</v>
      </c>
      <c r="B50" s="656" t="s">
        <v>3638</v>
      </c>
      <c r="C50" s="656"/>
      <c r="D50" s="656"/>
      <c r="E50" s="656"/>
      <c r="F50" s="504"/>
    </row>
    <row r="51" spans="1:28" outlineLevel="1" x14ac:dyDescent="0.3">
      <c r="A51" s="35">
        <f t="shared" ref="A51:A54" si="22">A50+1</f>
        <v>43</v>
      </c>
      <c r="B51" s="657" t="s">
        <v>5</v>
      </c>
      <c r="C51" s="657"/>
      <c r="D51" s="657"/>
      <c r="E51" s="657"/>
      <c r="F51" s="505"/>
    </row>
    <row r="52" spans="1:28" outlineLevel="1" x14ac:dyDescent="0.3">
      <c r="A52" s="37">
        <f t="shared" si="22"/>
        <v>44</v>
      </c>
      <c r="B52" s="652" t="s">
        <v>6</v>
      </c>
      <c r="C52" s="652"/>
      <c r="D52" s="652"/>
      <c r="E52" s="652"/>
      <c r="F52" s="505"/>
    </row>
    <row r="53" spans="1:28" outlineLevel="1" x14ac:dyDescent="0.3">
      <c r="A53" s="37">
        <f t="shared" si="22"/>
        <v>45</v>
      </c>
      <c r="B53" s="652" t="s">
        <v>7</v>
      </c>
      <c r="C53" s="652"/>
      <c r="D53" s="652"/>
      <c r="E53" s="652"/>
      <c r="F53" s="505"/>
    </row>
    <row r="54" spans="1:28" ht="19.5" outlineLevel="1" thickBot="1" x14ac:dyDescent="0.35">
      <c r="A54" s="53">
        <f t="shared" si="22"/>
        <v>46</v>
      </c>
      <c r="B54" s="649" t="s">
        <v>8</v>
      </c>
      <c r="C54" s="649"/>
      <c r="D54" s="649"/>
      <c r="E54" s="649"/>
      <c r="F54" s="506"/>
    </row>
  </sheetData>
  <sheetProtection password="D8E9" sheet="1" objects="1" scenarios="1"/>
  <mergeCells count="40">
    <mergeCell ref="B50:E50"/>
    <mergeCell ref="B51:E51"/>
    <mergeCell ref="B52:E52"/>
    <mergeCell ref="B53:E53"/>
    <mergeCell ref="B54:E54"/>
    <mergeCell ref="B1:D1"/>
    <mergeCell ref="B3:D3"/>
    <mergeCell ref="E3:X3"/>
    <mergeCell ref="E1:X1"/>
    <mergeCell ref="B2:D2"/>
    <mergeCell ref="E2:X2"/>
    <mergeCell ref="B4:D4"/>
    <mergeCell ref="B44:E44"/>
    <mergeCell ref="B45:E45"/>
    <mergeCell ref="B46:E46"/>
    <mergeCell ref="B47:E47"/>
    <mergeCell ref="C17:D18"/>
    <mergeCell ref="C19:D20"/>
    <mergeCell ref="C21:D22"/>
    <mergeCell ref="C23:D24"/>
    <mergeCell ref="C31:C32"/>
    <mergeCell ref="B39:B42"/>
    <mergeCell ref="B34:E34"/>
    <mergeCell ref="B35:E35"/>
    <mergeCell ref="B36:E36"/>
    <mergeCell ref="B37:E37"/>
    <mergeCell ref="C39:D42"/>
    <mergeCell ref="D6:D8"/>
    <mergeCell ref="D9:D11"/>
    <mergeCell ref="B6:C11"/>
    <mergeCell ref="C29:D30"/>
    <mergeCell ref="B48:E48"/>
    <mergeCell ref="C25:D26"/>
    <mergeCell ref="C27:D28"/>
    <mergeCell ref="B12:E12"/>
    <mergeCell ref="B13:E13"/>
    <mergeCell ref="B14:E14"/>
    <mergeCell ref="B15:E15"/>
    <mergeCell ref="C33:D33"/>
    <mergeCell ref="B17:B33"/>
  </mergeCells>
  <conditionalFormatting sqref="V39:V42 V44:V48 V6:V15">
    <cfRule type="cellIs" dxfId="389" priority="74" operator="greaterThan">
      <formula>1</formula>
    </cfRule>
  </conditionalFormatting>
  <conditionalFormatting sqref="H6:H11 H17:H33 H39:H42 H44:H48">
    <cfRule type="cellIs" dxfId="388" priority="73" operator="lessThan">
      <formula>0</formula>
    </cfRule>
  </conditionalFormatting>
  <conditionalFormatting sqref="F6:X16 F17:F33 N17:O33 H17:I33 K17:L33 Q17:R33 T17:U33 W17:X33 H34:H37 K34:K37 N34:N37 Q34:Q37 T34:T37 W34:W37 G48:H48 J48:K48 M48:N48 P48:Q48 S48:T48 V48:W48 F45:W47 F38:X44">
    <cfRule type="cellIs" dxfId="387" priority="58" operator="lessThan">
      <formula>0</formula>
    </cfRule>
    <cfRule type="expression" dxfId="386" priority="59">
      <formula>ISTEXT(F6)</formula>
    </cfRule>
  </conditionalFormatting>
  <conditionalFormatting sqref="G17:G33">
    <cfRule type="cellIs" dxfId="385" priority="56" operator="lessThan">
      <formula>0</formula>
    </cfRule>
    <cfRule type="expression" dxfId="384" priority="57">
      <formula>ISTEXT(G17)</formula>
    </cfRule>
  </conditionalFormatting>
  <conditionalFormatting sqref="G34:G37">
    <cfRule type="cellIs" dxfId="383" priority="54" operator="lessThan">
      <formula>0</formula>
    </cfRule>
    <cfRule type="expression" dxfId="382" priority="55">
      <formula>ISTEXT(G34)</formula>
    </cfRule>
  </conditionalFormatting>
  <conditionalFormatting sqref="J17:J33">
    <cfRule type="cellIs" dxfId="381" priority="52" operator="lessThan">
      <formula>0</formula>
    </cfRule>
    <cfRule type="expression" dxfId="380" priority="53">
      <formula>ISTEXT(J17)</formula>
    </cfRule>
  </conditionalFormatting>
  <conditionalFormatting sqref="J34:J37">
    <cfRule type="cellIs" dxfId="379" priority="50" operator="lessThan">
      <formula>0</formula>
    </cfRule>
    <cfRule type="expression" dxfId="378" priority="51">
      <formula>ISTEXT(J34)</formula>
    </cfRule>
  </conditionalFormatting>
  <conditionalFormatting sqref="M17:M33">
    <cfRule type="cellIs" dxfId="377" priority="48" operator="lessThan">
      <formula>0</formula>
    </cfRule>
    <cfRule type="expression" dxfId="376" priority="49">
      <formula>ISTEXT(M17)</formula>
    </cfRule>
  </conditionalFormatting>
  <conditionalFormatting sqref="M34:M37">
    <cfRule type="cellIs" dxfId="375" priority="46" operator="lessThan">
      <formula>0</formula>
    </cfRule>
    <cfRule type="expression" dxfId="374" priority="47">
      <formula>ISTEXT(M34)</formula>
    </cfRule>
  </conditionalFormatting>
  <conditionalFormatting sqref="P17:P33">
    <cfRule type="cellIs" dxfId="373" priority="44" operator="lessThan">
      <formula>0</formula>
    </cfRule>
    <cfRule type="expression" dxfId="372" priority="45">
      <formula>ISTEXT(P17)</formula>
    </cfRule>
  </conditionalFormatting>
  <conditionalFormatting sqref="P34:P37">
    <cfRule type="cellIs" dxfId="371" priority="42" operator="lessThan">
      <formula>0</formula>
    </cfRule>
    <cfRule type="expression" dxfId="370" priority="43">
      <formula>ISTEXT(P34)</formula>
    </cfRule>
  </conditionalFormatting>
  <conditionalFormatting sqref="S17:S33">
    <cfRule type="cellIs" dxfId="369" priority="40" operator="lessThan">
      <formula>0</formula>
    </cfRule>
    <cfRule type="expression" dxfId="368" priority="41">
      <formula>ISTEXT(S17)</formula>
    </cfRule>
  </conditionalFormatting>
  <conditionalFormatting sqref="S34:S37">
    <cfRule type="cellIs" dxfId="367" priority="38" operator="lessThan">
      <formula>0</formula>
    </cfRule>
    <cfRule type="expression" dxfId="366" priority="39">
      <formula>ISTEXT(S34)</formula>
    </cfRule>
  </conditionalFormatting>
  <conditionalFormatting sqref="V17:V33">
    <cfRule type="cellIs" dxfId="365" priority="36" operator="lessThan">
      <formula>0</formula>
    </cfRule>
    <cfRule type="expression" dxfId="364" priority="37">
      <formula>ISTEXT(V17)</formula>
    </cfRule>
  </conditionalFormatting>
  <conditionalFormatting sqref="V34:V37">
    <cfRule type="cellIs" dxfId="363" priority="34" operator="lessThan">
      <formula>0</formula>
    </cfRule>
    <cfRule type="expression" dxfId="362" priority="35">
      <formula>ISTEXT(V34)</formula>
    </cfRule>
  </conditionalFormatting>
  <conditionalFormatting sqref="F34:F37">
    <cfRule type="cellIs" dxfId="361" priority="32" operator="lessThan">
      <formula>0</formula>
    </cfRule>
    <cfRule type="expression" dxfId="360" priority="33">
      <formula>ISTEXT(F34)</formula>
    </cfRule>
  </conditionalFormatting>
  <conditionalFormatting sqref="I34:I37">
    <cfRule type="cellIs" dxfId="359" priority="30" operator="lessThan">
      <formula>0</formula>
    </cfRule>
    <cfRule type="expression" dxfId="358" priority="31">
      <formula>ISTEXT(I34)</formula>
    </cfRule>
  </conditionalFormatting>
  <conditionalFormatting sqref="L34:L37">
    <cfRule type="cellIs" dxfId="357" priority="28" operator="lessThan">
      <formula>0</formula>
    </cfRule>
    <cfRule type="expression" dxfId="356" priority="29">
      <formula>ISTEXT(L34)</formula>
    </cfRule>
  </conditionalFormatting>
  <conditionalFormatting sqref="O34:O37">
    <cfRule type="cellIs" dxfId="355" priority="26" operator="lessThan">
      <formula>0</formula>
    </cfRule>
    <cfRule type="expression" dxfId="354" priority="27">
      <formula>ISTEXT(O34)</formula>
    </cfRule>
  </conditionalFormatting>
  <conditionalFormatting sqref="R34:R37">
    <cfRule type="cellIs" dxfId="353" priority="24" operator="lessThan">
      <formula>0</formula>
    </cfRule>
    <cfRule type="expression" dxfId="352" priority="25">
      <formula>ISTEXT(R34)</formula>
    </cfRule>
  </conditionalFormatting>
  <conditionalFormatting sqref="U34:U37">
    <cfRule type="cellIs" dxfId="351" priority="22" operator="lessThan">
      <formula>0</formula>
    </cfRule>
    <cfRule type="expression" dxfId="350" priority="23">
      <formula>ISTEXT(U34)</formula>
    </cfRule>
  </conditionalFormatting>
  <conditionalFormatting sqref="X34:X37">
    <cfRule type="cellIs" dxfId="349" priority="20" operator="lessThan">
      <formula>0</formula>
    </cfRule>
    <cfRule type="expression" dxfId="348" priority="21">
      <formula>ISTEXT(X34)</formula>
    </cfRule>
  </conditionalFormatting>
  <conditionalFormatting sqref="F48">
    <cfRule type="cellIs" dxfId="347" priority="18" operator="lessThan">
      <formula>0</formula>
    </cfRule>
    <cfRule type="expression" dxfId="346" priority="19">
      <formula>ISTEXT(F48)</formula>
    </cfRule>
  </conditionalFormatting>
  <conditionalFormatting sqref="I48">
    <cfRule type="cellIs" dxfId="345" priority="16" operator="lessThan">
      <formula>0</formula>
    </cfRule>
    <cfRule type="expression" dxfId="344" priority="17">
      <formula>ISTEXT(I48)</formula>
    </cfRule>
  </conditionalFormatting>
  <conditionalFormatting sqref="L48">
    <cfRule type="cellIs" dxfId="343" priority="14" operator="lessThan">
      <formula>0</formula>
    </cfRule>
    <cfRule type="expression" dxfId="342" priority="15">
      <formula>ISTEXT(L48)</formula>
    </cfRule>
  </conditionalFormatting>
  <conditionalFormatting sqref="O48">
    <cfRule type="cellIs" dxfId="341" priority="12" operator="lessThan">
      <formula>0</formula>
    </cfRule>
    <cfRule type="expression" dxfId="340" priority="13">
      <formula>ISTEXT(O48)</formula>
    </cfRule>
  </conditionalFormatting>
  <conditionalFormatting sqref="R48">
    <cfRule type="cellIs" dxfId="339" priority="10" operator="lessThan">
      <formula>0</formula>
    </cfRule>
    <cfRule type="expression" dxfId="338" priority="11">
      <formula>ISTEXT(R48)</formula>
    </cfRule>
  </conditionalFormatting>
  <conditionalFormatting sqref="U48">
    <cfRule type="cellIs" dxfId="337" priority="8" operator="lessThan">
      <formula>0</formula>
    </cfRule>
    <cfRule type="expression" dxfId="336" priority="9">
      <formula>ISTEXT(U48)</formula>
    </cfRule>
  </conditionalFormatting>
  <conditionalFormatting sqref="X45:X48">
    <cfRule type="cellIs" dxfId="335" priority="6" operator="lessThan">
      <formula>0</formula>
    </cfRule>
    <cfRule type="expression" dxfId="334" priority="7">
      <formula>ISTEXT(X45)</formula>
    </cfRule>
  </conditionalFormatting>
  <conditionalFormatting sqref="F50:F54">
    <cfRule type="cellIs" dxfId="333" priority="3" operator="lessThan">
      <formula>0</formula>
    </cfRule>
    <cfRule type="expression" dxfId="332" priority="4">
      <formula>ISTEXT(F50)</formula>
    </cfRule>
  </conditionalFormatting>
  <conditionalFormatting sqref="F50:F54">
    <cfRule type="cellIs" dxfId="331" priority="5" operator="lessThan">
      <formula>0</formula>
    </cfRule>
  </conditionalFormatting>
  <conditionalFormatting sqref="F49:X49">
    <cfRule type="cellIs" dxfId="330" priority="1" operator="lessThan">
      <formula>0</formula>
    </cfRule>
    <cfRule type="expression" dxfId="329" priority="2">
      <formula>ISTEXT(F49)</formula>
    </cfRule>
  </conditionalFormatting>
  <pageMargins left="0.51181102362204722" right="0.51181102362204722" top="0.55118110236220474" bottom="0.55118110236220474" header="0.31496062992125984" footer="0.31496062992125984"/>
  <pageSetup paperSize="9" scale="37"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outlinePr summaryBelow="0"/>
    <pageSetUpPr fitToPage="1"/>
  </sheetPr>
  <dimension ref="A1:AB48"/>
  <sheetViews>
    <sheetView zoomScale="80" zoomScaleNormal="80" workbookViewId="0">
      <selection activeCell="E2" sqref="E2:X2"/>
    </sheetView>
  </sheetViews>
  <sheetFormatPr defaultRowHeight="18.75" outlineLevelRow="1" x14ac:dyDescent="0.25"/>
  <cols>
    <col min="1" max="1" width="5" style="2" customWidth="1"/>
    <col min="2" max="2" width="22.140625" customWidth="1"/>
    <col min="3" max="3" width="24.5703125" style="1" customWidth="1"/>
    <col min="4" max="4" width="30.28515625" style="1" customWidth="1"/>
    <col min="5" max="5" width="28.5703125" bestFit="1" customWidth="1"/>
    <col min="6" max="6" width="17.5703125" style="21" customWidth="1"/>
    <col min="7" max="7" width="9.7109375" style="21" customWidth="1"/>
    <col min="8" max="8" width="12" style="23" customWidth="1"/>
    <col min="9" max="9" width="17.42578125" style="21" customWidth="1"/>
    <col min="10" max="10" width="9.7109375" style="23" customWidth="1"/>
    <col min="11" max="11" width="12.140625" style="23" customWidth="1"/>
    <col min="12" max="12" width="17.5703125" style="21" customWidth="1"/>
    <col min="13" max="13" width="9.7109375" style="23" customWidth="1"/>
    <col min="14" max="14" width="12.140625" style="23" customWidth="1"/>
    <col min="15" max="15" width="17.5703125" style="21" customWidth="1"/>
    <col min="16" max="16" width="9.7109375" style="23" customWidth="1"/>
    <col min="17" max="17" width="12.28515625" style="23" customWidth="1"/>
    <col min="18" max="18" width="17.5703125" style="23" customWidth="1"/>
    <col min="19" max="19" width="9.7109375" style="23" customWidth="1"/>
    <col min="20" max="20" width="12.140625" style="23" customWidth="1"/>
    <col min="21" max="21" width="17.5703125" style="21" customWidth="1"/>
    <col min="22" max="22" width="9.7109375" style="23" customWidth="1"/>
    <col min="23" max="23" width="12.140625" style="23" customWidth="1"/>
    <col min="24" max="24" width="17.5703125" customWidth="1"/>
    <col min="25" max="25" width="11.7109375" bestFit="1" customWidth="1"/>
    <col min="26" max="26" width="12.7109375" bestFit="1" customWidth="1"/>
  </cols>
  <sheetData>
    <row r="1" spans="1:28" ht="21" x14ac:dyDescent="0.35">
      <c r="B1" s="669" t="s">
        <v>19</v>
      </c>
      <c r="C1" s="669"/>
      <c r="D1" s="669"/>
      <c r="E1" s="674" t="s">
        <v>141</v>
      </c>
      <c r="F1" s="674"/>
      <c r="G1" s="674"/>
      <c r="H1" s="674"/>
      <c r="I1" s="674"/>
      <c r="J1" s="674"/>
      <c r="K1" s="674"/>
      <c r="L1" s="674"/>
      <c r="M1" s="674"/>
      <c r="N1" s="674"/>
      <c r="O1" s="674"/>
      <c r="P1" s="674"/>
      <c r="Q1" s="674"/>
      <c r="R1" s="674"/>
      <c r="S1" s="674"/>
      <c r="T1" s="674"/>
      <c r="U1" s="674"/>
      <c r="V1" s="674"/>
      <c r="W1" s="674"/>
      <c r="X1" s="674"/>
    </row>
    <row r="2" spans="1:28" ht="21" x14ac:dyDescent="0.35">
      <c r="B2" s="675" t="s">
        <v>1685</v>
      </c>
      <c r="C2" s="675"/>
      <c r="D2" s="675"/>
      <c r="E2" s="676"/>
      <c r="F2" s="677"/>
      <c r="G2" s="677"/>
      <c r="H2" s="677"/>
      <c r="I2" s="677"/>
      <c r="J2" s="677"/>
      <c r="K2" s="677"/>
      <c r="L2" s="677"/>
      <c r="M2" s="677"/>
      <c r="N2" s="677"/>
      <c r="O2" s="677"/>
      <c r="P2" s="677"/>
      <c r="Q2" s="677"/>
      <c r="R2" s="677"/>
      <c r="S2" s="677"/>
      <c r="T2" s="677"/>
      <c r="U2" s="677"/>
      <c r="V2" s="677"/>
      <c r="W2" s="677"/>
      <c r="X2" s="678"/>
    </row>
    <row r="3" spans="1:28" ht="21.75" thickBot="1" x14ac:dyDescent="0.4">
      <c r="B3" s="670" t="s">
        <v>88</v>
      </c>
      <c r="C3" s="670"/>
      <c r="D3" s="670"/>
      <c r="E3" s="671"/>
      <c r="F3" s="672"/>
      <c r="G3" s="672"/>
      <c r="H3" s="672"/>
      <c r="I3" s="672"/>
      <c r="J3" s="672"/>
      <c r="K3" s="672"/>
      <c r="L3" s="672"/>
      <c r="M3" s="672"/>
      <c r="N3" s="672"/>
      <c r="O3" s="672"/>
      <c r="P3" s="672"/>
      <c r="Q3" s="672"/>
      <c r="R3" s="672"/>
      <c r="S3" s="672"/>
      <c r="T3" s="672"/>
      <c r="U3" s="672"/>
      <c r="V3" s="672"/>
      <c r="W3" s="672"/>
      <c r="X3" s="673"/>
    </row>
    <row r="4" spans="1:28" ht="49.5" customHeight="1" thickBot="1" x14ac:dyDescent="0.3">
      <c r="A4" s="11" t="s">
        <v>3</v>
      </c>
      <c r="B4" s="679" t="s">
        <v>0</v>
      </c>
      <c r="C4" s="679"/>
      <c r="D4" s="679"/>
      <c r="E4" s="44" t="s">
        <v>15</v>
      </c>
      <c r="F4" s="12" t="s">
        <v>64</v>
      </c>
      <c r="G4" s="12" t="s">
        <v>17</v>
      </c>
      <c r="H4" s="109" t="s">
        <v>59</v>
      </c>
      <c r="I4" s="12" t="s">
        <v>65</v>
      </c>
      <c r="J4" s="22" t="s">
        <v>17</v>
      </c>
      <c r="K4" s="109" t="s">
        <v>59</v>
      </c>
      <c r="L4" s="12" t="s">
        <v>66</v>
      </c>
      <c r="M4" s="22" t="s">
        <v>17</v>
      </c>
      <c r="N4" s="109" t="s">
        <v>59</v>
      </c>
      <c r="O4" s="12" t="s">
        <v>1640</v>
      </c>
      <c r="P4" s="22" t="s">
        <v>17</v>
      </c>
      <c r="Q4" s="109" t="s">
        <v>59</v>
      </c>
      <c r="R4" s="12" t="s">
        <v>1641</v>
      </c>
      <c r="S4" s="22" t="s">
        <v>17</v>
      </c>
      <c r="T4" s="109" t="s">
        <v>59</v>
      </c>
      <c r="U4" s="12" t="s">
        <v>67</v>
      </c>
      <c r="V4" s="22" t="s">
        <v>17</v>
      </c>
      <c r="W4" s="109" t="s">
        <v>59</v>
      </c>
      <c r="X4" s="13" t="s">
        <v>16</v>
      </c>
      <c r="Y4" s="9"/>
      <c r="Z4" s="9"/>
      <c r="AA4" s="8"/>
      <c r="AB4" s="8"/>
    </row>
    <row r="5" spans="1:28" s="34" customFormat="1" ht="20.25" customHeight="1" thickBot="1" x14ac:dyDescent="0.3">
      <c r="A5" s="120">
        <v>1</v>
      </c>
      <c r="B5" s="121">
        <f>A5+1</f>
        <v>2</v>
      </c>
      <c r="C5" s="121">
        <f>B5+1</f>
        <v>3</v>
      </c>
      <c r="D5" s="121">
        <f t="shared" ref="D5:X5" si="0">C5+1</f>
        <v>4</v>
      </c>
      <c r="E5" s="121">
        <f t="shared" si="0"/>
        <v>5</v>
      </c>
      <c r="F5" s="121">
        <f t="shared" si="0"/>
        <v>6</v>
      </c>
      <c r="G5" s="121">
        <f t="shared" si="0"/>
        <v>7</v>
      </c>
      <c r="H5" s="121">
        <f t="shared" si="0"/>
        <v>8</v>
      </c>
      <c r="I5" s="121">
        <f t="shared" si="0"/>
        <v>9</v>
      </c>
      <c r="J5" s="121">
        <f t="shared" si="0"/>
        <v>10</v>
      </c>
      <c r="K5" s="121">
        <f t="shared" si="0"/>
        <v>11</v>
      </c>
      <c r="L5" s="121">
        <f t="shared" si="0"/>
        <v>12</v>
      </c>
      <c r="M5" s="121">
        <f t="shared" si="0"/>
        <v>13</v>
      </c>
      <c r="N5" s="121">
        <f t="shared" si="0"/>
        <v>14</v>
      </c>
      <c r="O5" s="121">
        <f t="shared" si="0"/>
        <v>15</v>
      </c>
      <c r="P5" s="121">
        <f t="shared" si="0"/>
        <v>16</v>
      </c>
      <c r="Q5" s="121">
        <f t="shared" ref="Q5" si="1">P5+1</f>
        <v>17</v>
      </c>
      <c r="R5" s="121">
        <f t="shared" ref="R5" si="2">Q5+1</f>
        <v>18</v>
      </c>
      <c r="S5" s="121">
        <f t="shared" ref="S5" si="3">R5+1</f>
        <v>19</v>
      </c>
      <c r="T5" s="121">
        <f t="shared" ref="T5" si="4">S5+1</f>
        <v>20</v>
      </c>
      <c r="U5" s="121">
        <f t="shared" ref="U5" si="5">T5+1</f>
        <v>21</v>
      </c>
      <c r="V5" s="121">
        <f t="shared" ref="V5" si="6">U5+1</f>
        <v>22</v>
      </c>
      <c r="W5" s="121">
        <f t="shared" ref="W5" si="7">V5+1</f>
        <v>23</v>
      </c>
      <c r="X5" s="122">
        <f t="shared" si="0"/>
        <v>24</v>
      </c>
      <c r="Y5" s="32"/>
      <c r="Z5" s="32"/>
      <c r="AA5" s="33"/>
      <c r="AB5" s="33"/>
    </row>
    <row r="6" spans="1:28" ht="15.75" x14ac:dyDescent="0.25">
      <c r="A6" s="47">
        <f>A5+1</f>
        <v>2</v>
      </c>
      <c r="B6" s="639" t="s">
        <v>318</v>
      </c>
      <c r="C6" s="640"/>
      <c r="D6" s="634" t="s">
        <v>3595</v>
      </c>
      <c r="E6" s="129" t="s">
        <v>11</v>
      </c>
      <c r="F6" s="133"/>
      <c r="G6" s="149">
        <f>IF($X6=0,0,F6/$X6)</f>
        <v>0</v>
      </c>
      <c r="H6" s="161"/>
      <c r="I6" s="133"/>
      <c r="J6" s="149">
        <f t="shared" ref="J6:J15" si="8">IF($X6=0,0,I6/$X6)</f>
        <v>0</v>
      </c>
      <c r="K6" s="161"/>
      <c r="L6" s="133"/>
      <c r="M6" s="149">
        <f t="shared" ref="M6:M48" si="9">IF($X6=0,0,L6/$X6)</f>
        <v>0</v>
      </c>
      <c r="N6" s="161"/>
      <c r="O6" s="133"/>
      <c r="P6" s="149">
        <f t="shared" ref="P6:P15" si="10">IF($X6=0,0,O6/$X6)</f>
        <v>0</v>
      </c>
      <c r="Q6" s="161"/>
      <c r="R6" s="133"/>
      <c r="S6" s="149">
        <f t="shared" ref="S6:S15" si="11">IF($X6=0,0,R6/$X6)</f>
        <v>0</v>
      </c>
      <c r="T6" s="161"/>
      <c r="U6" s="133"/>
      <c r="V6" s="149">
        <f t="shared" ref="V6:V15" si="12">IF($X6=0,0,U6/$X6)</f>
        <v>0</v>
      </c>
      <c r="W6" s="495"/>
      <c r="X6" s="50">
        <f>F6+I6+L6+O6+R6+U6</f>
        <v>0</v>
      </c>
      <c r="Y6" s="8"/>
      <c r="Z6" s="8"/>
      <c r="AA6" s="8"/>
      <c r="AB6" s="8"/>
    </row>
    <row r="7" spans="1:28" ht="15.75" x14ac:dyDescent="0.25">
      <c r="A7" s="37">
        <f>A6+1</f>
        <v>3</v>
      </c>
      <c r="B7" s="641"/>
      <c r="C7" s="642"/>
      <c r="D7" s="635"/>
      <c r="E7" s="130" t="s">
        <v>10</v>
      </c>
      <c r="F7" s="134"/>
      <c r="G7" s="150">
        <f t="shared" ref="G7:G15" si="13">IF($X7=0,0,F7/$X7)</f>
        <v>0</v>
      </c>
      <c r="H7" s="158"/>
      <c r="I7" s="134"/>
      <c r="J7" s="150">
        <f t="shared" si="8"/>
        <v>0</v>
      </c>
      <c r="K7" s="158"/>
      <c r="L7" s="134"/>
      <c r="M7" s="150">
        <f t="shared" si="9"/>
        <v>0</v>
      </c>
      <c r="N7" s="158"/>
      <c r="O7" s="134"/>
      <c r="P7" s="150">
        <f t="shared" si="10"/>
        <v>0</v>
      </c>
      <c r="Q7" s="158"/>
      <c r="R7" s="134"/>
      <c r="S7" s="150">
        <f t="shared" si="11"/>
        <v>0</v>
      </c>
      <c r="T7" s="158"/>
      <c r="U7" s="134"/>
      <c r="V7" s="150">
        <f t="shared" si="12"/>
        <v>0</v>
      </c>
      <c r="W7" s="496"/>
      <c r="X7" s="16">
        <f>F7+I7+L7+O7+R7+U7</f>
        <v>0</v>
      </c>
      <c r="Y7" s="8"/>
      <c r="Z7" s="8"/>
      <c r="AA7" s="8"/>
      <c r="AB7" s="8"/>
    </row>
    <row r="8" spans="1:28" ht="15.75" x14ac:dyDescent="0.25">
      <c r="A8" s="37">
        <f t="shared" ref="A8:A48" si="14">A7+1</f>
        <v>4</v>
      </c>
      <c r="B8" s="641"/>
      <c r="C8" s="642"/>
      <c r="D8" s="636"/>
      <c r="E8" s="130" t="s">
        <v>9</v>
      </c>
      <c r="F8" s="134"/>
      <c r="G8" s="150">
        <f t="shared" si="13"/>
        <v>0</v>
      </c>
      <c r="H8" s="158"/>
      <c r="I8" s="134"/>
      <c r="J8" s="150">
        <f t="shared" si="8"/>
        <v>0</v>
      </c>
      <c r="K8" s="158"/>
      <c r="L8" s="134"/>
      <c r="M8" s="150">
        <f>IF($X8=0,0,L8/$X8)</f>
        <v>0</v>
      </c>
      <c r="N8" s="158"/>
      <c r="O8" s="134"/>
      <c r="P8" s="150">
        <f t="shared" si="10"/>
        <v>0</v>
      </c>
      <c r="Q8" s="158"/>
      <c r="R8" s="134"/>
      <c r="S8" s="150">
        <f t="shared" si="11"/>
        <v>0</v>
      </c>
      <c r="T8" s="158"/>
      <c r="U8" s="134"/>
      <c r="V8" s="150">
        <f t="shared" si="12"/>
        <v>0</v>
      </c>
      <c r="W8" s="496"/>
      <c r="X8" s="16">
        <f t="shared" ref="X8:X11" si="15">F8+I8+L8+O8+R8+U8</f>
        <v>0</v>
      </c>
      <c r="Y8" s="8"/>
      <c r="Z8" s="8"/>
      <c r="AA8" s="8"/>
      <c r="AB8" s="8"/>
    </row>
    <row r="9" spans="1:28" ht="15.75" x14ac:dyDescent="0.25">
      <c r="A9" s="37">
        <f t="shared" si="14"/>
        <v>5</v>
      </c>
      <c r="B9" s="641"/>
      <c r="C9" s="642"/>
      <c r="D9" s="637" t="s">
        <v>3596</v>
      </c>
      <c r="E9" s="130" t="s">
        <v>11</v>
      </c>
      <c r="F9" s="134"/>
      <c r="G9" s="150">
        <f t="shared" si="13"/>
        <v>0</v>
      </c>
      <c r="H9" s="158"/>
      <c r="I9" s="134"/>
      <c r="J9" s="150">
        <f t="shared" si="8"/>
        <v>0</v>
      </c>
      <c r="K9" s="158"/>
      <c r="L9" s="134"/>
      <c r="M9" s="150">
        <f t="shared" si="9"/>
        <v>0</v>
      </c>
      <c r="N9" s="158"/>
      <c r="O9" s="134"/>
      <c r="P9" s="150">
        <f t="shared" si="10"/>
        <v>0</v>
      </c>
      <c r="Q9" s="158"/>
      <c r="R9" s="134"/>
      <c r="S9" s="150">
        <f t="shared" si="11"/>
        <v>0</v>
      </c>
      <c r="T9" s="158"/>
      <c r="U9" s="134"/>
      <c r="V9" s="150">
        <f t="shared" si="12"/>
        <v>0</v>
      </c>
      <c r="W9" s="496"/>
      <c r="X9" s="16">
        <f t="shared" si="15"/>
        <v>0</v>
      </c>
      <c r="Y9" s="8"/>
      <c r="Z9" s="8"/>
      <c r="AA9" s="8"/>
      <c r="AB9" s="8"/>
    </row>
    <row r="10" spans="1:28" ht="15.75" x14ac:dyDescent="0.25">
      <c r="A10" s="37">
        <f t="shared" si="14"/>
        <v>6</v>
      </c>
      <c r="B10" s="641"/>
      <c r="C10" s="642"/>
      <c r="D10" s="635"/>
      <c r="E10" s="130" t="s">
        <v>10</v>
      </c>
      <c r="F10" s="134"/>
      <c r="G10" s="150">
        <f t="shared" si="13"/>
        <v>0</v>
      </c>
      <c r="H10" s="158"/>
      <c r="I10" s="134"/>
      <c r="J10" s="150">
        <f t="shared" si="8"/>
        <v>0</v>
      </c>
      <c r="K10" s="158"/>
      <c r="L10" s="134"/>
      <c r="M10" s="150">
        <f t="shared" si="9"/>
        <v>0</v>
      </c>
      <c r="N10" s="158"/>
      <c r="O10" s="134"/>
      <c r="P10" s="150">
        <f t="shared" si="10"/>
        <v>0</v>
      </c>
      <c r="Q10" s="158"/>
      <c r="R10" s="134"/>
      <c r="S10" s="150">
        <f t="shared" si="11"/>
        <v>0</v>
      </c>
      <c r="T10" s="158"/>
      <c r="U10" s="134"/>
      <c r="V10" s="150">
        <f t="shared" si="12"/>
        <v>0</v>
      </c>
      <c r="W10" s="496"/>
      <c r="X10" s="16">
        <f t="shared" si="15"/>
        <v>0</v>
      </c>
      <c r="Y10" s="8"/>
      <c r="Z10" s="8"/>
      <c r="AA10" s="8"/>
      <c r="AB10" s="8"/>
    </row>
    <row r="11" spans="1:28" ht="16.5" thickBot="1" x14ac:dyDescent="0.3">
      <c r="A11" s="39">
        <f t="shared" si="14"/>
        <v>7</v>
      </c>
      <c r="B11" s="643"/>
      <c r="C11" s="644"/>
      <c r="D11" s="638"/>
      <c r="E11" s="130" t="s">
        <v>9</v>
      </c>
      <c r="F11" s="134"/>
      <c r="G11" s="150">
        <f t="shared" si="13"/>
        <v>0</v>
      </c>
      <c r="H11" s="158"/>
      <c r="I11" s="134"/>
      <c r="J11" s="150">
        <f t="shared" si="8"/>
        <v>0</v>
      </c>
      <c r="K11" s="158"/>
      <c r="L11" s="134"/>
      <c r="M11" s="150">
        <f t="shared" si="9"/>
        <v>0</v>
      </c>
      <c r="N11" s="158"/>
      <c r="O11" s="134"/>
      <c r="P11" s="150">
        <f t="shared" si="10"/>
        <v>0</v>
      </c>
      <c r="Q11" s="158"/>
      <c r="R11" s="134"/>
      <c r="S11" s="150">
        <f t="shared" si="11"/>
        <v>0</v>
      </c>
      <c r="T11" s="158"/>
      <c r="U11" s="134"/>
      <c r="V11" s="150">
        <f t="shared" si="12"/>
        <v>0</v>
      </c>
      <c r="W11" s="496"/>
      <c r="X11" s="16">
        <f t="shared" si="15"/>
        <v>0</v>
      </c>
      <c r="Y11" s="8"/>
      <c r="Z11" s="8"/>
      <c r="AA11" s="8"/>
      <c r="AB11" s="8"/>
    </row>
    <row r="12" spans="1:28" ht="18.75" customHeight="1" x14ac:dyDescent="0.3">
      <c r="A12" s="35">
        <f t="shared" si="14"/>
        <v>8</v>
      </c>
      <c r="B12" s="651" t="s">
        <v>4</v>
      </c>
      <c r="C12" s="651"/>
      <c r="D12" s="651"/>
      <c r="E12" s="651"/>
      <c r="F12" s="49">
        <f>SUM(F6:F11)</f>
        <v>0</v>
      </c>
      <c r="G12" s="149">
        <f t="shared" si="13"/>
        <v>0</v>
      </c>
      <c r="H12" s="162"/>
      <c r="I12" s="49">
        <f>SUM(I6:I11)</f>
        <v>0</v>
      </c>
      <c r="J12" s="149">
        <f t="shared" si="8"/>
        <v>0</v>
      </c>
      <c r="K12" s="162"/>
      <c r="L12" s="49">
        <f>SUM(L6:L11)</f>
        <v>0</v>
      </c>
      <c r="M12" s="149">
        <f t="shared" si="9"/>
        <v>0</v>
      </c>
      <c r="N12" s="162"/>
      <c r="O12" s="49">
        <f>SUM(O6:O11)</f>
        <v>0</v>
      </c>
      <c r="P12" s="149">
        <f t="shared" si="10"/>
        <v>0</v>
      </c>
      <c r="Q12" s="162"/>
      <c r="R12" s="49">
        <f>SUM(R6:R11)</f>
        <v>0</v>
      </c>
      <c r="S12" s="149">
        <f t="shared" si="11"/>
        <v>0</v>
      </c>
      <c r="T12" s="162"/>
      <c r="U12" s="49">
        <f>SUM(U6:U11)</f>
        <v>0</v>
      </c>
      <c r="V12" s="149">
        <f t="shared" si="12"/>
        <v>0</v>
      </c>
      <c r="W12" s="166"/>
      <c r="X12" s="55">
        <f>SUM(X6:X11)</f>
        <v>0</v>
      </c>
      <c r="Y12" s="8"/>
      <c r="Z12" s="8"/>
      <c r="AA12" s="8"/>
      <c r="AB12" s="8"/>
    </row>
    <row r="13" spans="1:28" ht="18.75" customHeight="1" outlineLevel="1" x14ac:dyDescent="0.3">
      <c r="A13" s="37">
        <f t="shared" si="14"/>
        <v>9</v>
      </c>
      <c r="B13" s="652" t="s">
        <v>5</v>
      </c>
      <c r="C13" s="652"/>
      <c r="D13" s="652"/>
      <c r="E13" s="652"/>
      <c r="F13" s="17">
        <f>F6+F9</f>
        <v>0</v>
      </c>
      <c r="G13" s="150">
        <f t="shared" si="13"/>
        <v>0</v>
      </c>
      <c r="H13" s="163"/>
      <c r="I13" s="17">
        <f>I6+I9</f>
        <v>0</v>
      </c>
      <c r="J13" s="150">
        <f t="shared" si="8"/>
        <v>0</v>
      </c>
      <c r="K13" s="163"/>
      <c r="L13" s="17">
        <f>L6+L9</f>
        <v>0</v>
      </c>
      <c r="M13" s="150">
        <f t="shared" si="9"/>
        <v>0</v>
      </c>
      <c r="N13" s="163"/>
      <c r="O13" s="17">
        <f>O6+O9</f>
        <v>0</v>
      </c>
      <c r="P13" s="150">
        <f t="shared" si="10"/>
        <v>0</v>
      </c>
      <c r="Q13" s="163"/>
      <c r="R13" s="17">
        <f>R6+R9</f>
        <v>0</v>
      </c>
      <c r="S13" s="150">
        <f t="shared" si="11"/>
        <v>0</v>
      </c>
      <c r="T13" s="163"/>
      <c r="U13" s="17">
        <f>U6+U9</f>
        <v>0</v>
      </c>
      <c r="V13" s="150">
        <f t="shared" si="12"/>
        <v>0</v>
      </c>
      <c r="W13" s="167"/>
      <c r="X13" s="51">
        <f>X6+X9</f>
        <v>0</v>
      </c>
      <c r="Y13" s="8"/>
      <c r="Z13" s="8"/>
      <c r="AA13" s="8"/>
      <c r="AB13" s="8"/>
    </row>
    <row r="14" spans="1:28" ht="18.75" customHeight="1" outlineLevel="1" x14ac:dyDescent="0.3">
      <c r="A14" s="37">
        <f t="shared" si="14"/>
        <v>10</v>
      </c>
      <c r="B14" s="652" t="s">
        <v>6</v>
      </c>
      <c r="C14" s="652"/>
      <c r="D14" s="652"/>
      <c r="E14" s="652"/>
      <c r="F14" s="17">
        <f>F7+F10</f>
        <v>0</v>
      </c>
      <c r="G14" s="150">
        <f t="shared" si="13"/>
        <v>0</v>
      </c>
      <c r="H14" s="163"/>
      <c r="I14" s="17">
        <f>I7+I10</f>
        <v>0</v>
      </c>
      <c r="J14" s="150">
        <f t="shared" si="8"/>
        <v>0</v>
      </c>
      <c r="K14" s="163"/>
      <c r="L14" s="17">
        <f>L7+L10</f>
        <v>0</v>
      </c>
      <c r="M14" s="150">
        <f t="shared" si="9"/>
        <v>0</v>
      </c>
      <c r="N14" s="163"/>
      <c r="O14" s="17">
        <f>O7+O10</f>
        <v>0</v>
      </c>
      <c r="P14" s="150">
        <f t="shared" si="10"/>
        <v>0</v>
      </c>
      <c r="Q14" s="163"/>
      <c r="R14" s="17">
        <f>R7+R10</f>
        <v>0</v>
      </c>
      <c r="S14" s="150">
        <f t="shared" si="11"/>
        <v>0</v>
      </c>
      <c r="T14" s="163"/>
      <c r="U14" s="17">
        <f>U7+U10</f>
        <v>0</v>
      </c>
      <c r="V14" s="150">
        <f t="shared" si="12"/>
        <v>0</v>
      </c>
      <c r="W14" s="167"/>
      <c r="X14" s="51">
        <f>X7+X10</f>
        <v>0</v>
      </c>
      <c r="Y14" s="8"/>
      <c r="Z14" s="8"/>
      <c r="AA14" s="8"/>
      <c r="AB14" s="8"/>
    </row>
    <row r="15" spans="1:28" ht="18.75" customHeight="1" outlineLevel="1" thickBot="1" x14ac:dyDescent="0.35">
      <c r="A15" s="37">
        <f t="shared" si="14"/>
        <v>11</v>
      </c>
      <c r="B15" s="652" t="s">
        <v>7</v>
      </c>
      <c r="C15" s="652"/>
      <c r="D15" s="652"/>
      <c r="E15" s="652"/>
      <c r="F15" s="17">
        <f>F8+F11</f>
        <v>0</v>
      </c>
      <c r="G15" s="150">
        <f t="shared" si="13"/>
        <v>0</v>
      </c>
      <c r="H15" s="163"/>
      <c r="I15" s="17">
        <f>I8+I11</f>
        <v>0</v>
      </c>
      <c r="J15" s="150">
        <f t="shared" si="8"/>
        <v>0</v>
      </c>
      <c r="K15" s="163"/>
      <c r="L15" s="17">
        <f>L8+L11</f>
        <v>0</v>
      </c>
      <c r="M15" s="150">
        <f t="shared" si="9"/>
        <v>0</v>
      </c>
      <c r="N15" s="163"/>
      <c r="O15" s="17">
        <f>O8+O11</f>
        <v>0</v>
      </c>
      <c r="P15" s="150">
        <f t="shared" si="10"/>
        <v>0</v>
      </c>
      <c r="Q15" s="163"/>
      <c r="R15" s="17">
        <f>R8+R11</f>
        <v>0</v>
      </c>
      <c r="S15" s="150">
        <f t="shared" si="11"/>
        <v>0</v>
      </c>
      <c r="T15" s="163"/>
      <c r="U15" s="17">
        <f>U8+U11</f>
        <v>0</v>
      </c>
      <c r="V15" s="150">
        <f t="shared" si="12"/>
        <v>0</v>
      </c>
      <c r="W15" s="167"/>
      <c r="X15" s="51">
        <f>X8+X11</f>
        <v>0</v>
      </c>
      <c r="Y15" s="8"/>
      <c r="Z15" s="8"/>
      <c r="AA15" s="8"/>
      <c r="AB15" s="8"/>
    </row>
    <row r="16" spans="1:28" ht="16.5" thickBot="1" x14ac:dyDescent="0.3">
      <c r="A16" s="36"/>
      <c r="B16" s="26"/>
      <c r="C16" s="3"/>
      <c r="D16" s="3"/>
      <c r="E16" s="6"/>
      <c r="F16" s="27"/>
      <c r="G16" s="153"/>
      <c r="H16" s="156"/>
      <c r="I16" s="27"/>
      <c r="J16" s="156"/>
      <c r="K16" s="156"/>
      <c r="L16" s="27"/>
      <c r="M16" s="156"/>
      <c r="N16" s="156"/>
      <c r="O16" s="27"/>
      <c r="P16" s="156"/>
      <c r="Q16" s="156"/>
      <c r="R16" s="27"/>
      <c r="S16" s="156"/>
      <c r="T16" s="156"/>
      <c r="U16" s="27"/>
      <c r="V16" s="156"/>
      <c r="W16" s="156"/>
      <c r="X16" s="29"/>
      <c r="Y16" s="8"/>
      <c r="Z16" s="8"/>
      <c r="AA16" s="8"/>
      <c r="AB16" s="8"/>
    </row>
    <row r="17" spans="1:28" ht="15.75" x14ac:dyDescent="0.25">
      <c r="A17" s="47">
        <f>A15+1</f>
        <v>12</v>
      </c>
      <c r="B17" s="634" t="s">
        <v>1</v>
      </c>
      <c r="C17" s="658" t="s">
        <v>3599</v>
      </c>
      <c r="D17" s="658"/>
      <c r="E17" s="48" t="s">
        <v>11</v>
      </c>
      <c r="F17" s="133"/>
      <c r="G17" s="149">
        <f t="shared" ref="G17:G37" si="16">IF($X17=0,0,F17/$X17)</f>
        <v>0</v>
      </c>
      <c r="H17" s="161"/>
      <c r="I17" s="133"/>
      <c r="J17" s="149">
        <f t="shared" ref="J17:J37" si="17">IF($X17=0,0,I17/$X17)</f>
        <v>0</v>
      </c>
      <c r="K17" s="161"/>
      <c r="L17" s="133"/>
      <c r="M17" s="149">
        <f t="shared" si="9"/>
        <v>0</v>
      </c>
      <c r="N17" s="161"/>
      <c r="O17" s="133"/>
      <c r="P17" s="149">
        <f t="shared" ref="P17:P37" si="18">IF($X17=0,0,O17/$X17)</f>
        <v>0</v>
      </c>
      <c r="Q17" s="161"/>
      <c r="R17" s="133"/>
      <c r="S17" s="149">
        <f t="shared" ref="S17:S37" si="19">IF($X17=0,0,R17/$X17)</f>
        <v>0</v>
      </c>
      <c r="T17" s="161"/>
      <c r="U17" s="133"/>
      <c r="V17" s="149">
        <f t="shared" ref="V17:V37" si="20">IF($X17=0,0,U17/$X17)</f>
        <v>0</v>
      </c>
      <c r="W17" s="495"/>
      <c r="X17" s="50">
        <f>F17+I17+L17+O17+R17+U17</f>
        <v>0</v>
      </c>
      <c r="Y17" s="8"/>
      <c r="Z17" s="8"/>
      <c r="AA17" s="8"/>
      <c r="AB17" s="8"/>
    </row>
    <row r="18" spans="1:28" ht="15.75" x14ac:dyDescent="0.25">
      <c r="A18" s="37">
        <f t="shared" si="14"/>
        <v>13</v>
      </c>
      <c r="B18" s="635"/>
      <c r="C18" s="650"/>
      <c r="D18" s="650"/>
      <c r="E18" s="130" t="s">
        <v>10</v>
      </c>
      <c r="F18" s="134"/>
      <c r="G18" s="150">
        <f t="shared" si="16"/>
        <v>0</v>
      </c>
      <c r="H18" s="158"/>
      <c r="I18" s="134"/>
      <c r="J18" s="150">
        <f t="shared" si="17"/>
        <v>0</v>
      </c>
      <c r="K18" s="158"/>
      <c r="L18" s="134"/>
      <c r="M18" s="150">
        <f t="shared" si="9"/>
        <v>0</v>
      </c>
      <c r="N18" s="158"/>
      <c r="O18" s="134"/>
      <c r="P18" s="150">
        <f t="shared" si="18"/>
        <v>0</v>
      </c>
      <c r="Q18" s="158"/>
      <c r="R18" s="134"/>
      <c r="S18" s="150">
        <f t="shared" si="19"/>
        <v>0</v>
      </c>
      <c r="T18" s="158"/>
      <c r="U18" s="134"/>
      <c r="V18" s="150">
        <f t="shared" si="20"/>
        <v>0</v>
      </c>
      <c r="W18" s="496"/>
      <c r="X18" s="16">
        <f>F18+I18+L18+O18+R18+U18</f>
        <v>0</v>
      </c>
      <c r="Y18" s="8"/>
      <c r="Z18" s="8"/>
      <c r="AA18" s="8"/>
      <c r="AB18" s="8"/>
    </row>
    <row r="19" spans="1:28" ht="15.75" x14ac:dyDescent="0.25">
      <c r="A19" s="37">
        <f t="shared" si="14"/>
        <v>14</v>
      </c>
      <c r="B19" s="635"/>
      <c r="C19" s="650" t="s">
        <v>3598</v>
      </c>
      <c r="D19" s="650"/>
      <c r="E19" s="130" t="s">
        <v>11</v>
      </c>
      <c r="F19" s="134"/>
      <c r="G19" s="150">
        <f t="shared" si="16"/>
        <v>0</v>
      </c>
      <c r="H19" s="158"/>
      <c r="I19" s="134"/>
      <c r="J19" s="150">
        <f t="shared" si="17"/>
        <v>0</v>
      </c>
      <c r="K19" s="158"/>
      <c r="L19" s="134"/>
      <c r="M19" s="150">
        <f t="shared" si="9"/>
        <v>0</v>
      </c>
      <c r="N19" s="158"/>
      <c r="O19" s="134"/>
      <c r="P19" s="150">
        <f t="shared" si="18"/>
        <v>0</v>
      </c>
      <c r="Q19" s="158"/>
      <c r="R19" s="134"/>
      <c r="S19" s="150">
        <f t="shared" si="19"/>
        <v>0</v>
      </c>
      <c r="T19" s="158"/>
      <c r="U19" s="134"/>
      <c r="V19" s="150">
        <f t="shared" si="20"/>
        <v>0</v>
      </c>
      <c r="W19" s="496"/>
      <c r="X19" s="16">
        <f t="shared" ref="X19:X31" si="21">F19+I19+L19+O19+R19+U19</f>
        <v>0</v>
      </c>
      <c r="Y19" s="8"/>
      <c r="Z19" s="8"/>
      <c r="AA19" s="8"/>
      <c r="AB19" s="8"/>
    </row>
    <row r="20" spans="1:28" ht="15.75" x14ac:dyDescent="0.25">
      <c r="A20" s="37">
        <f t="shared" si="14"/>
        <v>15</v>
      </c>
      <c r="B20" s="635"/>
      <c r="C20" s="650"/>
      <c r="D20" s="650"/>
      <c r="E20" s="130" t="s">
        <v>10</v>
      </c>
      <c r="F20" s="134"/>
      <c r="G20" s="150">
        <f t="shared" si="16"/>
        <v>0</v>
      </c>
      <c r="H20" s="158"/>
      <c r="I20" s="134"/>
      <c r="J20" s="150">
        <f t="shared" si="17"/>
        <v>0</v>
      </c>
      <c r="K20" s="158"/>
      <c r="L20" s="134"/>
      <c r="M20" s="150">
        <f t="shared" si="9"/>
        <v>0</v>
      </c>
      <c r="N20" s="158"/>
      <c r="O20" s="134"/>
      <c r="P20" s="150">
        <f t="shared" si="18"/>
        <v>0</v>
      </c>
      <c r="Q20" s="158"/>
      <c r="R20" s="134"/>
      <c r="S20" s="150">
        <f t="shared" si="19"/>
        <v>0</v>
      </c>
      <c r="T20" s="158"/>
      <c r="U20" s="134"/>
      <c r="V20" s="150">
        <f t="shared" si="20"/>
        <v>0</v>
      </c>
      <c r="W20" s="496"/>
      <c r="X20" s="16">
        <f t="shared" si="21"/>
        <v>0</v>
      </c>
      <c r="Y20" s="8"/>
      <c r="Z20" s="8"/>
      <c r="AA20" s="8"/>
      <c r="AB20" s="8"/>
    </row>
    <row r="21" spans="1:28" ht="15.75" x14ac:dyDescent="0.25">
      <c r="A21" s="37">
        <f t="shared" si="14"/>
        <v>16</v>
      </c>
      <c r="B21" s="635"/>
      <c r="C21" s="650" t="s">
        <v>3600</v>
      </c>
      <c r="D21" s="650"/>
      <c r="E21" s="130" t="s">
        <v>11</v>
      </c>
      <c r="F21" s="134"/>
      <c r="G21" s="150">
        <f t="shared" si="16"/>
        <v>0</v>
      </c>
      <c r="H21" s="158"/>
      <c r="I21" s="134"/>
      <c r="J21" s="150">
        <f t="shared" si="17"/>
        <v>0</v>
      </c>
      <c r="K21" s="158"/>
      <c r="L21" s="134"/>
      <c r="M21" s="150">
        <f t="shared" si="9"/>
        <v>0</v>
      </c>
      <c r="N21" s="158"/>
      <c r="O21" s="134"/>
      <c r="P21" s="150">
        <f t="shared" si="18"/>
        <v>0</v>
      </c>
      <c r="Q21" s="158"/>
      <c r="R21" s="134"/>
      <c r="S21" s="150">
        <f t="shared" si="19"/>
        <v>0</v>
      </c>
      <c r="T21" s="158"/>
      <c r="U21" s="134"/>
      <c r="V21" s="150">
        <f>IF($X21=0,0,U21/$X21)</f>
        <v>0</v>
      </c>
      <c r="W21" s="496"/>
      <c r="X21" s="16">
        <f t="shared" si="21"/>
        <v>0</v>
      </c>
      <c r="Y21" s="8"/>
      <c r="Z21" s="8"/>
      <c r="AA21" s="8"/>
      <c r="AB21" s="8"/>
    </row>
    <row r="22" spans="1:28" ht="15.75" x14ac:dyDescent="0.25">
      <c r="A22" s="37">
        <f t="shared" si="14"/>
        <v>17</v>
      </c>
      <c r="B22" s="635"/>
      <c r="C22" s="650"/>
      <c r="D22" s="650"/>
      <c r="E22" s="130" t="s">
        <v>10</v>
      </c>
      <c r="F22" s="134"/>
      <c r="G22" s="150">
        <f t="shared" si="16"/>
        <v>0</v>
      </c>
      <c r="H22" s="158"/>
      <c r="I22" s="134"/>
      <c r="J22" s="150">
        <f t="shared" si="17"/>
        <v>0</v>
      </c>
      <c r="K22" s="158"/>
      <c r="L22" s="134"/>
      <c r="M22" s="150">
        <f t="shared" si="9"/>
        <v>0</v>
      </c>
      <c r="N22" s="158"/>
      <c r="O22" s="134"/>
      <c r="P22" s="150">
        <f t="shared" si="18"/>
        <v>0</v>
      </c>
      <c r="Q22" s="158"/>
      <c r="R22" s="134"/>
      <c r="S22" s="150">
        <f t="shared" si="19"/>
        <v>0</v>
      </c>
      <c r="T22" s="158"/>
      <c r="U22" s="134"/>
      <c r="V22" s="150">
        <f t="shared" si="20"/>
        <v>0</v>
      </c>
      <c r="W22" s="496"/>
      <c r="X22" s="16">
        <f t="shared" si="21"/>
        <v>0</v>
      </c>
      <c r="Y22" s="8"/>
      <c r="Z22" s="8"/>
      <c r="AA22" s="8"/>
      <c r="AB22" s="8"/>
    </row>
    <row r="23" spans="1:28" ht="15.75" x14ac:dyDescent="0.25">
      <c r="A23" s="37">
        <f t="shared" si="14"/>
        <v>18</v>
      </c>
      <c r="B23" s="635"/>
      <c r="C23" s="650" t="s">
        <v>3601</v>
      </c>
      <c r="D23" s="650"/>
      <c r="E23" s="130" t="s">
        <v>11</v>
      </c>
      <c r="F23" s="134"/>
      <c r="G23" s="150">
        <f t="shared" si="16"/>
        <v>0</v>
      </c>
      <c r="H23" s="158"/>
      <c r="I23" s="134"/>
      <c r="J23" s="150">
        <f t="shared" si="17"/>
        <v>0</v>
      </c>
      <c r="K23" s="158"/>
      <c r="L23" s="134"/>
      <c r="M23" s="150">
        <f t="shared" si="9"/>
        <v>0</v>
      </c>
      <c r="N23" s="158"/>
      <c r="O23" s="134"/>
      <c r="P23" s="150">
        <f t="shared" si="18"/>
        <v>0</v>
      </c>
      <c r="Q23" s="158"/>
      <c r="R23" s="134"/>
      <c r="S23" s="150">
        <f t="shared" si="19"/>
        <v>0</v>
      </c>
      <c r="T23" s="158"/>
      <c r="U23" s="134"/>
      <c r="V23" s="150">
        <f t="shared" si="20"/>
        <v>0</v>
      </c>
      <c r="W23" s="496"/>
      <c r="X23" s="16">
        <f t="shared" si="21"/>
        <v>0</v>
      </c>
      <c r="Y23" s="8"/>
      <c r="Z23" s="8"/>
      <c r="AA23" s="8"/>
      <c r="AB23" s="8"/>
    </row>
    <row r="24" spans="1:28" ht="15.75" x14ac:dyDescent="0.25">
      <c r="A24" s="37">
        <f t="shared" si="14"/>
        <v>19</v>
      </c>
      <c r="B24" s="635"/>
      <c r="C24" s="650"/>
      <c r="D24" s="650"/>
      <c r="E24" s="130" t="s">
        <v>10</v>
      </c>
      <c r="F24" s="134"/>
      <c r="G24" s="150">
        <f t="shared" si="16"/>
        <v>0</v>
      </c>
      <c r="H24" s="158"/>
      <c r="I24" s="134"/>
      <c r="J24" s="150">
        <f t="shared" si="17"/>
        <v>0</v>
      </c>
      <c r="K24" s="158"/>
      <c r="L24" s="134"/>
      <c r="M24" s="150">
        <f t="shared" si="9"/>
        <v>0</v>
      </c>
      <c r="N24" s="158"/>
      <c r="O24" s="134"/>
      <c r="P24" s="150">
        <f t="shared" si="18"/>
        <v>0</v>
      </c>
      <c r="Q24" s="158"/>
      <c r="R24" s="134"/>
      <c r="S24" s="150">
        <f t="shared" si="19"/>
        <v>0</v>
      </c>
      <c r="T24" s="158"/>
      <c r="U24" s="134"/>
      <c r="V24" s="150">
        <f t="shared" si="20"/>
        <v>0</v>
      </c>
      <c r="W24" s="496"/>
      <c r="X24" s="16">
        <f t="shared" si="21"/>
        <v>0</v>
      </c>
      <c r="Y24" s="8"/>
      <c r="Z24" s="8"/>
      <c r="AA24" s="8"/>
      <c r="AB24" s="8"/>
    </row>
    <row r="25" spans="1:28" ht="15.75" x14ac:dyDescent="0.25">
      <c r="A25" s="37">
        <f t="shared" si="14"/>
        <v>20</v>
      </c>
      <c r="B25" s="635"/>
      <c r="C25" s="650" t="s">
        <v>3604</v>
      </c>
      <c r="D25" s="650"/>
      <c r="E25" s="130" t="s">
        <v>11</v>
      </c>
      <c r="F25" s="134"/>
      <c r="G25" s="150">
        <f t="shared" si="16"/>
        <v>0</v>
      </c>
      <c r="H25" s="158"/>
      <c r="I25" s="134"/>
      <c r="J25" s="150">
        <f t="shared" si="17"/>
        <v>0</v>
      </c>
      <c r="K25" s="158"/>
      <c r="L25" s="134"/>
      <c r="M25" s="150">
        <f t="shared" si="9"/>
        <v>0</v>
      </c>
      <c r="N25" s="158"/>
      <c r="O25" s="134"/>
      <c r="P25" s="150">
        <f t="shared" si="18"/>
        <v>0</v>
      </c>
      <c r="Q25" s="158"/>
      <c r="R25" s="134"/>
      <c r="S25" s="150">
        <f t="shared" si="19"/>
        <v>0</v>
      </c>
      <c r="T25" s="158"/>
      <c r="U25" s="134"/>
      <c r="V25" s="150">
        <f t="shared" si="20"/>
        <v>0</v>
      </c>
      <c r="W25" s="496"/>
      <c r="X25" s="16">
        <f t="shared" si="21"/>
        <v>0</v>
      </c>
      <c r="Y25" s="8"/>
      <c r="Z25" s="8"/>
      <c r="AA25" s="8"/>
      <c r="AB25" s="8"/>
    </row>
    <row r="26" spans="1:28" ht="15.75" x14ac:dyDescent="0.25">
      <c r="A26" s="37">
        <f t="shared" si="14"/>
        <v>21</v>
      </c>
      <c r="B26" s="635"/>
      <c r="C26" s="650"/>
      <c r="D26" s="650"/>
      <c r="E26" s="130" t="s">
        <v>10</v>
      </c>
      <c r="F26" s="134"/>
      <c r="G26" s="150">
        <f t="shared" si="16"/>
        <v>0</v>
      </c>
      <c r="H26" s="158"/>
      <c r="I26" s="134"/>
      <c r="J26" s="150">
        <f t="shared" si="17"/>
        <v>0</v>
      </c>
      <c r="K26" s="158"/>
      <c r="L26" s="134"/>
      <c r="M26" s="150">
        <f t="shared" si="9"/>
        <v>0</v>
      </c>
      <c r="N26" s="158"/>
      <c r="O26" s="134"/>
      <c r="P26" s="150">
        <f t="shared" si="18"/>
        <v>0</v>
      </c>
      <c r="Q26" s="158"/>
      <c r="R26" s="134"/>
      <c r="S26" s="150">
        <f t="shared" si="19"/>
        <v>0</v>
      </c>
      <c r="T26" s="158"/>
      <c r="U26" s="134"/>
      <c r="V26" s="150">
        <f t="shared" si="20"/>
        <v>0</v>
      </c>
      <c r="W26" s="496"/>
      <c r="X26" s="16">
        <f t="shared" si="21"/>
        <v>0</v>
      </c>
      <c r="Y26" s="8"/>
      <c r="Z26" s="8"/>
      <c r="AA26" s="8"/>
      <c r="AB26" s="8"/>
    </row>
    <row r="27" spans="1:28" ht="15.75" x14ac:dyDescent="0.25">
      <c r="A27" s="37">
        <f t="shared" si="14"/>
        <v>22</v>
      </c>
      <c r="B27" s="635"/>
      <c r="C27" s="650" t="s">
        <v>3605</v>
      </c>
      <c r="D27" s="650"/>
      <c r="E27" s="130" t="s">
        <v>11</v>
      </c>
      <c r="F27" s="134"/>
      <c r="G27" s="150">
        <f t="shared" si="16"/>
        <v>0</v>
      </c>
      <c r="H27" s="158"/>
      <c r="I27" s="134"/>
      <c r="J27" s="150">
        <f t="shared" si="17"/>
        <v>0</v>
      </c>
      <c r="K27" s="158"/>
      <c r="L27" s="134"/>
      <c r="M27" s="150">
        <f t="shared" si="9"/>
        <v>0</v>
      </c>
      <c r="N27" s="158"/>
      <c r="O27" s="134"/>
      <c r="P27" s="150">
        <f t="shared" si="18"/>
        <v>0</v>
      </c>
      <c r="Q27" s="158"/>
      <c r="R27" s="134"/>
      <c r="S27" s="150">
        <f t="shared" si="19"/>
        <v>0</v>
      </c>
      <c r="T27" s="158"/>
      <c r="U27" s="134"/>
      <c r="V27" s="150">
        <f t="shared" si="20"/>
        <v>0</v>
      </c>
      <c r="W27" s="496"/>
      <c r="X27" s="16">
        <f t="shared" si="21"/>
        <v>0</v>
      </c>
      <c r="Y27" s="8"/>
      <c r="Z27" s="8"/>
      <c r="AA27" s="8"/>
      <c r="AB27" s="8"/>
    </row>
    <row r="28" spans="1:28" ht="15.75" x14ac:dyDescent="0.25">
      <c r="A28" s="37">
        <f t="shared" si="14"/>
        <v>23</v>
      </c>
      <c r="B28" s="635"/>
      <c r="C28" s="650"/>
      <c r="D28" s="650"/>
      <c r="E28" s="130" t="s">
        <v>10</v>
      </c>
      <c r="F28" s="134"/>
      <c r="G28" s="150">
        <f t="shared" si="16"/>
        <v>0</v>
      </c>
      <c r="H28" s="158"/>
      <c r="I28" s="134"/>
      <c r="J28" s="150">
        <f t="shared" si="17"/>
        <v>0</v>
      </c>
      <c r="K28" s="158"/>
      <c r="L28" s="134"/>
      <c r="M28" s="150">
        <f t="shared" si="9"/>
        <v>0</v>
      </c>
      <c r="N28" s="158"/>
      <c r="O28" s="134"/>
      <c r="P28" s="150">
        <f t="shared" si="18"/>
        <v>0</v>
      </c>
      <c r="Q28" s="158"/>
      <c r="R28" s="134"/>
      <c r="S28" s="150">
        <f t="shared" si="19"/>
        <v>0</v>
      </c>
      <c r="T28" s="158"/>
      <c r="U28" s="134"/>
      <c r="V28" s="150">
        <f t="shared" si="20"/>
        <v>0</v>
      </c>
      <c r="W28" s="496"/>
      <c r="X28" s="16">
        <f t="shared" si="21"/>
        <v>0</v>
      </c>
      <c r="Y28" s="8"/>
      <c r="Z28" s="8"/>
      <c r="AA28" s="8"/>
      <c r="AB28" s="8"/>
    </row>
    <row r="29" spans="1:28" ht="15.75" x14ac:dyDescent="0.25">
      <c r="A29" s="37">
        <f t="shared" si="14"/>
        <v>24</v>
      </c>
      <c r="B29" s="635"/>
      <c r="C29" s="645" t="s">
        <v>3607</v>
      </c>
      <c r="D29" s="646"/>
      <c r="E29" s="455" t="s">
        <v>11</v>
      </c>
      <c r="F29" s="134"/>
      <c r="G29" s="150">
        <f t="shared" si="16"/>
        <v>0</v>
      </c>
      <c r="H29" s="158"/>
      <c r="I29" s="134"/>
      <c r="J29" s="150">
        <f t="shared" si="17"/>
        <v>0</v>
      </c>
      <c r="K29" s="158"/>
      <c r="L29" s="134"/>
      <c r="M29" s="150">
        <f t="shared" si="9"/>
        <v>0</v>
      </c>
      <c r="N29" s="158"/>
      <c r="O29" s="134"/>
      <c r="P29" s="150">
        <f t="shared" si="18"/>
        <v>0</v>
      </c>
      <c r="Q29" s="158"/>
      <c r="R29" s="134"/>
      <c r="S29" s="150">
        <f t="shared" si="19"/>
        <v>0</v>
      </c>
      <c r="T29" s="158"/>
      <c r="U29" s="134"/>
      <c r="V29" s="150">
        <f t="shared" si="20"/>
        <v>0</v>
      </c>
      <c r="W29" s="496"/>
      <c r="X29" s="16">
        <f t="shared" si="21"/>
        <v>0</v>
      </c>
      <c r="Y29" s="8"/>
      <c r="Z29" s="8"/>
      <c r="AA29" s="8"/>
      <c r="AB29" s="8"/>
    </row>
    <row r="30" spans="1:28" ht="15.75" x14ac:dyDescent="0.25">
      <c r="A30" s="37">
        <f t="shared" si="14"/>
        <v>25</v>
      </c>
      <c r="B30" s="635"/>
      <c r="C30" s="647"/>
      <c r="D30" s="648"/>
      <c r="E30" s="455" t="s">
        <v>10</v>
      </c>
      <c r="F30" s="134"/>
      <c r="G30" s="150">
        <f t="shared" si="16"/>
        <v>0</v>
      </c>
      <c r="H30" s="158"/>
      <c r="I30" s="134"/>
      <c r="J30" s="150">
        <f t="shared" si="17"/>
        <v>0</v>
      </c>
      <c r="K30" s="158"/>
      <c r="L30" s="134"/>
      <c r="M30" s="150">
        <f t="shared" si="9"/>
        <v>0</v>
      </c>
      <c r="N30" s="158"/>
      <c r="O30" s="134"/>
      <c r="P30" s="150">
        <f t="shared" si="18"/>
        <v>0</v>
      </c>
      <c r="Q30" s="158"/>
      <c r="R30" s="134"/>
      <c r="S30" s="150">
        <f t="shared" si="19"/>
        <v>0</v>
      </c>
      <c r="T30" s="158"/>
      <c r="U30" s="134"/>
      <c r="V30" s="150">
        <f t="shared" si="20"/>
        <v>0</v>
      </c>
      <c r="W30" s="496"/>
      <c r="X30" s="16">
        <f t="shared" si="21"/>
        <v>0</v>
      </c>
      <c r="Y30" s="8"/>
      <c r="Z30" s="8"/>
      <c r="AA30" s="8"/>
      <c r="AB30" s="8"/>
    </row>
    <row r="31" spans="1:28" ht="15.75" x14ac:dyDescent="0.25">
      <c r="A31" s="37">
        <f>A30+1</f>
        <v>26</v>
      </c>
      <c r="B31" s="635"/>
      <c r="C31" s="650" t="s">
        <v>3602</v>
      </c>
      <c r="D31" s="458" t="s">
        <v>13</v>
      </c>
      <c r="E31" s="130" t="s">
        <v>12</v>
      </c>
      <c r="F31" s="134"/>
      <c r="G31" s="150">
        <f t="shared" si="16"/>
        <v>0</v>
      </c>
      <c r="H31" s="158"/>
      <c r="I31" s="134"/>
      <c r="J31" s="150">
        <f t="shared" si="17"/>
        <v>0</v>
      </c>
      <c r="K31" s="158"/>
      <c r="L31" s="134"/>
      <c r="M31" s="150">
        <f t="shared" si="9"/>
        <v>0</v>
      </c>
      <c r="N31" s="158"/>
      <c r="O31" s="134"/>
      <c r="P31" s="150">
        <f t="shared" si="18"/>
        <v>0</v>
      </c>
      <c r="Q31" s="158"/>
      <c r="R31" s="134"/>
      <c r="S31" s="150">
        <f t="shared" si="19"/>
        <v>0</v>
      </c>
      <c r="T31" s="158"/>
      <c r="U31" s="134"/>
      <c r="V31" s="150">
        <f t="shared" si="20"/>
        <v>0</v>
      </c>
      <c r="W31" s="496"/>
      <c r="X31" s="16">
        <f t="shared" si="21"/>
        <v>0</v>
      </c>
      <c r="Y31" s="8"/>
      <c r="Z31" s="8"/>
      <c r="AA31" s="8"/>
      <c r="AB31" s="8"/>
    </row>
    <row r="32" spans="1:28" ht="15.75" x14ac:dyDescent="0.25">
      <c r="A32" s="41">
        <f t="shared" si="14"/>
        <v>27</v>
      </c>
      <c r="B32" s="635"/>
      <c r="C32" s="659"/>
      <c r="D32" s="458" t="s">
        <v>14</v>
      </c>
      <c r="E32" s="455" t="s">
        <v>12</v>
      </c>
      <c r="F32" s="134"/>
      <c r="G32" s="474">
        <f t="shared" si="16"/>
        <v>0</v>
      </c>
      <c r="H32" s="475"/>
      <c r="I32" s="134"/>
      <c r="J32" s="474">
        <f t="shared" si="17"/>
        <v>0</v>
      </c>
      <c r="K32" s="475"/>
      <c r="L32" s="134"/>
      <c r="M32" s="474">
        <f t="shared" si="9"/>
        <v>0</v>
      </c>
      <c r="N32" s="475"/>
      <c r="O32" s="134"/>
      <c r="P32" s="474">
        <f t="shared" si="18"/>
        <v>0</v>
      </c>
      <c r="Q32" s="475"/>
      <c r="R32" s="134"/>
      <c r="S32" s="474">
        <f t="shared" si="19"/>
        <v>0</v>
      </c>
      <c r="T32" s="475"/>
      <c r="U32" s="134"/>
      <c r="V32" s="474">
        <f t="shared" si="20"/>
        <v>0</v>
      </c>
      <c r="W32" s="475"/>
      <c r="X32" s="476">
        <f>F32+I32+L32+O32+R32+U32</f>
        <v>0</v>
      </c>
      <c r="Y32" s="8"/>
      <c r="Z32" s="8"/>
      <c r="AA32" s="8"/>
      <c r="AB32" s="8"/>
    </row>
    <row r="33" spans="1:28" ht="16.5" thickBot="1" x14ac:dyDescent="0.3">
      <c r="A33" s="477">
        <f t="shared" si="14"/>
        <v>28</v>
      </c>
      <c r="B33" s="638"/>
      <c r="C33" s="653" t="s">
        <v>3603</v>
      </c>
      <c r="D33" s="654"/>
      <c r="E33" s="456" t="s">
        <v>12</v>
      </c>
      <c r="F33" s="473"/>
      <c r="G33" s="474">
        <f t="shared" si="16"/>
        <v>0</v>
      </c>
      <c r="H33" s="160"/>
      <c r="I33" s="473"/>
      <c r="J33" s="474">
        <f t="shared" si="17"/>
        <v>0</v>
      </c>
      <c r="K33" s="160"/>
      <c r="L33" s="473"/>
      <c r="M33" s="474">
        <f t="shared" si="9"/>
        <v>0</v>
      </c>
      <c r="N33" s="160"/>
      <c r="O33" s="473"/>
      <c r="P33" s="474">
        <f t="shared" si="18"/>
        <v>0</v>
      </c>
      <c r="Q33" s="160"/>
      <c r="R33" s="473"/>
      <c r="S33" s="474">
        <f t="shared" si="19"/>
        <v>0</v>
      </c>
      <c r="T33" s="160"/>
      <c r="U33" s="473"/>
      <c r="V33" s="474">
        <f t="shared" si="20"/>
        <v>0</v>
      </c>
      <c r="W33" s="498"/>
      <c r="X33" s="476">
        <f>F33+I33+L33+O33+R33+U33</f>
        <v>0</v>
      </c>
      <c r="Y33" s="8"/>
      <c r="Z33" s="8"/>
      <c r="AA33" s="8"/>
      <c r="AB33" s="8"/>
    </row>
    <row r="34" spans="1:28" ht="18.75" customHeight="1" x14ac:dyDescent="0.3">
      <c r="A34" s="47">
        <f>A33+1</f>
        <v>29</v>
      </c>
      <c r="B34" s="651" t="s">
        <v>4</v>
      </c>
      <c r="C34" s="651"/>
      <c r="D34" s="651"/>
      <c r="E34" s="651"/>
      <c r="F34" s="49">
        <f>SUM(F17:F33)</f>
        <v>0</v>
      </c>
      <c r="G34" s="149">
        <f t="shared" si="16"/>
        <v>0</v>
      </c>
      <c r="H34" s="162"/>
      <c r="I34" s="49">
        <f>SUM(I17:I33)</f>
        <v>0</v>
      </c>
      <c r="J34" s="149">
        <f t="shared" si="17"/>
        <v>0</v>
      </c>
      <c r="K34" s="162"/>
      <c r="L34" s="49">
        <f>SUM(L17:L33)</f>
        <v>0</v>
      </c>
      <c r="M34" s="149">
        <f t="shared" si="9"/>
        <v>0</v>
      </c>
      <c r="N34" s="162"/>
      <c r="O34" s="49">
        <f>SUM(O17:O33)</f>
        <v>0</v>
      </c>
      <c r="P34" s="149">
        <f t="shared" si="18"/>
        <v>0</v>
      </c>
      <c r="Q34" s="162"/>
      <c r="R34" s="49">
        <f>SUM(R17:R33)</f>
        <v>0</v>
      </c>
      <c r="S34" s="149">
        <f t="shared" si="19"/>
        <v>0</v>
      </c>
      <c r="T34" s="162"/>
      <c r="U34" s="49">
        <f>SUM(U17:U33)</f>
        <v>0</v>
      </c>
      <c r="V34" s="149">
        <f t="shared" si="20"/>
        <v>0</v>
      </c>
      <c r="W34" s="166"/>
      <c r="X34" s="55">
        <f>SUM(X17:X33)</f>
        <v>0</v>
      </c>
      <c r="Y34" s="8"/>
      <c r="Z34" s="8"/>
      <c r="AA34" s="8"/>
      <c r="AB34" s="8"/>
    </row>
    <row r="35" spans="1:28" ht="18.75" customHeight="1" outlineLevel="1" x14ac:dyDescent="0.3">
      <c r="A35" s="37">
        <f t="shared" si="14"/>
        <v>30</v>
      </c>
      <c r="B35" s="652" t="s">
        <v>5</v>
      </c>
      <c r="C35" s="652"/>
      <c r="D35" s="652"/>
      <c r="E35" s="652"/>
      <c r="F35" s="17">
        <f>F17+F19+F21+F23+F25+F27+F29</f>
        <v>0</v>
      </c>
      <c r="G35" s="150">
        <f t="shared" si="16"/>
        <v>0</v>
      </c>
      <c r="H35" s="163"/>
      <c r="I35" s="17">
        <f>I17+I19+I21+I23+I25+I27+I29</f>
        <v>0</v>
      </c>
      <c r="J35" s="150">
        <f t="shared" si="17"/>
        <v>0</v>
      </c>
      <c r="K35" s="163"/>
      <c r="L35" s="17">
        <f>L17+L19+L21+L23+L25+L27+L29</f>
        <v>0</v>
      </c>
      <c r="M35" s="150">
        <f t="shared" si="9"/>
        <v>0</v>
      </c>
      <c r="N35" s="163"/>
      <c r="O35" s="17">
        <f>O17+O19+O21+O23+O25+O27+O29</f>
        <v>0</v>
      </c>
      <c r="P35" s="150">
        <f t="shared" si="18"/>
        <v>0</v>
      </c>
      <c r="Q35" s="163"/>
      <c r="R35" s="17">
        <f>R17+R19+R21+R23+R25+R27+R29</f>
        <v>0</v>
      </c>
      <c r="S35" s="150">
        <f t="shared" si="19"/>
        <v>0</v>
      </c>
      <c r="T35" s="163"/>
      <c r="U35" s="17">
        <f>U17+U19+U21+U23+U25+U27+U29</f>
        <v>0</v>
      </c>
      <c r="V35" s="150">
        <f t="shared" si="20"/>
        <v>0</v>
      </c>
      <c r="W35" s="167"/>
      <c r="X35" s="51">
        <f>X17+X19+X21+X23+X25+X27+X29</f>
        <v>0</v>
      </c>
      <c r="Y35" s="8"/>
      <c r="Z35" s="8"/>
      <c r="AA35" s="8"/>
      <c r="AB35" s="8"/>
    </row>
    <row r="36" spans="1:28" ht="18.75" customHeight="1" outlineLevel="1" x14ac:dyDescent="0.3">
      <c r="A36" s="37">
        <f t="shared" si="14"/>
        <v>31</v>
      </c>
      <c r="B36" s="652" t="s">
        <v>6</v>
      </c>
      <c r="C36" s="652"/>
      <c r="D36" s="652"/>
      <c r="E36" s="652"/>
      <c r="F36" s="17">
        <f>F18+F20+F22+F24+F26+F28+F30</f>
        <v>0</v>
      </c>
      <c r="G36" s="150">
        <f t="shared" si="16"/>
        <v>0</v>
      </c>
      <c r="H36" s="163"/>
      <c r="I36" s="17">
        <f>I18+I20+I22+I24+I26+I28+I30</f>
        <v>0</v>
      </c>
      <c r="J36" s="150">
        <f t="shared" si="17"/>
        <v>0</v>
      </c>
      <c r="K36" s="163"/>
      <c r="L36" s="17">
        <f>L18+L20+L22+L24+L26+L28+L30</f>
        <v>0</v>
      </c>
      <c r="M36" s="150">
        <f t="shared" si="9"/>
        <v>0</v>
      </c>
      <c r="N36" s="163"/>
      <c r="O36" s="17">
        <f>O18+O20+O22+O24+O26+O28+O30</f>
        <v>0</v>
      </c>
      <c r="P36" s="150">
        <f t="shared" si="18"/>
        <v>0</v>
      </c>
      <c r="Q36" s="163"/>
      <c r="R36" s="17">
        <f>R18+R20+R22+R24+R26+R28+R30</f>
        <v>0</v>
      </c>
      <c r="S36" s="150">
        <f t="shared" si="19"/>
        <v>0</v>
      </c>
      <c r="T36" s="163"/>
      <c r="U36" s="17">
        <f>U18+U20+U22+U24+U26+U28+U30</f>
        <v>0</v>
      </c>
      <c r="V36" s="150">
        <f t="shared" si="20"/>
        <v>0</v>
      </c>
      <c r="W36" s="167"/>
      <c r="X36" s="51">
        <f>X18+X20+X22+X24+X26+X28+X30</f>
        <v>0</v>
      </c>
      <c r="Y36" s="8"/>
      <c r="Z36" s="8"/>
      <c r="AA36" s="8"/>
      <c r="AB36" s="8"/>
    </row>
    <row r="37" spans="1:28" ht="18.75" customHeight="1" outlineLevel="1" thickBot="1" x14ac:dyDescent="0.35">
      <c r="A37" s="38">
        <f t="shared" si="14"/>
        <v>32</v>
      </c>
      <c r="B37" s="680" t="s">
        <v>8</v>
      </c>
      <c r="C37" s="680"/>
      <c r="D37" s="680"/>
      <c r="E37" s="680"/>
      <c r="F37" s="18">
        <f>F31+F32+F33</f>
        <v>0</v>
      </c>
      <c r="G37" s="152">
        <f t="shared" si="16"/>
        <v>0</v>
      </c>
      <c r="H37" s="164"/>
      <c r="I37" s="18">
        <f>I31+I32+I33</f>
        <v>0</v>
      </c>
      <c r="J37" s="152">
        <f t="shared" si="17"/>
        <v>0</v>
      </c>
      <c r="K37" s="164"/>
      <c r="L37" s="18">
        <f>L31+L32+L33</f>
        <v>0</v>
      </c>
      <c r="M37" s="152">
        <f t="shared" si="9"/>
        <v>0</v>
      </c>
      <c r="N37" s="164"/>
      <c r="O37" s="18">
        <f>O31+O32+O33</f>
        <v>0</v>
      </c>
      <c r="P37" s="152">
        <f t="shared" si="18"/>
        <v>0</v>
      </c>
      <c r="Q37" s="164"/>
      <c r="R37" s="18">
        <f>R31+R32+R33</f>
        <v>0</v>
      </c>
      <c r="S37" s="152">
        <f t="shared" si="19"/>
        <v>0</v>
      </c>
      <c r="T37" s="164"/>
      <c r="U37" s="18">
        <f>U31+U32+U33</f>
        <v>0</v>
      </c>
      <c r="V37" s="152">
        <f t="shared" si="20"/>
        <v>0</v>
      </c>
      <c r="W37" s="168"/>
      <c r="X37" s="52">
        <f>X31+X32+X33</f>
        <v>0</v>
      </c>
      <c r="Y37" s="8"/>
      <c r="Z37" s="8"/>
      <c r="AA37" s="8"/>
      <c r="AB37" s="8"/>
    </row>
    <row r="38" spans="1:28" ht="16.5" thickBot="1" x14ac:dyDescent="0.3">
      <c r="A38" s="36"/>
      <c r="B38" s="26"/>
      <c r="C38" s="4"/>
      <c r="D38" s="3"/>
      <c r="E38" s="7"/>
      <c r="F38" s="27"/>
      <c r="G38" s="153"/>
      <c r="H38" s="156"/>
      <c r="I38" s="27"/>
      <c r="J38" s="156"/>
      <c r="K38" s="156"/>
      <c r="L38" s="27"/>
      <c r="M38" s="156"/>
      <c r="N38" s="156"/>
      <c r="O38" s="27"/>
      <c r="P38" s="156"/>
      <c r="Q38" s="156"/>
      <c r="R38" s="27"/>
      <c r="S38" s="156"/>
      <c r="T38" s="156"/>
      <c r="U38" s="27"/>
      <c r="V38" s="156"/>
      <c r="W38" s="156"/>
      <c r="X38" s="29"/>
      <c r="Y38" s="8"/>
      <c r="Z38" s="8"/>
      <c r="AA38" s="8"/>
      <c r="AB38" s="8"/>
    </row>
    <row r="39" spans="1:28" ht="15.75" customHeight="1" x14ac:dyDescent="0.25">
      <c r="A39" s="35">
        <f>A37+1</f>
        <v>33</v>
      </c>
      <c r="B39" s="636" t="s">
        <v>3606</v>
      </c>
      <c r="C39" s="663" t="s">
        <v>3597</v>
      </c>
      <c r="D39" s="664"/>
      <c r="E39" s="131" t="s">
        <v>11</v>
      </c>
      <c r="F39" s="135"/>
      <c r="G39" s="150">
        <f t="shared" ref="G39:G42" si="22">IF($X39=0,0,F39/$X39)</f>
        <v>0</v>
      </c>
      <c r="H39" s="158"/>
      <c r="I39" s="135"/>
      <c r="J39" s="150">
        <f t="shared" ref="J39:J42" si="23">IF($X39=0,0,I39/$X39)</f>
        <v>0</v>
      </c>
      <c r="K39" s="158"/>
      <c r="L39" s="135"/>
      <c r="M39" s="150">
        <f t="shared" si="9"/>
        <v>0</v>
      </c>
      <c r="N39" s="158"/>
      <c r="O39" s="135"/>
      <c r="P39" s="150">
        <f t="shared" ref="P39:P42" si="24">IF($X39=0,0,O39/$X39)</f>
        <v>0</v>
      </c>
      <c r="Q39" s="158"/>
      <c r="R39" s="135"/>
      <c r="S39" s="150">
        <f t="shared" ref="S39:S42" si="25">IF($X39=0,0,R39/$X39)</f>
        <v>0</v>
      </c>
      <c r="T39" s="158"/>
      <c r="U39" s="135"/>
      <c r="V39" s="150">
        <f t="shared" ref="V39:V42" si="26">IF($X39=0,0,U39/$X39)</f>
        <v>0</v>
      </c>
      <c r="W39" s="496"/>
      <c r="X39" s="16">
        <f>F39+I39+L39+O39+R39+U39</f>
        <v>0</v>
      </c>
      <c r="Y39" s="8"/>
      <c r="Z39" s="8"/>
      <c r="AA39" s="8"/>
      <c r="AB39" s="8"/>
    </row>
    <row r="40" spans="1:28" ht="15.75" customHeight="1" x14ac:dyDescent="0.25">
      <c r="A40" s="37">
        <f t="shared" si="14"/>
        <v>34</v>
      </c>
      <c r="B40" s="660"/>
      <c r="C40" s="665"/>
      <c r="D40" s="666"/>
      <c r="E40" s="130" t="s">
        <v>10</v>
      </c>
      <c r="F40" s="134"/>
      <c r="G40" s="150">
        <f t="shared" si="22"/>
        <v>0</v>
      </c>
      <c r="H40" s="158"/>
      <c r="I40" s="134"/>
      <c r="J40" s="150">
        <f t="shared" si="23"/>
        <v>0</v>
      </c>
      <c r="K40" s="158"/>
      <c r="L40" s="134"/>
      <c r="M40" s="150">
        <f t="shared" si="9"/>
        <v>0</v>
      </c>
      <c r="N40" s="158"/>
      <c r="O40" s="134"/>
      <c r="P40" s="150">
        <f t="shared" si="24"/>
        <v>0</v>
      </c>
      <c r="Q40" s="158"/>
      <c r="R40" s="134"/>
      <c r="S40" s="150">
        <f t="shared" si="25"/>
        <v>0</v>
      </c>
      <c r="T40" s="158"/>
      <c r="U40" s="134"/>
      <c r="V40" s="150">
        <f t="shared" si="26"/>
        <v>0</v>
      </c>
      <c r="W40" s="496"/>
      <c r="X40" s="16">
        <f>F40+I40+L40+O40+R40+U40</f>
        <v>0</v>
      </c>
      <c r="Y40" s="8"/>
      <c r="Z40" s="8"/>
      <c r="AA40" s="8"/>
      <c r="AB40" s="8"/>
    </row>
    <row r="41" spans="1:28" ht="15.75" x14ac:dyDescent="0.25">
      <c r="A41" s="37">
        <f t="shared" si="14"/>
        <v>35</v>
      </c>
      <c r="B41" s="661"/>
      <c r="C41" s="665"/>
      <c r="D41" s="666"/>
      <c r="E41" s="130" t="s">
        <v>9</v>
      </c>
      <c r="F41" s="134"/>
      <c r="G41" s="150">
        <f t="shared" si="22"/>
        <v>0</v>
      </c>
      <c r="H41" s="158"/>
      <c r="I41" s="134"/>
      <c r="J41" s="150">
        <f t="shared" si="23"/>
        <v>0</v>
      </c>
      <c r="K41" s="158"/>
      <c r="L41" s="134"/>
      <c r="M41" s="150">
        <f t="shared" si="9"/>
        <v>0</v>
      </c>
      <c r="N41" s="158"/>
      <c r="O41" s="134"/>
      <c r="P41" s="150">
        <f t="shared" si="24"/>
        <v>0</v>
      </c>
      <c r="Q41" s="158"/>
      <c r="R41" s="134"/>
      <c r="S41" s="150">
        <f t="shared" si="25"/>
        <v>0</v>
      </c>
      <c r="T41" s="158"/>
      <c r="U41" s="134"/>
      <c r="V41" s="150">
        <f t="shared" si="26"/>
        <v>0</v>
      </c>
      <c r="W41" s="496"/>
      <c r="X41" s="16">
        <f>F41+I41+L41+O41+R41+U41</f>
        <v>0</v>
      </c>
      <c r="Y41" s="8"/>
      <c r="Z41" s="8"/>
      <c r="AA41" s="8"/>
      <c r="AB41" s="8"/>
    </row>
    <row r="42" spans="1:28" ht="16.5" customHeight="1" thickBot="1" x14ac:dyDescent="0.3">
      <c r="A42" s="38">
        <f t="shared" si="14"/>
        <v>36</v>
      </c>
      <c r="B42" s="662"/>
      <c r="C42" s="667"/>
      <c r="D42" s="668"/>
      <c r="E42" s="132" t="s">
        <v>12</v>
      </c>
      <c r="F42" s="136"/>
      <c r="G42" s="152">
        <f t="shared" si="22"/>
        <v>0</v>
      </c>
      <c r="H42" s="160"/>
      <c r="I42" s="136"/>
      <c r="J42" s="152">
        <f t="shared" si="23"/>
        <v>0</v>
      </c>
      <c r="K42" s="160"/>
      <c r="L42" s="136"/>
      <c r="M42" s="152">
        <f t="shared" si="9"/>
        <v>0</v>
      </c>
      <c r="N42" s="160"/>
      <c r="O42" s="136"/>
      <c r="P42" s="152">
        <f t="shared" si="24"/>
        <v>0</v>
      </c>
      <c r="Q42" s="160"/>
      <c r="R42" s="136"/>
      <c r="S42" s="152">
        <f t="shared" si="25"/>
        <v>0</v>
      </c>
      <c r="T42" s="160"/>
      <c r="U42" s="136"/>
      <c r="V42" s="152">
        <f t="shared" si="26"/>
        <v>0</v>
      </c>
      <c r="W42" s="498"/>
      <c r="X42" s="25">
        <f>F42+I42+L42+O42+R42+U42</f>
        <v>0</v>
      </c>
      <c r="Y42" s="8"/>
      <c r="Z42" s="8"/>
      <c r="AA42" s="8"/>
      <c r="AB42" s="8"/>
    </row>
    <row r="43" spans="1:28" ht="16.5" thickBot="1" x14ac:dyDescent="0.3">
      <c r="A43" s="36"/>
      <c r="B43" s="26"/>
      <c r="C43" s="3"/>
      <c r="D43" s="3"/>
      <c r="E43" s="6"/>
      <c r="F43" s="27"/>
      <c r="G43" s="153"/>
      <c r="H43" s="156"/>
      <c r="I43" s="27"/>
      <c r="J43" s="156"/>
      <c r="K43" s="156"/>
      <c r="L43" s="27"/>
      <c r="M43" s="156"/>
      <c r="N43" s="156"/>
      <c r="O43" s="27"/>
      <c r="P43" s="156"/>
      <c r="Q43" s="156"/>
      <c r="R43" s="27"/>
      <c r="S43" s="156"/>
      <c r="T43" s="156"/>
      <c r="U43" s="27"/>
      <c r="V43" s="156"/>
      <c r="W43" s="156"/>
      <c r="X43" s="10"/>
      <c r="Y43" s="8"/>
      <c r="Z43" s="8"/>
      <c r="AA43" s="8"/>
      <c r="AB43" s="8"/>
    </row>
    <row r="44" spans="1:28" ht="19.5" thickBot="1" x14ac:dyDescent="0.35">
      <c r="A44" s="56">
        <f>A42+1</f>
        <v>37</v>
      </c>
      <c r="B44" s="656" t="s">
        <v>4</v>
      </c>
      <c r="C44" s="656"/>
      <c r="D44" s="656"/>
      <c r="E44" s="656"/>
      <c r="F44" s="57">
        <f>SUM(F6:F11)+SUM(F17:F33)+SUM(F39:F42)</f>
        <v>0</v>
      </c>
      <c r="G44" s="154">
        <f t="shared" ref="G44:G48" si="27">IF($X44=0,0,F44/$X44)</f>
        <v>0</v>
      </c>
      <c r="H44" s="157"/>
      <c r="I44" s="57">
        <f>SUM(I6:I11)+SUM(I17:I33)+SUM(I39:I42)</f>
        <v>0</v>
      </c>
      <c r="J44" s="154">
        <f t="shared" ref="J44:J48" si="28">IF($X44=0,0,I44/$X44)</f>
        <v>0</v>
      </c>
      <c r="K44" s="157"/>
      <c r="L44" s="57">
        <f>SUM(L6:L11)+SUM(L17:L33)+SUM(L39:L42)</f>
        <v>0</v>
      </c>
      <c r="M44" s="154">
        <f t="shared" si="9"/>
        <v>0</v>
      </c>
      <c r="N44" s="157"/>
      <c r="O44" s="57">
        <f>SUM(O6:O11)+SUM(O17:O33)+SUM(O39:O42)</f>
        <v>0</v>
      </c>
      <c r="P44" s="154">
        <f t="shared" ref="P44:P48" si="29">IF($X44=0,0,O44/$X44)</f>
        <v>0</v>
      </c>
      <c r="Q44" s="157"/>
      <c r="R44" s="57">
        <f>SUM(R6:R11)+SUM(R17:R33)+SUM(R39:R42)</f>
        <v>0</v>
      </c>
      <c r="S44" s="154">
        <f t="shared" ref="S44:S48" si="30">IF($X44=0,0,R44/$X44)</f>
        <v>0</v>
      </c>
      <c r="T44" s="157"/>
      <c r="U44" s="57">
        <f>SUM(U6:U11)+SUM(U17:U33)+SUM(U39:U42)</f>
        <v>0</v>
      </c>
      <c r="V44" s="154">
        <f t="shared" ref="V44:V48" si="31">IF($X44=0,0,U44/$X44)</f>
        <v>0</v>
      </c>
      <c r="W44" s="499"/>
      <c r="X44" s="58">
        <f>SUM(X6:X11)+SUM(X17:X33)+SUM(X39:X42)</f>
        <v>0</v>
      </c>
    </row>
    <row r="45" spans="1:28" outlineLevel="1" x14ac:dyDescent="0.3">
      <c r="A45" s="47">
        <f t="shared" si="14"/>
        <v>38</v>
      </c>
      <c r="B45" s="681" t="s">
        <v>5</v>
      </c>
      <c r="C45" s="681"/>
      <c r="D45" s="681"/>
      <c r="E45" s="681"/>
      <c r="F45" s="49">
        <f>F6+F9+F17+F19+F21+F23+F25+F27+F29+F39</f>
        <v>0</v>
      </c>
      <c r="G45" s="149">
        <f t="shared" si="27"/>
        <v>0</v>
      </c>
      <c r="H45" s="161"/>
      <c r="I45" s="49">
        <f>I6+I9+I17+I19+I21+I23+I25+I27+I29+I39</f>
        <v>0</v>
      </c>
      <c r="J45" s="149">
        <f t="shared" si="28"/>
        <v>0</v>
      </c>
      <c r="K45" s="161"/>
      <c r="L45" s="49">
        <f>L6+L9+L17+L19+L21+L23+L25+L27+L29+L39</f>
        <v>0</v>
      </c>
      <c r="M45" s="149">
        <f t="shared" si="9"/>
        <v>0</v>
      </c>
      <c r="N45" s="161"/>
      <c r="O45" s="49">
        <f>O6+O9+O17+O19+O21+O23+O25+O27+O29+O39</f>
        <v>0</v>
      </c>
      <c r="P45" s="149">
        <f t="shared" si="29"/>
        <v>0</v>
      </c>
      <c r="Q45" s="161"/>
      <c r="R45" s="49">
        <f>R6+R9+R17+R19+R21+R23+R25+R27+R29+R39</f>
        <v>0</v>
      </c>
      <c r="S45" s="149">
        <f t="shared" si="30"/>
        <v>0</v>
      </c>
      <c r="T45" s="161"/>
      <c r="U45" s="49">
        <f>U6+U9+U17+U19+U21+U23+U25+U27+U29+U39</f>
        <v>0</v>
      </c>
      <c r="V45" s="149">
        <f t="shared" si="31"/>
        <v>0</v>
      </c>
      <c r="W45" s="495"/>
      <c r="X45" s="480">
        <f>X6+X9+X17+X19+X21+X23+X25+X27+X29+X39</f>
        <v>0</v>
      </c>
    </row>
    <row r="46" spans="1:28" outlineLevel="1" x14ac:dyDescent="0.3">
      <c r="A46" s="37">
        <f t="shared" si="14"/>
        <v>39</v>
      </c>
      <c r="B46" s="652" t="s">
        <v>6</v>
      </c>
      <c r="C46" s="652"/>
      <c r="D46" s="652"/>
      <c r="E46" s="652"/>
      <c r="F46" s="17">
        <f>F7+F10+F18+F20+F22+F24+F26+F28+F30+F40</f>
        <v>0</v>
      </c>
      <c r="G46" s="150">
        <f t="shared" si="27"/>
        <v>0</v>
      </c>
      <c r="H46" s="158"/>
      <c r="I46" s="17">
        <f>I7+I10+I18+I20+I22+I24+I26+I28+I30+I40</f>
        <v>0</v>
      </c>
      <c r="J46" s="150">
        <f t="shared" si="28"/>
        <v>0</v>
      </c>
      <c r="K46" s="158"/>
      <c r="L46" s="17">
        <f>L7+L10+L18+L20+L22+L24+L26+L28+L30+L40</f>
        <v>0</v>
      </c>
      <c r="M46" s="150">
        <f t="shared" si="9"/>
        <v>0</v>
      </c>
      <c r="N46" s="158"/>
      <c r="O46" s="17">
        <f>O7+O10+O18+O20+O22+O24+O26+O28+O30+O40</f>
        <v>0</v>
      </c>
      <c r="P46" s="150">
        <f t="shared" si="29"/>
        <v>0</v>
      </c>
      <c r="Q46" s="158"/>
      <c r="R46" s="17">
        <f>R7+R10+R18+R20+R22+R24+R26+R28+R30+R40</f>
        <v>0</v>
      </c>
      <c r="S46" s="150">
        <f t="shared" si="30"/>
        <v>0</v>
      </c>
      <c r="T46" s="158"/>
      <c r="U46" s="17">
        <f>U7+U10+U18+U20+U22+U24+U26+U28+U30+U40</f>
        <v>0</v>
      </c>
      <c r="V46" s="150">
        <f t="shared" si="31"/>
        <v>0</v>
      </c>
      <c r="W46" s="496"/>
      <c r="X46" s="14">
        <f>X7+X10+X18+X20+X22+X24+X26+X28+X30+X40</f>
        <v>0</v>
      </c>
    </row>
    <row r="47" spans="1:28" outlineLevel="1" x14ac:dyDescent="0.3">
      <c r="A47" s="37">
        <f t="shared" si="14"/>
        <v>40</v>
      </c>
      <c r="B47" s="652" t="s">
        <v>7</v>
      </c>
      <c r="C47" s="652"/>
      <c r="D47" s="652"/>
      <c r="E47" s="652"/>
      <c r="F47" s="17">
        <f>F8+F11+F41</f>
        <v>0</v>
      </c>
      <c r="G47" s="150">
        <f t="shared" si="27"/>
        <v>0</v>
      </c>
      <c r="H47" s="158"/>
      <c r="I47" s="17">
        <f>I8+I11+I41</f>
        <v>0</v>
      </c>
      <c r="J47" s="150">
        <f t="shared" si="28"/>
        <v>0</v>
      </c>
      <c r="K47" s="158"/>
      <c r="L47" s="17">
        <f>L8+L11+L41</f>
        <v>0</v>
      </c>
      <c r="M47" s="150">
        <f t="shared" si="9"/>
        <v>0</v>
      </c>
      <c r="N47" s="158"/>
      <c r="O47" s="17">
        <f>O8+O11+O41</f>
        <v>0</v>
      </c>
      <c r="P47" s="150">
        <f t="shared" si="29"/>
        <v>0</v>
      </c>
      <c r="Q47" s="158"/>
      <c r="R47" s="17">
        <f>R8+R11+R41</f>
        <v>0</v>
      </c>
      <c r="S47" s="150">
        <f t="shared" si="30"/>
        <v>0</v>
      </c>
      <c r="T47" s="158"/>
      <c r="U47" s="17">
        <f>U8+U11+U41</f>
        <v>0</v>
      </c>
      <c r="V47" s="150">
        <f t="shared" si="31"/>
        <v>0</v>
      </c>
      <c r="W47" s="496"/>
      <c r="X47" s="14">
        <f>X8+X11+X41</f>
        <v>0</v>
      </c>
    </row>
    <row r="48" spans="1:28" ht="19.5" outlineLevel="1" thickBot="1" x14ac:dyDescent="0.35">
      <c r="A48" s="53">
        <f t="shared" si="14"/>
        <v>41</v>
      </c>
      <c r="B48" s="649" t="s">
        <v>8</v>
      </c>
      <c r="C48" s="649"/>
      <c r="D48" s="649"/>
      <c r="E48" s="649"/>
      <c r="F48" s="20">
        <f>F31+F32+F33+F42</f>
        <v>0</v>
      </c>
      <c r="G48" s="155">
        <f t="shared" si="27"/>
        <v>0</v>
      </c>
      <c r="H48" s="159"/>
      <c r="I48" s="20">
        <f>I31+I32+I33+I42</f>
        <v>0</v>
      </c>
      <c r="J48" s="155">
        <f t="shared" si="28"/>
        <v>0</v>
      </c>
      <c r="K48" s="159"/>
      <c r="L48" s="20">
        <f>L31+L32+L33+L42</f>
        <v>0</v>
      </c>
      <c r="M48" s="155">
        <f t="shared" si="9"/>
        <v>0</v>
      </c>
      <c r="N48" s="159"/>
      <c r="O48" s="20">
        <f>O31+O32+O33+O42</f>
        <v>0</v>
      </c>
      <c r="P48" s="155">
        <f t="shared" si="29"/>
        <v>0</v>
      </c>
      <c r="Q48" s="159"/>
      <c r="R48" s="20">
        <f>R31+R32+R33+R42</f>
        <v>0</v>
      </c>
      <c r="S48" s="155">
        <f t="shared" si="30"/>
        <v>0</v>
      </c>
      <c r="T48" s="159"/>
      <c r="U48" s="20">
        <f>U31+U32+U33+U42</f>
        <v>0</v>
      </c>
      <c r="V48" s="155">
        <f t="shared" si="31"/>
        <v>0</v>
      </c>
      <c r="W48" s="500"/>
      <c r="X48" s="15">
        <f>X31+X32+X33+X42</f>
        <v>0</v>
      </c>
    </row>
  </sheetData>
  <sheetProtection password="D8E9" sheet="1" objects="1" scenarios="1"/>
  <mergeCells count="35">
    <mergeCell ref="C39:D42"/>
    <mergeCell ref="C29:D30"/>
    <mergeCell ref="B45:E45"/>
    <mergeCell ref="B46:E46"/>
    <mergeCell ref="B47:E47"/>
    <mergeCell ref="B48:E48"/>
    <mergeCell ref="E1:X1"/>
    <mergeCell ref="B1:D1"/>
    <mergeCell ref="B3:D3"/>
    <mergeCell ref="E3:X3"/>
    <mergeCell ref="B37:E37"/>
    <mergeCell ref="B39:B42"/>
    <mergeCell ref="B44:E44"/>
    <mergeCell ref="C25:D26"/>
    <mergeCell ref="C27:D28"/>
    <mergeCell ref="C31:C32"/>
    <mergeCell ref="B34:E34"/>
    <mergeCell ref="B35:E35"/>
    <mergeCell ref="B36:E36"/>
    <mergeCell ref="B12:E12"/>
    <mergeCell ref="B13:E13"/>
    <mergeCell ref="C23:D24"/>
    <mergeCell ref="B17:B33"/>
    <mergeCell ref="C33:D33"/>
    <mergeCell ref="B2:D2"/>
    <mergeCell ref="E2:X2"/>
    <mergeCell ref="B4:D4"/>
    <mergeCell ref="B6:C11"/>
    <mergeCell ref="D6:D8"/>
    <mergeCell ref="D9:D11"/>
    <mergeCell ref="B14:E14"/>
    <mergeCell ref="B15:E15"/>
    <mergeCell ref="C17:D18"/>
    <mergeCell ref="C19:D20"/>
    <mergeCell ref="C21:D22"/>
  </mergeCells>
  <conditionalFormatting sqref="T1:T4 W1:W4 H1:H1048576 K1:K1048576 N1:N1048576 W6:W1048576 T6:T1048576 Q6:Q48">
    <cfRule type="cellIs" dxfId="328" priority="39" operator="lessThan">
      <formula>0</formula>
    </cfRule>
  </conditionalFormatting>
  <conditionalFormatting sqref="F6:P48 T6:X48">
    <cfRule type="cellIs" dxfId="327" priority="37" operator="lessThan">
      <formula>0</formula>
    </cfRule>
    <cfRule type="expression" dxfId="326" priority="38">
      <formula>ISTEXT(F6)</formula>
    </cfRule>
  </conditionalFormatting>
  <conditionalFormatting sqref="Q6:R11 Q16:S16 Q12:Q15 Q38:S38 Q34:Q37 Q17:R33 Q43:S43 Q39:R42 Q44:Q48">
    <cfRule type="cellIs" dxfId="325" priority="34" operator="lessThan">
      <formula>0</formula>
    </cfRule>
    <cfRule type="expression" dxfId="324" priority="35">
      <formula>ISTEXT(Q6)</formula>
    </cfRule>
  </conditionalFormatting>
  <conditionalFormatting sqref="Q4">
    <cfRule type="cellIs" dxfId="323" priority="33" operator="lessThan">
      <formula>0</formula>
    </cfRule>
  </conditionalFormatting>
  <conditionalFormatting sqref="R12:R15">
    <cfRule type="cellIs" dxfId="322" priority="31" operator="lessThan">
      <formula>0</formula>
    </cfRule>
    <cfRule type="expression" dxfId="321" priority="32">
      <formula>ISTEXT(R12)</formula>
    </cfRule>
  </conditionalFormatting>
  <conditionalFormatting sqref="S6:S11">
    <cfRule type="cellIs" dxfId="320" priority="29" operator="lessThan">
      <formula>0</formula>
    </cfRule>
    <cfRule type="expression" dxfId="319" priority="30">
      <formula>ISTEXT(S6)</formula>
    </cfRule>
  </conditionalFormatting>
  <conditionalFormatting sqref="S17:S32">
    <cfRule type="cellIs" dxfId="318" priority="25" operator="lessThan">
      <formula>0</formula>
    </cfRule>
    <cfRule type="expression" dxfId="317" priority="26">
      <formula>ISTEXT(S17)</formula>
    </cfRule>
  </conditionalFormatting>
  <conditionalFormatting sqref="S39:S42">
    <cfRule type="cellIs" dxfId="316" priority="23" operator="lessThan">
      <formula>0</formula>
    </cfRule>
    <cfRule type="expression" dxfId="315" priority="24">
      <formula>ISTEXT(S39)</formula>
    </cfRule>
  </conditionalFormatting>
  <conditionalFormatting sqref="R44 R47">
    <cfRule type="cellIs" dxfId="314" priority="21" operator="lessThan">
      <formula>0</formula>
    </cfRule>
    <cfRule type="expression" dxfId="313" priority="22">
      <formula>ISTEXT(R44)</formula>
    </cfRule>
  </conditionalFormatting>
  <conditionalFormatting sqref="S44:S48">
    <cfRule type="cellIs" dxfId="312" priority="19" operator="lessThan">
      <formula>0</formula>
    </cfRule>
    <cfRule type="expression" dxfId="311" priority="20">
      <formula>ISTEXT(S44)</formula>
    </cfRule>
  </conditionalFormatting>
  <conditionalFormatting sqref="S34:S37">
    <cfRule type="cellIs" dxfId="310" priority="17" operator="lessThan">
      <formula>0</formula>
    </cfRule>
    <cfRule type="expression" dxfId="309" priority="18">
      <formula>ISTEXT(S34)</formula>
    </cfRule>
  </conditionalFormatting>
  <conditionalFormatting sqref="S12:S15">
    <cfRule type="cellIs" dxfId="308" priority="15" operator="lessThan">
      <formula>0</formula>
    </cfRule>
    <cfRule type="expression" dxfId="307" priority="16">
      <formula>ISTEXT(S12)</formula>
    </cfRule>
  </conditionalFormatting>
  <conditionalFormatting sqref="R37">
    <cfRule type="cellIs" dxfId="306" priority="13" operator="lessThan">
      <formula>0</formula>
    </cfRule>
    <cfRule type="expression" dxfId="305" priority="14">
      <formula>ISTEXT(R37)</formula>
    </cfRule>
  </conditionalFormatting>
  <conditionalFormatting sqref="S33">
    <cfRule type="cellIs" dxfId="304" priority="11" operator="lessThan">
      <formula>0</formula>
    </cfRule>
    <cfRule type="expression" dxfId="303" priority="12">
      <formula>ISTEXT(S33)</formula>
    </cfRule>
  </conditionalFormatting>
  <conditionalFormatting sqref="R48">
    <cfRule type="cellIs" dxfId="302" priority="9" operator="lessThan">
      <formula>0</formula>
    </cfRule>
    <cfRule type="expression" dxfId="301" priority="10">
      <formula>ISTEXT(R48)</formula>
    </cfRule>
  </conditionalFormatting>
  <conditionalFormatting sqref="R35:R36">
    <cfRule type="cellIs" dxfId="300" priority="7" operator="lessThan">
      <formula>0</formula>
    </cfRule>
    <cfRule type="expression" dxfId="299" priority="8">
      <formula>ISTEXT(R35)</formula>
    </cfRule>
  </conditionalFormatting>
  <conditionalFormatting sqref="R45">
    <cfRule type="cellIs" dxfId="298" priority="5" operator="lessThan">
      <formula>0</formula>
    </cfRule>
    <cfRule type="expression" dxfId="297" priority="6">
      <formula>ISTEXT(R45)</formula>
    </cfRule>
  </conditionalFormatting>
  <conditionalFormatting sqref="R46">
    <cfRule type="cellIs" dxfId="296" priority="3" operator="lessThan">
      <formula>0</formula>
    </cfRule>
    <cfRule type="expression" dxfId="295" priority="4">
      <formula>ISTEXT(R46)</formula>
    </cfRule>
  </conditionalFormatting>
  <conditionalFormatting sqref="R34">
    <cfRule type="cellIs" dxfId="294" priority="1" operator="lessThan">
      <formula>0</formula>
    </cfRule>
    <cfRule type="expression" dxfId="293" priority="2">
      <formula>ISTEXT(R34)</formula>
    </cfRule>
  </conditionalFormatting>
  <pageMargins left="0.51181102362204722" right="0.51181102362204722" top="0.74803149606299213" bottom="0.74803149606299213" header="0.31496062992125984" footer="0.31496062992125984"/>
  <pageSetup paperSize="9" scale="37"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E84"/>
  <sheetViews>
    <sheetView tabSelected="1" topLeftCell="A25" zoomScale="80" zoomScaleNormal="80" workbookViewId="0">
      <selection activeCell="B40" sqref="B40:B53"/>
    </sheetView>
  </sheetViews>
  <sheetFormatPr defaultRowHeight="15" x14ac:dyDescent="0.25"/>
  <cols>
    <col min="1" max="1" width="3.85546875" bestFit="1" customWidth="1"/>
    <col min="2" max="2" width="41.140625" customWidth="1"/>
    <col min="3" max="3" width="54.28515625" customWidth="1"/>
    <col min="4" max="4" width="94.85546875" customWidth="1"/>
    <col min="5" max="5" width="9.140625" customWidth="1"/>
  </cols>
  <sheetData>
    <row r="1" spans="1:5" ht="21" x14ac:dyDescent="0.35">
      <c r="A1" s="8"/>
      <c r="B1" s="457" t="s">
        <v>20</v>
      </c>
      <c r="C1" s="40" t="s">
        <v>268</v>
      </c>
      <c r="D1" s="40"/>
      <c r="E1" s="40"/>
    </row>
    <row r="2" spans="1:5" ht="21" x14ac:dyDescent="0.35">
      <c r="A2" s="8"/>
      <c r="B2" s="457"/>
      <c r="C2" s="545" t="s">
        <v>1685</v>
      </c>
      <c r="D2" s="555"/>
      <c r="E2" s="40"/>
    </row>
    <row r="3" spans="1:5" ht="21.75" thickBot="1" x14ac:dyDescent="0.3">
      <c r="A3" s="554"/>
      <c r="B3" s="8"/>
      <c r="C3" s="545" t="s">
        <v>88</v>
      </c>
      <c r="D3" s="617"/>
    </row>
    <row r="4" spans="1:5" ht="15.75" x14ac:dyDescent="0.25">
      <c r="A4" s="73" t="s">
        <v>3</v>
      </c>
      <c r="B4" s="685" t="s">
        <v>7443</v>
      </c>
      <c r="C4" s="686"/>
      <c r="D4" s="50" t="s">
        <v>7442</v>
      </c>
    </row>
    <row r="5" spans="1:5" x14ac:dyDescent="0.25">
      <c r="A5" s="87">
        <v>1</v>
      </c>
      <c r="B5" s="603">
        <f>A5+1</f>
        <v>2</v>
      </c>
      <c r="C5" s="41">
        <f t="shared" ref="C5:D5" si="0">B5+1</f>
        <v>3</v>
      </c>
      <c r="D5" s="553">
        <f t="shared" si="0"/>
        <v>4</v>
      </c>
    </row>
    <row r="6" spans="1:5" ht="15.75" x14ac:dyDescent="0.25">
      <c r="A6" s="87">
        <f>A5+1</f>
        <v>2</v>
      </c>
      <c r="B6" s="604" t="s">
        <v>54</v>
      </c>
      <c r="C6" s="30" t="s">
        <v>30</v>
      </c>
      <c r="D6" s="138"/>
    </row>
    <row r="7" spans="1:5" s="67" customFormat="1" ht="16.5" thickBot="1" x14ac:dyDescent="0.3">
      <c r="A7" s="87">
        <f t="shared" ref="A7:A70" si="1">A6+1</f>
        <v>3</v>
      </c>
      <c r="B7" s="605" t="s">
        <v>68</v>
      </c>
      <c r="C7" s="102"/>
      <c r="D7" s="173"/>
      <c r="E7" s="174"/>
    </row>
    <row r="8" spans="1:5" ht="15.75" x14ac:dyDescent="0.25">
      <c r="A8" s="87">
        <f t="shared" si="1"/>
        <v>4</v>
      </c>
      <c r="B8" s="606" t="s">
        <v>55</v>
      </c>
      <c r="C8" s="103" t="s">
        <v>3637</v>
      </c>
      <c r="D8" s="140"/>
    </row>
    <row r="9" spans="1:5" ht="15.75" x14ac:dyDescent="0.25">
      <c r="A9" s="87">
        <f>A8+1</f>
        <v>5</v>
      </c>
      <c r="B9" s="682" t="s">
        <v>1696</v>
      </c>
      <c r="C9" s="30" t="s">
        <v>1692</v>
      </c>
      <c r="D9" s="138"/>
    </row>
    <row r="10" spans="1:5" ht="15.75" x14ac:dyDescent="0.25">
      <c r="A10" s="87">
        <f t="shared" si="1"/>
        <v>6</v>
      </c>
      <c r="B10" s="682"/>
      <c r="C10" s="30" t="s">
        <v>1693</v>
      </c>
      <c r="D10" s="138"/>
    </row>
    <row r="11" spans="1:5" ht="15.75" x14ac:dyDescent="0.25">
      <c r="A11" s="87">
        <f t="shared" si="1"/>
        <v>7</v>
      </c>
      <c r="B11" s="682"/>
      <c r="C11" s="30" t="s">
        <v>1695</v>
      </c>
      <c r="D11" s="138"/>
    </row>
    <row r="12" spans="1:5" ht="15.75" x14ac:dyDescent="0.25">
      <c r="A12" s="87">
        <f t="shared" si="1"/>
        <v>8</v>
      </c>
      <c r="B12" s="682"/>
      <c r="C12" s="30" t="s">
        <v>1694</v>
      </c>
      <c r="D12" s="138"/>
    </row>
    <row r="13" spans="1:5" ht="15.75" x14ac:dyDescent="0.25">
      <c r="A13" s="87">
        <f t="shared" si="1"/>
        <v>9</v>
      </c>
      <c r="B13" s="682"/>
      <c r="C13" s="30" t="s">
        <v>1690</v>
      </c>
      <c r="D13" s="138"/>
    </row>
    <row r="14" spans="1:5" ht="16.5" thickBot="1" x14ac:dyDescent="0.3">
      <c r="A14" s="87">
        <f t="shared" si="1"/>
        <v>10</v>
      </c>
      <c r="B14" s="683"/>
      <c r="C14" s="101" t="s">
        <v>1691</v>
      </c>
      <c r="D14" s="142"/>
    </row>
    <row r="15" spans="1:5" s="67" customFormat="1" ht="15.75" x14ac:dyDescent="0.25">
      <c r="A15" s="87">
        <f t="shared" si="1"/>
        <v>11</v>
      </c>
      <c r="B15" s="687" t="s">
        <v>68</v>
      </c>
      <c r="C15" s="464" t="s">
        <v>79</v>
      </c>
      <c r="D15" s="465"/>
    </row>
    <row r="16" spans="1:5" s="67" customFormat="1" ht="15.75" x14ac:dyDescent="0.25">
      <c r="A16" s="87">
        <f>A15+1</f>
        <v>12</v>
      </c>
      <c r="B16" s="688"/>
      <c r="C16" s="30" t="s">
        <v>1697</v>
      </c>
      <c r="D16" s="487">
        <f>IF(D9=0,0,'1-к'!$X45/D9)</f>
        <v>0</v>
      </c>
    </row>
    <row r="17" spans="1:4" s="67" customFormat="1" ht="15.75" x14ac:dyDescent="0.25">
      <c r="A17" s="87">
        <f t="shared" si="1"/>
        <v>13</v>
      </c>
      <c r="B17" s="688"/>
      <c r="C17" s="30" t="s">
        <v>1698</v>
      </c>
      <c r="D17" s="487">
        <f>IF(D10=0,0,'1-к'!$X46/D10)</f>
        <v>0</v>
      </c>
    </row>
    <row r="18" spans="1:4" s="67" customFormat="1" ht="15.75" x14ac:dyDescent="0.25">
      <c r="A18" s="87">
        <f t="shared" si="1"/>
        <v>14</v>
      </c>
      <c r="B18" s="688"/>
      <c r="C18" s="30" t="s">
        <v>1700</v>
      </c>
      <c r="D18" s="487">
        <f>IF(D11=0,0,'1-к'!$X47/D11)</f>
        <v>0</v>
      </c>
    </row>
    <row r="19" spans="1:4" s="67" customFormat="1" ht="15.75" x14ac:dyDescent="0.25">
      <c r="A19" s="87">
        <f t="shared" si="1"/>
        <v>15</v>
      </c>
      <c r="B19" s="688"/>
      <c r="C19" s="30" t="s">
        <v>1699</v>
      </c>
      <c r="D19" s="487">
        <f>IF(D12=0,0,'1-к'!$X48/D12)</f>
        <v>0</v>
      </c>
    </row>
    <row r="20" spans="1:4" s="67" customFormat="1" ht="15.75" x14ac:dyDescent="0.25">
      <c r="A20" s="87">
        <f t="shared" si="1"/>
        <v>16</v>
      </c>
      <c r="B20" s="688"/>
      <c r="C20" s="30" t="s">
        <v>1701</v>
      </c>
      <c r="D20" s="487">
        <f>IF(D13=0,0,'1-к'!$F$44/D13)</f>
        <v>0</v>
      </c>
    </row>
    <row r="21" spans="1:4" s="67" customFormat="1" ht="16.5" thickBot="1" x14ac:dyDescent="0.3">
      <c r="A21" s="87">
        <f t="shared" si="1"/>
        <v>17</v>
      </c>
      <c r="B21" s="689"/>
      <c r="C21" s="101" t="s">
        <v>1702</v>
      </c>
      <c r="D21" s="488">
        <f>IF(D14=0,0,('2-к'!$F$44+'2-к'!$I$44)/D14)</f>
        <v>0</v>
      </c>
    </row>
    <row r="22" spans="1:4" ht="15.75" x14ac:dyDescent="0.25">
      <c r="A22" s="87">
        <f t="shared" si="1"/>
        <v>18</v>
      </c>
      <c r="B22" s="607" t="s">
        <v>56</v>
      </c>
      <c r="C22" s="466"/>
      <c r="D22" s="140"/>
    </row>
    <row r="23" spans="1:4" s="67" customFormat="1" ht="15.75" x14ac:dyDescent="0.25">
      <c r="A23" s="87">
        <f t="shared" si="1"/>
        <v>19</v>
      </c>
      <c r="B23" s="608" t="s">
        <v>68</v>
      </c>
      <c r="C23" s="76"/>
      <c r="D23" s="171"/>
    </row>
    <row r="24" spans="1:4" s="67" customFormat="1" ht="15.75" x14ac:dyDescent="0.25">
      <c r="A24" s="87">
        <f t="shared" si="1"/>
        <v>20</v>
      </c>
      <c r="B24" s="609" t="s">
        <v>80</v>
      </c>
      <c r="C24" s="86" t="s">
        <v>91</v>
      </c>
      <c r="D24" s="145"/>
    </row>
    <row r="25" spans="1:4" s="67" customFormat="1" ht="15.75" x14ac:dyDescent="0.25">
      <c r="A25" s="87">
        <f t="shared" si="1"/>
        <v>21</v>
      </c>
      <c r="B25" s="608" t="s">
        <v>68</v>
      </c>
      <c r="C25" s="76"/>
      <c r="D25" s="171"/>
    </row>
    <row r="26" spans="1:4" s="67" customFormat="1" ht="15.75" x14ac:dyDescent="0.25">
      <c r="A26" s="87">
        <f t="shared" si="1"/>
        <v>22</v>
      </c>
      <c r="B26" s="609" t="s">
        <v>81</v>
      </c>
      <c r="C26" s="85"/>
      <c r="D26" s="145"/>
    </row>
    <row r="27" spans="1:4" s="67" customFormat="1" ht="15.75" x14ac:dyDescent="0.25">
      <c r="A27" s="87">
        <f t="shared" si="1"/>
        <v>23</v>
      </c>
      <c r="B27" s="609" t="s">
        <v>82</v>
      </c>
      <c r="C27" s="86" t="s">
        <v>91</v>
      </c>
      <c r="D27" s="145"/>
    </row>
    <row r="28" spans="1:4" s="67" customFormat="1" ht="15.75" x14ac:dyDescent="0.25">
      <c r="A28" s="87">
        <f t="shared" si="1"/>
        <v>24</v>
      </c>
      <c r="B28" s="608" t="s">
        <v>68</v>
      </c>
      <c r="C28" s="76"/>
      <c r="D28" s="171"/>
    </row>
    <row r="29" spans="1:4" s="67" customFormat="1" ht="15.75" x14ac:dyDescent="0.25">
      <c r="A29" s="87">
        <f t="shared" si="1"/>
        <v>25</v>
      </c>
      <c r="B29" s="609" t="s">
        <v>83</v>
      </c>
      <c r="C29" s="85"/>
      <c r="D29" s="145"/>
    </row>
    <row r="30" spans="1:4" ht="15.75" x14ac:dyDescent="0.25">
      <c r="A30" s="87">
        <f t="shared" si="1"/>
        <v>26</v>
      </c>
      <c r="B30" s="610" t="s">
        <v>89</v>
      </c>
      <c r="C30" s="30" t="s">
        <v>30</v>
      </c>
      <c r="D30" s="138"/>
    </row>
    <row r="31" spans="1:4" s="67" customFormat="1" ht="15.75" x14ac:dyDescent="0.25">
      <c r="A31" s="87">
        <f t="shared" si="1"/>
        <v>27</v>
      </c>
      <c r="B31" s="608" t="s">
        <v>68</v>
      </c>
      <c r="C31" s="77"/>
      <c r="D31" s="171"/>
    </row>
    <row r="32" spans="1:4" ht="15.75" x14ac:dyDescent="0.25">
      <c r="A32" s="87">
        <f t="shared" si="1"/>
        <v>28</v>
      </c>
      <c r="B32" s="610" t="s">
        <v>90</v>
      </c>
      <c r="C32" s="30" t="s">
        <v>30</v>
      </c>
      <c r="D32" s="138"/>
    </row>
    <row r="33" spans="1:4" s="67" customFormat="1" ht="16.5" thickBot="1" x14ac:dyDescent="0.3">
      <c r="A33" s="87">
        <f t="shared" si="1"/>
        <v>29</v>
      </c>
      <c r="B33" s="605" t="s">
        <v>68</v>
      </c>
      <c r="C33" s="601"/>
      <c r="D33" s="173"/>
    </row>
    <row r="34" spans="1:4" ht="15.75" x14ac:dyDescent="0.25">
      <c r="A34" s="87">
        <f t="shared" si="1"/>
        <v>30</v>
      </c>
      <c r="B34" s="684" t="s">
        <v>24</v>
      </c>
      <c r="C34" s="564" t="s">
        <v>27</v>
      </c>
      <c r="D34" s="140"/>
    </row>
    <row r="35" spans="1:4" ht="15.75" x14ac:dyDescent="0.25">
      <c r="A35" s="87">
        <f t="shared" si="1"/>
        <v>31</v>
      </c>
      <c r="B35" s="682"/>
      <c r="C35" s="30" t="s">
        <v>70</v>
      </c>
      <c r="D35" s="138"/>
    </row>
    <row r="36" spans="1:4" ht="15.75" x14ac:dyDescent="0.25">
      <c r="A36" s="87">
        <f t="shared" si="1"/>
        <v>32</v>
      </c>
      <c r="B36" s="682"/>
      <c r="C36" s="30" t="s">
        <v>71</v>
      </c>
      <c r="D36" s="138"/>
    </row>
    <row r="37" spans="1:4" ht="15.75" x14ac:dyDescent="0.25">
      <c r="A37" s="87">
        <f t="shared" si="1"/>
        <v>33</v>
      </c>
      <c r="B37" s="682"/>
      <c r="C37" s="30" t="s">
        <v>73</v>
      </c>
      <c r="D37" s="138"/>
    </row>
    <row r="38" spans="1:4" ht="15.75" x14ac:dyDescent="0.25">
      <c r="A38" s="87">
        <f t="shared" si="1"/>
        <v>34</v>
      </c>
      <c r="B38" s="682"/>
      <c r="C38" s="30" t="s">
        <v>72</v>
      </c>
      <c r="D38" s="138"/>
    </row>
    <row r="39" spans="1:4" ht="16.5" thickBot="1" x14ac:dyDescent="0.3">
      <c r="A39" s="87">
        <f t="shared" si="1"/>
        <v>35</v>
      </c>
      <c r="B39" s="683"/>
      <c r="C39" s="101" t="s">
        <v>7457</v>
      </c>
      <c r="D39" s="142"/>
    </row>
    <row r="40" spans="1:4" ht="15.75" x14ac:dyDescent="0.25">
      <c r="A40" s="87">
        <f t="shared" si="1"/>
        <v>36</v>
      </c>
      <c r="B40" s="682" t="s">
        <v>7466</v>
      </c>
      <c r="C40" s="264" t="s">
        <v>27</v>
      </c>
      <c r="D40" s="602"/>
    </row>
    <row r="41" spans="1:4" ht="15.75" x14ac:dyDescent="0.25">
      <c r="A41" s="87">
        <f t="shared" si="1"/>
        <v>37</v>
      </c>
      <c r="B41" s="682"/>
      <c r="C41" s="65" t="s">
        <v>106</v>
      </c>
      <c r="D41" s="104" t="e">
        <f>D40/D8</f>
        <v>#DIV/0!</v>
      </c>
    </row>
    <row r="42" spans="1:4" ht="15.75" x14ac:dyDescent="0.25">
      <c r="A42" s="87">
        <f t="shared" si="1"/>
        <v>38</v>
      </c>
      <c r="B42" s="682"/>
      <c r="C42" s="563" t="s">
        <v>70</v>
      </c>
      <c r="D42" s="147"/>
    </row>
    <row r="43" spans="1:4" ht="15.75" x14ac:dyDescent="0.25">
      <c r="A43" s="87">
        <f t="shared" si="1"/>
        <v>39</v>
      </c>
      <c r="B43" s="682"/>
      <c r="C43" s="65" t="s">
        <v>106</v>
      </c>
      <c r="D43" s="104" t="e">
        <f>D42/((D9+'1-к'!$X$45)/2)</f>
        <v>#DIV/0!</v>
      </c>
    </row>
    <row r="44" spans="1:4" ht="15.75" x14ac:dyDescent="0.25">
      <c r="A44" s="87">
        <f t="shared" si="1"/>
        <v>40</v>
      </c>
      <c r="B44" s="682"/>
      <c r="C44" s="563" t="s">
        <v>71</v>
      </c>
      <c r="D44" s="147"/>
    </row>
    <row r="45" spans="1:4" ht="15.75" x14ac:dyDescent="0.25">
      <c r="A45" s="87">
        <f t="shared" si="1"/>
        <v>41</v>
      </c>
      <c r="B45" s="682"/>
      <c r="C45" s="65" t="s">
        <v>106</v>
      </c>
      <c r="D45" s="104" t="e">
        <f>D44/((D10+'1-к'!$X$46)/2)</f>
        <v>#DIV/0!</v>
      </c>
    </row>
    <row r="46" spans="1:4" ht="15.75" x14ac:dyDescent="0.25">
      <c r="A46" s="87">
        <f t="shared" si="1"/>
        <v>42</v>
      </c>
      <c r="B46" s="682"/>
      <c r="C46" s="563" t="s">
        <v>73</v>
      </c>
      <c r="D46" s="147"/>
    </row>
    <row r="47" spans="1:4" ht="15.75" x14ac:dyDescent="0.25">
      <c r="A47" s="87">
        <f t="shared" si="1"/>
        <v>43</v>
      </c>
      <c r="B47" s="682"/>
      <c r="C47" s="65" t="s">
        <v>106</v>
      </c>
      <c r="D47" s="104" t="e">
        <f>D46/((D11+'1-к'!$X$47)/2)</f>
        <v>#DIV/0!</v>
      </c>
    </row>
    <row r="48" spans="1:4" ht="15.75" x14ac:dyDescent="0.25">
      <c r="A48" s="87">
        <f t="shared" si="1"/>
        <v>44</v>
      </c>
      <c r="B48" s="682"/>
      <c r="C48" s="563" t="s">
        <v>72</v>
      </c>
      <c r="D48" s="147"/>
    </row>
    <row r="49" spans="1:4" ht="15.75" x14ac:dyDescent="0.25">
      <c r="A49" s="87">
        <f t="shared" si="1"/>
        <v>45</v>
      </c>
      <c r="B49" s="682"/>
      <c r="C49" s="65" t="s">
        <v>106</v>
      </c>
      <c r="D49" s="104" t="e">
        <f>D48/((D12+'1-к'!$X$48)/2)</f>
        <v>#DIV/0!</v>
      </c>
    </row>
    <row r="50" spans="1:4" ht="15.75" x14ac:dyDescent="0.25">
      <c r="A50" s="87">
        <f t="shared" si="1"/>
        <v>46</v>
      </c>
      <c r="B50" s="682"/>
      <c r="C50" s="563" t="s">
        <v>102</v>
      </c>
      <c r="D50" s="147"/>
    </row>
    <row r="51" spans="1:4" ht="15.75" x14ac:dyDescent="0.25">
      <c r="A51" s="87">
        <f t="shared" si="1"/>
        <v>47</v>
      </c>
      <c r="B51" s="682"/>
      <c r="C51" s="65" t="s">
        <v>106</v>
      </c>
      <c r="D51" s="104" t="e">
        <f>D50/((D13+'1-к'!$F$44)/2)</f>
        <v>#DIV/0!</v>
      </c>
    </row>
    <row r="52" spans="1:4" ht="15.75" x14ac:dyDescent="0.25">
      <c r="A52" s="87">
        <f t="shared" si="1"/>
        <v>48</v>
      </c>
      <c r="B52" s="682"/>
      <c r="C52" s="563" t="s">
        <v>103</v>
      </c>
      <c r="D52" s="147"/>
    </row>
    <row r="53" spans="1:4" ht="16.5" thickBot="1" x14ac:dyDescent="0.3">
      <c r="A53" s="87">
        <f t="shared" si="1"/>
        <v>49</v>
      </c>
      <c r="B53" s="683"/>
      <c r="C53" s="100" t="s">
        <v>106</v>
      </c>
      <c r="D53" s="105" t="e">
        <f>D52/((D14+'2-к'!$F$44+'2-к'!$I$44)/2)</f>
        <v>#DIV/0!</v>
      </c>
    </row>
    <row r="54" spans="1:4" ht="15.75" x14ac:dyDescent="0.25">
      <c r="A54" s="87">
        <f t="shared" si="1"/>
        <v>50</v>
      </c>
      <c r="B54" s="684" t="s">
        <v>1631</v>
      </c>
      <c r="C54" s="564" t="s">
        <v>27</v>
      </c>
      <c r="D54" s="146"/>
    </row>
    <row r="55" spans="1:4" ht="15.75" x14ac:dyDescent="0.25">
      <c r="A55" s="87">
        <f t="shared" si="1"/>
        <v>51</v>
      </c>
      <c r="B55" s="682"/>
      <c r="C55" s="65" t="s">
        <v>107</v>
      </c>
      <c r="D55" s="104" t="e">
        <f>D54/D8</f>
        <v>#DIV/0!</v>
      </c>
    </row>
    <row r="56" spans="1:4" ht="15.75" x14ac:dyDescent="0.25">
      <c r="A56" s="87">
        <f t="shared" si="1"/>
        <v>52</v>
      </c>
      <c r="B56" s="682"/>
      <c r="C56" s="563" t="s">
        <v>70</v>
      </c>
      <c r="D56" s="147"/>
    </row>
    <row r="57" spans="1:4" ht="15.75" x14ac:dyDescent="0.25">
      <c r="A57" s="87">
        <f t="shared" si="1"/>
        <v>53</v>
      </c>
      <c r="B57" s="682"/>
      <c r="C57" s="65" t="s">
        <v>107</v>
      </c>
      <c r="D57" s="104" t="e">
        <f>D56/((D9+'1-к'!$X$45)/2)</f>
        <v>#DIV/0!</v>
      </c>
    </row>
    <row r="58" spans="1:4" ht="15.75" x14ac:dyDescent="0.25">
      <c r="A58" s="87">
        <f t="shared" si="1"/>
        <v>54</v>
      </c>
      <c r="B58" s="682"/>
      <c r="C58" s="563" t="s">
        <v>71</v>
      </c>
      <c r="D58" s="147"/>
    </row>
    <row r="59" spans="1:4" ht="15.75" x14ac:dyDescent="0.25">
      <c r="A59" s="87">
        <f t="shared" si="1"/>
        <v>55</v>
      </c>
      <c r="B59" s="682"/>
      <c r="C59" s="65" t="s">
        <v>107</v>
      </c>
      <c r="D59" s="104" t="e">
        <f>D58/((D10+'1-к'!$X$46)/2)</f>
        <v>#DIV/0!</v>
      </c>
    </row>
    <row r="60" spans="1:4" ht="15.75" x14ac:dyDescent="0.25">
      <c r="A60" s="87">
        <f t="shared" si="1"/>
        <v>56</v>
      </c>
      <c r="B60" s="682"/>
      <c r="C60" s="563" t="s">
        <v>73</v>
      </c>
      <c r="D60" s="147"/>
    </row>
    <row r="61" spans="1:4" ht="15.75" x14ac:dyDescent="0.25">
      <c r="A61" s="87">
        <f t="shared" si="1"/>
        <v>57</v>
      </c>
      <c r="B61" s="682"/>
      <c r="C61" s="65" t="s">
        <v>107</v>
      </c>
      <c r="D61" s="104" t="e">
        <f>D60/((D11+'1-к'!$X$47)/2)</f>
        <v>#DIV/0!</v>
      </c>
    </row>
    <row r="62" spans="1:4" ht="15.75" x14ac:dyDescent="0.25">
      <c r="A62" s="87">
        <f t="shared" si="1"/>
        <v>58</v>
      </c>
      <c r="B62" s="682"/>
      <c r="C62" s="563" t="s">
        <v>72</v>
      </c>
      <c r="D62" s="147"/>
    </row>
    <row r="63" spans="1:4" ht="15.75" x14ac:dyDescent="0.25">
      <c r="A63" s="87">
        <f t="shared" si="1"/>
        <v>59</v>
      </c>
      <c r="B63" s="682"/>
      <c r="C63" s="65" t="s">
        <v>107</v>
      </c>
      <c r="D63" s="104" t="e">
        <f>D62/((D12+'1-к'!$X$48)/2)</f>
        <v>#DIV/0!</v>
      </c>
    </row>
    <row r="64" spans="1:4" ht="15.75" x14ac:dyDescent="0.25">
      <c r="A64" s="87">
        <f t="shared" si="1"/>
        <v>60</v>
      </c>
      <c r="B64" s="682"/>
      <c r="C64" s="563" t="s">
        <v>104</v>
      </c>
      <c r="D64" s="147"/>
    </row>
    <row r="65" spans="1:4" ht="15.75" x14ac:dyDescent="0.25">
      <c r="A65" s="87">
        <f t="shared" si="1"/>
        <v>61</v>
      </c>
      <c r="B65" s="682"/>
      <c r="C65" s="65" t="s">
        <v>107</v>
      </c>
      <c r="D65" s="104" t="e">
        <f>D64/((D13+'1-к'!$F$44)/2)</f>
        <v>#DIV/0!</v>
      </c>
    </row>
    <row r="66" spans="1:4" ht="15.75" x14ac:dyDescent="0.25">
      <c r="A66" s="87">
        <f t="shared" si="1"/>
        <v>62</v>
      </c>
      <c r="B66" s="682"/>
      <c r="C66" s="563" t="s">
        <v>105</v>
      </c>
      <c r="D66" s="147"/>
    </row>
    <row r="67" spans="1:4" ht="16.5" thickBot="1" x14ac:dyDescent="0.3">
      <c r="A67" s="87">
        <f t="shared" si="1"/>
        <v>63</v>
      </c>
      <c r="B67" s="683"/>
      <c r="C67" s="100" t="s">
        <v>107</v>
      </c>
      <c r="D67" s="105" t="e">
        <f>D66/((D14+'2-к'!$F$44+'2-к'!$I$44)/2)</f>
        <v>#DIV/0!</v>
      </c>
    </row>
    <row r="68" spans="1:4" ht="15.75" x14ac:dyDescent="0.25">
      <c r="A68" s="87">
        <f t="shared" si="1"/>
        <v>64</v>
      </c>
      <c r="B68" s="684" t="s">
        <v>262</v>
      </c>
      <c r="C68" s="562" t="s">
        <v>74</v>
      </c>
      <c r="D68" s="169"/>
    </row>
    <row r="69" spans="1:4" ht="15.75" x14ac:dyDescent="0.25">
      <c r="A69" s="87">
        <f t="shared" si="1"/>
        <v>65</v>
      </c>
      <c r="B69" s="682"/>
      <c r="C69" s="66" t="s">
        <v>68</v>
      </c>
      <c r="D69" s="171"/>
    </row>
    <row r="70" spans="1:4" ht="15.75" x14ac:dyDescent="0.25">
      <c r="A70" s="87">
        <f t="shared" si="1"/>
        <v>66</v>
      </c>
      <c r="B70" s="682"/>
      <c r="C70" s="563" t="s">
        <v>75</v>
      </c>
      <c r="D70" s="170"/>
    </row>
    <row r="71" spans="1:4" ht="15.75" x14ac:dyDescent="0.25">
      <c r="A71" s="87">
        <f t="shared" ref="A71:A84" si="2">A70+1</f>
        <v>67</v>
      </c>
      <c r="B71" s="682"/>
      <c r="C71" s="66" t="s">
        <v>68</v>
      </c>
      <c r="D71" s="171"/>
    </row>
    <row r="72" spans="1:4" ht="15.75" x14ac:dyDescent="0.25">
      <c r="A72" s="87">
        <f t="shared" si="2"/>
        <v>68</v>
      </c>
      <c r="B72" s="682"/>
      <c r="C72" s="563" t="s">
        <v>76</v>
      </c>
      <c r="D72" s="170"/>
    </row>
    <row r="73" spans="1:4" ht="15.75" x14ac:dyDescent="0.25">
      <c r="A73" s="87">
        <f t="shared" si="2"/>
        <v>69</v>
      </c>
      <c r="B73" s="682"/>
      <c r="C73" s="66" t="s">
        <v>68</v>
      </c>
      <c r="D73" s="171"/>
    </row>
    <row r="74" spans="1:4" ht="15.75" x14ac:dyDescent="0.25">
      <c r="A74" s="87">
        <f t="shared" si="2"/>
        <v>70</v>
      </c>
      <c r="B74" s="682"/>
      <c r="C74" s="563" t="s">
        <v>78</v>
      </c>
      <c r="D74" s="170"/>
    </row>
    <row r="75" spans="1:4" ht="16.5" thickBot="1" x14ac:dyDescent="0.3">
      <c r="A75" s="87">
        <f t="shared" si="2"/>
        <v>71</v>
      </c>
      <c r="B75" s="682"/>
      <c r="C75" s="78" t="s">
        <v>68</v>
      </c>
      <c r="D75" s="171"/>
    </row>
    <row r="76" spans="1:4" ht="15.75" x14ac:dyDescent="0.25">
      <c r="A76" s="87">
        <f t="shared" si="2"/>
        <v>72</v>
      </c>
      <c r="B76" s="682"/>
      <c r="C76" s="563" t="s">
        <v>77</v>
      </c>
      <c r="D76" s="170"/>
    </row>
    <row r="77" spans="1:4" ht="16.5" thickBot="1" x14ac:dyDescent="0.3">
      <c r="A77" s="87">
        <f t="shared" si="2"/>
        <v>73</v>
      </c>
      <c r="B77" s="683"/>
      <c r="C77" s="66" t="s">
        <v>68</v>
      </c>
      <c r="D77" s="172"/>
    </row>
    <row r="78" spans="1:4" x14ac:dyDescent="0.25">
      <c r="A78" s="87">
        <f t="shared" si="2"/>
        <v>74</v>
      </c>
      <c r="B78" s="611" t="s">
        <v>266</v>
      </c>
      <c r="C78" s="268"/>
      <c r="D78" s="366"/>
    </row>
    <row r="79" spans="1:4" ht="15.75" x14ac:dyDescent="0.25">
      <c r="A79" s="87">
        <f t="shared" si="2"/>
        <v>75</v>
      </c>
      <c r="B79" s="612"/>
      <c r="C79" s="66" t="s">
        <v>68</v>
      </c>
      <c r="D79" s="195"/>
    </row>
    <row r="80" spans="1:4" ht="30" x14ac:dyDescent="0.25">
      <c r="A80" s="87">
        <f t="shared" si="2"/>
        <v>76</v>
      </c>
      <c r="B80" s="613" t="s">
        <v>267</v>
      </c>
      <c r="C80" s="89"/>
      <c r="D80" s="365"/>
    </row>
    <row r="81" spans="1:4" ht="16.5" thickBot="1" x14ac:dyDescent="0.3">
      <c r="A81" s="87">
        <f t="shared" si="2"/>
        <v>77</v>
      </c>
      <c r="B81" s="614"/>
      <c r="C81" s="78" t="s">
        <v>68</v>
      </c>
      <c r="D81" s="197"/>
    </row>
    <row r="82" spans="1:4" ht="15.75" thickBot="1" x14ac:dyDescent="0.3">
      <c r="A82" s="87">
        <f t="shared" si="2"/>
        <v>78</v>
      </c>
      <c r="B82" s="615" t="s">
        <v>3610</v>
      </c>
      <c r="C82" s="291" t="s">
        <v>3612</v>
      </c>
      <c r="D82" s="502"/>
    </row>
    <row r="83" spans="1:4" ht="30" x14ac:dyDescent="0.25">
      <c r="A83" s="87">
        <f t="shared" si="2"/>
        <v>79</v>
      </c>
      <c r="B83" s="280" t="s">
        <v>3615</v>
      </c>
      <c r="C83" s="267" t="s">
        <v>3613</v>
      </c>
      <c r="D83" s="342"/>
    </row>
    <row r="84" spans="1:4" ht="30.75" thickBot="1" x14ac:dyDescent="0.3">
      <c r="A84" s="88">
        <f t="shared" si="2"/>
        <v>80</v>
      </c>
      <c r="B84" s="616" t="s">
        <v>3611</v>
      </c>
      <c r="C84" s="484" t="s">
        <v>3614</v>
      </c>
      <c r="D84" s="503"/>
    </row>
  </sheetData>
  <sheetProtection password="D8E9" sheet="1" objects="1" scenarios="1"/>
  <mergeCells count="7">
    <mergeCell ref="B40:B53"/>
    <mergeCell ref="B54:B67"/>
    <mergeCell ref="B68:B77"/>
    <mergeCell ref="B9:B14"/>
    <mergeCell ref="B4:C4"/>
    <mergeCell ref="B15:B21"/>
    <mergeCell ref="B34:B39"/>
  </mergeCells>
  <conditionalFormatting sqref="A3 A15:B21 D15:XFD21 C15 A33:XFD33 A31:XFD31 A28:XFD28 A25:XFD25 A23:XFD23 B73:XFD73 B71:XFD71 B69:XFD69 B75:XFD75 B77:XFD77">
    <cfRule type="cellIs" dxfId="292" priority="67" operator="lessThan">
      <formula>0</formula>
    </cfRule>
  </conditionalFormatting>
  <conditionalFormatting sqref="D6:D77">
    <cfRule type="cellIs" dxfId="291" priority="65" operator="lessThan">
      <formula>0</formula>
    </cfRule>
    <cfRule type="expression" dxfId="290" priority="66">
      <formula>ISTEXT(D6)</formula>
    </cfRule>
  </conditionalFormatting>
  <conditionalFormatting sqref="D9:D14">
    <cfRule type="cellIs" dxfId="289" priority="64" operator="greaterThan">
      <formula>$D$8</formula>
    </cfRule>
  </conditionalFormatting>
  <conditionalFormatting sqref="D22">
    <cfRule type="cellIs" dxfId="288" priority="54" operator="lessThan">
      <formula>D$8</formula>
    </cfRule>
  </conditionalFormatting>
  <conditionalFormatting sqref="D29">
    <cfRule type="cellIs" dxfId="287" priority="52" operator="greaterThan">
      <formula>366</formula>
    </cfRule>
  </conditionalFormatting>
  <conditionalFormatting sqref="D35:D39">
    <cfRule type="cellIs" dxfId="286" priority="51" operator="greaterThan">
      <formula>D$34</formula>
    </cfRule>
  </conditionalFormatting>
  <conditionalFormatting sqref="D30 D32">
    <cfRule type="cellIs" dxfId="285" priority="49" operator="greaterThan">
      <formula>D$6</formula>
    </cfRule>
  </conditionalFormatting>
  <conditionalFormatting sqref="D64:D67">
    <cfRule type="cellIs" dxfId="284" priority="46" operator="lessThan">
      <formula>D50</formula>
    </cfRule>
  </conditionalFormatting>
  <conditionalFormatting sqref="D42 D44 D48 D46 D50 D52">
    <cfRule type="cellIs" dxfId="283" priority="45" operator="greaterThan">
      <formula>D$40</formula>
    </cfRule>
  </conditionalFormatting>
  <conditionalFormatting sqref="D56 D58 D62 D60 D64 D66">
    <cfRule type="cellIs" dxfId="282" priority="38" operator="greaterThan">
      <formula>D$54</formula>
    </cfRule>
  </conditionalFormatting>
  <conditionalFormatting sqref="C79">
    <cfRule type="cellIs" dxfId="281" priority="31" operator="lessThan">
      <formula>0</formula>
    </cfRule>
  </conditionalFormatting>
  <conditionalFormatting sqref="C81">
    <cfRule type="cellIs" dxfId="280" priority="30" operator="lessThan">
      <formula>0</formula>
    </cfRule>
  </conditionalFormatting>
  <conditionalFormatting sqref="D78:D81">
    <cfRule type="expression" dxfId="279" priority="29">
      <formula>ISTEXT(D78)</formula>
    </cfRule>
  </conditionalFormatting>
  <conditionalFormatting sqref="D80">
    <cfRule type="expression" dxfId="278" priority="28">
      <formula>D$80&gt;D$78</formula>
    </cfRule>
  </conditionalFormatting>
  <conditionalFormatting sqref="D54:D59">
    <cfRule type="cellIs" dxfId="277" priority="149" operator="lessThan">
      <formula>D40</formula>
    </cfRule>
  </conditionalFormatting>
  <conditionalFormatting sqref="D60:D61">
    <cfRule type="cellIs" dxfId="276" priority="155" operator="lessThan">
      <formula>D46</formula>
    </cfRule>
  </conditionalFormatting>
  <conditionalFormatting sqref="D62:D63">
    <cfRule type="cellIs" dxfId="275" priority="164" operator="lessThan">
      <formula>D48</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E39"/>
  <sheetViews>
    <sheetView zoomScale="80" zoomScaleNormal="80" workbookViewId="0">
      <selection activeCell="D8" sqref="D8"/>
    </sheetView>
  </sheetViews>
  <sheetFormatPr defaultRowHeight="15" x14ac:dyDescent="0.25"/>
  <cols>
    <col min="1" max="1" width="3.42578125" bestFit="1" customWidth="1"/>
    <col min="2" max="2" width="54.85546875" customWidth="1"/>
    <col min="3" max="3" width="29.42578125" customWidth="1"/>
    <col min="4" max="4" width="23.5703125" customWidth="1"/>
    <col min="5" max="16" width="23.7109375" customWidth="1"/>
    <col min="17" max="31" width="9.28515625" customWidth="1"/>
  </cols>
  <sheetData>
    <row r="1" spans="1:31" ht="21" x14ac:dyDescent="0.35">
      <c r="B1" s="383" t="s">
        <v>25</v>
      </c>
      <c r="C1" s="674" t="s">
        <v>256</v>
      </c>
      <c r="D1" s="674"/>
      <c r="E1" s="674"/>
      <c r="F1" s="674"/>
      <c r="G1" s="674"/>
      <c r="H1" s="674"/>
      <c r="I1" s="674"/>
      <c r="J1" s="674"/>
      <c r="K1" s="674"/>
      <c r="L1" s="674"/>
      <c r="M1" s="674"/>
      <c r="N1" s="674"/>
      <c r="O1" s="674"/>
      <c r="P1" s="674"/>
      <c r="Q1" s="40"/>
      <c r="R1" s="40"/>
      <c r="S1" s="40"/>
      <c r="T1" s="40"/>
      <c r="U1" s="40"/>
      <c r="V1" s="40"/>
      <c r="W1" s="40"/>
      <c r="X1" s="40"/>
      <c r="Y1" s="40"/>
      <c r="Z1" s="40"/>
      <c r="AA1" s="40"/>
      <c r="AB1" s="40"/>
      <c r="AC1" s="40"/>
      <c r="AD1" s="40"/>
      <c r="AE1" s="40"/>
    </row>
    <row r="2" spans="1:31" ht="21.75" thickBot="1" x14ac:dyDescent="0.3">
      <c r="A2" s="265"/>
      <c r="B2" s="266"/>
      <c r="C2" s="384" t="s">
        <v>88</v>
      </c>
      <c r="D2" s="690"/>
      <c r="E2" s="690"/>
      <c r="F2" s="690"/>
      <c r="G2" s="690"/>
      <c r="H2" s="690"/>
      <c r="I2" s="690"/>
      <c r="J2" s="690"/>
      <c r="K2" s="690"/>
      <c r="L2" s="690"/>
      <c r="M2" s="690"/>
      <c r="N2" s="690"/>
      <c r="O2" s="690"/>
      <c r="P2" s="690"/>
    </row>
    <row r="3" spans="1:31" ht="15.75" x14ac:dyDescent="0.25">
      <c r="A3" s="263" t="s">
        <v>3</v>
      </c>
      <c r="B3" s="691" t="s">
        <v>57</v>
      </c>
      <c r="C3" s="691"/>
      <c r="D3" s="264" t="s">
        <v>214</v>
      </c>
      <c r="E3" s="264" t="s">
        <v>1686</v>
      </c>
      <c r="F3" s="264" t="s">
        <v>1686</v>
      </c>
      <c r="G3" s="264" t="s">
        <v>1686</v>
      </c>
      <c r="H3" s="264" t="s">
        <v>1686</v>
      </c>
      <c r="I3" s="264" t="s">
        <v>1686</v>
      </c>
      <c r="J3" s="264" t="s">
        <v>1686</v>
      </c>
      <c r="K3" s="264" t="s">
        <v>1686</v>
      </c>
      <c r="L3" s="264" t="s">
        <v>1686</v>
      </c>
      <c r="M3" s="264" t="s">
        <v>1686</v>
      </c>
      <c r="N3" s="264" t="s">
        <v>1686</v>
      </c>
      <c r="O3" s="264" t="s">
        <v>1686</v>
      </c>
      <c r="P3" s="16" t="s">
        <v>1686</v>
      </c>
    </row>
    <row r="4" spans="1:31" x14ac:dyDescent="0.25">
      <c r="A4" s="37">
        <v>1</v>
      </c>
      <c r="B4" s="42">
        <f>A4+1</f>
        <v>2</v>
      </c>
      <c r="C4" s="42">
        <f t="shared" ref="C4:L4" si="0">B4+1</f>
        <v>3</v>
      </c>
      <c r="D4" s="42">
        <f t="shared" si="0"/>
        <v>4</v>
      </c>
      <c r="E4" s="42">
        <f t="shared" si="0"/>
        <v>5</v>
      </c>
      <c r="F4" s="42">
        <f t="shared" si="0"/>
        <v>6</v>
      </c>
      <c r="G4" s="42">
        <f t="shared" si="0"/>
        <v>7</v>
      </c>
      <c r="H4" s="42">
        <f t="shared" si="0"/>
        <v>8</v>
      </c>
      <c r="I4" s="42">
        <f t="shared" si="0"/>
        <v>9</v>
      </c>
      <c r="J4" s="42">
        <f t="shared" si="0"/>
        <v>10</v>
      </c>
      <c r="K4" s="42">
        <f t="shared" si="0"/>
        <v>11</v>
      </c>
      <c r="L4" s="42">
        <f t="shared" si="0"/>
        <v>12</v>
      </c>
      <c r="M4" s="42">
        <f t="shared" ref="M4" si="1">L4+1</f>
        <v>13</v>
      </c>
      <c r="N4" s="42">
        <f t="shared" ref="N4" si="2">M4+1</f>
        <v>14</v>
      </c>
      <c r="O4" s="42">
        <f t="shared" ref="O4:P4" si="3">N4+1</f>
        <v>15</v>
      </c>
      <c r="P4" s="42">
        <f t="shared" si="3"/>
        <v>16</v>
      </c>
    </row>
    <row r="5" spans="1:31" s="69" customFormat="1" ht="27" thickBot="1" x14ac:dyDescent="0.3">
      <c r="A5" s="398">
        <f>A4+1</f>
        <v>2</v>
      </c>
      <c r="B5" s="110" t="s">
        <v>69</v>
      </c>
      <c r="C5" s="399"/>
      <c r="D5" s="400"/>
      <c r="E5" s="400"/>
      <c r="F5" s="400"/>
      <c r="G5" s="400"/>
      <c r="H5" s="400"/>
      <c r="I5" s="400"/>
      <c r="J5" s="400"/>
      <c r="K5" s="400"/>
      <c r="L5" s="400"/>
      <c r="M5" s="400"/>
      <c r="N5" s="400"/>
      <c r="O5" s="400"/>
      <c r="P5" s="401"/>
    </row>
    <row r="6" spans="1:31" ht="48" thickBot="1" x14ac:dyDescent="0.3">
      <c r="A6" s="56">
        <f t="shared" ref="A6:A39" si="4">A5+1</f>
        <v>3</v>
      </c>
      <c r="B6" s="402" t="s">
        <v>1648</v>
      </c>
      <c r="C6" s="403"/>
      <c r="D6" s="404"/>
      <c r="E6" s="404"/>
      <c r="F6" s="404"/>
      <c r="G6" s="404"/>
      <c r="H6" s="404"/>
      <c r="I6" s="404"/>
      <c r="J6" s="404"/>
      <c r="K6" s="404"/>
      <c r="L6" s="404"/>
      <c r="M6" s="404"/>
      <c r="N6" s="404"/>
      <c r="O6" s="404"/>
      <c r="P6" s="405"/>
    </row>
    <row r="7" spans="1:31" ht="15.75" x14ac:dyDescent="0.25">
      <c r="A7" s="47">
        <f t="shared" si="4"/>
        <v>4</v>
      </c>
      <c r="B7" s="692" t="s">
        <v>1649</v>
      </c>
      <c r="C7" s="389" t="s">
        <v>1650</v>
      </c>
      <c r="D7" s="139"/>
      <c r="E7" s="139"/>
      <c r="F7" s="139"/>
      <c r="G7" s="139"/>
      <c r="H7" s="139"/>
      <c r="I7" s="139"/>
      <c r="J7" s="139"/>
      <c r="K7" s="139"/>
      <c r="L7" s="139"/>
      <c r="M7" s="139"/>
      <c r="N7" s="139"/>
      <c r="O7" s="139"/>
      <c r="P7" s="140"/>
    </row>
    <row r="8" spans="1:31" s="71" customFormat="1" ht="15.75" x14ac:dyDescent="0.25">
      <c r="A8" s="37">
        <f t="shared" si="4"/>
        <v>5</v>
      </c>
      <c r="B8" s="693"/>
      <c r="C8" s="65" t="s">
        <v>17</v>
      </c>
      <c r="D8" s="80">
        <f>IF(D$6=0,0,D7/D$6)</f>
        <v>0</v>
      </c>
      <c r="E8" s="80">
        <f>IF(E$6=0,0,E7/E$6)</f>
        <v>0</v>
      </c>
      <c r="F8" s="80">
        <f t="shared" ref="F8:P8" si="5">IF(F$6=0,0,F7/F$6)</f>
        <v>0</v>
      </c>
      <c r="G8" s="80">
        <f t="shared" si="5"/>
        <v>0</v>
      </c>
      <c r="H8" s="80">
        <f t="shared" si="5"/>
        <v>0</v>
      </c>
      <c r="I8" s="80">
        <f t="shared" si="5"/>
        <v>0</v>
      </c>
      <c r="J8" s="80">
        <f t="shared" si="5"/>
        <v>0</v>
      </c>
      <c r="K8" s="80">
        <f t="shared" si="5"/>
        <v>0</v>
      </c>
      <c r="L8" s="80">
        <f t="shared" si="5"/>
        <v>0</v>
      </c>
      <c r="M8" s="80">
        <f>IF(M$6=0,0,M7/M$6)</f>
        <v>0</v>
      </c>
      <c r="N8" s="80">
        <f t="shared" si="5"/>
        <v>0</v>
      </c>
      <c r="O8" s="80">
        <f t="shared" si="5"/>
        <v>0</v>
      </c>
      <c r="P8" s="81">
        <f t="shared" si="5"/>
        <v>0</v>
      </c>
    </row>
    <row r="9" spans="1:31" ht="15.75" x14ac:dyDescent="0.25">
      <c r="A9" s="37">
        <f t="shared" si="4"/>
        <v>6</v>
      </c>
      <c r="B9" s="693"/>
      <c r="C9" s="45" t="s">
        <v>1651</v>
      </c>
      <c r="D9" s="137"/>
      <c r="E9" s="137"/>
      <c r="F9" s="137"/>
      <c r="G9" s="137"/>
      <c r="H9" s="137"/>
      <c r="I9" s="137"/>
      <c r="J9" s="137"/>
      <c r="K9" s="137"/>
      <c r="L9" s="137"/>
      <c r="M9" s="137"/>
      <c r="N9" s="137"/>
      <c r="O9" s="137"/>
      <c r="P9" s="138"/>
    </row>
    <row r="10" spans="1:31" s="71" customFormat="1" ht="15.75" x14ac:dyDescent="0.25">
      <c r="A10" s="37">
        <f t="shared" si="4"/>
        <v>7</v>
      </c>
      <c r="B10" s="693"/>
      <c r="C10" s="65" t="s">
        <v>17</v>
      </c>
      <c r="D10" s="80">
        <f t="shared" ref="D10:P10" si="6">IF(D$6=0,0,D9/D$6)</f>
        <v>0</v>
      </c>
      <c r="E10" s="80">
        <f t="shared" si="6"/>
        <v>0</v>
      </c>
      <c r="F10" s="80">
        <f t="shared" si="6"/>
        <v>0</v>
      </c>
      <c r="G10" s="80">
        <f t="shared" si="6"/>
        <v>0</v>
      </c>
      <c r="H10" s="80">
        <f t="shared" si="6"/>
        <v>0</v>
      </c>
      <c r="I10" s="80">
        <f t="shared" si="6"/>
        <v>0</v>
      </c>
      <c r="J10" s="80">
        <f t="shared" si="6"/>
        <v>0</v>
      </c>
      <c r="K10" s="80">
        <f t="shared" si="6"/>
        <v>0</v>
      </c>
      <c r="L10" s="80">
        <f t="shared" si="6"/>
        <v>0</v>
      </c>
      <c r="M10" s="80">
        <f t="shared" si="6"/>
        <v>0</v>
      </c>
      <c r="N10" s="80">
        <f t="shared" si="6"/>
        <v>0</v>
      </c>
      <c r="O10" s="80">
        <f t="shared" si="6"/>
        <v>0</v>
      </c>
      <c r="P10" s="81">
        <f t="shared" si="6"/>
        <v>0</v>
      </c>
    </row>
    <row r="11" spans="1:31" ht="15.75" x14ac:dyDescent="0.25">
      <c r="A11" s="37">
        <f t="shared" si="4"/>
        <v>8</v>
      </c>
      <c r="B11" s="693"/>
      <c r="C11" s="45" t="s">
        <v>1652</v>
      </c>
      <c r="D11" s="137"/>
      <c r="E11" s="137"/>
      <c r="F11" s="137"/>
      <c r="G11" s="137"/>
      <c r="H11" s="137"/>
      <c r="I11" s="137"/>
      <c r="J11" s="137"/>
      <c r="K11" s="137"/>
      <c r="L11" s="137"/>
      <c r="M11" s="137"/>
      <c r="N11" s="137"/>
      <c r="O11" s="137"/>
      <c r="P11" s="138"/>
    </row>
    <row r="12" spans="1:31" s="71" customFormat="1" ht="15.75" x14ac:dyDescent="0.25">
      <c r="A12" s="37">
        <f t="shared" si="4"/>
        <v>9</v>
      </c>
      <c r="B12" s="693"/>
      <c r="C12" s="65" t="s">
        <v>17</v>
      </c>
      <c r="D12" s="80">
        <f t="shared" ref="D12" si="7">IF(D$6=0,0,D11/D$6)</f>
        <v>0</v>
      </c>
      <c r="E12" s="80">
        <f t="shared" ref="E12" si="8">IF(E$6=0,0,E11/E$6)</f>
        <v>0</v>
      </c>
      <c r="F12" s="80">
        <f t="shared" ref="F12" si="9">IF(F$6=0,0,F11/F$6)</f>
        <v>0</v>
      </c>
      <c r="G12" s="80">
        <f t="shared" ref="G12" si="10">IF(G$6=0,0,G11/G$6)</f>
        <v>0</v>
      </c>
      <c r="H12" s="80">
        <f t="shared" ref="H12" si="11">IF(H$6=0,0,H11/H$6)</f>
        <v>0</v>
      </c>
      <c r="I12" s="80">
        <f t="shared" ref="I12" si="12">IF(I$6=0,0,I11/I$6)</f>
        <v>0</v>
      </c>
      <c r="J12" s="80">
        <f t="shared" ref="J12" si="13">IF(J$6=0,0,J11/J$6)</f>
        <v>0</v>
      </c>
      <c r="K12" s="80">
        <f t="shared" ref="K12" si="14">IF(K$6=0,0,K11/K$6)</f>
        <v>0</v>
      </c>
      <c r="L12" s="80">
        <f t="shared" ref="L12" si="15">IF(L$6=0,0,L11/L$6)</f>
        <v>0</v>
      </c>
      <c r="M12" s="80">
        <f t="shared" ref="M12" si="16">IF(M$6=0,0,M11/M$6)</f>
        <v>0</v>
      </c>
      <c r="N12" s="80">
        <f>IF(N$6=0,0,N11/N$6)</f>
        <v>0</v>
      </c>
      <c r="O12" s="80">
        <f t="shared" ref="O12" si="17">IF(O$6=0,0,O11/O$6)</f>
        <v>0</v>
      </c>
      <c r="P12" s="81">
        <f t="shared" ref="P12" si="18">IF(P$6=0,0,P11/P$6)</f>
        <v>0</v>
      </c>
    </row>
    <row r="13" spans="1:31" ht="15.75" x14ac:dyDescent="0.25">
      <c r="A13" s="37">
        <f t="shared" si="4"/>
        <v>10</v>
      </c>
      <c r="B13" s="693"/>
      <c r="C13" s="45" t="s">
        <v>66</v>
      </c>
      <c r="D13" s="137"/>
      <c r="E13" s="137"/>
      <c r="F13" s="137"/>
      <c r="G13" s="137"/>
      <c r="H13" s="137"/>
      <c r="I13" s="137"/>
      <c r="J13" s="137"/>
      <c r="K13" s="137"/>
      <c r="L13" s="137"/>
      <c r="M13" s="137"/>
      <c r="N13" s="137"/>
      <c r="O13" s="137"/>
      <c r="P13" s="138"/>
    </row>
    <row r="14" spans="1:31" s="71" customFormat="1" ht="15.75" x14ac:dyDescent="0.25">
      <c r="A14" s="37">
        <f t="shared" si="4"/>
        <v>11</v>
      </c>
      <c r="B14" s="693"/>
      <c r="C14" s="65" t="s">
        <v>17</v>
      </c>
      <c r="D14" s="489">
        <f t="shared" ref="D14" si="19">IF(D$6=0,0,D13/D$6)</f>
        <v>0</v>
      </c>
      <c r="E14" s="489">
        <f t="shared" ref="E14" si="20">IF(E$6=0,0,E13/E$6)</f>
        <v>0</v>
      </c>
      <c r="F14" s="489">
        <f t="shared" ref="F14" si="21">IF(F$6=0,0,F13/F$6)</f>
        <v>0</v>
      </c>
      <c r="G14" s="489">
        <f t="shared" ref="G14" si="22">IF(G$6=0,0,G13/G$6)</f>
        <v>0</v>
      </c>
      <c r="H14" s="489">
        <f t="shared" ref="H14" si="23">IF(H$6=0,0,H13/H$6)</f>
        <v>0</v>
      </c>
      <c r="I14" s="489">
        <f t="shared" ref="I14" si="24">IF(I$6=0,0,I13/I$6)</f>
        <v>0</v>
      </c>
      <c r="J14" s="489">
        <f t="shared" ref="J14" si="25">IF(J$6=0,0,J13/J$6)</f>
        <v>0</v>
      </c>
      <c r="K14" s="489">
        <f t="shared" ref="K14" si="26">IF(K$6=0,0,K13/K$6)</f>
        <v>0</v>
      </c>
      <c r="L14" s="489">
        <f t="shared" ref="L14" si="27">IF(L$6=0,0,L13/L$6)</f>
        <v>0</v>
      </c>
      <c r="M14" s="489">
        <f t="shared" ref="M14" si="28">IF(M$6=0,0,M13/M$6)</f>
        <v>0</v>
      </c>
      <c r="N14" s="489">
        <f t="shared" ref="N14" si="29">IF(N$6=0,0,N13/N$6)</f>
        <v>0</v>
      </c>
      <c r="O14" s="489">
        <f t="shared" ref="O14" si="30">IF(O$6=0,0,O13/O$6)</f>
        <v>0</v>
      </c>
      <c r="P14" s="490">
        <f t="shared" ref="P14" si="31">IF(P$6=0,0,P13/P$6)</f>
        <v>0</v>
      </c>
    </row>
    <row r="15" spans="1:31" ht="31.5" x14ac:dyDescent="0.25">
      <c r="A15" s="37">
        <f t="shared" si="4"/>
        <v>12</v>
      </c>
      <c r="B15" s="693"/>
      <c r="C15" s="386" t="s">
        <v>1653</v>
      </c>
      <c r="D15" s="491">
        <f>D6-(SUM(D7+D9+D11+D13))</f>
        <v>0</v>
      </c>
      <c r="E15" s="491">
        <f t="shared" ref="E15:P15" si="32">E6-(SUM(E7+E9+E11+E13))</f>
        <v>0</v>
      </c>
      <c r="F15" s="491">
        <f t="shared" si="32"/>
        <v>0</v>
      </c>
      <c r="G15" s="491">
        <f t="shared" si="32"/>
        <v>0</v>
      </c>
      <c r="H15" s="491">
        <f t="shared" si="32"/>
        <v>0</v>
      </c>
      <c r="I15" s="491">
        <f t="shared" si="32"/>
        <v>0</v>
      </c>
      <c r="J15" s="491">
        <f t="shared" si="32"/>
        <v>0</v>
      </c>
      <c r="K15" s="491">
        <f t="shared" si="32"/>
        <v>0</v>
      </c>
      <c r="L15" s="491">
        <f t="shared" si="32"/>
        <v>0</v>
      </c>
      <c r="M15" s="491">
        <f t="shared" si="32"/>
        <v>0</v>
      </c>
      <c r="N15" s="491">
        <f t="shared" si="32"/>
        <v>0</v>
      </c>
      <c r="O15" s="491">
        <f t="shared" si="32"/>
        <v>0</v>
      </c>
      <c r="P15" s="492">
        <f t="shared" si="32"/>
        <v>0</v>
      </c>
    </row>
    <row r="16" spans="1:31" s="71" customFormat="1" ht="16.5" thickBot="1" x14ac:dyDescent="0.3">
      <c r="A16" s="39">
        <f t="shared" si="4"/>
        <v>13</v>
      </c>
      <c r="B16" s="694"/>
      <c r="C16" s="75" t="s">
        <v>17</v>
      </c>
      <c r="D16" s="493">
        <f t="shared" ref="D16" si="33">IF(D$6=0,0,D15/D$6)</f>
        <v>0</v>
      </c>
      <c r="E16" s="493">
        <f t="shared" ref="E16" si="34">IF(E$6=0,0,E15/E$6)</f>
        <v>0</v>
      </c>
      <c r="F16" s="493">
        <f t="shared" ref="F16" si="35">IF(F$6=0,0,F15/F$6)</f>
        <v>0</v>
      </c>
      <c r="G16" s="493">
        <f t="shared" ref="G16" si="36">IF(G$6=0,0,G15/G$6)</f>
        <v>0</v>
      </c>
      <c r="H16" s="493">
        <f t="shared" ref="H16" si="37">IF(H$6=0,0,H15/H$6)</f>
        <v>0</v>
      </c>
      <c r="I16" s="493">
        <f t="shared" ref="I16" si="38">IF(I$6=0,0,I15/I$6)</f>
        <v>0</v>
      </c>
      <c r="J16" s="493">
        <f t="shared" ref="J16" si="39">IF(J$6=0,0,J15/J$6)</f>
        <v>0</v>
      </c>
      <c r="K16" s="493">
        <f t="shared" ref="K16" si="40">IF(K$6=0,0,K15/K$6)</f>
        <v>0</v>
      </c>
      <c r="L16" s="493">
        <f t="shared" ref="L16" si="41">IF(L$6=0,0,L15/L$6)</f>
        <v>0</v>
      </c>
      <c r="M16" s="493">
        <f t="shared" ref="M16" si="42">IF(M$6=0,0,M15/M$6)</f>
        <v>0</v>
      </c>
      <c r="N16" s="493">
        <f>IF(N$6=0,0,N15/N$6)</f>
        <v>0</v>
      </c>
      <c r="O16" s="493">
        <f t="shared" ref="O16" si="43">IF(O$6=0,0,O15/O$6)</f>
        <v>0</v>
      </c>
      <c r="P16" s="494">
        <f t="shared" ref="P16" si="44">IF(P$6=0,0,P15/P$6)</f>
        <v>0</v>
      </c>
    </row>
    <row r="17" spans="1:16" ht="31.5" x14ac:dyDescent="0.25">
      <c r="A17" s="47">
        <f t="shared" si="4"/>
        <v>14</v>
      </c>
      <c r="B17" s="388" t="s">
        <v>1654</v>
      </c>
      <c r="C17" s="177"/>
      <c r="D17" s="178"/>
      <c r="E17" s="178"/>
      <c r="F17" s="178"/>
      <c r="G17" s="178"/>
      <c r="H17" s="178"/>
      <c r="I17" s="178"/>
      <c r="J17" s="178"/>
      <c r="K17" s="178"/>
      <c r="L17" s="178"/>
      <c r="M17" s="178"/>
      <c r="N17" s="178"/>
      <c r="O17" s="178"/>
      <c r="P17" s="406"/>
    </row>
    <row r="18" spans="1:16" ht="15.75" x14ac:dyDescent="0.25">
      <c r="A18" s="37">
        <f t="shared" si="4"/>
        <v>15</v>
      </c>
      <c r="B18" s="30" t="s">
        <v>17</v>
      </c>
      <c r="C18" s="68"/>
      <c r="D18" s="82">
        <f>IF(D$6=0,0,D17/D$6)</f>
        <v>0</v>
      </c>
      <c r="E18" s="82">
        <f t="shared" ref="E18:P18" si="45">IF(E$6=0,0,E17/E$6)</f>
        <v>0</v>
      </c>
      <c r="F18" s="82">
        <f t="shared" si="45"/>
        <v>0</v>
      </c>
      <c r="G18" s="82">
        <f t="shared" si="45"/>
        <v>0</v>
      </c>
      <c r="H18" s="82">
        <f t="shared" si="45"/>
        <v>0</v>
      </c>
      <c r="I18" s="82">
        <f t="shared" si="45"/>
        <v>0</v>
      </c>
      <c r="J18" s="82">
        <f t="shared" si="45"/>
        <v>0</v>
      </c>
      <c r="K18" s="82">
        <f t="shared" si="45"/>
        <v>0</v>
      </c>
      <c r="L18" s="82">
        <f t="shared" si="45"/>
        <v>0</v>
      </c>
      <c r="M18" s="82">
        <f t="shared" si="45"/>
        <v>0</v>
      </c>
      <c r="N18" s="82">
        <f t="shared" si="45"/>
        <v>0</v>
      </c>
      <c r="O18" s="82">
        <f t="shared" si="45"/>
        <v>0</v>
      </c>
      <c r="P18" s="83">
        <f t="shared" si="45"/>
        <v>0</v>
      </c>
    </row>
    <row r="19" spans="1:16" ht="31.5" x14ac:dyDescent="0.25">
      <c r="A19" s="37">
        <f t="shared" si="4"/>
        <v>16</v>
      </c>
      <c r="B19" s="386" t="s">
        <v>1655</v>
      </c>
      <c r="C19" s="68"/>
      <c r="D19" s="148"/>
      <c r="E19" s="148"/>
      <c r="F19" s="148"/>
      <c r="G19" s="148"/>
      <c r="H19" s="148"/>
      <c r="I19" s="148"/>
      <c r="J19" s="148"/>
      <c r="K19" s="148"/>
      <c r="L19" s="148"/>
      <c r="M19" s="148"/>
      <c r="N19" s="148"/>
      <c r="O19" s="148"/>
      <c r="P19" s="407"/>
    </row>
    <row r="20" spans="1:16" ht="15.75" x14ac:dyDescent="0.25">
      <c r="A20" s="37">
        <f t="shared" si="4"/>
        <v>17</v>
      </c>
      <c r="B20" s="30" t="s">
        <v>17</v>
      </c>
      <c r="C20" s="68"/>
      <c r="D20" s="82">
        <f>IF(D$6=0,0,D19/D$6)</f>
        <v>0</v>
      </c>
      <c r="E20" s="82">
        <f t="shared" ref="E20:P20" si="46">IF(E$6=0,0,E19/E$6)</f>
        <v>0</v>
      </c>
      <c r="F20" s="82">
        <f t="shared" si="46"/>
        <v>0</v>
      </c>
      <c r="G20" s="82">
        <f t="shared" si="46"/>
        <v>0</v>
      </c>
      <c r="H20" s="82">
        <f t="shared" si="46"/>
        <v>0</v>
      </c>
      <c r="I20" s="82">
        <f t="shared" si="46"/>
        <v>0</v>
      </c>
      <c r="J20" s="82">
        <f t="shared" si="46"/>
        <v>0</v>
      </c>
      <c r="K20" s="82">
        <f t="shared" si="46"/>
        <v>0</v>
      </c>
      <c r="L20" s="82">
        <f t="shared" si="46"/>
        <v>0</v>
      </c>
      <c r="M20" s="82">
        <f t="shared" si="46"/>
        <v>0</v>
      </c>
      <c r="N20" s="82">
        <f t="shared" si="46"/>
        <v>0</v>
      </c>
      <c r="O20" s="82">
        <f t="shared" si="46"/>
        <v>0</v>
      </c>
      <c r="P20" s="83">
        <f t="shared" si="46"/>
        <v>0</v>
      </c>
    </row>
    <row r="21" spans="1:16" ht="63.75" thickBot="1" x14ac:dyDescent="0.3">
      <c r="A21" s="39">
        <f t="shared" si="4"/>
        <v>18</v>
      </c>
      <c r="B21" s="387" t="s">
        <v>1656</v>
      </c>
      <c r="C21" s="408"/>
      <c r="D21" s="141"/>
      <c r="E21" s="141"/>
      <c r="F21" s="141"/>
      <c r="G21" s="141"/>
      <c r="H21" s="141"/>
      <c r="I21" s="141"/>
      <c r="J21" s="141"/>
      <c r="K21" s="141"/>
      <c r="L21" s="141"/>
      <c r="M21" s="141"/>
      <c r="N21" s="141"/>
      <c r="O21" s="141"/>
      <c r="P21" s="142"/>
    </row>
    <row r="22" spans="1:16" ht="15.75" x14ac:dyDescent="0.25">
      <c r="A22" s="47">
        <f t="shared" si="4"/>
        <v>19</v>
      </c>
      <c r="B22" s="692" t="s">
        <v>1657</v>
      </c>
      <c r="C22" s="389" t="s">
        <v>1650</v>
      </c>
      <c r="D22" s="139"/>
      <c r="E22" s="139"/>
      <c r="F22" s="139"/>
      <c r="G22" s="139"/>
      <c r="H22" s="139"/>
      <c r="I22" s="139"/>
      <c r="J22" s="139"/>
      <c r="K22" s="139"/>
      <c r="L22" s="139"/>
      <c r="M22" s="139"/>
      <c r="N22" s="139"/>
      <c r="O22" s="139"/>
      <c r="P22" s="140"/>
    </row>
    <row r="23" spans="1:16" s="71" customFormat="1" ht="15.75" x14ac:dyDescent="0.25">
      <c r="A23" s="37">
        <f t="shared" si="4"/>
        <v>20</v>
      </c>
      <c r="B23" s="693"/>
      <c r="C23" s="65" t="s">
        <v>17</v>
      </c>
      <c r="D23" s="80">
        <f>IF(D$21=0,0,D22/D$21)</f>
        <v>0</v>
      </c>
      <c r="E23" s="80">
        <f t="shared" ref="E23:P23" si="47">IF(E$21=0,0,E22/E$21)</f>
        <v>0</v>
      </c>
      <c r="F23" s="80">
        <f t="shared" si="47"/>
        <v>0</v>
      </c>
      <c r="G23" s="80">
        <f t="shared" si="47"/>
        <v>0</v>
      </c>
      <c r="H23" s="80">
        <f t="shared" si="47"/>
        <v>0</v>
      </c>
      <c r="I23" s="80">
        <f t="shared" si="47"/>
        <v>0</v>
      </c>
      <c r="J23" s="80">
        <f t="shared" si="47"/>
        <v>0</v>
      </c>
      <c r="K23" s="80">
        <f t="shared" si="47"/>
        <v>0</v>
      </c>
      <c r="L23" s="80">
        <f t="shared" si="47"/>
        <v>0</v>
      </c>
      <c r="M23" s="80">
        <f t="shared" si="47"/>
        <v>0</v>
      </c>
      <c r="N23" s="80">
        <f t="shared" si="47"/>
        <v>0</v>
      </c>
      <c r="O23" s="80">
        <f t="shared" si="47"/>
        <v>0</v>
      </c>
      <c r="P23" s="81">
        <f t="shared" si="47"/>
        <v>0</v>
      </c>
    </row>
    <row r="24" spans="1:16" ht="15.75" x14ac:dyDescent="0.25">
      <c r="A24" s="37">
        <f t="shared" si="4"/>
        <v>21</v>
      </c>
      <c r="B24" s="693"/>
      <c r="C24" s="45" t="s">
        <v>1651</v>
      </c>
      <c r="D24" s="137"/>
      <c r="E24" s="137"/>
      <c r="F24" s="137"/>
      <c r="G24" s="137"/>
      <c r="H24" s="137"/>
      <c r="I24" s="137"/>
      <c r="J24" s="137"/>
      <c r="K24" s="137"/>
      <c r="L24" s="137"/>
      <c r="M24" s="137"/>
      <c r="N24" s="137"/>
      <c r="O24" s="137"/>
      <c r="P24" s="138"/>
    </row>
    <row r="25" spans="1:16" s="71" customFormat="1" ht="15.75" x14ac:dyDescent="0.25">
      <c r="A25" s="37">
        <f t="shared" si="4"/>
        <v>22</v>
      </c>
      <c r="B25" s="693"/>
      <c r="C25" s="65" t="s">
        <v>17</v>
      </c>
      <c r="D25" s="80">
        <f t="shared" ref="D25:P25" si="48">IF(D$21=0,0,D24/D$21)</f>
        <v>0</v>
      </c>
      <c r="E25" s="80">
        <f>IF(E$21=0,0,E24/E$21)</f>
        <v>0</v>
      </c>
      <c r="F25" s="80">
        <f t="shared" si="48"/>
        <v>0</v>
      </c>
      <c r="G25" s="80">
        <f t="shared" si="48"/>
        <v>0</v>
      </c>
      <c r="H25" s="80">
        <f t="shared" si="48"/>
        <v>0</v>
      </c>
      <c r="I25" s="80">
        <f t="shared" si="48"/>
        <v>0</v>
      </c>
      <c r="J25" s="80">
        <f t="shared" si="48"/>
        <v>0</v>
      </c>
      <c r="K25" s="80">
        <f t="shared" si="48"/>
        <v>0</v>
      </c>
      <c r="L25" s="80">
        <f t="shared" si="48"/>
        <v>0</v>
      </c>
      <c r="M25" s="80">
        <f t="shared" si="48"/>
        <v>0</v>
      </c>
      <c r="N25" s="80">
        <f t="shared" si="48"/>
        <v>0</v>
      </c>
      <c r="O25" s="80">
        <f t="shared" si="48"/>
        <v>0</v>
      </c>
      <c r="P25" s="81">
        <f t="shared" si="48"/>
        <v>0</v>
      </c>
    </row>
    <row r="26" spans="1:16" ht="15.75" x14ac:dyDescent="0.25">
      <c r="A26" s="37">
        <f t="shared" si="4"/>
        <v>23</v>
      </c>
      <c r="B26" s="693"/>
      <c r="C26" s="45" t="s">
        <v>1652</v>
      </c>
      <c r="D26" s="137"/>
      <c r="E26" s="137"/>
      <c r="F26" s="137"/>
      <c r="G26" s="137"/>
      <c r="H26" s="137"/>
      <c r="I26" s="137"/>
      <c r="J26" s="137"/>
      <c r="K26" s="137"/>
      <c r="L26" s="137"/>
      <c r="M26" s="137"/>
      <c r="N26" s="137"/>
      <c r="O26" s="137"/>
      <c r="P26" s="138"/>
    </row>
    <row r="27" spans="1:16" s="71" customFormat="1" ht="15.75" x14ac:dyDescent="0.25">
      <c r="A27" s="37">
        <f t="shared" si="4"/>
        <v>24</v>
      </c>
      <c r="B27" s="693"/>
      <c r="C27" s="65" t="s">
        <v>17</v>
      </c>
      <c r="D27" s="80">
        <f t="shared" ref="D27:P27" si="49">IF(D$21=0,0,D26/D$21)</f>
        <v>0</v>
      </c>
      <c r="E27" s="80">
        <f t="shared" si="49"/>
        <v>0</v>
      </c>
      <c r="F27" s="80">
        <f>IF(F$21=0,0,F26/F$21)</f>
        <v>0</v>
      </c>
      <c r="G27" s="80">
        <f t="shared" si="49"/>
        <v>0</v>
      </c>
      <c r="H27" s="80">
        <f t="shared" si="49"/>
        <v>0</v>
      </c>
      <c r="I27" s="80">
        <f t="shared" si="49"/>
        <v>0</v>
      </c>
      <c r="J27" s="80">
        <f t="shared" si="49"/>
        <v>0</v>
      </c>
      <c r="K27" s="80">
        <f t="shared" si="49"/>
        <v>0</v>
      </c>
      <c r="L27" s="80">
        <f t="shared" si="49"/>
        <v>0</v>
      </c>
      <c r="M27" s="80">
        <f t="shared" si="49"/>
        <v>0</v>
      </c>
      <c r="N27" s="80">
        <f t="shared" si="49"/>
        <v>0</v>
      </c>
      <c r="O27" s="80">
        <f t="shared" si="49"/>
        <v>0</v>
      </c>
      <c r="P27" s="81">
        <f t="shared" si="49"/>
        <v>0</v>
      </c>
    </row>
    <row r="28" spans="1:16" ht="15.75" x14ac:dyDescent="0.25">
      <c r="A28" s="37">
        <f t="shared" si="4"/>
        <v>25</v>
      </c>
      <c r="B28" s="693"/>
      <c r="C28" s="45" t="s">
        <v>66</v>
      </c>
      <c r="D28" s="137"/>
      <c r="E28" s="137"/>
      <c r="F28" s="137"/>
      <c r="G28" s="137"/>
      <c r="H28" s="137"/>
      <c r="I28" s="137"/>
      <c r="J28" s="137"/>
      <c r="K28" s="137"/>
      <c r="L28" s="137"/>
      <c r="M28" s="137"/>
      <c r="N28" s="137"/>
      <c r="O28" s="137"/>
      <c r="P28" s="138"/>
    </row>
    <row r="29" spans="1:16" s="71" customFormat="1" ht="15.75" x14ac:dyDescent="0.25">
      <c r="A29" s="37">
        <f t="shared" si="4"/>
        <v>26</v>
      </c>
      <c r="B29" s="693"/>
      <c r="C29" s="65" t="s">
        <v>17</v>
      </c>
      <c r="D29" s="489">
        <f t="shared" ref="D29" si="50">IF(D$21=0,0,D28/D$21)</f>
        <v>0</v>
      </c>
      <c r="E29" s="489">
        <f t="shared" ref="E29" si="51">IF(E$21=0,0,E28/E$21)</f>
        <v>0</v>
      </c>
      <c r="F29" s="489">
        <f t="shared" ref="F29" si="52">IF(F$21=0,0,F28/F$21)</f>
        <v>0</v>
      </c>
      <c r="G29" s="489">
        <f t="shared" ref="G29" si="53">IF(G$21=0,0,G28/G$21)</f>
        <v>0</v>
      </c>
      <c r="H29" s="489">
        <f t="shared" ref="H29" si="54">IF(H$21=0,0,H28/H$21)</f>
        <v>0</v>
      </c>
      <c r="I29" s="489">
        <f t="shared" ref="I29" si="55">IF(I$21=0,0,I28/I$21)</f>
        <v>0</v>
      </c>
      <c r="J29" s="489">
        <f t="shared" ref="J29" si="56">IF(J$21=0,0,J28/J$21)</f>
        <v>0</v>
      </c>
      <c r="K29" s="489">
        <f t="shared" ref="K29" si="57">IF(K$21=0,0,K28/K$21)</f>
        <v>0</v>
      </c>
      <c r="L29" s="489">
        <f t="shared" ref="L29" si="58">IF(L$21=0,0,L28/L$21)</f>
        <v>0</v>
      </c>
      <c r="M29" s="489">
        <f t="shared" ref="M29" si="59">IF(M$21=0,0,M28/M$21)</f>
        <v>0</v>
      </c>
      <c r="N29" s="489">
        <f t="shared" ref="N29" si="60">IF(N$21=0,0,N28/N$21)</f>
        <v>0</v>
      </c>
      <c r="O29" s="489">
        <f t="shared" ref="O29" si="61">IF(O$21=0,0,O28/O$21)</f>
        <v>0</v>
      </c>
      <c r="P29" s="490">
        <f t="shared" ref="P29" si="62">IF(P$21=0,0,P28/P$21)</f>
        <v>0</v>
      </c>
    </row>
    <row r="30" spans="1:16" ht="31.5" x14ac:dyDescent="0.25">
      <c r="A30" s="37">
        <f t="shared" si="4"/>
        <v>27</v>
      </c>
      <c r="B30" s="693"/>
      <c r="C30" s="386" t="s">
        <v>1653</v>
      </c>
      <c r="D30" s="491">
        <f>D21-(SUM(D22+D24+D26+D28))</f>
        <v>0</v>
      </c>
      <c r="E30" s="491">
        <f t="shared" ref="E30:P30" si="63">E21-(SUM(E22+E24+E26+E28))</f>
        <v>0</v>
      </c>
      <c r="F30" s="491">
        <f t="shared" si="63"/>
        <v>0</v>
      </c>
      <c r="G30" s="491">
        <f t="shared" si="63"/>
        <v>0</v>
      </c>
      <c r="H30" s="491">
        <f t="shared" si="63"/>
        <v>0</v>
      </c>
      <c r="I30" s="491">
        <f t="shared" si="63"/>
        <v>0</v>
      </c>
      <c r="J30" s="491">
        <f t="shared" si="63"/>
        <v>0</v>
      </c>
      <c r="K30" s="491">
        <f t="shared" si="63"/>
        <v>0</v>
      </c>
      <c r="L30" s="491">
        <f t="shared" si="63"/>
        <v>0</v>
      </c>
      <c r="M30" s="491">
        <f t="shared" ref="M30:O30" si="64">M21-(SUM(M22+M24+M26+M28))</f>
        <v>0</v>
      </c>
      <c r="N30" s="491">
        <f t="shared" si="64"/>
        <v>0</v>
      </c>
      <c r="O30" s="491">
        <f t="shared" si="64"/>
        <v>0</v>
      </c>
      <c r="P30" s="492">
        <f t="shared" si="63"/>
        <v>0</v>
      </c>
    </row>
    <row r="31" spans="1:16" s="71" customFormat="1" ht="16.5" thickBot="1" x14ac:dyDescent="0.3">
      <c r="A31" s="39">
        <f t="shared" si="4"/>
        <v>28</v>
      </c>
      <c r="B31" s="694"/>
      <c r="C31" s="75" t="s">
        <v>17</v>
      </c>
      <c r="D31" s="493">
        <f>IF(D$21=0,0,D30/D$21)</f>
        <v>0</v>
      </c>
      <c r="E31" s="493">
        <f t="shared" ref="E31" si="65">IF(E$21=0,0,E30/E$21)</f>
        <v>0</v>
      </c>
      <c r="F31" s="493">
        <f t="shared" ref="F31" si="66">IF(F$21=0,0,F30/F$21)</f>
        <v>0</v>
      </c>
      <c r="G31" s="493">
        <f t="shared" ref="G31" si="67">IF(G$21=0,0,G30/G$21)</f>
        <v>0</v>
      </c>
      <c r="H31" s="493">
        <f t="shared" ref="H31" si="68">IF(H$21=0,0,H30/H$21)</f>
        <v>0</v>
      </c>
      <c r="I31" s="493">
        <f t="shared" ref="I31" si="69">IF(I$21=0,0,I30/I$21)</f>
        <v>0</v>
      </c>
      <c r="J31" s="493">
        <f t="shared" ref="J31" si="70">IF(J$21=0,0,J30/J$21)</f>
        <v>0</v>
      </c>
      <c r="K31" s="493">
        <f t="shared" ref="K31" si="71">IF(K$21=0,0,K30/K$21)</f>
        <v>0</v>
      </c>
      <c r="L31" s="493">
        <f t="shared" ref="L31" si="72">IF(L$21=0,0,L30/L$21)</f>
        <v>0</v>
      </c>
      <c r="M31" s="493">
        <f t="shared" ref="M31" si="73">IF(M$21=0,0,M30/M$21)</f>
        <v>0</v>
      </c>
      <c r="N31" s="493">
        <f t="shared" ref="N31" si="74">IF(N$21=0,0,N30/N$21)</f>
        <v>0</v>
      </c>
      <c r="O31" s="493">
        <f t="shared" ref="O31" si="75">IF(O$21=0,0,O30/O$21)</f>
        <v>0</v>
      </c>
      <c r="P31" s="494">
        <f t="shared" ref="P31" si="76">IF(P$21=0,0,P30/P$21)</f>
        <v>0</v>
      </c>
    </row>
    <row r="32" spans="1:16" ht="31.5" x14ac:dyDescent="0.25">
      <c r="A32" s="35">
        <f t="shared" si="4"/>
        <v>29</v>
      </c>
      <c r="B32" s="385" t="s">
        <v>1654</v>
      </c>
      <c r="C32" s="409"/>
      <c r="D32" s="410"/>
      <c r="E32" s="410"/>
      <c r="F32" s="410"/>
      <c r="G32" s="410"/>
      <c r="H32" s="410"/>
      <c r="I32" s="410"/>
      <c r="J32" s="410"/>
      <c r="K32" s="410"/>
      <c r="L32" s="410"/>
      <c r="M32" s="410"/>
      <c r="N32" s="410"/>
      <c r="O32" s="410"/>
      <c r="P32" s="411"/>
    </row>
    <row r="33" spans="1:16" s="71" customFormat="1" ht="15.75" x14ac:dyDescent="0.25">
      <c r="A33" s="37">
        <f t="shared" si="4"/>
        <v>30</v>
      </c>
      <c r="B33" s="70" t="s">
        <v>17</v>
      </c>
      <c r="C33" s="72"/>
      <c r="D33" s="80">
        <f>IF(D$21=0,0,D32/D$21)</f>
        <v>0</v>
      </c>
      <c r="E33" s="80">
        <f t="shared" ref="E33:P33" si="77">IF(E$21=0,0,E32/E$21)</f>
        <v>0</v>
      </c>
      <c r="F33" s="80">
        <f t="shared" si="77"/>
        <v>0</v>
      </c>
      <c r="G33" s="80">
        <f t="shared" si="77"/>
        <v>0</v>
      </c>
      <c r="H33" s="80">
        <f t="shared" si="77"/>
        <v>0</v>
      </c>
      <c r="I33" s="80">
        <f t="shared" si="77"/>
        <v>0</v>
      </c>
      <c r="J33" s="80">
        <f t="shared" si="77"/>
        <v>0</v>
      </c>
      <c r="K33" s="80">
        <f t="shared" si="77"/>
        <v>0</v>
      </c>
      <c r="L33" s="80">
        <f t="shared" si="77"/>
        <v>0</v>
      </c>
      <c r="M33" s="80">
        <f t="shared" si="77"/>
        <v>0</v>
      </c>
      <c r="N33" s="80">
        <f t="shared" si="77"/>
        <v>0</v>
      </c>
      <c r="O33" s="80">
        <f t="shared" si="77"/>
        <v>0</v>
      </c>
      <c r="P33" s="81">
        <f t="shared" si="77"/>
        <v>0</v>
      </c>
    </row>
    <row r="34" spans="1:16" ht="31.5" x14ac:dyDescent="0.25">
      <c r="A34" s="37">
        <f t="shared" si="4"/>
        <v>31</v>
      </c>
      <c r="B34" s="386" t="s">
        <v>1655</v>
      </c>
      <c r="C34" s="68"/>
      <c r="D34" s="148"/>
      <c r="E34" s="148"/>
      <c r="F34" s="148"/>
      <c r="G34" s="148"/>
      <c r="H34" s="148"/>
      <c r="I34" s="148"/>
      <c r="J34" s="148"/>
      <c r="K34" s="148"/>
      <c r="L34" s="148"/>
      <c r="M34" s="148"/>
      <c r="N34" s="148"/>
      <c r="O34" s="148"/>
      <c r="P34" s="407"/>
    </row>
    <row r="35" spans="1:16" s="71" customFormat="1" ht="16.5" thickBot="1" x14ac:dyDescent="0.3">
      <c r="A35" s="38">
        <f t="shared" si="4"/>
        <v>32</v>
      </c>
      <c r="B35" s="412" t="s">
        <v>17</v>
      </c>
      <c r="C35" s="413"/>
      <c r="D35" s="179">
        <f t="shared" ref="D35:P35" si="78">IF(D$21=0,0,D34/D$21)</f>
        <v>0</v>
      </c>
      <c r="E35" s="179">
        <f t="shared" si="78"/>
        <v>0</v>
      </c>
      <c r="F35" s="179">
        <f t="shared" si="78"/>
        <v>0</v>
      </c>
      <c r="G35" s="179">
        <f t="shared" si="78"/>
        <v>0</v>
      </c>
      <c r="H35" s="179">
        <f t="shared" si="78"/>
        <v>0</v>
      </c>
      <c r="I35" s="179">
        <f t="shared" si="78"/>
        <v>0</v>
      </c>
      <c r="J35" s="179">
        <f t="shared" si="78"/>
        <v>0</v>
      </c>
      <c r="K35" s="179">
        <f t="shared" si="78"/>
        <v>0</v>
      </c>
      <c r="L35" s="179">
        <f t="shared" si="78"/>
        <v>0</v>
      </c>
      <c r="M35" s="179">
        <f t="shared" si="78"/>
        <v>0</v>
      </c>
      <c r="N35" s="179">
        <f t="shared" si="78"/>
        <v>0</v>
      </c>
      <c r="O35" s="179">
        <f t="shared" si="78"/>
        <v>0</v>
      </c>
      <c r="P35" s="414">
        <f t="shared" si="78"/>
        <v>0</v>
      </c>
    </row>
    <row r="36" spans="1:16" ht="45" x14ac:dyDescent="0.25">
      <c r="A36" s="47">
        <f t="shared" si="4"/>
        <v>33</v>
      </c>
      <c r="B36" s="183" t="s">
        <v>257</v>
      </c>
      <c r="C36" s="184"/>
      <c r="D36" s="185">
        <f>D17+D32</f>
        <v>0</v>
      </c>
      <c r="E36" s="185">
        <f t="shared" ref="E36:P36" si="79">E17+E32</f>
        <v>0</v>
      </c>
      <c r="F36" s="185">
        <f t="shared" si="79"/>
        <v>0</v>
      </c>
      <c r="G36" s="185">
        <f t="shared" si="79"/>
        <v>0</v>
      </c>
      <c r="H36" s="185">
        <f t="shared" si="79"/>
        <v>0</v>
      </c>
      <c r="I36" s="185">
        <f t="shared" si="79"/>
        <v>0</v>
      </c>
      <c r="J36" s="185">
        <f t="shared" si="79"/>
        <v>0</v>
      </c>
      <c r="K36" s="185">
        <f t="shared" si="79"/>
        <v>0</v>
      </c>
      <c r="L36" s="185">
        <f t="shared" si="79"/>
        <v>0</v>
      </c>
      <c r="M36" s="185">
        <f t="shared" ref="M36:O36" si="80">M17+M32</f>
        <v>0</v>
      </c>
      <c r="N36" s="185">
        <f t="shared" si="80"/>
        <v>0</v>
      </c>
      <c r="O36" s="185">
        <f t="shared" si="80"/>
        <v>0</v>
      </c>
      <c r="P36" s="186">
        <f t="shared" si="79"/>
        <v>0</v>
      </c>
    </row>
    <row r="37" spans="1:16" x14ac:dyDescent="0.25">
      <c r="A37" s="37">
        <f t="shared" si="4"/>
        <v>34</v>
      </c>
      <c r="B37" s="181" t="s">
        <v>17</v>
      </c>
      <c r="C37" s="5"/>
      <c r="D37" s="182">
        <f>IF((D$6+D$21)=0,0,D36/(D$6+D$21))</f>
        <v>0</v>
      </c>
      <c r="E37" s="182">
        <f t="shared" ref="E37:P37" si="81">IF((E$6+E$21)=0,0,E36/(E$6+E$21))</f>
        <v>0</v>
      </c>
      <c r="F37" s="182">
        <f t="shared" si="81"/>
        <v>0</v>
      </c>
      <c r="G37" s="182">
        <f t="shared" si="81"/>
        <v>0</v>
      </c>
      <c r="H37" s="182">
        <f t="shared" si="81"/>
        <v>0</v>
      </c>
      <c r="I37" s="182">
        <f t="shared" si="81"/>
        <v>0</v>
      </c>
      <c r="J37" s="182">
        <f t="shared" si="81"/>
        <v>0</v>
      </c>
      <c r="K37" s="182">
        <f t="shared" si="81"/>
        <v>0</v>
      </c>
      <c r="L37" s="182">
        <f t="shared" si="81"/>
        <v>0</v>
      </c>
      <c r="M37" s="182">
        <f t="shared" si="81"/>
        <v>0</v>
      </c>
      <c r="N37" s="182">
        <f t="shared" si="81"/>
        <v>0</v>
      </c>
      <c r="O37" s="182">
        <f t="shared" si="81"/>
        <v>0</v>
      </c>
      <c r="P37" s="187">
        <f t="shared" si="81"/>
        <v>0</v>
      </c>
    </row>
    <row r="38" spans="1:16" ht="45" x14ac:dyDescent="0.25">
      <c r="A38" s="37">
        <f t="shared" si="4"/>
        <v>35</v>
      </c>
      <c r="B38" s="390" t="s">
        <v>1680</v>
      </c>
      <c r="C38" s="5"/>
      <c r="D38" s="180">
        <f>D19+D34</f>
        <v>0</v>
      </c>
      <c r="E38" s="180">
        <f t="shared" ref="E38:P38" si="82">E19+E34</f>
        <v>0</v>
      </c>
      <c r="F38" s="180">
        <f t="shared" si="82"/>
        <v>0</v>
      </c>
      <c r="G38" s="180">
        <f t="shared" si="82"/>
        <v>0</v>
      </c>
      <c r="H38" s="180">
        <f t="shared" si="82"/>
        <v>0</v>
      </c>
      <c r="I38" s="180">
        <f t="shared" si="82"/>
        <v>0</v>
      </c>
      <c r="J38" s="180">
        <f t="shared" si="82"/>
        <v>0</v>
      </c>
      <c r="K38" s="180">
        <f t="shared" si="82"/>
        <v>0</v>
      </c>
      <c r="L38" s="180">
        <f t="shared" si="82"/>
        <v>0</v>
      </c>
      <c r="M38" s="180">
        <f t="shared" ref="M38:O38" si="83">M19+M34</f>
        <v>0</v>
      </c>
      <c r="N38" s="180">
        <f t="shared" si="83"/>
        <v>0</v>
      </c>
      <c r="O38" s="180">
        <f t="shared" si="83"/>
        <v>0</v>
      </c>
      <c r="P38" s="188">
        <f t="shared" si="82"/>
        <v>0</v>
      </c>
    </row>
    <row r="39" spans="1:16" ht="15.75" thickBot="1" x14ac:dyDescent="0.3">
      <c r="A39" s="39">
        <f t="shared" si="4"/>
        <v>36</v>
      </c>
      <c r="B39" s="189" t="s">
        <v>17</v>
      </c>
      <c r="C39" s="190"/>
      <c r="D39" s="191">
        <f>IF((D$6+D$21)=0,0,D38/(D$6+D$21))</f>
        <v>0</v>
      </c>
      <c r="E39" s="191">
        <f t="shared" ref="E39:P39" si="84">IF((E$6+E$21)=0,0,E38/(E$6+E$21))</f>
        <v>0</v>
      </c>
      <c r="F39" s="191">
        <f t="shared" si="84"/>
        <v>0</v>
      </c>
      <c r="G39" s="191">
        <f t="shared" si="84"/>
        <v>0</v>
      </c>
      <c r="H39" s="191">
        <f t="shared" si="84"/>
        <v>0</v>
      </c>
      <c r="I39" s="191">
        <f t="shared" si="84"/>
        <v>0</v>
      </c>
      <c r="J39" s="191">
        <f t="shared" si="84"/>
        <v>0</v>
      </c>
      <c r="K39" s="191">
        <f t="shared" si="84"/>
        <v>0</v>
      </c>
      <c r="L39" s="191">
        <f t="shared" si="84"/>
        <v>0</v>
      </c>
      <c r="M39" s="191">
        <f t="shared" si="84"/>
        <v>0</v>
      </c>
      <c r="N39" s="191">
        <f t="shared" si="84"/>
        <v>0</v>
      </c>
      <c r="O39" s="191">
        <f t="shared" si="84"/>
        <v>0</v>
      </c>
      <c r="P39" s="192">
        <f t="shared" si="84"/>
        <v>0</v>
      </c>
    </row>
  </sheetData>
  <sheetProtection password="D8E9" sheet="1" objects="1" scenarios="1"/>
  <mergeCells count="5">
    <mergeCell ref="C1:P1"/>
    <mergeCell ref="D2:P2"/>
    <mergeCell ref="B3:C3"/>
    <mergeCell ref="B7:B16"/>
    <mergeCell ref="B22:B31"/>
  </mergeCells>
  <conditionalFormatting sqref="D7 D9 D11 D13 D17 D19 D15:P15">
    <cfRule type="cellIs" dxfId="274" priority="40" operator="greaterThan">
      <formula>D$6</formula>
    </cfRule>
  </conditionalFormatting>
  <conditionalFormatting sqref="P6:P35 M8:O8 M10:O10 M12:O12 M14:O16 M18:O18 M20:O20 M23:O23 M25:O25 M27:O27 M29:O31 M33:O33 M35:O35 D6:L35">
    <cfRule type="cellIs" dxfId="273" priority="39" operator="lessThan">
      <formula>0</formula>
    </cfRule>
  </conditionalFormatting>
  <conditionalFormatting sqref="D19">
    <cfRule type="cellIs" dxfId="272" priority="38" operator="greaterThan">
      <formula>D$17</formula>
    </cfRule>
  </conditionalFormatting>
  <conditionalFormatting sqref="E19:L19 P19">
    <cfRule type="cellIs" dxfId="271" priority="37" operator="greaterThan">
      <formula>E$6</formula>
    </cfRule>
  </conditionalFormatting>
  <conditionalFormatting sqref="E19:L19 P19">
    <cfRule type="cellIs" dxfId="270" priority="36" operator="greaterThan">
      <formula>E$17</formula>
    </cfRule>
  </conditionalFormatting>
  <conditionalFormatting sqref="D17">
    <cfRule type="cellIs" dxfId="269" priority="35" operator="greaterThan">
      <formula>D$6-D$15</formula>
    </cfRule>
  </conditionalFormatting>
  <conditionalFormatting sqref="E17:L17 P17">
    <cfRule type="cellIs" dxfId="268" priority="34" operator="greaterThan">
      <formula>E$6</formula>
    </cfRule>
  </conditionalFormatting>
  <conditionalFormatting sqref="E17:L17 P17">
    <cfRule type="cellIs" dxfId="267" priority="33" operator="greaterThan">
      <formula>E$6-E$15</formula>
    </cfRule>
  </conditionalFormatting>
  <conditionalFormatting sqref="D24 D26 D28 D32 D34 D30:P30">
    <cfRule type="cellIs" dxfId="266" priority="32" operator="greaterThan">
      <formula>D$21</formula>
    </cfRule>
  </conditionalFormatting>
  <conditionalFormatting sqref="D22">
    <cfRule type="cellIs" dxfId="265" priority="31" operator="greaterThan">
      <formula>D$21</formula>
    </cfRule>
  </conditionalFormatting>
  <conditionalFormatting sqref="E24:L24 P24">
    <cfRule type="cellIs" dxfId="264" priority="30" operator="greaterThan">
      <formula>E$21</formula>
    </cfRule>
  </conditionalFormatting>
  <conditionalFormatting sqref="E22:L22 P22">
    <cfRule type="cellIs" dxfId="263" priority="29" operator="greaterThan">
      <formula>E$21</formula>
    </cfRule>
  </conditionalFormatting>
  <conditionalFormatting sqref="E26:L26 P26">
    <cfRule type="cellIs" dxfId="262" priority="28" operator="greaterThan">
      <formula>E$21</formula>
    </cfRule>
  </conditionalFormatting>
  <conditionalFormatting sqref="E28:L28 P28">
    <cfRule type="cellIs" dxfId="261" priority="27" operator="greaterThan">
      <formula>E$21</formula>
    </cfRule>
  </conditionalFormatting>
  <conditionalFormatting sqref="E32:L32 P32">
    <cfRule type="cellIs" dxfId="260" priority="26" operator="greaterThan">
      <formula>E$21</formula>
    </cfRule>
  </conditionalFormatting>
  <conditionalFormatting sqref="E34:L34 P34">
    <cfRule type="cellIs" dxfId="259" priority="25" operator="greaterThan">
      <formula>E$21</formula>
    </cfRule>
  </conditionalFormatting>
  <conditionalFormatting sqref="D32">
    <cfRule type="cellIs" dxfId="258" priority="24" operator="greaterThan">
      <formula>D$21-D$30</formula>
    </cfRule>
  </conditionalFormatting>
  <conditionalFormatting sqref="E32:L32 P32">
    <cfRule type="cellIs" dxfId="257" priority="23" operator="greaterThan">
      <formula>E$21</formula>
    </cfRule>
  </conditionalFormatting>
  <conditionalFormatting sqref="E32:L32 P32">
    <cfRule type="cellIs" dxfId="256" priority="22" operator="greaterThan">
      <formula>E$21-E$30</formula>
    </cfRule>
  </conditionalFormatting>
  <conditionalFormatting sqref="D34">
    <cfRule type="cellIs" dxfId="255" priority="21" operator="greaterThan">
      <formula>D$32</formula>
    </cfRule>
  </conditionalFormatting>
  <conditionalFormatting sqref="E34:L34 P34">
    <cfRule type="cellIs" dxfId="254" priority="20" operator="greaterThan">
      <formula>E$21</formula>
    </cfRule>
  </conditionalFormatting>
  <conditionalFormatting sqref="E34:L34 P34">
    <cfRule type="cellIs" dxfId="253" priority="19" operator="greaterThan">
      <formula>E$32</formula>
    </cfRule>
  </conditionalFormatting>
  <conditionalFormatting sqref="A2">
    <cfRule type="cellIs" dxfId="252" priority="18" operator="lessThan">
      <formula>0</formula>
    </cfRule>
  </conditionalFormatting>
  <conditionalFormatting sqref="M6:O7 M9:O9 M11:O11 M13:O13 M17:O17 M19:O19 M21:O22 M24:O24 M26:O26 M28:O28 M32:O32 M34:O34">
    <cfRule type="cellIs" dxfId="251" priority="16" operator="lessThan">
      <formula>0</formula>
    </cfRule>
  </conditionalFormatting>
  <conditionalFormatting sqref="M19:O19">
    <cfRule type="cellIs" dxfId="250" priority="15" operator="greaterThan">
      <formula>M$6</formula>
    </cfRule>
  </conditionalFormatting>
  <conditionalFormatting sqref="M19:O19">
    <cfRule type="cellIs" dxfId="249" priority="14" operator="greaterThan">
      <formula>M$17</formula>
    </cfRule>
  </conditionalFormatting>
  <conditionalFormatting sqref="M17:O17">
    <cfRule type="cellIs" dxfId="248" priority="13" operator="greaterThan">
      <formula>M$6</formula>
    </cfRule>
  </conditionalFormatting>
  <conditionalFormatting sqref="M17:O17">
    <cfRule type="cellIs" dxfId="247" priority="12" operator="greaterThan">
      <formula>M$6-M$15</formula>
    </cfRule>
  </conditionalFormatting>
  <conditionalFormatting sqref="M24:O24">
    <cfRule type="cellIs" dxfId="246" priority="10" operator="greaterThan">
      <formula>M$21</formula>
    </cfRule>
  </conditionalFormatting>
  <conditionalFormatting sqref="M22:O22">
    <cfRule type="cellIs" dxfId="245" priority="9" operator="greaterThan">
      <formula>M$21</formula>
    </cfRule>
  </conditionalFormatting>
  <conditionalFormatting sqref="M26:O26">
    <cfRule type="cellIs" dxfId="244" priority="8" operator="greaterThan">
      <formula>M$21</formula>
    </cfRule>
  </conditionalFormatting>
  <conditionalFormatting sqref="M28:O28">
    <cfRule type="cellIs" dxfId="243" priority="7" operator="greaterThan">
      <formula>M$21</formula>
    </cfRule>
  </conditionalFormatting>
  <conditionalFormatting sqref="M32:O32">
    <cfRule type="cellIs" dxfId="242" priority="6" operator="greaterThan">
      <formula>M$21</formula>
    </cfRule>
  </conditionalFormatting>
  <conditionalFormatting sqref="M34:O34">
    <cfRule type="cellIs" dxfId="241" priority="5" operator="greaterThan">
      <formula>M$21</formula>
    </cfRule>
  </conditionalFormatting>
  <conditionalFormatting sqref="M32:O32">
    <cfRule type="cellIs" dxfId="240" priority="4" operator="greaterThan">
      <formula>M$21</formula>
    </cfRule>
  </conditionalFormatting>
  <conditionalFormatting sqref="M32:O32">
    <cfRule type="cellIs" dxfId="239" priority="3" operator="greaterThan">
      <formula>M$21-M$30</formula>
    </cfRule>
  </conditionalFormatting>
  <conditionalFormatting sqref="M34:O34">
    <cfRule type="cellIs" dxfId="238" priority="2" operator="greaterThan">
      <formula>M$21</formula>
    </cfRule>
  </conditionalFormatting>
  <conditionalFormatting sqref="M34:O34">
    <cfRule type="cellIs" dxfId="237" priority="1" operator="greaterThan">
      <formula>M$32</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pageSetUpPr fitToPage="1"/>
  </sheetPr>
  <dimension ref="A1:P27"/>
  <sheetViews>
    <sheetView zoomScale="80" zoomScaleNormal="80" workbookViewId="0">
      <selection activeCell="C29" sqref="C29"/>
    </sheetView>
  </sheetViews>
  <sheetFormatPr defaultRowHeight="15" x14ac:dyDescent="0.25"/>
  <cols>
    <col min="1" max="1" width="3.85546875" bestFit="1" customWidth="1"/>
    <col min="2" max="2" width="52.42578125" customWidth="1"/>
    <col min="3" max="3" width="40.28515625" customWidth="1"/>
    <col min="4" max="16" width="23.7109375" customWidth="1"/>
  </cols>
  <sheetData>
    <row r="1" spans="1:16" ht="21" x14ac:dyDescent="0.35">
      <c r="B1" s="24" t="s">
        <v>26</v>
      </c>
      <c r="C1" s="674" t="s">
        <v>140</v>
      </c>
      <c r="D1" s="674"/>
      <c r="E1" s="674"/>
      <c r="F1" s="674"/>
      <c r="G1" s="674"/>
      <c r="H1" s="674"/>
      <c r="I1" s="674"/>
      <c r="J1" s="674"/>
      <c r="K1" s="674"/>
      <c r="L1" s="674"/>
      <c r="M1" s="674"/>
      <c r="N1" s="674"/>
      <c r="O1" s="674"/>
      <c r="P1" s="674"/>
    </row>
    <row r="2" spans="1:16" ht="21.75" thickBot="1" x14ac:dyDescent="0.3">
      <c r="A2" s="265"/>
      <c r="B2" s="266"/>
      <c r="C2" s="259" t="s">
        <v>88</v>
      </c>
      <c r="D2" s="697"/>
      <c r="E2" s="697"/>
      <c r="F2" s="697"/>
      <c r="G2" s="697"/>
      <c r="H2" s="697"/>
      <c r="I2" s="697"/>
      <c r="J2" s="697"/>
      <c r="K2" s="697"/>
      <c r="L2" s="697"/>
      <c r="M2" s="697"/>
      <c r="N2" s="697"/>
      <c r="O2" s="697"/>
      <c r="P2" s="697"/>
    </row>
    <row r="3" spans="1:16" ht="15.75" x14ac:dyDescent="0.25">
      <c r="A3" s="263" t="s">
        <v>3</v>
      </c>
      <c r="B3" s="695" t="s">
        <v>57</v>
      </c>
      <c r="C3" s="696"/>
      <c r="D3" s="264" t="s">
        <v>214</v>
      </c>
      <c r="E3" s="264" t="s">
        <v>1686</v>
      </c>
      <c r="F3" s="264" t="s">
        <v>1686</v>
      </c>
      <c r="G3" s="264" t="s">
        <v>1686</v>
      </c>
      <c r="H3" s="264" t="s">
        <v>1686</v>
      </c>
      <c r="I3" s="264" t="s">
        <v>1686</v>
      </c>
      <c r="J3" s="264" t="s">
        <v>1686</v>
      </c>
      <c r="K3" s="264" t="s">
        <v>1686</v>
      </c>
      <c r="L3" s="264" t="s">
        <v>1686</v>
      </c>
      <c r="M3" s="264" t="s">
        <v>1686</v>
      </c>
      <c r="N3" s="264" t="s">
        <v>1686</v>
      </c>
      <c r="O3" s="264" t="s">
        <v>1686</v>
      </c>
      <c r="P3" s="16" t="s">
        <v>1686</v>
      </c>
    </row>
    <row r="4" spans="1:16" x14ac:dyDescent="0.25">
      <c r="A4" s="87">
        <v>1</v>
      </c>
      <c r="B4" s="31">
        <f>A4+1</f>
        <v>2</v>
      </c>
      <c r="C4" s="31">
        <f>B4+1</f>
        <v>3</v>
      </c>
      <c r="D4" s="31">
        <f t="shared" ref="D4:L4" si="0">C4+1</f>
        <v>4</v>
      </c>
      <c r="E4" s="31">
        <f t="shared" si="0"/>
        <v>5</v>
      </c>
      <c r="F4" s="31">
        <f t="shared" si="0"/>
        <v>6</v>
      </c>
      <c r="G4" s="31">
        <f t="shared" si="0"/>
        <v>7</v>
      </c>
      <c r="H4" s="31">
        <f t="shared" si="0"/>
        <v>8</v>
      </c>
      <c r="I4" s="31">
        <f t="shared" si="0"/>
        <v>9</v>
      </c>
      <c r="J4" s="31">
        <f t="shared" si="0"/>
        <v>10</v>
      </c>
      <c r="K4" s="31">
        <f t="shared" si="0"/>
        <v>11</v>
      </c>
      <c r="L4" s="31">
        <f t="shared" si="0"/>
        <v>12</v>
      </c>
      <c r="M4" s="501">
        <f t="shared" ref="M4" si="1">L4+1</f>
        <v>13</v>
      </c>
      <c r="N4" s="501">
        <f t="shared" ref="N4" si="2">M4+1</f>
        <v>14</v>
      </c>
      <c r="O4" s="501">
        <f t="shared" ref="O4" si="3">N4+1</f>
        <v>15</v>
      </c>
      <c r="P4" s="501">
        <f t="shared" ref="P4" si="4">O4+1</f>
        <v>16</v>
      </c>
    </row>
    <row r="5" spans="1:16" s="379" customFormat="1" ht="27" thickBot="1" x14ac:dyDescent="0.3">
      <c r="A5" s="377">
        <f>A4+1</f>
        <v>2</v>
      </c>
      <c r="B5" s="110" t="s">
        <v>69</v>
      </c>
      <c r="C5" s="378"/>
      <c r="D5" s="193"/>
      <c r="E5" s="193"/>
      <c r="F5" s="193"/>
      <c r="G5" s="193"/>
      <c r="H5" s="193"/>
      <c r="I5" s="193"/>
      <c r="J5" s="193"/>
      <c r="K5" s="193"/>
      <c r="L5" s="193"/>
      <c r="M5" s="193"/>
      <c r="N5" s="193"/>
      <c r="O5" s="193"/>
      <c r="P5" s="201"/>
    </row>
    <row r="6" spans="1:16" ht="15.75" x14ac:dyDescent="0.25">
      <c r="A6" s="116">
        <f t="shared" ref="A6:A27" si="5">A5+1</f>
        <v>3</v>
      </c>
      <c r="B6" s="692" t="s">
        <v>134</v>
      </c>
      <c r="C6" s="74" t="s">
        <v>263</v>
      </c>
      <c r="D6" s="139"/>
      <c r="E6" s="139"/>
      <c r="F6" s="139"/>
      <c r="G6" s="139"/>
      <c r="H6" s="139"/>
      <c r="I6" s="139"/>
      <c r="J6" s="139"/>
      <c r="K6" s="139"/>
      <c r="L6" s="139"/>
      <c r="M6" s="139"/>
      <c r="N6" s="139"/>
      <c r="O6" s="139"/>
      <c r="P6" s="140"/>
    </row>
    <row r="7" spans="1:16" ht="15.75" x14ac:dyDescent="0.25">
      <c r="A7" s="87">
        <f t="shared" si="5"/>
        <v>4</v>
      </c>
      <c r="B7" s="693"/>
      <c r="C7" s="66" t="s">
        <v>68</v>
      </c>
      <c r="D7" s="194"/>
      <c r="E7" s="194"/>
      <c r="F7" s="194"/>
      <c r="G7" s="194"/>
      <c r="H7" s="194"/>
      <c r="I7" s="194"/>
      <c r="J7" s="194"/>
      <c r="K7" s="194"/>
      <c r="L7" s="194"/>
      <c r="M7" s="194"/>
      <c r="N7" s="194"/>
      <c r="O7" s="194"/>
      <c r="P7" s="195"/>
    </row>
    <row r="8" spans="1:16" ht="15.75" x14ac:dyDescent="0.25">
      <c r="A8" s="87">
        <f t="shared" si="5"/>
        <v>5</v>
      </c>
      <c r="B8" s="693"/>
      <c r="C8" s="176" t="s">
        <v>86</v>
      </c>
      <c r="D8" s="137"/>
      <c r="E8" s="137"/>
      <c r="F8" s="137"/>
      <c r="G8" s="137"/>
      <c r="H8" s="137"/>
      <c r="I8" s="137"/>
      <c r="J8" s="137"/>
      <c r="K8" s="137"/>
      <c r="L8" s="137"/>
      <c r="M8" s="137"/>
      <c r="N8" s="137"/>
      <c r="O8" s="137"/>
      <c r="P8" s="138"/>
    </row>
    <row r="9" spans="1:16" ht="15.75" x14ac:dyDescent="0.25">
      <c r="A9" s="87">
        <f t="shared" si="5"/>
        <v>6</v>
      </c>
      <c r="B9" s="693"/>
      <c r="C9" s="66" t="s">
        <v>68</v>
      </c>
      <c r="D9" s="194"/>
      <c r="E9" s="194"/>
      <c r="F9" s="194"/>
      <c r="G9" s="194"/>
      <c r="H9" s="194"/>
      <c r="I9" s="194"/>
      <c r="J9" s="194"/>
      <c r="K9" s="194"/>
      <c r="L9" s="194"/>
      <c r="M9" s="194"/>
      <c r="N9" s="194"/>
      <c r="O9" s="194"/>
      <c r="P9" s="195"/>
    </row>
    <row r="10" spans="1:16" ht="15.75" x14ac:dyDescent="0.25">
      <c r="A10" s="87">
        <f t="shared" si="5"/>
        <v>7</v>
      </c>
      <c r="B10" s="693"/>
      <c r="C10" s="176" t="s">
        <v>87</v>
      </c>
      <c r="D10" s="137"/>
      <c r="E10" s="137"/>
      <c r="F10" s="137"/>
      <c r="G10" s="137"/>
      <c r="H10" s="137"/>
      <c r="I10" s="137"/>
      <c r="J10" s="137"/>
      <c r="K10" s="137"/>
      <c r="L10" s="137"/>
      <c r="M10" s="137"/>
      <c r="N10" s="137"/>
      <c r="O10" s="137"/>
      <c r="P10" s="138"/>
    </row>
    <row r="11" spans="1:16" ht="16.5" thickBot="1" x14ac:dyDescent="0.3">
      <c r="A11" s="88">
        <f t="shared" si="5"/>
        <v>8</v>
      </c>
      <c r="B11" s="694"/>
      <c r="C11" s="78" t="s">
        <v>68</v>
      </c>
      <c r="D11" s="196"/>
      <c r="E11" s="196"/>
      <c r="F11" s="196"/>
      <c r="G11" s="196"/>
      <c r="H11" s="196"/>
      <c r="I11" s="196"/>
      <c r="J11" s="196"/>
      <c r="K11" s="196"/>
      <c r="L11" s="196"/>
      <c r="M11" s="196"/>
      <c r="N11" s="196"/>
      <c r="O11" s="196"/>
      <c r="P11" s="197"/>
    </row>
    <row r="12" spans="1:16" ht="47.25" x14ac:dyDescent="0.25">
      <c r="A12" s="115">
        <f t="shared" si="5"/>
        <v>9</v>
      </c>
      <c r="B12" s="111" t="s">
        <v>130</v>
      </c>
      <c r="C12" s="261" t="s">
        <v>263</v>
      </c>
      <c r="D12" s="143"/>
      <c r="E12" s="143"/>
      <c r="F12" s="143"/>
      <c r="G12" s="143"/>
      <c r="H12" s="143"/>
      <c r="I12" s="143"/>
      <c r="J12" s="143"/>
      <c r="K12" s="143"/>
      <c r="L12" s="143"/>
      <c r="M12" s="143"/>
      <c r="N12" s="143"/>
      <c r="O12" s="143"/>
      <c r="P12" s="144"/>
    </row>
    <row r="13" spans="1:16" ht="15.75" x14ac:dyDescent="0.25">
      <c r="A13" s="87">
        <f t="shared" si="5"/>
        <v>10</v>
      </c>
      <c r="B13" s="66" t="s">
        <v>68</v>
      </c>
      <c r="C13" s="90"/>
      <c r="D13" s="194"/>
      <c r="E13" s="194"/>
      <c r="F13" s="194"/>
      <c r="G13" s="194"/>
      <c r="H13" s="194"/>
      <c r="I13" s="194"/>
      <c r="J13" s="194"/>
      <c r="K13" s="194"/>
      <c r="L13" s="194"/>
      <c r="M13" s="194"/>
      <c r="N13" s="194"/>
      <c r="O13" s="194"/>
      <c r="P13" s="195"/>
    </row>
    <row r="14" spans="1:16" ht="15.75" x14ac:dyDescent="0.25">
      <c r="A14" s="87">
        <f t="shared" si="5"/>
        <v>11</v>
      </c>
      <c r="B14" s="176" t="s">
        <v>28</v>
      </c>
      <c r="C14" s="261" t="s">
        <v>263</v>
      </c>
      <c r="D14" s="137"/>
      <c r="E14" s="137"/>
      <c r="F14" s="137"/>
      <c r="G14" s="137"/>
      <c r="H14" s="137"/>
      <c r="I14" s="137"/>
      <c r="J14" s="137"/>
      <c r="K14" s="137"/>
      <c r="L14" s="137"/>
      <c r="M14" s="137"/>
      <c r="N14" s="137"/>
      <c r="O14" s="137"/>
      <c r="P14" s="138"/>
    </row>
    <row r="15" spans="1:16" ht="15.75" x14ac:dyDescent="0.25">
      <c r="A15" s="87">
        <f t="shared" si="5"/>
        <v>12</v>
      </c>
      <c r="B15" s="66" t="s">
        <v>68</v>
      </c>
      <c r="C15" s="90"/>
      <c r="D15" s="194"/>
      <c r="E15" s="194"/>
      <c r="F15" s="194"/>
      <c r="G15" s="194"/>
      <c r="H15" s="194"/>
      <c r="I15" s="194"/>
      <c r="J15" s="194"/>
      <c r="K15" s="194"/>
      <c r="L15" s="194"/>
      <c r="M15" s="194"/>
      <c r="N15" s="194"/>
      <c r="O15" s="194"/>
      <c r="P15" s="195"/>
    </row>
    <row r="16" spans="1:16" ht="31.5" x14ac:dyDescent="0.25">
      <c r="A16" s="87">
        <f t="shared" si="5"/>
        <v>13</v>
      </c>
      <c r="B16" s="176" t="s">
        <v>53</v>
      </c>
      <c r="C16" s="261" t="s">
        <v>263</v>
      </c>
      <c r="D16" s="137"/>
      <c r="E16" s="137"/>
      <c r="F16" s="137"/>
      <c r="G16" s="137"/>
      <c r="H16" s="137"/>
      <c r="I16" s="137"/>
      <c r="J16" s="137"/>
      <c r="K16" s="137"/>
      <c r="L16" s="137"/>
      <c r="M16" s="137"/>
      <c r="N16" s="137"/>
      <c r="O16" s="137"/>
      <c r="P16" s="138"/>
    </row>
    <row r="17" spans="1:16" ht="16.5" thickBot="1" x14ac:dyDescent="0.3">
      <c r="A17" s="112">
        <f t="shared" si="5"/>
        <v>14</v>
      </c>
      <c r="B17" s="99" t="s">
        <v>68</v>
      </c>
      <c r="C17" s="117"/>
      <c r="D17" s="198"/>
      <c r="E17" s="198"/>
      <c r="F17" s="198"/>
      <c r="G17" s="198"/>
      <c r="H17" s="198"/>
      <c r="I17" s="198"/>
      <c r="J17" s="198"/>
      <c r="K17" s="198"/>
      <c r="L17" s="198"/>
      <c r="M17" s="198"/>
      <c r="N17" s="198"/>
      <c r="O17" s="198"/>
      <c r="P17" s="199"/>
    </row>
    <row r="18" spans="1:16" ht="31.5" x14ac:dyDescent="0.25">
      <c r="A18" s="116">
        <f t="shared" si="5"/>
        <v>15</v>
      </c>
      <c r="B18" s="692" t="s">
        <v>131</v>
      </c>
      <c r="C18" s="175" t="s">
        <v>29</v>
      </c>
      <c r="D18" s="139"/>
      <c r="E18" s="139"/>
      <c r="F18" s="139"/>
      <c r="G18" s="139"/>
      <c r="H18" s="139"/>
      <c r="I18" s="139"/>
      <c r="J18" s="139"/>
      <c r="K18" s="139"/>
      <c r="L18" s="139"/>
      <c r="M18" s="139"/>
      <c r="N18" s="139"/>
      <c r="O18" s="139"/>
      <c r="P18" s="140"/>
    </row>
    <row r="19" spans="1:16" ht="15.75" x14ac:dyDescent="0.25">
      <c r="A19" s="87">
        <f t="shared" si="5"/>
        <v>16</v>
      </c>
      <c r="B19" s="693"/>
      <c r="C19" s="66" t="s">
        <v>68</v>
      </c>
      <c r="D19" s="194"/>
      <c r="E19" s="194"/>
      <c r="F19" s="194"/>
      <c r="G19" s="194"/>
      <c r="H19" s="194"/>
      <c r="I19" s="194"/>
      <c r="J19" s="194"/>
      <c r="K19" s="194"/>
      <c r="L19" s="194"/>
      <c r="M19" s="194"/>
      <c r="N19" s="194"/>
      <c r="O19" s="194"/>
      <c r="P19" s="195"/>
    </row>
    <row r="20" spans="1:16" ht="15.75" x14ac:dyDescent="0.25">
      <c r="A20" s="87">
        <f t="shared" si="5"/>
        <v>17</v>
      </c>
      <c r="B20" s="693"/>
      <c r="C20" s="176" t="s">
        <v>85</v>
      </c>
      <c r="D20" s="137"/>
      <c r="E20" s="137"/>
      <c r="F20" s="137"/>
      <c r="G20" s="137"/>
      <c r="H20" s="137"/>
      <c r="I20" s="137"/>
      <c r="J20" s="137"/>
      <c r="K20" s="137"/>
      <c r="L20" s="137"/>
      <c r="M20" s="137"/>
      <c r="N20" s="137"/>
      <c r="O20" s="137"/>
      <c r="P20" s="138"/>
    </row>
    <row r="21" spans="1:16" ht="16.5" thickBot="1" x14ac:dyDescent="0.3">
      <c r="A21" s="88">
        <f t="shared" si="5"/>
        <v>18</v>
      </c>
      <c r="B21" s="694"/>
      <c r="C21" s="78" t="s">
        <v>68</v>
      </c>
      <c r="D21" s="196"/>
      <c r="E21" s="196"/>
      <c r="F21" s="196"/>
      <c r="G21" s="196"/>
      <c r="H21" s="196"/>
      <c r="I21" s="196"/>
      <c r="J21" s="196"/>
      <c r="K21" s="196"/>
      <c r="L21" s="196"/>
      <c r="M21" s="196"/>
      <c r="N21" s="196"/>
      <c r="O21" s="196"/>
      <c r="P21" s="197"/>
    </row>
    <row r="22" spans="1:16" ht="47.25" x14ac:dyDescent="0.25">
      <c r="A22" s="116">
        <f t="shared" si="5"/>
        <v>19</v>
      </c>
      <c r="B22" s="118" t="s">
        <v>132</v>
      </c>
      <c r="C22" s="261" t="s">
        <v>263</v>
      </c>
      <c r="D22" s="139"/>
      <c r="E22" s="139"/>
      <c r="F22" s="139"/>
      <c r="G22" s="139"/>
      <c r="H22" s="139"/>
      <c r="I22" s="139"/>
      <c r="J22" s="139"/>
      <c r="K22" s="139"/>
      <c r="L22" s="139"/>
      <c r="M22" s="139"/>
      <c r="N22" s="139"/>
      <c r="O22" s="139"/>
      <c r="P22" s="140"/>
    </row>
    <row r="23" spans="1:16" ht="16.5" thickBot="1" x14ac:dyDescent="0.3">
      <c r="A23" s="88">
        <f t="shared" si="5"/>
        <v>20</v>
      </c>
      <c r="B23" s="78" t="s">
        <v>68</v>
      </c>
      <c r="C23" s="119"/>
      <c r="D23" s="196"/>
      <c r="E23" s="196"/>
      <c r="F23" s="196"/>
      <c r="G23" s="196"/>
      <c r="H23" s="196"/>
      <c r="I23" s="196"/>
      <c r="J23" s="196"/>
      <c r="K23" s="196"/>
      <c r="L23" s="196"/>
      <c r="M23" s="196"/>
      <c r="N23" s="196"/>
      <c r="O23" s="196"/>
      <c r="P23" s="197"/>
    </row>
    <row r="24" spans="1:16" ht="63" x14ac:dyDescent="0.25">
      <c r="A24" s="116">
        <f t="shared" si="5"/>
        <v>21</v>
      </c>
      <c r="B24" s="118" t="s">
        <v>133</v>
      </c>
      <c r="C24" s="261" t="s">
        <v>263</v>
      </c>
      <c r="D24" s="139"/>
      <c r="E24" s="139"/>
      <c r="F24" s="139"/>
      <c r="G24" s="139"/>
      <c r="H24" s="139"/>
      <c r="I24" s="139"/>
      <c r="J24" s="139"/>
      <c r="K24" s="139"/>
      <c r="L24" s="139"/>
      <c r="M24" s="139"/>
      <c r="N24" s="139"/>
      <c r="O24" s="139"/>
      <c r="P24" s="140"/>
    </row>
    <row r="25" spans="1:16" ht="16.5" thickBot="1" x14ac:dyDescent="0.3">
      <c r="A25" s="88">
        <f t="shared" si="5"/>
        <v>22</v>
      </c>
      <c r="B25" s="78" t="s">
        <v>68</v>
      </c>
      <c r="C25" s="119"/>
      <c r="D25" s="196"/>
      <c r="E25" s="196"/>
      <c r="F25" s="196"/>
      <c r="G25" s="196"/>
      <c r="H25" s="196"/>
      <c r="I25" s="196"/>
      <c r="J25" s="196"/>
      <c r="K25" s="196"/>
      <c r="L25" s="196"/>
      <c r="M25" s="196"/>
      <c r="N25" s="196"/>
      <c r="O25" s="196"/>
      <c r="P25" s="197"/>
    </row>
    <row r="26" spans="1:16" ht="78.75" x14ac:dyDescent="0.25">
      <c r="A26" s="116">
        <f t="shared" si="5"/>
        <v>23</v>
      </c>
      <c r="B26" s="118" t="s">
        <v>1642</v>
      </c>
      <c r="C26" s="261" t="s">
        <v>263</v>
      </c>
      <c r="D26" s="200"/>
      <c r="E26" s="139"/>
      <c r="F26" s="139"/>
      <c r="G26" s="139"/>
      <c r="H26" s="139"/>
      <c r="I26" s="139"/>
      <c r="J26" s="139"/>
      <c r="K26" s="139"/>
      <c r="L26" s="139"/>
      <c r="M26" s="139"/>
      <c r="N26" s="139"/>
      <c r="O26" s="139"/>
      <c r="P26" s="140"/>
    </row>
    <row r="27" spans="1:16" ht="16.5" thickBot="1" x14ac:dyDescent="0.3">
      <c r="A27" s="88">
        <f t="shared" si="5"/>
        <v>24</v>
      </c>
      <c r="B27" s="78" t="s">
        <v>68</v>
      </c>
      <c r="C27" s="91"/>
      <c r="D27" s="196"/>
      <c r="E27" s="196"/>
      <c r="F27" s="196"/>
      <c r="G27" s="196"/>
      <c r="H27" s="196"/>
      <c r="I27" s="196"/>
      <c r="J27" s="196"/>
      <c r="K27" s="196"/>
      <c r="L27" s="196"/>
      <c r="M27" s="196"/>
      <c r="N27" s="196"/>
      <c r="O27" s="196"/>
      <c r="P27" s="197"/>
    </row>
  </sheetData>
  <sheetProtection password="D8E9" sheet="1" objects="1" scenarios="1" insertColumns="0"/>
  <mergeCells count="5">
    <mergeCell ref="B6:B11"/>
    <mergeCell ref="B18:B21"/>
    <mergeCell ref="B3:C3"/>
    <mergeCell ref="C1:P1"/>
    <mergeCell ref="D2:P2"/>
  </mergeCells>
  <conditionalFormatting sqref="C7:L7 C9:L9 C11:L11 C19:L19 C21:L21 D23:L23 D25:L25 D27:L27 P27 P25 P23 P21 P19 P11 P9 P7">
    <cfRule type="cellIs" dxfId="236" priority="12" operator="lessThan">
      <formula>0</formula>
    </cfRule>
  </conditionalFormatting>
  <conditionalFormatting sqref="D6:L27 P6:P27">
    <cfRule type="expression" dxfId="235" priority="10">
      <formula>ISTEXT(D6)</formula>
    </cfRule>
    <cfRule type="cellIs" dxfId="234" priority="11" operator="lessThan">
      <formula>0</formula>
    </cfRule>
  </conditionalFormatting>
  <conditionalFormatting sqref="D8 D10">
    <cfRule type="cellIs" dxfId="233" priority="9" operator="greaterThan">
      <formula>D$6</formula>
    </cfRule>
  </conditionalFormatting>
  <conditionalFormatting sqref="E8:L8 P8">
    <cfRule type="cellIs" dxfId="232" priority="8" operator="greaterThan">
      <formula>E$6</formula>
    </cfRule>
  </conditionalFormatting>
  <conditionalFormatting sqref="E10:L10 P10">
    <cfRule type="cellIs" dxfId="231" priority="7" operator="greaterThan">
      <formula>E$6</formula>
    </cfRule>
  </conditionalFormatting>
  <conditionalFormatting sqref="A2">
    <cfRule type="cellIs" dxfId="230" priority="6" operator="lessThan">
      <formula>0</formula>
    </cfRule>
  </conditionalFormatting>
  <conditionalFormatting sqref="M7:O7 M9:O9 M11:O11 M19:O19 M21:O21 M23:O23 M25:O25 M27:O27">
    <cfRule type="cellIs" dxfId="229" priority="5" operator="lessThan">
      <formula>0</formula>
    </cfRule>
  </conditionalFormatting>
  <conditionalFormatting sqref="M6:O27">
    <cfRule type="expression" dxfId="228" priority="3">
      <formula>ISTEXT(M6)</formula>
    </cfRule>
    <cfRule type="cellIs" dxfId="227" priority="4" operator="lessThan">
      <formula>0</formula>
    </cfRule>
  </conditionalFormatting>
  <conditionalFormatting sqref="M8:O8">
    <cfRule type="cellIs" dxfId="226" priority="2" operator="greaterThan">
      <formula>M$6</formula>
    </cfRule>
  </conditionalFormatting>
  <conditionalFormatting sqref="M10:O10">
    <cfRule type="cellIs" dxfId="225" priority="1" operator="greaterThan">
      <formula>M$6</formula>
    </cfRule>
  </conditionalFormatting>
  <pageMargins left="0.51181102362204722" right="0.51181102362204722" top="0.55118110236220474" bottom="0.55118110236220474" header="0.31496062992125984" footer="0.31496062992125984"/>
  <pageSetup paperSize="9" scale="4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I105"/>
  <sheetViews>
    <sheetView zoomScale="80" zoomScaleNormal="80" workbookViewId="0">
      <selection activeCell="D101" sqref="D101"/>
    </sheetView>
  </sheetViews>
  <sheetFormatPr defaultRowHeight="15" x14ac:dyDescent="0.25"/>
  <cols>
    <col min="1" max="1" width="6.140625" style="371" customWidth="1"/>
    <col min="2" max="2" width="82.7109375" customWidth="1"/>
    <col min="3" max="3" width="110.28515625" customWidth="1"/>
    <col min="4" max="4" width="76.28515625" customWidth="1"/>
    <col min="5" max="5" width="19.7109375" customWidth="1"/>
    <col min="6" max="6" width="16.7109375" style="92" customWidth="1"/>
    <col min="7" max="8" width="23.7109375" style="94" customWidth="1"/>
    <col min="9" max="9" width="20.7109375" style="92" customWidth="1"/>
  </cols>
  <sheetData>
    <row r="1" spans="1:9" ht="23.25" x14ac:dyDescent="0.25">
      <c r="B1" s="24" t="s">
        <v>139</v>
      </c>
      <c r="C1" s="698" t="s">
        <v>98</v>
      </c>
      <c r="D1" s="698"/>
      <c r="E1" s="698"/>
      <c r="F1" s="698"/>
      <c r="G1" s="698"/>
      <c r="H1" s="698"/>
      <c r="I1" s="698"/>
    </row>
    <row r="2" spans="1:9" ht="18.75" x14ac:dyDescent="0.3">
      <c r="B2" s="93" t="s">
        <v>45</v>
      </c>
      <c r="C2" s="699"/>
      <c r="D2" s="699"/>
      <c r="E2" s="699"/>
      <c r="F2" s="699"/>
      <c r="G2" s="699"/>
      <c r="H2" s="699"/>
      <c r="I2" s="699"/>
    </row>
    <row r="3" spans="1:9" ht="19.5" thickBot="1" x14ac:dyDescent="0.35">
      <c r="B3" s="93" t="s">
        <v>88</v>
      </c>
      <c r="C3" s="700"/>
      <c r="D3" s="700"/>
      <c r="E3" s="700"/>
      <c r="F3" s="700"/>
      <c r="G3" s="700"/>
      <c r="H3" s="700"/>
      <c r="I3" s="700"/>
    </row>
    <row r="4" spans="1:9" s="1" customFormat="1" ht="63" x14ac:dyDescent="0.25">
      <c r="A4" s="372" t="s">
        <v>3</v>
      </c>
      <c r="B4" s="566" t="s">
        <v>93</v>
      </c>
      <c r="C4" s="566" t="s">
        <v>92</v>
      </c>
      <c r="D4" s="565" t="s">
        <v>254</v>
      </c>
      <c r="E4" s="565" t="s">
        <v>255</v>
      </c>
      <c r="F4" s="95" t="s">
        <v>94</v>
      </c>
      <c r="G4" s="96" t="s">
        <v>95</v>
      </c>
      <c r="H4" s="97" t="s">
        <v>96</v>
      </c>
      <c r="I4" s="98" t="s">
        <v>97</v>
      </c>
    </row>
    <row r="5" spans="1:9" s="1" customFormat="1" x14ac:dyDescent="0.25">
      <c r="A5" s="373">
        <v>1</v>
      </c>
      <c r="B5" s="124">
        <v>2</v>
      </c>
      <c r="C5" s="124">
        <v>3</v>
      </c>
      <c r="D5" s="124">
        <v>4</v>
      </c>
      <c r="E5" s="124">
        <v>5</v>
      </c>
      <c r="F5" s="125">
        <v>6</v>
      </c>
      <c r="G5" s="126">
        <v>7</v>
      </c>
      <c r="H5" s="125">
        <v>8</v>
      </c>
      <c r="I5" s="127">
        <v>9</v>
      </c>
    </row>
    <row r="6" spans="1:9" x14ac:dyDescent="0.25">
      <c r="A6" s="374">
        <v>1</v>
      </c>
      <c r="B6" s="417"/>
      <c r="C6" s="417"/>
      <c r="D6" s="418"/>
      <c r="E6" s="419">
        <f t="shared" ref="E6:E34" ca="1" si="0">IF(I6&lt;&gt;0,(TODAY()-I6)/365,0)</f>
        <v>0</v>
      </c>
      <c r="F6" s="420"/>
      <c r="G6" s="421"/>
      <c r="H6" s="421"/>
      <c r="I6" s="422"/>
    </row>
    <row r="7" spans="1:9" x14ac:dyDescent="0.25">
      <c r="A7" s="374">
        <f>A6+1</f>
        <v>2</v>
      </c>
      <c r="B7" s="417"/>
      <c r="C7" s="417"/>
      <c r="D7" s="418"/>
      <c r="E7" s="419">
        <f t="shared" ca="1" si="0"/>
        <v>0</v>
      </c>
      <c r="F7" s="420"/>
      <c r="G7" s="421"/>
      <c r="H7" s="421"/>
      <c r="I7" s="422"/>
    </row>
    <row r="8" spans="1:9" x14ac:dyDescent="0.25">
      <c r="A8" s="374">
        <f t="shared" ref="A8:A71" si="1">A7+1</f>
        <v>3</v>
      </c>
      <c r="B8" s="417"/>
      <c r="C8" s="417"/>
      <c r="D8" s="418"/>
      <c r="E8" s="419">
        <f ca="1">IF(I8&lt;&gt;0,(TODAY()-I8)/365,0)</f>
        <v>0</v>
      </c>
      <c r="F8" s="420"/>
      <c r="G8" s="421"/>
      <c r="H8" s="421"/>
      <c r="I8" s="422"/>
    </row>
    <row r="9" spans="1:9" x14ac:dyDescent="0.25">
      <c r="A9" s="374">
        <f t="shared" si="1"/>
        <v>4</v>
      </c>
      <c r="B9" s="417"/>
      <c r="C9" s="417"/>
      <c r="D9" s="418"/>
      <c r="E9" s="419">
        <f t="shared" ca="1" si="0"/>
        <v>0</v>
      </c>
      <c r="F9" s="420"/>
      <c r="G9" s="421"/>
      <c r="H9" s="421"/>
      <c r="I9" s="422"/>
    </row>
    <row r="10" spans="1:9" x14ac:dyDescent="0.25">
      <c r="A10" s="374">
        <f t="shared" si="1"/>
        <v>5</v>
      </c>
      <c r="B10" s="417"/>
      <c r="C10" s="417"/>
      <c r="D10" s="418"/>
      <c r="E10" s="419">
        <f t="shared" ca="1" si="0"/>
        <v>0</v>
      </c>
      <c r="F10" s="420"/>
      <c r="G10" s="421"/>
      <c r="H10" s="421"/>
      <c r="I10" s="422"/>
    </row>
    <row r="11" spans="1:9" x14ac:dyDescent="0.25">
      <c r="A11" s="374">
        <f t="shared" si="1"/>
        <v>6</v>
      </c>
      <c r="B11" s="417"/>
      <c r="C11" s="417"/>
      <c r="D11" s="418"/>
      <c r="E11" s="419">
        <f t="shared" ca="1" si="0"/>
        <v>0</v>
      </c>
      <c r="F11" s="420"/>
      <c r="G11" s="421"/>
      <c r="H11" s="421"/>
      <c r="I11" s="422"/>
    </row>
    <row r="12" spans="1:9" x14ac:dyDescent="0.25">
      <c r="A12" s="374">
        <f t="shared" si="1"/>
        <v>7</v>
      </c>
      <c r="B12" s="417"/>
      <c r="C12" s="417"/>
      <c r="D12" s="418"/>
      <c r="E12" s="419">
        <f t="shared" ca="1" si="0"/>
        <v>0</v>
      </c>
      <c r="F12" s="420"/>
      <c r="G12" s="421"/>
      <c r="H12" s="421"/>
      <c r="I12" s="422"/>
    </row>
    <row r="13" spans="1:9" x14ac:dyDescent="0.25">
      <c r="A13" s="374">
        <f t="shared" si="1"/>
        <v>8</v>
      </c>
      <c r="B13" s="417"/>
      <c r="C13" s="417"/>
      <c r="D13" s="418"/>
      <c r="E13" s="419">
        <f t="shared" ca="1" si="0"/>
        <v>0</v>
      </c>
      <c r="F13" s="420"/>
      <c r="G13" s="421"/>
      <c r="H13" s="421"/>
      <c r="I13" s="422"/>
    </row>
    <row r="14" spans="1:9" x14ac:dyDescent="0.25">
      <c r="A14" s="374">
        <f t="shared" si="1"/>
        <v>9</v>
      </c>
      <c r="B14" s="417"/>
      <c r="C14" s="417"/>
      <c r="D14" s="418"/>
      <c r="E14" s="419">
        <f t="shared" ca="1" si="0"/>
        <v>0</v>
      </c>
      <c r="F14" s="420"/>
      <c r="G14" s="421"/>
      <c r="H14" s="421"/>
      <c r="I14" s="422"/>
    </row>
    <row r="15" spans="1:9" x14ac:dyDescent="0.25">
      <c r="A15" s="374">
        <f t="shared" si="1"/>
        <v>10</v>
      </c>
      <c r="B15" s="417"/>
      <c r="C15" s="417"/>
      <c r="D15" s="418"/>
      <c r="E15" s="419">
        <f t="shared" ca="1" si="0"/>
        <v>0</v>
      </c>
      <c r="F15" s="420"/>
      <c r="G15" s="421"/>
      <c r="H15" s="421"/>
      <c r="I15" s="422"/>
    </row>
    <row r="16" spans="1:9" x14ac:dyDescent="0.25">
      <c r="A16" s="374">
        <f t="shared" si="1"/>
        <v>11</v>
      </c>
      <c r="B16" s="417"/>
      <c r="C16" s="417"/>
      <c r="D16" s="418"/>
      <c r="E16" s="419">
        <f t="shared" ca="1" si="0"/>
        <v>0</v>
      </c>
      <c r="F16" s="420"/>
      <c r="G16" s="421"/>
      <c r="H16" s="421"/>
      <c r="I16" s="422"/>
    </row>
    <row r="17" spans="1:9" x14ac:dyDescent="0.25">
      <c r="A17" s="374">
        <f t="shared" si="1"/>
        <v>12</v>
      </c>
      <c r="B17" s="417"/>
      <c r="C17" s="417"/>
      <c r="D17" s="418"/>
      <c r="E17" s="419">
        <f t="shared" ca="1" si="0"/>
        <v>0</v>
      </c>
      <c r="F17" s="420"/>
      <c r="G17" s="421"/>
      <c r="H17" s="421"/>
      <c r="I17" s="422"/>
    </row>
    <row r="18" spans="1:9" x14ac:dyDescent="0.25">
      <c r="A18" s="374">
        <f t="shared" si="1"/>
        <v>13</v>
      </c>
      <c r="B18" s="417"/>
      <c r="C18" s="417"/>
      <c r="D18" s="418"/>
      <c r="E18" s="419">
        <f t="shared" ca="1" si="0"/>
        <v>0</v>
      </c>
      <c r="F18" s="420"/>
      <c r="G18" s="421"/>
      <c r="H18" s="421"/>
      <c r="I18" s="422"/>
    </row>
    <row r="19" spans="1:9" x14ac:dyDescent="0.25">
      <c r="A19" s="374">
        <f t="shared" si="1"/>
        <v>14</v>
      </c>
      <c r="B19" s="417"/>
      <c r="C19" s="417"/>
      <c r="D19" s="418"/>
      <c r="E19" s="419">
        <f t="shared" ca="1" si="0"/>
        <v>0</v>
      </c>
      <c r="F19" s="420"/>
      <c r="G19" s="421"/>
      <c r="H19" s="421"/>
      <c r="I19" s="422"/>
    </row>
    <row r="20" spans="1:9" x14ac:dyDescent="0.25">
      <c r="A20" s="374">
        <f t="shared" si="1"/>
        <v>15</v>
      </c>
      <c r="B20" s="417"/>
      <c r="C20" s="417"/>
      <c r="D20" s="418"/>
      <c r="E20" s="419">
        <f t="shared" ca="1" si="0"/>
        <v>0</v>
      </c>
      <c r="F20" s="420"/>
      <c r="G20" s="421"/>
      <c r="H20" s="421"/>
      <c r="I20" s="422"/>
    </row>
    <row r="21" spans="1:9" x14ac:dyDescent="0.25">
      <c r="A21" s="374">
        <f t="shared" si="1"/>
        <v>16</v>
      </c>
      <c r="B21" s="417"/>
      <c r="C21" s="417"/>
      <c r="D21" s="418"/>
      <c r="E21" s="419">
        <f t="shared" ca="1" si="0"/>
        <v>0</v>
      </c>
      <c r="F21" s="420"/>
      <c r="G21" s="421"/>
      <c r="H21" s="421"/>
      <c r="I21" s="422"/>
    </row>
    <row r="22" spans="1:9" x14ac:dyDescent="0.25">
      <c r="A22" s="374">
        <f t="shared" si="1"/>
        <v>17</v>
      </c>
      <c r="B22" s="417"/>
      <c r="C22" s="417"/>
      <c r="D22" s="418"/>
      <c r="E22" s="419">
        <f t="shared" ca="1" si="0"/>
        <v>0</v>
      </c>
      <c r="F22" s="420"/>
      <c r="G22" s="421"/>
      <c r="H22" s="421"/>
      <c r="I22" s="422"/>
    </row>
    <row r="23" spans="1:9" x14ac:dyDescent="0.25">
      <c r="A23" s="374">
        <f t="shared" si="1"/>
        <v>18</v>
      </c>
      <c r="B23" s="417"/>
      <c r="C23" s="417"/>
      <c r="D23" s="418"/>
      <c r="E23" s="419">
        <f t="shared" ca="1" si="0"/>
        <v>0</v>
      </c>
      <c r="F23" s="420"/>
      <c r="G23" s="421"/>
      <c r="H23" s="421"/>
      <c r="I23" s="422"/>
    </row>
    <row r="24" spans="1:9" x14ac:dyDescent="0.25">
      <c r="A24" s="374">
        <f t="shared" si="1"/>
        <v>19</v>
      </c>
      <c r="B24" s="417"/>
      <c r="C24" s="417"/>
      <c r="D24" s="418"/>
      <c r="E24" s="419">
        <f t="shared" ca="1" si="0"/>
        <v>0</v>
      </c>
      <c r="F24" s="420"/>
      <c r="G24" s="421"/>
      <c r="H24" s="421"/>
      <c r="I24" s="422"/>
    </row>
    <row r="25" spans="1:9" x14ac:dyDescent="0.25">
      <c r="A25" s="374">
        <f t="shared" si="1"/>
        <v>20</v>
      </c>
      <c r="B25" s="417"/>
      <c r="C25" s="417"/>
      <c r="D25" s="418"/>
      <c r="E25" s="419">
        <f t="shared" ca="1" si="0"/>
        <v>0</v>
      </c>
      <c r="F25" s="420"/>
      <c r="G25" s="421"/>
      <c r="H25" s="421"/>
      <c r="I25" s="422"/>
    </row>
    <row r="26" spans="1:9" x14ac:dyDescent="0.25">
      <c r="A26" s="374">
        <f t="shared" si="1"/>
        <v>21</v>
      </c>
      <c r="B26" s="417"/>
      <c r="C26" s="417"/>
      <c r="D26" s="418"/>
      <c r="E26" s="419">
        <f t="shared" ca="1" si="0"/>
        <v>0</v>
      </c>
      <c r="F26" s="420"/>
      <c r="G26" s="421"/>
      <c r="H26" s="421"/>
      <c r="I26" s="422"/>
    </row>
    <row r="27" spans="1:9" x14ac:dyDescent="0.25">
      <c r="A27" s="374">
        <f t="shared" si="1"/>
        <v>22</v>
      </c>
      <c r="B27" s="417"/>
      <c r="C27" s="417"/>
      <c r="D27" s="418"/>
      <c r="E27" s="419">
        <f t="shared" ca="1" si="0"/>
        <v>0</v>
      </c>
      <c r="F27" s="420"/>
      <c r="G27" s="421"/>
      <c r="H27" s="421"/>
      <c r="I27" s="422"/>
    </row>
    <row r="28" spans="1:9" x14ac:dyDescent="0.25">
      <c r="A28" s="374">
        <f t="shared" si="1"/>
        <v>23</v>
      </c>
      <c r="B28" s="417"/>
      <c r="C28" s="417"/>
      <c r="D28" s="418"/>
      <c r="E28" s="419">
        <f t="shared" ca="1" si="0"/>
        <v>0</v>
      </c>
      <c r="F28" s="420"/>
      <c r="G28" s="421"/>
      <c r="H28" s="421"/>
      <c r="I28" s="422"/>
    </row>
    <row r="29" spans="1:9" x14ac:dyDescent="0.25">
      <c r="A29" s="374">
        <f t="shared" si="1"/>
        <v>24</v>
      </c>
      <c r="B29" s="417"/>
      <c r="C29" s="417"/>
      <c r="D29" s="418"/>
      <c r="E29" s="419">
        <f t="shared" ca="1" si="0"/>
        <v>0</v>
      </c>
      <c r="F29" s="420"/>
      <c r="G29" s="421"/>
      <c r="H29" s="421"/>
      <c r="I29" s="422"/>
    </row>
    <row r="30" spans="1:9" x14ac:dyDescent="0.25">
      <c r="A30" s="374">
        <f t="shared" si="1"/>
        <v>25</v>
      </c>
      <c r="B30" s="417"/>
      <c r="C30" s="417"/>
      <c r="D30" s="418"/>
      <c r="E30" s="419">
        <f t="shared" ca="1" si="0"/>
        <v>0</v>
      </c>
      <c r="F30" s="420"/>
      <c r="G30" s="421"/>
      <c r="H30" s="421"/>
      <c r="I30" s="422"/>
    </row>
    <row r="31" spans="1:9" x14ac:dyDescent="0.25">
      <c r="A31" s="374">
        <f t="shared" si="1"/>
        <v>26</v>
      </c>
      <c r="B31" s="417"/>
      <c r="C31" s="417"/>
      <c r="D31" s="418"/>
      <c r="E31" s="419">
        <f t="shared" ca="1" si="0"/>
        <v>0</v>
      </c>
      <c r="F31" s="420"/>
      <c r="G31" s="421"/>
      <c r="H31" s="421"/>
      <c r="I31" s="422"/>
    </row>
    <row r="32" spans="1:9" x14ac:dyDescent="0.25">
      <c r="A32" s="374">
        <f t="shared" si="1"/>
        <v>27</v>
      </c>
      <c r="B32" s="417"/>
      <c r="C32" s="417"/>
      <c r="D32" s="418"/>
      <c r="E32" s="419">
        <f t="shared" ca="1" si="0"/>
        <v>0</v>
      </c>
      <c r="F32" s="420"/>
      <c r="G32" s="421"/>
      <c r="H32" s="421"/>
      <c r="I32" s="422"/>
    </row>
    <row r="33" spans="1:9" x14ac:dyDescent="0.25">
      <c r="A33" s="374">
        <f t="shared" si="1"/>
        <v>28</v>
      </c>
      <c r="B33" s="417"/>
      <c r="C33" s="417"/>
      <c r="D33" s="418"/>
      <c r="E33" s="419">
        <f t="shared" ca="1" si="0"/>
        <v>0</v>
      </c>
      <c r="F33" s="420"/>
      <c r="G33" s="421"/>
      <c r="H33" s="421"/>
      <c r="I33" s="422"/>
    </row>
    <row r="34" spans="1:9" x14ac:dyDescent="0.25">
      <c r="A34" s="374">
        <f t="shared" si="1"/>
        <v>29</v>
      </c>
      <c r="B34" s="417"/>
      <c r="C34" s="417"/>
      <c r="D34" s="418"/>
      <c r="E34" s="419">
        <f t="shared" ca="1" si="0"/>
        <v>0</v>
      </c>
      <c r="F34" s="420"/>
      <c r="G34" s="421"/>
      <c r="H34" s="421"/>
      <c r="I34" s="422"/>
    </row>
    <row r="35" spans="1:9" x14ac:dyDescent="0.25">
      <c r="A35" s="374">
        <f t="shared" si="1"/>
        <v>30</v>
      </c>
      <c r="B35" s="417"/>
      <c r="C35" s="417"/>
      <c r="D35" s="418"/>
      <c r="E35" s="419">
        <f t="shared" ref="E35:E98" ca="1" si="2">IF(I35&lt;&gt;0,(TODAY()-I35)/365,0)</f>
        <v>0</v>
      </c>
      <c r="F35" s="420"/>
      <c r="G35" s="421"/>
      <c r="H35" s="421"/>
      <c r="I35" s="422"/>
    </row>
    <row r="36" spans="1:9" x14ac:dyDescent="0.25">
      <c r="A36" s="374">
        <f t="shared" si="1"/>
        <v>31</v>
      </c>
      <c r="B36" s="417"/>
      <c r="C36" s="417"/>
      <c r="D36" s="418"/>
      <c r="E36" s="419">
        <f t="shared" ca="1" si="2"/>
        <v>0</v>
      </c>
      <c r="F36" s="420"/>
      <c r="G36" s="421"/>
      <c r="H36" s="421"/>
      <c r="I36" s="422"/>
    </row>
    <row r="37" spans="1:9" x14ac:dyDescent="0.25">
      <c r="A37" s="374">
        <f t="shared" si="1"/>
        <v>32</v>
      </c>
      <c r="B37" s="417"/>
      <c r="C37" s="417"/>
      <c r="D37" s="418"/>
      <c r="E37" s="419">
        <f t="shared" ca="1" si="2"/>
        <v>0</v>
      </c>
      <c r="F37" s="420"/>
      <c r="G37" s="421"/>
      <c r="H37" s="421"/>
      <c r="I37" s="422"/>
    </row>
    <row r="38" spans="1:9" x14ac:dyDescent="0.25">
      <c r="A38" s="374">
        <f t="shared" si="1"/>
        <v>33</v>
      </c>
      <c r="B38" s="417"/>
      <c r="C38" s="417"/>
      <c r="D38" s="418"/>
      <c r="E38" s="419">
        <f t="shared" ca="1" si="2"/>
        <v>0</v>
      </c>
      <c r="F38" s="420"/>
      <c r="G38" s="421"/>
      <c r="H38" s="421"/>
      <c r="I38" s="422"/>
    </row>
    <row r="39" spans="1:9" x14ac:dyDescent="0.25">
      <c r="A39" s="374">
        <f t="shared" si="1"/>
        <v>34</v>
      </c>
      <c r="B39" s="417"/>
      <c r="C39" s="417"/>
      <c r="D39" s="418"/>
      <c r="E39" s="419">
        <f t="shared" ca="1" si="2"/>
        <v>0</v>
      </c>
      <c r="F39" s="420"/>
      <c r="G39" s="421"/>
      <c r="H39" s="421"/>
      <c r="I39" s="422"/>
    </row>
    <row r="40" spans="1:9" x14ac:dyDescent="0.25">
      <c r="A40" s="374">
        <f t="shared" si="1"/>
        <v>35</v>
      </c>
      <c r="B40" s="417"/>
      <c r="C40" s="417"/>
      <c r="D40" s="418"/>
      <c r="E40" s="419">
        <f t="shared" ca="1" si="2"/>
        <v>0</v>
      </c>
      <c r="F40" s="420"/>
      <c r="G40" s="421"/>
      <c r="H40" s="421"/>
      <c r="I40" s="422"/>
    </row>
    <row r="41" spans="1:9" x14ac:dyDescent="0.25">
      <c r="A41" s="374">
        <f t="shared" si="1"/>
        <v>36</v>
      </c>
      <c r="B41" s="417"/>
      <c r="C41" s="417"/>
      <c r="D41" s="418"/>
      <c r="E41" s="419">
        <f t="shared" ca="1" si="2"/>
        <v>0</v>
      </c>
      <c r="F41" s="420"/>
      <c r="G41" s="421"/>
      <c r="H41" s="421"/>
      <c r="I41" s="422"/>
    </row>
    <row r="42" spans="1:9" x14ac:dyDescent="0.25">
      <c r="A42" s="374">
        <f t="shared" si="1"/>
        <v>37</v>
      </c>
      <c r="B42" s="417"/>
      <c r="C42" s="417"/>
      <c r="D42" s="418"/>
      <c r="E42" s="419">
        <f t="shared" ca="1" si="2"/>
        <v>0</v>
      </c>
      <c r="F42" s="420"/>
      <c r="G42" s="421"/>
      <c r="H42" s="421"/>
      <c r="I42" s="422"/>
    </row>
    <row r="43" spans="1:9" x14ac:dyDescent="0.25">
      <c r="A43" s="374">
        <f t="shared" si="1"/>
        <v>38</v>
      </c>
      <c r="B43" s="417"/>
      <c r="C43" s="417"/>
      <c r="D43" s="418"/>
      <c r="E43" s="419">
        <f t="shared" ca="1" si="2"/>
        <v>0</v>
      </c>
      <c r="F43" s="420"/>
      <c r="G43" s="421"/>
      <c r="H43" s="421"/>
      <c r="I43" s="422"/>
    </row>
    <row r="44" spans="1:9" x14ac:dyDescent="0.25">
      <c r="A44" s="374">
        <f t="shared" si="1"/>
        <v>39</v>
      </c>
      <c r="B44" s="417"/>
      <c r="C44" s="417"/>
      <c r="D44" s="418"/>
      <c r="E44" s="419">
        <f t="shared" ca="1" si="2"/>
        <v>0</v>
      </c>
      <c r="F44" s="420"/>
      <c r="G44" s="421"/>
      <c r="H44" s="421"/>
      <c r="I44" s="422"/>
    </row>
    <row r="45" spans="1:9" x14ac:dyDescent="0.25">
      <c r="A45" s="374">
        <f t="shared" si="1"/>
        <v>40</v>
      </c>
      <c r="B45" s="417"/>
      <c r="C45" s="417"/>
      <c r="D45" s="418"/>
      <c r="E45" s="419">
        <f t="shared" ca="1" si="2"/>
        <v>0</v>
      </c>
      <c r="F45" s="420"/>
      <c r="G45" s="421"/>
      <c r="H45" s="421"/>
      <c r="I45" s="422"/>
    </row>
    <row r="46" spans="1:9" x14ac:dyDescent="0.25">
      <c r="A46" s="374">
        <f t="shared" si="1"/>
        <v>41</v>
      </c>
      <c r="B46" s="417"/>
      <c r="C46" s="417"/>
      <c r="D46" s="418"/>
      <c r="E46" s="419">
        <f t="shared" ca="1" si="2"/>
        <v>0</v>
      </c>
      <c r="F46" s="420"/>
      <c r="G46" s="421"/>
      <c r="H46" s="421"/>
      <c r="I46" s="422"/>
    </row>
    <row r="47" spans="1:9" x14ac:dyDescent="0.25">
      <c r="A47" s="374">
        <f t="shared" si="1"/>
        <v>42</v>
      </c>
      <c r="B47" s="417"/>
      <c r="C47" s="417"/>
      <c r="D47" s="418"/>
      <c r="E47" s="419">
        <f t="shared" ca="1" si="2"/>
        <v>0</v>
      </c>
      <c r="F47" s="420"/>
      <c r="G47" s="421"/>
      <c r="H47" s="421"/>
      <c r="I47" s="422"/>
    </row>
    <row r="48" spans="1:9" x14ac:dyDescent="0.25">
      <c r="A48" s="374">
        <f t="shared" si="1"/>
        <v>43</v>
      </c>
      <c r="B48" s="417"/>
      <c r="C48" s="417"/>
      <c r="D48" s="418"/>
      <c r="E48" s="419">
        <f t="shared" ca="1" si="2"/>
        <v>0</v>
      </c>
      <c r="F48" s="420"/>
      <c r="G48" s="421"/>
      <c r="H48" s="421"/>
      <c r="I48" s="422"/>
    </row>
    <row r="49" spans="1:9" x14ac:dyDescent="0.25">
      <c r="A49" s="374">
        <f t="shared" si="1"/>
        <v>44</v>
      </c>
      <c r="B49" s="417"/>
      <c r="C49" s="417"/>
      <c r="D49" s="418"/>
      <c r="E49" s="419">
        <f t="shared" ca="1" si="2"/>
        <v>0</v>
      </c>
      <c r="F49" s="420"/>
      <c r="G49" s="421"/>
      <c r="H49" s="421"/>
      <c r="I49" s="422"/>
    </row>
    <row r="50" spans="1:9" x14ac:dyDescent="0.25">
      <c r="A50" s="374">
        <f t="shared" si="1"/>
        <v>45</v>
      </c>
      <c r="B50" s="417"/>
      <c r="C50" s="417"/>
      <c r="D50" s="418"/>
      <c r="E50" s="419">
        <f t="shared" ca="1" si="2"/>
        <v>0</v>
      </c>
      <c r="F50" s="420"/>
      <c r="G50" s="421"/>
      <c r="H50" s="421"/>
      <c r="I50" s="422"/>
    </row>
    <row r="51" spans="1:9" x14ac:dyDescent="0.25">
      <c r="A51" s="374">
        <f t="shared" si="1"/>
        <v>46</v>
      </c>
      <c r="B51" s="417"/>
      <c r="C51" s="417"/>
      <c r="D51" s="418"/>
      <c r="E51" s="419">
        <f t="shared" ca="1" si="2"/>
        <v>0</v>
      </c>
      <c r="F51" s="420"/>
      <c r="G51" s="421"/>
      <c r="H51" s="421"/>
      <c r="I51" s="422"/>
    </row>
    <row r="52" spans="1:9" x14ac:dyDescent="0.25">
      <c r="A52" s="374">
        <f t="shared" si="1"/>
        <v>47</v>
      </c>
      <c r="B52" s="417"/>
      <c r="C52" s="417"/>
      <c r="D52" s="418"/>
      <c r="E52" s="419">
        <f t="shared" ca="1" si="2"/>
        <v>0</v>
      </c>
      <c r="F52" s="420"/>
      <c r="G52" s="421"/>
      <c r="H52" s="421"/>
      <c r="I52" s="422"/>
    </row>
    <row r="53" spans="1:9" x14ac:dyDescent="0.25">
      <c r="A53" s="374">
        <f t="shared" si="1"/>
        <v>48</v>
      </c>
      <c r="B53" s="417"/>
      <c r="C53" s="417"/>
      <c r="D53" s="418"/>
      <c r="E53" s="419">
        <f t="shared" ca="1" si="2"/>
        <v>0</v>
      </c>
      <c r="F53" s="420"/>
      <c r="G53" s="421"/>
      <c r="H53" s="421"/>
      <c r="I53" s="422"/>
    </row>
    <row r="54" spans="1:9" x14ac:dyDescent="0.25">
      <c r="A54" s="374">
        <f t="shared" si="1"/>
        <v>49</v>
      </c>
      <c r="B54" s="417"/>
      <c r="C54" s="417"/>
      <c r="D54" s="418"/>
      <c r="E54" s="419">
        <f t="shared" ca="1" si="2"/>
        <v>0</v>
      </c>
      <c r="F54" s="420"/>
      <c r="G54" s="421"/>
      <c r="H54" s="421"/>
      <c r="I54" s="422"/>
    </row>
    <row r="55" spans="1:9" x14ac:dyDescent="0.25">
      <c r="A55" s="374">
        <f t="shared" si="1"/>
        <v>50</v>
      </c>
      <c r="B55" s="417"/>
      <c r="C55" s="417"/>
      <c r="D55" s="418"/>
      <c r="E55" s="419">
        <f t="shared" ca="1" si="2"/>
        <v>0</v>
      </c>
      <c r="F55" s="420"/>
      <c r="G55" s="421"/>
      <c r="H55" s="421"/>
      <c r="I55" s="422"/>
    </row>
    <row r="56" spans="1:9" x14ac:dyDescent="0.25">
      <c r="A56" s="374">
        <f t="shared" si="1"/>
        <v>51</v>
      </c>
      <c r="B56" s="417"/>
      <c r="C56" s="417"/>
      <c r="D56" s="418"/>
      <c r="E56" s="419">
        <f t="shared" ca="1" si="2"/>
        <v>0</v>
      </c>
      <c r="F56" s="420"/>
      <c r="G56" s="421"/>
      <c r="H56" s="421"/>
      <c r="I56" s="422"/>
    </row>
    <row r="57" spans="1:9" x14ac:dyDescent="0.25">
      <c r="A57" s="374">
        <f t="shared" si="1"/>
        <v>52</v>
      </c>
      <c r="B57" s="417"/>
      <c r="C57" s="417"/>
      <c r="D57" s="418"/>
      <c r="E57" s="419">
        <f t="shared" ca="1" si="2"/>
        <v>0</v>
      </c>
      <c r="F57" s="420"/>
      <c r="G57" s="421"/>
      <c r="H57" s="421"/>
      <c r="I57" s="422"/>
    </row>
    <row r="58" spans="1:9" x14ac:dyDescent="0.25">
      <c r="A58" s="374">
        <f t="shared" si="1"/>
        <v>53</v>
      </c>
      <c r="B58" s="417"/>
      <c r="C58" s="417"/>
      <c r="D58" s="418"/>
      <c r="E58" s="419">
        <f t="shared" ca="1" si="2"/>
        <v>0</v>
      </c>
      <c r="F58" s="420"/>
      <c r="G58" s="421"/>
      <c r="H58" s="421"/>
      <c r="I58" s="422"/>
    </row>
    <row r="59" spans="1:9" x14ac:dyDescent="0.25">
      <c r="A59" s="374">
        <f t="shared" si="1"/>
        <v>54</v>
      </c>
      <c r="B59" s="417"/>
      <c r="C59" s="417"/>
      <c r="D59" s="418"/>
      <c r="E59" s="419">
        <f t="shared" ca="1" si="2"/>
        <v>0</v>
      </c>
      <c r="F59" s="420"/>
      <c r="G59" s="421"/>
      <c r="H59" s="421"/>
      <c r="I59" s="422"/>
    </row>
    <row r="60" spans="1:9" x14ac:dyDescent="0.25">
      <c r="A60" s="374">
        <f t="shared" si="1"/>
        <v>55</v>
      </c>
      <c r="B60" s="417"/>
      <c r="C60" s="417"/>
      <c r="D60" s="418"/>
      <c r="E60" s="419">
        <f t="shared" ca="1" si="2"/>
        <v>0</v>
      </c>
      <c r="F60" s="420"/>
      <c r="G60" s="421"/>
      <c r="H60" s="421"/>
      <c r="I60" s="422"/>
    </row>
    <row r="61" spans="1:9" x14ac:dyDescent="0.25">
      <c r="A61" s="374">
        <f t="shared" si="1"/>
        <v>56</v>
      </c>
      <c r="B61" s="417"/>
      <c r="C61" s="417"/>
      <c r="D61" s="418"/>
      <c r="E61" s="419">
        <f t="shared" ca="1" si="2"/>
        <v>0</v>
      </c>
      <c r="F61" s="420"/>
      <c r="G61" s="421"/>
      <c r="H61" s="421"/>
      <c r="I61" s="422"/>
    </row>
    <row r="62" spans="1:9" x14ac:dyDescent="0.25">
      <c r="A62" s="374">
        <f t="shared" si="1"/>
        <v>57</v>
      </c>
      <c r="B62" s="417"/>
      <c r="C62" s="417"/>
      <c r="D62" s="418"/>
      <c r="E62" s="419">
        <f t="shared" ca="1" si="2"/>
        <v>0</v>
      </c>
      <c r="F62" s="420"/>
      <c r="G62" s="421"/>
      <c r="H62" s="421"/>
      <c r="I62" s="422"/>
    </row>
    <row r="63" spans="1:9" x14ac:dyDescent="0.25">
      <c r="A63" s="374">
        <f t="shared" si="1"/>
        <v>58</v>
      </c>
      <c r="B63" s="417"/>
      <c r="C63" s="417"/>
      <c r="D63" s="418"/>
      <c r="E63" s="419">
        <f t="shared" ca="1" si="2"/>
        <v>0</v>
      </c>
      <c r="F63" s="420"/>
      <c r="G63" s="421"/>
      <c r="H63" s="421"/>
      <c r="I63" s="422"/>
    </row>
    <row r="64" spans="1:9" x14ac:dyDescent="0.25">
      <c r="A64" s="374">
        <f t="shared" si="1"/>
        <v>59</v>
      </c>
      <c r="B64" s="417"/>
      <c r="C64" s="417"/>
      <c r="D64" s="418"/>
      <c r="E64" s="419">
        <f t="shared" ca="1" si="2"/>
        <v>0</v>
      </c>
      <c r="F64" s="420"/>
      <c r="G64" s="421"/>
      <c r="H64" s="421"/>
      <c r="I64" s="422"/>
    </row>
    <row r="65" spans="1:9" x14ac:dyDescent="0.25">
      <c r="A65" s="374">
        <f t="shared" si="1"/>
        <v>60</v>
      </c>
      <c r="B65" s="417"/>
      <c r="C65" s="417"/>
      <c r="D65" s="418"/>
      <c r="E65" s="419">
        <f t="shared" ca="1" si="2"/>
        <v>0</v>
      </c>
      <c r="F65" s="420"/>
      <c r="G65" s="421"/>
      <c r="H65" s="421"/>
      <c r="I65" s="422"/>
    </row>
    <row r="66" spans="1:9" x14ac:dyDescent="0.25">
      <c r="A66" s="374">
        <f t="shared" si="1"/>
        <v>61</v>
      </c>
      <c r="B66" s="417"/>
      <c r="C66" s="417"/>
      <c r="D66" s="418"/>
      <c r="E66" s="419">
        <f t="shared" ca="1" si="2"/>
        <v>0</v>
      </c>
      <c r="F66" s="420"/>
      <c r="G66" s="421"/>
      <c r="H66" s="421"/>
      <c r="I66" s="422"/>
    </row>
    <row r="67" spans="1:9" x14ac:dyDescent="0.25">
      <c r="A67" s="374">
        <f t="shared" si="1"/>
        <v>62</v>
      </c>
      <c r="B67" s="417"/>
      <c r="C67" s="417"/>
      <c r="D67" s="418"/>
      <c r="E67" s="419">
        <f t="shared" ca="1" si="2"/>
        <v>0</v>
      </c>
      <c r="F67" s="420"/>
      <c r="G67" s="421"/>
      <c r="H67" s="421"/>
      <c r="I67" s="422"/>
    </row>
    <row r="68" spans="1:9" x14ac:dyDescent="0.25">
      <c r="A68" s="374">
        <f t="shared" si="1"/>
        <v>63</v>
      </c>
      <c r="B68" s="417"/>
      <c r="C68" s="417"/>
      <c r="D68" s="418"/>
      <c r="E68" s="419">
        <f t="shared" ca="1" si="2"/>
        <v>0</v>
      </c>
      <c r="F68" s="420"/>
      <c r="G68" s="421"/>
      <c r="H68" s="421"/>
      <c r="I68" s="422"/>
    </row>
    <row r="69" spans="1:9" x14ac:dyDescent="0.25">
      <c r="A69" s="374">
        <f t="shared" si="1"/>
        <v>64</v>
      </c>
      <c r="B69" s="417"/>
      <c r="C69" s="417"/>
      <c r="D69" s="418"/>
      <c r="E69" s="419">
        <f t="shared" ca="1" si="2"/>
        <v>0</v>
      </c>
      <c r="F69" s="420"/>
      <c r="G69" s="421"/>
      <c r="H69" s="421"/>
      <c r="I69" s="422"/>
    </row>
    <row r="70" spans="1:9" x14ac:dyDescent="0.25">
      <c r="A70" s="374">
        <f t="shared" si="1"/>
        <v>65</v>
      </c>
      <c r="B70" s="417"/>
      <c r="C70" s="417"/>
      <c r="D70" s="418"/>
      <c r="E70" s="419">
        <f t="shared" ca="1" si="2"/>
        <v>0</v>
      </c>
      <c r="F70" s="420"/>
      <c r="G70" s="421"/>
      <c r="H70" s="421"/>
      <c r="I70" s="422"/>
    </row>
    <row r="71" spans="1:9" x14ac:dyDescent="0.25">
      <c r="A71" s="374">
        <f t="shared" si="1"/>
        <v>66</v>
      </c>
      <c r="B71" s="417"/>
      <c r="C71" s="417"/>
      <c r="D71" s="418"/>
      <c r="E71" s="419">
        <f t="shared" ca="1" si="2"/>
        <v>0</v>
      </c>
      <c r="F71" s="420"/>
      <c r="G71" s="421"/>
      <c r="H71" s="421"/>
      <c r="I71" s="422"/>
    </row>
    <row r="72" spans="1:9" x14ac:dyDescent="0.25">
      <c r="A72" s="374">
        <f t="shared" ref="A72:A105" si="3">A71+1</f>
        <v>67</v>
      </c>
      <c r="B72" s="417"/>
      <c r="C72" s="417"/>
      <c r="D72" s="418"/>
      <c r="E72" s="419">
        <f t="shared" ca="1" si="2"/>
        <v>0</v>
      </c>
      <c r="F72" s="420"/>
      <c r="G72" s="421"/>
      <c r="H72" s="421"/>
      <c r="I72" s="422"/>
    </row>
    <row r="73" spans="1:9" x14ac:dyDescent="0.25">
      <c r="A73" s="374">
        <f t="shared" si="3"/>
        <v>68</v>
      </c>
      <c r="B73" s="417"/>
      <c r="C73" s="417"/>
      <c r="D73" s="418"/>
      <c r="E73" s="419">
        <f t="shared" ca="1" si="2"/>
        <v>0</v>
      </c>
      <c r="F73" s="420"/>
      <c r="G73" s="421"/>
      <c r="H73" s="421"/>
      <c r="I73" s="422"/>
    </row>
    <row r="74" spans="1:9" x14ac:dyDescent="0.25">
      <c r="A74" s="374">
        <f t="shared" si="3"/>
        <v>69</v>
      </c>
      <c r="B74" s="417"/>
      <c r="C74" s="417"/>
      <c r="D74" s="418"/>
      <c r="E74" s="419">
        <f t="shared" ca="1" si="2"/>
        <v>0</v>
      </c>
      <c r="F74" s="420"/>
      <c r="G74" s="421"/>
      <c r="H74" s="421"/>
      <c r="I74" s="422"/>
    </row>
    <row r="75" spans="1:9" x14ac:dyDescent="0.25">
      <c r="A75" s="374">
        <f t="shared" si="3"/>
        <v>70</v>
      </c>
      <c r="B75" s="417"/>
      <c r="C75" s="417"/>
      <c r="D75" s="418"/>
      <c r="E75" s="419">
        <f t="shared" ca="1" si="2"/>
        <v>0</v>
      </c>
      <c r="F75" s="420"/>
      <c r="G75" s="421"/>
      <c r="H75" s="421"/>
      <c r="I75" s="422"/>
    </row>
    <row r="76" spans="1:9" x14ac:dyDescent="0.25">
      <c r="A76" s="374">
        <f t="shared" si="3"/>
        <v>71</v>
      </c>
      <c r="B76" s="417"/>
      <c r="C76" s="417"/>
      <c r="D76" s="418"/>
      <c r="E76" s="419">
        <f t="shared" ca="1" si="2"/>
        <v>0</v>
      </c>
      <c r="F76" s="420"/>
      <c r="G76" s="421"/>
      <c r="H76" s="421"/>
      <c r="I76" s="422"/>
    </row>
    <row r="77" spans="1:9" x14ac:dyDescent="0.25">
      <c r="A77" s="374">
        <f t="shared" si="3"/>
        <v>72</v>
      </c>
      <c r="B77" s="417"/>
      <c r="C77" s="417"/>
      <c r="D77" s="418"/>
      <c r="E77" s="419">
        <f t="shared" ca="1" si="2"/>
        <v>0</v>
      </c>
      <c r="F77" s="420"/>
      <c r="G77" s="421"/>
      <c r="H77" s="421"/>
      <c r="I77" s="422"/>
    </row>
    <row r="78" spans="1:9" x14ac:dyDescent="0.25">
      <c r="A78" s="374">
        <f t="shared" si="3"/>
        <v>73</v>
      </c>
      <c r="B78" s="417"/>
      <c r="C78" s="417"/>
      <c r="D78" s="418"/>
      <c r="E78" s="419">
        <f t="shared" ca="1" si="2"/>
        <v>0</v>
      </c>
      <c r="F78" s="420"/>
      <c r="G78" s="421"/>
      <c r="H78" s="421"/>
      <c r="I78" s="422"/>
    </row>
    <row r="79" spans="1:9" x14ac:dyDescent="0.25">
      <c r="A79" s="374">
        <f t="shared" si="3"/>
        <v>74</v>
      </c>
      <c r="B79" s="417"/>
      <c r="C79" s="417"/>
      <c r="D79" s="418"/>
      <c r="E79" s="419">
        <f t="shared" ca="1" si="2"/>
        <v>0</v>
      </c>
      <c r="F79" s="420"/>
      <c r="G79" s="421"/>
      <c r="H79" s="421"/>
      <c r="I79" s="422"/>
    </row>
    <row r="80" spans="1:9" x14ac:dyDescent="0.25">
      <c r="A80" s="374">
        <f t="shared" si="3"/>
        <v>75</v>
      </c>
      <c r="B80" s="417"/>
      <c r="C80" s="417"/>
      <c r="D80" s="418"/>
      <c r="E80" s="419">
        <f t="shared" ca="1" si="2"/>
        <v>0</v>
      </c>
      <c r="F80" s="420"/>
      <c r="G80" s="421"/>
      <c r="H80" s="421"/>
      <c r="I80" s="422"/>
    </row>
    <row r="81" spans="1:9" x14ac:dyDescent="0.25">
      <c r="A81" s="374">
        <f t="shared" si="3"/>
        <v>76</v>
      </c>
      <c r="B81" s="417"/>
      <c r="C81" s="417"/>
      <c r="D81" s="418"/>
      <c r="E81" s="419">
        <f t="shared" ca="1" si="2"/>
        <v>0</v>
      </c>
      <c r="F81" s="420"/>
      <c r="G81" s="421"/>
      <c r="H81" s="421"/>
      <c r="I81" s="422"/>
    </row>
    <row r="82" spans="1:9" x14ac:dyDescent="0.25">
      <c r="A82" s="374">
        <f t="shared" si="3"/>
        <v>77</v>
      </c>
      <c r="B82" s="417"/>
      <c r="C82" s="417"/>
      <c r="D82" s="418"/>
      <c r="E82" s="419">
        <f t="shared" ca="1" si="2"/>
        <v>0</v>
      </c>
      <c r="F82" s="420"/>
      <c r="G82" s="421"/>
      <c r="H82" s="421"/>
      <c r="I82" s="422"/>
    </row>
    <row r="83" spans="1:9" x14ac:dyDescent="0.25">
      <c r="A83" s="374">
        <f t="shared" si="3"/>
        <v>78</v>
      </c>
      <c r="B83" s="417"/>
      <c r="C83" s="417"/>
      <c r="D83" s="418"/>
      <c r="E83" s="419">
        <f t="shared" ca="1" si="2"/>
        <v>0</v>
      </c>
      <c r="F83" s="420"/>
      <c r="G83" s="421"/>
      <c r="H83" s="421"/>
      <c r="I83" s="422"/>
    </row>
    <row r="84" spans="1:9" x14ac:dyDescent="0.25">
      <c r="A84" s="374">
        <f t="shared" si="3"/>
        <v>79</v>
      </c>
      <c r="B84" s="417"/>
      <c r="C84" s="417"/>
      <c r="D84" s="418"/>
      <c r="E84" s="419">
        <f t="shared" ca="1" si="2"/>
        <v>0</v>
      </c>
      <c r="F84" s="420"/>
      <c r="G84" s="421"/>
      <c r="H84" s="421"/>
      <c r="I84" s="422"/>
    </row>
    <row r="85" spans="1:9" x14ac:dyDescent="0.25">
      <c r="A85" s="374">
        <f t="shared" si="3"/>
        <v>80</v>
      </c>
      <c r="B85" s="417"/>
      <c r="C85" s="417"/>
      <c r="D85" s="418"/>
      <c r="E85" s="419">
        <f t="shared" ca="1" si="2"/>
        <v>0</v>
      </c>
      <c r="F85" s="420"/>
      <c r="G85" s="421"/>
      <c r="H85" s="421"/>
      <c r="I85" s="422"/>
    </row>
    <row r="86" spans="1:9" x14ac:dyDescent="0.25">
      <c r="A86" s="374">
        <f t="shared" si="3"/>
        <v>81</v>
      </c>
      <c r="B86" s="417"/>
      <c r="C86" s="417"/>
      <c r="D86" s="418"/>
      <c r="E86" s="419">
        <f t="shared" ca="1" si="2"/>
        <v>0</v>
      </c>
      <c r="F86" s="420"/>
      <c r="G86" s="421"/>
      <c r="H86" s="421"/>
      <c r="I86" s="422"/>
    </row>
    <row r="87" spans="1:9" x14ac:dyDescent="0.25">
      <c r="A87" s="374">
        <f t="shared" si="3"/>
        <v>82</v>
      </c>
      <c r="B87" s="417"/>
      <c r="C87" s="417"/>
      <c r="D87" s="418"/>
      <c r="E87" s="419">
        <f t="shared" ca="1" si="2"/>
        <v>0</v>
      </c>
      <c r="F87" s="420"/>
      <c r="G87" s="421"/>
      <c r="H87" s="421"/>
      <c r="I87" s="422"/>
    </row>
    <row r="88" spans="1:9" x14ac:dyDescent="0.25">
      <c r="A88" s="374">
        <f t="shared" si="3"/>
        <v>83</v>
      </c>
      <c r="B88" s="417"/>
      <c r="C88" s="417"/>
      <c r="D88" s="418"/>
      <c r="E88" s="419">
        <f t="shared" ca="1" si="2"/>
        <v>0</v>
      </c>
      <c r="F88" s="420"/>
      <c r="G88" s="421"/>
      <c r="H88" s="421"/>
      <c r="I88" s="422"/>
    </row>
    <row r="89" spans="1:9" x14ac:dyDescent="0.25">
      <c r="A89" s="374">
        <f t="shared" si="3"/>
        <v>84</v>
      </c>
      <c r="B89" s="417"/>
      <c r="C89" s="417"/>
      <c r="D89" s="418"/>
      <c r="E89" s="419">
        <f t="shared" ca="1" si="2"/>
        <v>0</v>
      </c>
      <c r="F89" s="420"/>
      <c r="G89" s="421"/>
      <c r="H89" s="421"/>
      <c r="I89" s="422"/>
    </row>
    <row r="90" spans="1:9" x14ac:dyDescent="0.25">
      <c r="A90" s="374">
        <f t="shared" si="3"/>
        <v>85</v>
      </c>
      <c r="B90" s="417"/>
      <c r="C90" s="417"/>
      <c r="D90" s="418"/>
      <c r="E90" s="419">
        <f t="shared" ca="1" si="2"/>
        <v>0</v>
      </c>
      <c r="F90" s="420"/>
      <c r="G90" s="421"/>
      <c r="H90" s="421"/>
      <c r="I90" s="422"/>
    </row>
    <row r="91" spans="1:9" x14ac:dyDescent="0.25">
      <c r="A91" s="374">
        <f t="shared" si="3"/>
        <v>86</v>
      </c>
      <c r="B91" s="417"/>
      <c r="C91" s="417"/>
      <c r="D91" s="418"/>
      <c r="E91" s="419">
        <f t="shared" ca="1" si="2"/>
        <v>0</v>
      </c>
      <c r="F91" s="420"/>
      <c r="G91" s="421"/>
      <c r="H91" s="421"/>
      <c r="I91" s="422"/>
    </row>
    <row r="92" spans="1:9" x14ac:dyDescent="0.25">
      <c r="A92" s="374">
        <f t="shared" si="3"/>
        <v>87</v>
      </c>
      <c r="B92" s="417"/>
      <c r="C92" s="417"/>
      <c r="D92" s="418"/>
      <c r="E92" s="419">
        <f t="shared" ca="1" si="2"/>
        <v>0</v>
      </c>
      <c r="F92" s="420"/>
      <c r="G92" s="421"/>
      <c r="H92" s="421"/>
      <c r="I92" s="422"/>
    </row>
    <row r="93" spans="1:9" x14ac:dyDescent="0.25">
      <c r="A93" s="374">
        <f t="shared" si="3"/>
        <v>88</v>
      </c>
      <c r="B93" s="417"/>
      <c r="C93" s="417"/>
      <c r="D93" s="418"/>
      <c r="E93" s="419">
        <f t="shared" ca="1" si="2"/>
        <v>0</v>
      </c>
      <c r="F93" s="420"/>
      <c r="G93" s="421"/>
      <c r="H93" s="421"/>
      <c r="I93" s="422"/>
    </row>
    <row r="94" spans="1:9" x14ac:dyDescent="0.25">
      <c r="A94" s="374">
        <f t="shared" si="3"/>
        <v>89</v>
      </c>
      <c r="B94" s="417"/>
      <c r="C94" s="417"/>
      <c r="D94" s="418"/>
      <c r="E94" s="419">
        <f t="shared" ca="1" si="2"/>
        <v>0</v>
      </c>
      <c r="F94" s="420"/>
      <c r="G94" s="421"/>
      <c r="H94" s="421"/>
      <c r="I94" s="422"/>
    </row>
    <row r="95" spans="1:9" x14ac:dyDescent="0.25">
      <c r="A95" s="374">
        <f t="shared" si="3"/>
        <v>90</v>
      </c>
      <c r="B95" s="417"/>
      <c r="C95" s="417"/>
      <c r="D95" s="418"/>
      <c r="E95" s="419">
        <f t="shared" ca="1" si="2"/>
        <v>0</v>
      </c>
      <c r="F95" s="420"/>
      <c r="G95" s="421"/>
      <c r="H95" s="421"/>
      <c r="I95" s="422"/>
    </row>
    <row r="96" spans="1:9" x14ac:dyDescent="0.25">
      <c r="A96" s="374">
        <f t="shared" si="3"/>
        <v>91</v>
      </c>
      <c r="B96" s="417"/>
      <c r="C96" s="417"/>
      <c r="D96" s="418"/>
      <c r="E96" s="419">
        <f t="shared" ca="1" si="2"/>
        <v>0</v>
      </c>
      <c r="F96" s="420"/>
      <c r="G96" s="421"/>
      <c r="H96" s="421"/>
      <c r="I96" s="422"/>
    </row>
    <row r="97" spans="1:9" x14ac:dyDescent="0.25">
      <c r="A97" s="374">
        <f t="shared" si="3"/>
        <v>92</v>
      </c>
      <c r="B97" s="417"/>
      <c r="C97" s="417"/>
      <c r="D97" s="418"/>
      <c r="E97" s="419">
        <f t="shared" ca="1" si="2"/>
        <v>0</v>
      </c>
      <c r="F97" s="420"/>
      <c r="G97" s="421"/>
      <c r="H97" s="421"/>
      <c r="I97" s="422"/>
    </row>
    <row r="98" spans="1:9" x14ac:dyDescent="0.25">
      <c r="A98" s="374">
        <f t="shared" si="3"/>
        <v>93</v>
      </c>
      <c r="B98" s="417"/>
      <c r="C98" s="417"/>
      <c r="D98" s="418"/>
      <c r="E98" s="419">
        <f t="shared" ca="1" si="2"/>
        <v>0</v>
      </c>
      <c r="F98" s="420"/>
      <c r="G98" s="421"/>
      <c r="H98" s="421"/>
      <c r="I98" s="422"/>
    </row>
    <row r="99" spans="1:9" x14ac:dyDescent="0.25">
      <c r="A99" s="374">
        <f t="shared" si="3"/>
        <v>94</v>
      </c>
      <c r="B99" s="417"/>
      <c r="C99" s="417"/>
      <c r="D99" s="418"/>
      <c r="E99" s="419">
        <f t="shared" ref="E99:E105" ca="1" si="4">IF(I99&lt;&gt;0,(TODAY()-I99)/365,0)</f>
        <v>0</v>
      </c>
      <c r="F99" s="420"/>
      <c r="G99" s="421"/>
      <c r="H99" s="421"/>
      <c r="I99" s="422"/>
    </row>
    <row r="100" spans="1:9" x14ac:dyDescent="0.25">
      <c r="A100" s="374">
        <f t="shared" si="3"/>
        <v>95</v>
      </c>
      <c r="B100" s="417"/>
      <c r="C100" s="417"/>
      <c r="D100" s="418"/>
      <c r="E100" s="419">
        <f t="shared" ca="1" si="4"/>
        <v>0</v>
      </c>
      <c r="F100" s="420"/>
      <c r="G100" s="421"/>
      <c r="H100" s="421"/>
      <c r="I100" s="422"/>
    </row>
    <row r="101" spans="1:9" x14ac:dyDescent="0.25">
      <c r="A101" s="374">
        <f t="shared" si="3"/>
        <v>96</v>
      </c>
      <c r="B101" s="417"/>
      <c r="C101" s="417"/>
      <c r="D101" s="418"/>
      <c r="E101" s="419">
        <f t="shared" ca="1" si="4"/>
        <v>0</v>
      </c>
      <c r="F101" s="420"/>
      <c r="G101" s="421"/>
      <c r="H101" s="421"/>
      <c r="I101" s="422"/>
    </row>
    <row r="102" spans="1:9" x14ac:dyDescent="0.25">
      <c r="A102" s="374">
        <f t="shared" si="3"/>
        <v>97</v>
      </c>
      <c r="B102" s="417"/>
      <c r="C102" s="417"/>
      <c r="D102" s="418"/>
      <c r="E102" s="419">
        <f t="shared" ca="1" si="4"/>
        <v>0</v>
      </c>
      <c r="F102" s="420"/>
      <c r="G102" s="421"/>
      <c r="H102" s="421"/>
      <c r="I102" s="422"/>
    </row>
    <row r="103" spans="1:9" x14ac:dyDescent="0.25">
      <c r="A103" s="374">
        <f t="shared" si="3"/>
        <v>98</v>
      </c>
      <c r="B103" s="417"/>
      <c r="C103" s="417"/>
      <c r="D103" s="418"/>
      <c r="E103" s="419">
        <f t="shared" ca="1" si="4"/>
        <v>0</v>
      </c>
      <c r="F103" s="420"/>
      <c r="G103" s="421"/>
      <c r="H103" s="421"/>
      <c r="I103" s="422"/>
    </row>
    <row r="104" spans="1:9" x14ac:dyDescent="0.25">
      <c r="A104" s="374">
        <f t="shared" si="3"/>
        <v>99</v>
      </c>
      <c r="B104" s="417"/>
      <c r="C104" s="417"/>
      <c r="D104" s="418"/>
      <c r="E104" s="419">
        <f t="shared" ca="1" si="4"/>
        <v>0</v>
      </c>
      <c r="F104" s="420"/>
      <c r="G104" s="421"/>
      <c r="H104" s="421"/>
      <c r="I104" s="422"/>
    </row>
    <row r="105" spans="1:9" ht="15.75" thickBot="1" x14ac:dyDescent="0.3">
      <c r="A105" s="375">
        <f t="shared" si="3"/>
        <v>100</v>
      </c>
      <c r="B105" s="423"/>
      <c r="C105" s="423"/>
      <c r="D105" s="424"/>
      <c r="E105" s="425">
        <f t="shared" ca="1" si="4"/>
        <v>0</v>
      </c>
      <c r="F105" s="426"/>
      <c r="G105" s="427"/>
      <c r="H105" s="427"/>
      <c r="I105" s="428"/>
    </row>
  </sheetData>
  <sheetProtection password="D8E9" sheet="1" objects="1" scenarios="1" insertRows="0"/>
  <mergeCells count="3">
    <mergeCell ref="C1:I1"/>
    <mergeCell ref="C2:I2"/>
    <mergeCell ref="C3:I3"/>
  </mergeCells>
  <conditionalFormatting sqref="C3:I3">
    <cfRule type="expression" dxfId="224" priority="1">
      <formula>ISTEXT($C$3)</formula>
    </cfRule>
  </conditionalFormatting>
  <pageMargins left="0.31496062992125984" right="0.31496062992125984" top="0.55118110236220474" bottom="0.55118110236220474" header="0.31496062992125984" footer="0.31496062992125984"/>
  <pageSetup paperSize="9" scale="32"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outlinePr summaryBelow="0"/>
    <pageSetUpPr fitToPage="1"/>
  </sheetPr>
  <dimension ref="A1:DQ355"/>
  <sheetViews>
    <sheetView topLeftCell="A25" zoomScale="90" zoomScaleNormal="90" workbookViewId="0">
      <selection activeCell="B2" sqref="B2:C2"/>
    </sheetView>
  </sheetViews>
  <sheetFormatPr defaultRowHeight="12.75" outlineLevelRow="2" x14ac:dyDescent="0.25"/>
  <cols>
    <col min="1" max="1" width="3" style="368" bestFit="1" customWidth="1"/>
    <col min="2" max="2" width="27.85546875" style="228" customWidth="1"/>
    <col min="3" max="3" width="15.42578125" style="228" customWidth="1"/>
    <col min="4" max="5" width="10.85546875" style="209" customWidth="1"/>
    <col min="6" max="6" width="11.85546875" style="209" customWidth="1"/>
    <col min="7" max="8" width="10.85546875" style="209" customWidth="1"/>
    <col min="9" max="12" width="11.85546875" style="209" customWidth="1"/>
    <col min="13" max="13" width="7.7109375" style="209" customWidth="1"/>
    <col min="14" max="14" width="10.42578125" style="209" customWidth="1"/>
    <col min="15" max="15" width="8.85546875" style="209" customWidth="1"/>
    <col min="16" max="16" width="7.28515625" style="209" customWidth="1"/>
    <col min="17" max="17" width="9.5703125" style="209" customWidth="1"/>
    <col min="18" max="18" width="8.7109375" style="209" customWidth="1"/>
    <col min="19" max="19" width="7.85546875" style="209" customWidth="1"/>
    <col min="20" max="20" width="10.7109375" style="209" customWidth="1"/>
    <col min="21" max="21" width="7.28515625" style="209" customWidth="1"/>
    <col min="22" max="22" width="6.7109375" style="209" customWidth="1"/>
    <col min="23" max="23" width="7.28515625" style="210" customWidth="1"/>
    <col min="24" max="26" width="6.7109375" style="209" customWidth="1"/>
    <col min="27" max="27" width="8.42578125" style="209" customWidth="1"/>
    <col min="28" max="28" width="6.7109375" style="209" customWidth="1"/>
    <col min="29" max="29" width="7.28515625" style="209" customWidth="1"/>
    <col min="30" max="30" width="6.7109375" style="209" customWidth="1"/>
    <col min="31" max="31" width="11.28515625" style="209" customWidth="1"/>
    <col min="32" max="32" width="7.28515625" style="210" customWidth="1"/>
    <col min="33" max="33" width="6.7109375" style="209" customWidth="1"/>
    <col min="34" max="34" width="7.28515625" style="209" customWidth="1"/>
    <col min="35" max="37" width="6.7109375" style="209" customWidth="1"/>
    <col min="38" max="38" width="8.42578125" style="209" customWidth="1"/>
    <col min="39" max="39" width="6.7109375" style="209" customWidth="1"/>
    <col min="40" max="40" width="7.28515625" style="209" customWidth="1"/>
    <col min="41" max="41" width="6.7109375" style="209" customWidth="1"/>
    <col min="42" max="42" width="11.28515625" style="209" customWidth="1"/>
    <col min="43" max="47" width="7.85546875" style="209" customWidth="1"/>
    <col min="48" max="48" width="12.85546875" style="209" customWidth="1"/>
    <col min="49" max="53" width="9.140625" style="209"/>
    <col min="54" max="54" width="14.85546875" style="209" customWidth="1"/>
    <col min="55" max="56" width="10.7109375" style="210" bestFit="1" customWidth="1"/>
    <col min="57" max="58" width="9.140625" style="209"/>
    <col min="59" max="59" width="12.42578125" style="209" customWidth="1"/>
    <col min="60" max="60" width="9.140625" style="209"/>
    <col min="61" max="61" width="10.85546875" style="209" customWidth="1"/>
    <col min="62" max="66" width="9.28515625" style="210" customWidth="1"/>
    <col min="67" max="67" width="9.28515625" style="210" bestFit="1" customWidth="1"/>
    <col min="68" max="73" width="9.28515625" style="210" customWidth="1"/>
    <col min="74" max="90" width="9.140625" style="210"/>
    <col min="91" max="91" width="18.5703125" style="210" customWidth="1"/>
    <col min="92" max="96" width="9.140625" style="210"/>
    <col min="97" max="97" width="9.85546875" style="210" customWidth="1"/>
    <col min="98" max="102" width="9.140625" style="210"/>
    <col min="103" max="103" width="11.140625" style="210" customWidth="1"/>
    <col min="104" max="104" width="13.28515625" style="210" customWidth="1"/>
    <col min="105" max="105" width="12.140625" style="210" customWidth="1"/>
    <col min="106" max="106" width="18.5703125" style="210" customWidth="1"/>
    <col min="107" max="107" width="9.140625" style="210"/>
    <col min="108" max="108" width="11.28515625" style="210" customWidth="1"/>
    <col min="109" max="111" width="9.140625" style="210"/>
    <col min="112" max="112" width="11.85546875" style="210" customWidth="1"/>
    <col min="113" max="16384" width="9.140625" style="210"/>
  </cols>
  <sheetData>
    <row r="1" spans="1:121" ht="21" x14ac:dyDescent="0.35">
      <c r="B1" s="712" t="s">
        <v>192</v>
      </c>
      <c r="C1" s="712"/>
      <c r="D1" s="713"/>
      <c r="E1" s="713"/>
      <c r="F1" s="713"/>
      <c r="G1" s="713"/>
      <c r="H1" s="713"/>
      <c r="I1" s="713"/>
    </row>
    <row r="2" spans="1:121" ht="21" x14ac:dyDescent="0.25">
      <c r="B2" s="714" t="s">
        <v>1685</v>
      </c>
      <c r="C2" s="714"/>
      <c r="D2" s="715"/>
      <c r="E2" s="715"/>
      <c r="F2" s="715"/>
      <c r="G2" s="715"/>
      <c r="H2" s="715"/>
      <c r="I2" s="715"/>
      <c r="J2" s="715"/>
      <c r="K2" s="715"/>
      <c r="L2" s="715"/>
    </row>
    <row r="3" spans="1:121" ht="21.75" thickBot="1" x14ac:dyDescent="0.3">
      <c r="B3" s="714" t="s">
        <v>88</v>
      </c>
      <c r="C3" s="714"/>
      <c r="D3" s="716"/>
      <c r="E3" s="717"/>
      <c r="F3" s="717"/>
      <c r="G3" s="717"/>
      <c r="H3" s="717"/>
      <c r="I3" s="717"/>
      <c r="J3" s="717"/>
      <c r="K3" s="717"/>
      <c r="L3" s="718"/>
    </row>
    <row r="4" spans="1:121" s="206" customFormat="1" x14ac:dyDescent="0.25">
      <c r="A4" s="707" t="s">
        <v>3</v>
      </c>
      <c r="B4" s="701" t="s">
        <v>46</v>
      </c>
      <c r="C4" s="701" t="s">
        <v>142</v>
      </c>
      <c r="D4" s="701" t="s">
        <v>143</v>
      </c>
      <c r="E4" s="701"/>
      <c r="F4" s="701"/>
      <c r="G4" s="701" t="s">
        <v>144</v>
      </c>
      <c r="H4" s="701"/>
      <c r="I4" s="701"/>
      <c r="J4" s="701" t="s">
        <v>145</v>
      </c>
      <c r="K4" s="701"/>
      <c r="L4" s="720"/>
    </row>
    <row r="5" spans="1:121" s="206" customFormat="1" x14ac:dyDescent="0.25">
      <c r="A5" s="708"/>
      <c r="B5" s="719"/>
      <c r="C5" s="719"/>
      <c r="D5" s="391" t="s">
        <v>146</v>
      </c>
      <c r="E5" s="391" t="s">
        <v>147</v>
      </c>
      <c r="F5" s="391" t="s">
        <v>148</v>
      </c>
      <c r="G5" s="391" t="s">
        <v>146</v>
      </c>
      <c r="H5" s="391" t="s">
        <v>147</v>
      </c>
      <c r="I5" s="391" t="s">
        <v>148</v>
      </c>
      <c r="J5" s="391" t="s">
        <v>146</v>
      </c>
      <c r="K5" s="391" t="s">
        <v>147</v>
      </c>
      <c r="L5" s="211" t="s">
        <v>148</v>
      </c>
    </row>
    <row r="6" spans="1:121" s="207" customFormat="1" ht="15" x14ac:dyDescent="0.25">
      <c r="A6" s="369">
        <v>1</v>
      </c>
      <c r="B6" s="208">
        <f>A6+1</f>
        <v>2</v>
      </c>
      <c r="C6" s="208">
        <f t="shared" ref="C6:L6" si="0">B6+1</f>
        <v>3</v>
      </c>
      <c r="D6" s="208">
        <f t="shared" si="0"/>
        <v>4</v>
      </c>
      <c r="E6" s="208">
        <f t="shared" ref="E6" si="1">D6+1</f>
        <v>5</v>
      </c>
      <c r="F6" s="208">
        <f t="shared" ref="F6:G6" si="2">E6+1</f>
        <v>6</v>
      </c>
      <c r="G6" s="208">
        <f t="shared" si="2"/>
        <v>7</v>
      </c>
      <c r="H6" s="208">
        <f t="shared" ref="H6" si="3">G6+1</f>
        <v>8</v>
      </c>
      <c r="I6" s="208">
        <f t="shared" ref="I6" si="4">H6+1</f>
        <v>9</v>
      </c>
      <c r="J6" s="208">
        <f t="shared" ref="J6" si="5">I6+1</f>
        <v>10</v>
      </c>
      <c r="K6" s="208">
        <f t="shared" ref="K6" si="6">J6+1</f>
        <v>11</v>
      </c>
      <c r="L6" s="233">
        <f t="shared" si="0"/>
        <v>12</v>
      </c>
    </row>
    <row r="7" spans="1:121" s="231" customFormat="1" ht="22.5" customHeight="1" x14ac:dyDescent="0.25">
      <c r="A7" s="234">
        <f>A6+1</f>
        <v>2</v>
      </c>
      <c r="B7" s="721" t="s">
        <v>149</v>
      </c>
      <c r="C7" s="213" t="s">
        <v>150</v>
      </c>
      <c r="D7" s="216">
        <f>SUM(D8:D11)</f>
        <v>0</v>
      </c>
      <c r="E7" s="216">
        <f>SUM(E8:E11)</f>
        <v>0</v>
      </c>
      <c r="F7" s="216">
        <f>E7-D7</f>
        <v>0</v>
      </c>
      <c r="G7" s="216">
        <f>SUM(G8:G11)</f>
        <v>0</v>
      </c>
      <c r="H7" s="216">
        <f>SUM(H8:H11)</f>
        <v>0</v>
      </c>
      <c r="I7" s="216">
        <f>H7-G7</f>
        <v>0</v>
      </c>
      <c r="J7" s="216">
        <f>SUM(J8:J11)</f>
        <v>0</v>
      </c>
      <c r="K7" s="216">
        <f>SUM(K8:K11)</f>
        <v>0</v>
      </c>
      <c r="L7" s="217">
        <f>K7-J7</f>
        <v>0</v>
      </c>
      <c r="W7" s="232"/>
      <c r="AF7" s="232"/>
      <c r="BC7" s="232"/>
      <c r="BD7" s="232"/>
      <c r="BJ7" s="232"/>
      <c r="BK7" s="232"/>
      <c r="BL7" s="232"/>
      <c r="BM7" s="232"/>
      <c r="BN7" s="232"/>
      <c r="BO7" s="232"/>
      <c r="BP7" s="232"/>
      <c r="BQ7" s="232"/>
      <c r="BR7" s="232"/>
      <c r="BS7" s="232"/>
      <c r="BT7" s="232"/>
      <c r="BU7" s="232"/>
      <c r="BV7" s="232"/>
      <c r="BW7" s="232"/>
      <c r="BX7" s="232"/>
      <c r="BY7" s="232"/>
      <c r="BZ7" s="232"/>
      <c r="CA7" s="232"/>
      <c r="CB7" s="232"/>
      <c r="CC7" s="232"/>
      <c r="CD7" s="232"/>
      <c r="CE7" s="232"/>
      <c r="CF7" s="232"/>
      <c r="CG7" s="232"/>
      <c r="CH7" s="232"/>
      <c r="CI7" s="232"/>
      <c r="CJ7" s="232"/>
      <c r="CK7" s="232"/>
      <c r="CL7" s="232"/>
      <c r="CM7" s="232"/>
      <c r="CN7" s="232"/>
      <c r="CO7" s="232"/>
      <c r="CP7" s="232"/>
      <c r="CQ7" s="232"/>
      <c r="CR7" s="232"/>
      <c r="CS7" s="232"/>
      <c r="CT7" s="232"/>
      <c r="CU7" s="232"/>
      <c r="CV7" s="232"/>
      <c r="CW7" s="232"/>
      <c r="CX7" s="232"/>
      <c r="CY7" s="232"/>
      <c r="CZ7" s="232"/>
      <c r="DA7" s="232"/>
      <c r="DB7" s="232"/>
      <c r="DC7" s="232"/>
      <c r="DD7" s="232"/>
      <c r="DE7" s="232"/>
      <c r="DF7" s="232"/>
      <c r="DG7" s="232"/>
      <c r="DH7" s="232"/>
      <c r="DI7" s="232"/>
      <c r="DJ7" s="232"/>
      <c r="DK7" s="232"/>
      <c r="DL7" s="232"/>
      <c r="DM7" s="232"/>
      <c r="DN7" s="232"/>
      <c r="DO7" s="232"/>
      <c r="DP7" s="232"/>
      <c r="DQ7" s="232"/>
    </row>
    <row r="8" spans="1:121" s="231" customFormat="1" outlineLevel="1" x14ac:dyDescent="0.25">
      <c r="A8" s="234">
        <f t="shared" ref="A8:A71" si="7">A7+1</f>
        <v>3</v>
      </c>
      <c r="B8" s="703"/>
      <c r="C8" s="213" t="s">
        <v>151</v>
      </c>
      <c r="D8" s="216">
        <f t="shared" ref="D8:E8" si="8">D14+D18+D22+D26+D30+D35</f>
        <v>0</v>
      </c>
      <c r="E8" s="216">
        <f t="shared" si="8"/>
        <v>0</v>
      </c>
      <c r="F8" s="216">
        <f t="shared" ref="F8:F11" si="9">E8-D8</f>
        <v>0</v>
      </c>
      <c r="G8" s="216">
        <f t="shared" ref="G8:H8" si="10">G14+G18+G22+G26+G30+G35</f>
        <v>0</v>
      </c>
      <c r="H8" s="216">
        <f t="shared" si="10"/>
        <v>0</v>
      </c>
      <c r="I8" s="216">
        <f t="shared" ref="I8:I11" si="11">H8-G8</f>
        <v>0</v>
      </c>
      <c r="J8" s="216">
        <f t="shared" ref="J8:K11" si="12">G8+D8</f>
        <v>0</v>
      </c>
      <c r="K8" s="216">
        <f t="shared" si="12"/>
        <v>0</v>
      </c>
      <c r="L8" s="217">
        <f t="shared" ref="L8:L11" si="13">K8-J8</f>
        <v>0</v>
      </c>
      <c r="W8" s="232"/>
      <c r="AF8" s="232"/>
      <c r="BC8" s="232"/>
      <c r="BD8" s="232"/>
      <c r="BJ8" s="232"/>
      <c r="BK8" s="232"/>
      <c r="BL8" s="232"/>
      <c r="BM8" s="232"/>
      <c r="BN8" s="232"/>
      <c r="BO8" s="232"/>
      <c r="BP8" s="232"/>
      <c r="BQ8" s="232"/>
      <c r="BR8" s="232"/>
      <c r="BS8" s="232"/>
      <c r="BT8" s="232"/>
      <c r="BU8" s="232"/>
      <c r="BV8" s="232"/>
      <c r="BW8" s="232"/>
      <c r="BX8" s="232"/>
      <c r="BY8" s="232"/>
      <c r="BZ8" s="232"/>
      <c r="CA8" s="232"/>
      <c r="CB8" s="232"/>
      <c r="CC8" s="232"/>
      <c r="CD8" s="232"/>
      <c r="CE8" s="232"/>
      <c r="CF8" s="232"/>
      <c r="CG8" s="232"/>
      <c r="CH8" s="232"/>
      <c r="CI8" s="232"/>
      <c r="CJ8" s="232"/>
      <c r="CK8" s="232"/>
      <c r="CL8" s="232"/>
      <c r="CM8" s="232"/>
      <c r="CN8" s="232"/>
      <c r="CO8" s="232"/>
      <c r="CP8" s="232"/>
      <c r="CQ8" s="232"/>
      <c r="CR8" s="232"/>
      <c r="CS8" s="232"/>
      <c r="CT8" s="232"/>
      <c r="CU8" s="232"/>
      <c r="CV8" s="232"/>
      <c r="CW8" s="232"/>
      <c r="CX8" s="232"/>
      <c r="CY8" s="232"/>
      <c r="CZ8" s="232"/>
      <c r="DA8" s="232"/>
      <c r="DB8" s="232"/>
      <c r="DC8" s="232"/>
      <c r="DD8" s="232"/>
      <c r="DE8" s="232"/>
      <c r="DF8" s="232"/>
      <c r="DG8" s="232"/>
      <c r="DH8" s="232"/>
      <c r="DI8" s="232"/>
      <c r="DJ8" s="232"/>
      <c r="DK8" s="232"/>
      <c r="DL8" s="232"/>
      <c r="DM8" s="232"/>
      <c r="DN8" s="232"/>
      <c r="DO8" s="232"/>
      <c r="DP8" s="232"/>
      <c r="DQ8" s="232"/>
    </row>
    <row r="9" spans="1:121" s="231" customFormat="1" ht="22.5" outlineLevel="1" x14ac:dyDescent="0.25">
      <c r="A9" s="234">
        <f t="shared" si="7"/>
        <v>4</v>
      </c>
      <c r="B9" s="703"/>
      <c r="C9" s="213" t="s">
        <v>152</v>
      </c>
      <c r="D9" s="216">
        <f t="shared" ref="D9:E9" si="14">D15+D19+D23+D27+D31+D36</f>
        <v>0</v>
      </c>
      <c r="E9" s="216">
        <f t="shared" si="14"/>
        <v>0</v>
      </c>
      <c r="F9" s="216">
        <f t="shared" si="9"/>
        <v>0</v>
      </c>
      <c r="G9" s="216">
        <f t="shared" ref="G9:H9" si="15">G15+G19+G23+G27+G31+G36</f>
        <v>0</v>
      </c>
      <c r="H9" s="216">
        <f t="shared" si="15"/>
        <v>0</v>
      </c>
      <c r="I9" s="216">
        <f t="shared" si="11"/>
        <v>0</v>
      </c>
      <c r="J9" s="216">
        <f t="shared" si="12"/>
        <v>0</v>
      </c>
      <c r="K9" s="216">
        <f t="shared" si="12"/>
        <v>0</v>
      </c>
      <c r="L9" s="217">
        <f t="shared" si="13"/>
        <v>0</v>
      </c>
      <c r="W9" s="232"/>
      <c r="AF9" s="232"/>
      <c r="BC9" s="232"/>
      <c r="BD9" s="232"/>
      <c r="BJ9" s="232"/>
      <c r="BK9" s="232"/>
      <c r="BL9" s="232"/>
      <c r="BM9" s="232"/>
      <c r="BN9" s="232"/>
      <c r="BO9" s="232"/>
      <c r="BP9" s="232"/>
      <c r="BQ9" s="232"/>
      <c r="BR9" s="232"/>
      <c r="BS9" s="232"/>
      <c r="BT9" s="232"/>
      <c r="BU9" s="232"/>
      <c r="BV9" s="232"/>
      <c r="BW9" s="232"/>
      <c r="BX9" s="232"/>
      <c r="BY9" s="232"/>
      <c r="BZ9" s="232"/>
      <c r="CA9" s="232"/>
      <c r="CB9" s="232"/>
      <c r="CC9" s="232"/>
      <c r="CD9" s="232"/>
      <c r="CE9" s="232"/>
      <c r="CF9" s="232"/>
      <c r="CG9" s="232"/>
      <c r="CH9" s="232"/>
      <c r="CI9" s="232"/>
      <c r="CJ9" s="232"/>
      <c r="CK9" s="232"/>
      <c r="CL9" s="232"/>
      <c r="CM9" s="232"/>
      <c r="CN9" s="232"/>
      <c r="CO9" s="232"/>
      <c r="CP9" s="232"/>
      <c r="CQ9" s="232"/>
      <c r="CR9" s="232"/>
      <c r="CS9" s="232"/>
      <c r="CT9" s="232"/>
      <c r="CU9" s="232"/>
      <c r="CV9" s="232"/>
      <c r="CW9" s="232"/>
      <c r="CX9" s="232"/>
      <c r="CY9" s="232"/>
      <c r="CZ9" s="232"/>
      <c r="DA9" s="232"/>
      <c r="DB9" s="232"/>
      <c r="DC9" s="232"/>
      <c r="DD9" s="232"/>
      <c r="DE9" s="232"/>
      <c r="DF9" s="232"/>
      <c r="DG9" s="232"/>
      <c r="DH9" s="232"/>
      <c r="DI9" s="232"/>
      <c r="DJ9" s="232"/>
      <c r="DK9" s="232"/>
      <c r="DL9" s="232"/>
      <c r="DM9" s="232"/>
      <c r="DN9" s="232"/>
      <c r="DO9" s="232"/>
      <c r="DP9" s="232"/>
      <c r="DQ9" s="232"/>
    </row>
    <row r="10" spans="1:121" s="231" customFormat="1" outlineLevel="1" x14ac:dyDescent="0.25">
      <c r="A10" s="234">
        <f t="shared" si="7"/>
        <v>5</v>
      </c>
      <c r="B10" s="703"/>
      <c r="C10" s="213" t="s">
        <v>153</v>
      </c>
      <c r="D10" s="216">
        <f t="shared" ref="D10:E10" si="16">D16+D20+D24+D28+D32+D37</f>
        <v>0</v>
      </c>
      <c r="E10" s="216">
        <f t="shared" si="16"/>
        <v>0</v>
      </c>
      <c r="F10" s="216">
        <f t="shared" si="9"/>
        <v>0</v>
      </c>
      <c r="G10" s="216">
        <f t="shared" ref="G10:H10" si="17">G16+G20+G24+G28+G32+G37</f>
        <v>0</v>
      </c>
      <c r="H10" s="216">
        <f t="shared" si="17"/>
        <v>0</v>
      </c>
      <c r="I10" s="216">
        <f t="shared" si="11"/>
        <v>0</v>
      </c>
      <c r="J10" s="216">
        <f t="shared" si="12"/>
        <v>0</v>
      </c>
      <c r="K10" s="216">
        <f t="shared" si="12"/>
        <v>0</v>
      </c>
      <c r="L10" s="217">
        <f t="shared" si="13"/>
        <v>0</v>
      </c>
      <c r="W10" s="232"/>
      <c r="AF10" s="232"/>
      <c r="BC10" s="232"/>
      <c r="BD10" s="232"/>
      <c r="BJ10" s="232"/>
      <c r="BK10" s="232"/>
      <c r="BL10" s="232"/>
      <c r="BM10" s="232"/>
      <c r="BN10" s="232"/>
      <c r="BO10" s="232"/>
      <c r="BP10" s="232"/>
      <c r="BQ10" s="232"/>
      <c r="BR10" s="232"/>
      <c r="BS10" s="232"/>
      <c r="BT10" s="232"/>
      <c r="BU10" s="232"/>
      <c r="BV10" s="232"/>
      <c r="BW10" s="232"/>
      <c r="BX10" s="232"/>
      <c r="BY10" s="232"/>
      <c r="BZ10" s="232"/>
      <c r="CA10" s="232"/>
      <c r="CB10" s="232"/>
      <c r="CC10" s="232"/>
      <c r="CD10" s="232"/>
      <c r="CE10" s="232"/>
      <c r="CF10" s="232"/>
      <c r="CG10" s="232"/>
      <c r="CH10" s="232"/>
      <c r="CI10" s="232"/>
      <c r="CJ10" s="232"/>
      <c r="CK10" s="232"/>
      <c r="CL10" s="232"/>
      <c r="CM10" s="232"/>
      <c r="CN10" s="232"/>
      <c r="CO10" s="232"/>
      <c r="CP10" s="232"/>
      <c r="CQ10" s="232"/>
      <c r="CR10" s="232"/>
      <c r="CS10" s="232"/>
      <c r="CT10" s="232"/>
      <c r="CU10" s="232"/>
      <c r="CV10" s="232"/>
      <c r="CW10" s="232"/>
      <c r="CX10" s="232"/>
      <c r="CY10" s="232"/>
      <c r="CZ10" s="232"/>
      <c r="DA10" s="232"/>
      <c r="DB10" s="232"/>
      <c r="DC10" s="232"/>
      <c r="DD10" s="232"/>
      <c r="DE10" s="232"/>
      <c r="DF10" s="232"/>
      <c r="DG10" s="232"/>
      <c r="DH10" s="232"/>
      <c r="DI10" s="232"/>
      <c r="DJ10" s="232"/>
      <c r="DK10" s="232"/>
      <c r="DL10" s="232"/>
      <c r="DM10" s="232"/>
      <c r="DN10" s="232"/>
      <c r="DO10" s="232"/>
      <c r="DP10" s="232"/>
      <c r="DQ10" s="232"/>
    </row>
    <row r="11" spans="1:121" s="231" customFormat="1" ht="22.5" outlineLevel="1" x14ac:dyDescent="0.25">
      <c r="A11" s="234">
        <f t="shared" si="7"/>
        <v>6</v>
      </c>
      <c r="B11" s="722"/>
      <c r="C11" s="213" t="s">
        <v>265</v>
      </c>
      <c r="D11" s="216">
        <f>D33</f>
        <v>0</v>
      </c>
      <c r="E11" s="216">
        <f>E33</f>
        <v>0</v>
      </c>
      <c r="F11" s="216">
        <f t="shared" si="9"/>
        <v>0</v>
      </c>
      <c r="G11" s="216">
        <f>G33</f>
        <v>0</v>
      </c>
      <c r="H11" s="216">
        <f>H33</f>
        <v>0</v>
      </c>
      <c r="I11" s="216">
        <f t="shared" si="11"/>
        <v>0</v>
      </c>
      <c r="J11" s="216">
        <f t="shared" si="12"/>
        <v>0</v>
      </c>
      <c r="K11" s="216">
        <f t="shared" si="12"/>
        <v>0</v>
      </c>
      <c r="L11" s="217">
        <f t="shared" si="13"/>
        <v>0</v>
      </c>
      <c r="W11" s="232"/>
      <c r="AF11" s="232"/>
      <c r="BC11" s="232"/>
      <c r="BD11" s="232"/>
      <c r="BJ11" s="232"/>
      <c r="BK11" s="232"/>
      <c r="BL11" s="232"/>
      <c r="BM11" s="232"/>
      <c r="BN11" s="232"/>
      <c r="BO11" s="232"/>
      <c r="BP11" s="232"/>
      <c r="BQ11" s="232"/>
      <c r="BR11" s="232"/>
      <c r="BS11" s="232"/>
      <c r="BT11" s="232"/>
      <c r="BU11" s="232"/>
      <c r="BV11" s="232"/>
      <c r="BW11" s="232"/>
      <c r="BX11" s="232"/>
      <c r="BY11" s="232"/>
      <c r="BZ11" s="232"/>
      <c r="CA11" s="232"/>
      <c r="CB11" s="232"/>
      <c r="CC11" s="232"/>
      <c r="CD11" s="232"/>
      <c r="CE11" s="232"/>
      <c r="CF11" s="232"/>
      <c r="CG11" s="232"/>
      <c r="CH11" s="232"/>
      <c r="CI11" s="232"/>
      <c r="CJ11" s="232"/>
      <c r="CK11" s="232"/>
      <c r="CL11" s="232"/>
      <c r="CM11" s="232"/>
      <c r="CN11" s="232"/>
      <c r="CO11" s="232"/>
      <c r="CP11" s="232"/>
      <c r="CQ11" s="232"/>
      <c r="CR11" s="232"/>
      <c r="CS11" s="232"/>
      <c r="CT11" s="232"/>
      <c r="CU11" s="232"/>
      <c r="CV11" s="232"/>
      <c r="CW11" s="232"/>
      <c r="CX11" s="232"/>
      <c r="CY11" s="232"/>
      <c r="CZ11" s="232"/>
      <c r="DA11" s="232"/>
      <c r="DB11" s="232"/>
      <c r="DC11" s="232"/>
      <c r="DD11" s="232"/>
      <c r="DE11" s="232"/>
      <c r="DF11" s="232"/>
      <c r="DG11" s="232"/>
      <c r="DH11" s="232"/>
      <c r="DI11" s="232"/>
      <c r="DJ11" s="232"/>
      <c r="DK11" s="232"/>
      <c r="DL11" s="232"/>
      <c r="DM11" s="232"/>
      <c r="DN11" s="232"/>
      <c r="DO11" s="232"/>
      <c r="DP11" s="232"/>
      <c r="DQ11" s="232"/>
    </row>
    <row r="12" spans="1:121" s="209" customFormat="1" ht="12.75" customHeight="1" outlineLevel="1" collapsed="1" x14ac:dyDescent="0.25">
      <c r="A12" s="234">
        <f t="shared" si="7"/>
        <v>7</v>
      </c>
      <c r="B12" s="212" t="s">
        <v>154</v>
      </c>
      <c r="C12" s="213"/>
      <c r="D12" s="202"/>
      <c r="E12" s="202"/>
      <c r="F12" s="202"/>
      <c r="G12" s="202"/>
      <c r="H12" s="202"/>
      <c r="I12" s="202"/>
      <c r="J12" s="202"/>
      <c r="K12" s="202"/>
      <c r="L12" s="203"/>
      <c r="W12" s="210"/>
      <c r="AF12" s="210"/>
      <c r="BC12" s="210"/>
      <c r="BD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s="209" customFormat="1" ht="22.5" customHeight="1" outlineLevel="1" x14ac:dyDescent="0.25">
      <c r="A13" s="234">
        <f t="shared" si="7"/>
        <v>8</v>
      </c>
      <c r="B13" s="705" t="s">
        <v>155</v>
      </c>
      <c r="C13" s="213" t="s">
        <v>150</v>
      </c>
      <c r="D13" s="216">
        <f>SUM(D14:D16)</f>
        <v>0</v>
      </c>
      <c r="E13" s="216">
        <f>SUM(E14:E16)</f>
        <v>0</v>
      </c>
      <c r="F13" s="216">
        <f>E13-D13</f>
        <v>0</v>
      </c>
      <c r="G13" s="216">
        <f>SUM(G14:G16)</f>
        <v>0</v>
      </c>
      <c r="H13" s="216">
        <f>SUM(H14:H16)</f>
        <v>0</v>
      </c>
      <c r="I13" s="216">
        <f>H13-G13</f>
        <v>0</v>
      </c>
      <c r="J13" s="216">
        <f>SUM(J14:J16)</f>
        <v>0</v>
      </c>
      <c r="K13" s="216">
        <f>SUM(K14:K16)</f>
        <v>0</v>
      </c>
      <c r="L13" s="217">
        <f>K13-J13</f>
        <v>0</v>
      </c>
      <c r="W13" s="210"/>
      <c r="AF13" s="210"/>
      <c r="BC13" s="210"/>
      <c r="BD13" s="210"/>
      <c r="BJ13" s="210"/>
      <c r="BK13" s="210"/>
      <c r="BL13" s="210"/>
      <c r="BM13" s="210"/>
      <c r="BN13" s="210"/>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row>
    <row r="14" spans="1:121" s="209" customFormat="1" outlineLevel="2" x14ac:dyDescent="0.25">
      <c r="A14" s="234">
        <f t="shared" si="7"/>
        <v>9</v>
      </c>
      <c r="B14" s="706"/>
      <c r="C14" s="213" t="s">
        <v>151</v>
      </c>
      <c r="D14" s="215"/>
      <c r="E14" s="215"/>
      <c r="F14" s="216">
        <f t="shared" ref="F14:F16" si="18">E14-D14</f>
        <v>0</v>
      </c>
      <c r="G14" s="215"/>
      <c r="H14" s="215"/>
      <c r="I14" s="216">
        <f t="shared" ref="I14:I16" si="19">H14-G14</f>
        <v>0</v>
      </c>
      <c r="J14" s="216">
        <f t="shared" ref="J14:K16" si="20">G14+D14</f>
        <v>0</v>
      </c>
      <c r="K14" s="216">
        <f t="shared" si="20"/>
        <v>0</v>
      </c>
      <c r="L14" s="217">
        <f t="shared" ref="L14:L16" si="21">K14-J14</f>
        <v>0</v>
      </c>
      <c r="W14" s="210"/>
      <c r="AF14" s="210"/>
      <c r="BC14" s="210"/>
      <c r="BD14" s="210"/>
      <c r="BJ14" s="210"/>
      <c r="BK14" s="210"/>
      <c r="BL14" s="210"/>
      <c r="BM14" s="210"/>
      <c r="BN14" s="210"/>
      <c r="BO14" s="210"/>
      <c r="BP14" s="210"/>
      <c r="BQ14" s="210"/>
      <c r="BR14" s="210"/>
      <c r="BS14" s="210"/>
      <c r="BT14" s="210"/>
      <c r="BU14" s="210"/>
      <c r="BV14" s="210"/>
      <c r="BW14" s="210"/>
      <c r="BX14" s="210"/>
      <c r="BY14" s="210"/>
      <c r="BZ14" s="210"/>
      <c r="CA14" s="210"/>
      <c r="CB14" s="210"/>
      <c r="CC14" s="210"/>
      <c r="CD14" s="210"/>
      <c r="CE14" s="210"/>
      <c r="CF14" s="210"/>
      <c r="CG14" s="210"/>
      <c r="CH14" s="210"/>
      <c r="CI14" s="210"/>
      <c r="CJ14" s="210"/>
      <c r="CK14" s="210"/>
      <c r="CL14" s="210"/>
      <c r="CM14" s="210"/>
      <c r="CN14" s="210"/>
      <c r="CO14" s="210"/>
      <c r="CP14" s="210"/>
      <c r="CQ14" s="210"/>
      <c r="CR14" s="210"/>
      <c r="CS14" s="210"/>
      <c r="CT14" s="210"/>
      <c r="CU14" s="210"/>
      <c r="CV14" s="210"/>
      <c r="CW14" s="210"/>
      <c r="CX14" s="210"/>
      <c r="CY14" s="210"/>
      <c r="CZ14" s="210"/>
      <c r="DA14" s="210"/>
      <c r="DB14" s="210"/>
      <c r="DC14" s="210"/>
      <c r="DD14" s="210"/>
      <c r="DE14" s="210"/>
      <c r="DF14" s="210"/>
      <c r="DG14" s="210"/>
      <c r="DH14" s="210"/>
      <c r="DI14" s="210"/>
      <c r="DJ14" s="210"/>
      <c r="DK14" s="210"/>
      <c r="DL14" s="210"/>
      <c r="DM14" s="210"/>
      <c r="DN14" s="210"/>
      <c r="DO14" s="210"/>
      <c r="DP14" s="210"/>
      <c r="DQ14" s="210"/>
    </row>
    <row r="15" spans="1:121" s="209" customFormat="1" ht="22.5" outlineLevel="2" x14ac:dyDescent="0.25">
      <c r="A15" s="234">
        <f t="shared" si="7"/>
        <v>10</v>
      </c>
      <c r="B15" s="706"/>
      <c r="C15" s="213" t="s">
        <v>152</v>
      </c>
      <c r="D15" s="215"/>
      <c r="E15" s="215"/>
      <c r="F15" s="216">
        <f t="shared" si="18"/>
        <v>0</v>
      </c>
      <c r="G15" s="215"/>
      <c r="H15" s="215"/>
      <c r="I15" s="216">
        <f t="shared" si="19"/>
        <v>0</v>
      </c>
      <c r="J15" s="216">
        <f t="shared" si="20"/>
        <v>0</v>
      </c>
      <c r="K15" s="216">
        <f t="shared" si="20"/>
        <v>0</v>
      </c>
      <c r="L15" s="217">
        <f t="shared" si="21"/>
        <v>0</v>
      </c>
      <c r="W15" s="210"/>
      <c r="AF15" s="210"/>
      <c r="BC15" s="210"/>
      <c r="BD15" s="210"/>
      <c r="BJ15" s="210"/>
      <c r="BK15" s="210"/>
      <c r="BL15" s="210"/>
      <c r="BM15" s="210"/>
      <c r="BN15" s="210"/>
      <c r="BO15" s="210"/>
      <c r="BP15" s="210"/>
      <c r="BQ15" s="210"/>
      <c r="BR15" s="210"/>
      <c r="BS15" s="210"/>
      <c r="BT15" s="210"/>
      <c r="BU15" s="210"/>
      <c r="BV15" s="210"/>
      <c r="BW15" s="210"/>
      <c r="BX15" s="210"/>
      <c r="BY15" s="210"/>
      <c r="BZ15" s="210"/>
      <c r="CA15" s="210"/>
      <c r="CB15" s="210"/>
      <c r="CC15" s="210"/>
      <c r="CD15" s="210"/>
      <c r="CE15" s="210"/>
      <c r="CF15" s="210"/>
      <c r="CG15" s="210"/>
      <c r="CH15" s="210"/>
      <c r="CI15" s="210"/>
      <c r="CJ15" s="210"/>
      <c r="CK15" s="210"/>
      <c r="CL15" s="210"/>
      <c r="CM15" s="210"/>
      <c r="CN15" s="210"/>
      <c r="CO15" s="210"/>
      <c r="CP15" s="210"/>
      <c r="CQ15" s="210"/>
      <c r="CR15" s="210"/>
      <c r="CS15" s="210"/>
      <c r="CT15" s="210"/>
      <c r="CU15" s="210"/>
      <c r="CV15" s="210"/>
      <c r="CW15" s="210"/>
      <c r="CX15" s="210"/>
      <c r="CY15" s="210"/>
      <c r="CZ15" s="210"/>
      <c r="DA15" s="210"/>
      <c r="DB15" s="210"/>
      <c r="DC15" s="210"/>
      <c r="DD15" s="210"/>
      <c r="DE15" s="210"/>
      <c r="DF15" s="210"/>
      <c r="DG15" s="210"/>
      <c r="DH15" s="210"/>
      <c r="DI15" s="210"/>
      <c r="DJ15" s="210"/>
      <c r="DK15" s="210"/>
      <c r="DL15" s="210"/>
      <c r="DM15" s="210"/>
      <c r="DN15" s="210"/>
      <c r="DO15" s="210"/>
      <c r="DP15" s="210"/>
      <c r="DQ15" s="210"/>
    </row>
    <row r="16" spans="1:121" s="209" customFormat="1" outlineLevel="2" x14ac:dyDescent="0.25">
      <c r="A16" s="234">
        <f t="shared" si="7"/>
        <v>11</v>
      </c>
      <c r="B16" s="723"/>
      <c r="C16" s="213" t="s">
        <v>153</v>
      </c>
      <c r="D16" s="215"/>
      <c r="E16" s="215"/>
      <c r="F16" s="216">
        <f t="shared" si="18"/>
        <v>0</v>
      </c>
      <c r="G16" s="215"/>
      <c r="H16" s="215"/>
      <c r="I16" s="216">
        <f t="shared" si="19"/>
        <v>0</v>
      </c>
      <c r="J16" s="216">
        <f t="shared" si="20"/>
        <v>0</v>
      </c>
      <c r="K16" s="216">
        <f t="shared" si="20"/>
        <v>0</v>
      </c>
      <c r="L16" s="217">
        <f t="shared" si="21"/>
        <v>0</v>
      </c>
      <c r="W16" s="210"/>
      <c r="AF16" s="210"/>
      <c r="BC16" s="210"/>
      <c r="BD16" s="210"/>
      <c r="BJ16" s="210"/>
      <c r="BK16" s="210"/>
      <c r="BL16" s="210"/>
      <c r="BM16" s="210"/>
      <c r="BN16" s="210"/>
      <c r="BO16" s="210"/>
      <c r="BP16" s="210"/>
      <c r="BQ16" s="210"/>
      <c r="BR16" s="210"/>
      <c r="BS16" s="210"/>
      <c r="BT16" s="210"/>
      <c r="BU16" s="210"/>
      <c r="BV16" s="210"/>
      <c r="BW16" s="210"/>
      <c r="BX16" s="210"/>
      <c r="BY16" s="210"/>
      <c r="BZ16" s="210"/>
      <c r="CA16" s="210"/>
      <c r="CB16" s="210"/>
      <c r="CC16" s="210"/>
      <c r="CD16" s="210"/>
      <c r="CE16" s="210"/>
      <c r="CF16" s="210"/>
      <c r="CG16" s="210"/>
      <c r="CH16" s="210"/>
      <c r="CI16" s="210"/>
      <c r="CJ16" s="210"/>
      <c r="CK16" s="210"/>
      <c r="CL16" s="210"/>
      <c r="CM16" s="210"/>
      <c r="CN16" s="210"/>
      <c r="CO16" s="210"/>
      <c r="CP16" s="210"/>
      <c r="CQ16" s="210"/>
      <c r="CR16" s="210"/>
      <c r="CS16" s="210"/>
      <c r="CT16" s="210"/>
      <c r="CU16" s="210"/>
      <c r="CV16" s="210"/>
      <c r="CW16" s="210"/>
      <c r="CX16" s="210"/>
      <c r="CY16" s="210"/>
      <c r="CZ16" s="210"/>
      <c r="DA16" s="210"/>
      <c r="DB16" s="210"/>
      <c r="DC16" s="210"/>
      <c r="DD16" s="210"/>
      <c r="DE16" s="210"/>
      <c r="DF16" s="210"/>
      <c r="DG16" s="210"/>
      <c r="DH16" s="210"/>
      <c r="DI16" s="210"/>
      <c r="DJ16" s="210"/>
      <c r="DK16" s="210"/>
      <c r="DL16" s="210"/>
      <c r="DM16" s="210"/>
      <c r="DN16" s="210"/>
      <c r="DO16" s="210"/>
      <c r="DP16" s="210"/>
      <c r="DQ16" s="210"/>
    </row>
    <row r="17" spans="1:121" s="209" customFormat="1" ht="22.5" customHeight="1" outlineLevel="1" x14ac:dyDescent="0.25">
      <c r="A17" s="234">
        <f t="shared" si="7"/>
        <v>12</v>
      </c>
      <c r="B17" s="705" t="s">
        <v>156</v>
      </c>
      <c r="C17" s="213" t="s">
        <v>150</v>
      </c>
      <c r="D17" s="216">
        <f>SUM(D18:D20)</f>
        <v>0</v>
      </c>
      <c r="E17" s="216">
        <f>SUM(E18:E20)</f>
        <v>0</v>
      </c>
      <c r="F17" s="216">
        <f>E17-D17</f>
        <v>0</v>
      </c>
      <c r="G17" s="216">
        <f>SUM(G18:G20)</f>
        <v>0</v>
      </c>
      <c r="H17" s="216">
        <f>SUM(H18:H20)</f>
        <v>0</v>
      </c>
      <c r="I17" s="216">
        <f>H17-G17</f>
        <v>0</v>
      </c>
      <c r="J17" s="216">
        <f>SUM(J18:J20)</f>
        <v>0</v>
      </c>
      <c r="K17" s="216">
        <f>SUM(K18:K20)</f>
        <v>0</v>
      </c>
      <c r="L17" s="217">
        <f>K17-J17</f>
        <v>0</v>
      </c>
      <c r="W17" s="210"/>
      <c r="AF17" s="210"/>
      <c r="BC17" s="210"/>
      <c r="BD17" s="210"/>
      <c r="BJ17" s="210"/>
      <c r="BK17" s="210"/>
      <c r="BL17" s="210"/>
      <c r="BM17" s="210"/>
      <c r="BN17" s="210"/>
      <c r="BO17" s="210"/>
      <c r="BP17" s="210"/>
      <c r="BQ17" s="210"/>
      <c r="BR17" s="210"/>
      <c r="BS17" s="210"/>
      <c r="BT17" s="210"/>
      <c r="BU17" s="210"/>
      <c r="BV17" s="210"/>
      <c r="BW17" s="210"/>
      <c r="BX17" s="210"/>
      <c r="BY17" s="210"/>
      <c r="BZ17" s="210"/>
      <c r="CA17" s="210"/>
      <c r="CB17" s="210"/>
      <c r="CC17" s="210"/>
      <c r="CD17" s="210"/>
      <c r="CE17" s="210"/>
      <c r="CF17" s="210"/>
      <c r="CG17" s="210"/>
      <c r="CH17" s="210"/>
      <c r="CI17" s="210"/>
      <c r="CJ17" s="210"/>
      <c r="CK17" s="210"/>
      <c r="CL17" s="210"/>
      <c r="CM17" s="210"/>
      <c r="CN17" s="210"/>
      <c r="CO17" s="210"/>
      <c r="CP17" s="210"/>
      <c r="CQ17" s="210"/>
      <c r="CR17" s="210"/>
      <c r="CS17" s="210"/>
      <c r="CT17" s="210"/>
      <c r="CU17" s="210"/>
      <c r="CV17" s="210"/>
      <c r="CW17" s="210"/>
      <c r="CX17" s="210"/>
      <c r="CY17" s="210"/>
      <c r="CZ17" s="210"/>
      <c r="DA17" s="210"/>
      <c r="DB17" s="210"/>
      <c r="DC17" s="210"/>
      <c r="DD17" s="210"/>
      <c r="DE17" s="210"/>
      <c r="DF17" s="210"/>
      <c r="DG17" s="210"/>
      <c r="DH17" s="210"/>
      <c r="DI17" s="210"/>
      <c r="DJ17" s="210"/>
      <c r="DK17" s="210"/>
      <c r="DL17" s="210"/>
      <c r="DM17" s="210"/>
      <c r="DN17" s="210"/>
      <c r="DO17" s="210"/>
      <c r="DP17" s="210"/>
      <c r="DQ17" s="210"/>
    </row>
    <row r="18" spans="1:121" s="209" customFormat="1" outlineLevel="2" x14ac:dyDescent="0.25">
      <c r="A18" s="234">
        <f t="shared" si="7"/>
        <v>13</v>
      </c>
      <c r="B18" s="706"/>
      <c r="C18" s="213" t="s">
        <v>151</v>
      </c>
      <c r="D18" s="215"/>
      <c r="E18" s="215"/>
      <c r="F18" s="216">
        <f t="shared" ref="F18:F42" si="22">E18-D18</f>
        <v>0</v>
      </c>
      <c r="G18" s="215"/>
      <c r="H18" s="215"/>
      <c r="I18" s="216">
        <f t="shared" ref="I18:I42" si="23">H18-G18</f>
        <v>0</v>
      </c>
      <c r="J18" s="216">
        <f t="shared" ref="J18:K20" si="24">G18+D18</f>
        <v>0</v>
      </c>
      <c r="K18" s="216">
        <f t="shared" si="24"/>
        <v>0</v>
      </c>
      <c r="L18" s="217">
        <f t="shared" ref="L18:L42" si="25">K18-J18</f>
        <v>0</v>
      </c>
      <c r="W18" s="210"/>
      <c r="AF18" s="210"/>
      <c r="BC18" s="210"/>
      <c r="BD18" s="210"/>
      <c r="BJ18" s="210"/>
      <c r="BK18" s="210"/>
      <c r="BL18" s="210"/>
      <c r="BM18" s="210"/>
      <c r="BN18" s="210"/>
      <c r="BO18" s="210"/>
      <c r="BP18" s="210"/>
      <c r="BQ18" s="210"/>
      <c r="BR18" s="210"/>
      <c r="BS18" s="210"/>
      <c r="BT18" s="210"/>
      <c r="BU18" s="210"/>
      <c r="BV18" s="210"/>
      <c r="BW18" s="210"/>
      <c r="BX18" s="210"/>
      <c r="BY18" s="210"/>
      <c r="BZ18" s="210"/>
      <c r="CA18" s="210"/>
      <c r="CB18" s="210"/>
      <c r="CC18" s="210"/>
      <c r="CD18" s="210"/>
      <c r="CE18" s="210"/>
      <c r="CF18" s="210"/>
      <c r="CG18" s="210"/>
      <c r="CH18" s="210"/>
      <c r="CI18" s="210"/>
      <c r="CJ18" s="210"/>
      <c r="CK18" s="210"/>
      <c r="CL18" s="210"/>
      <c r="CM18" s="210"/>
      <c r="CN18" s="210"/>
      <c r="CO18" s="210"/>
      <c r="CP18" s="210"/>
      <c r="CQ18" s="210"/>
      <c r="CR18" s="210"/>
      <c r="CS18" s="210"/>
      <c r="CT18" s="210"/>
      <c r="CU18" s="210"/>
      <c r="CV18" s="210"/>
      <c r="CW18" s="210"/>
      <c r="CX18" s="210"/>
      <c r="CY18" s="210"/>
      <c r="CZ18" s="210"/>
      <c r="DA18" s="210"/>
      <c r="DB18" s="210"/>
      <c r="DC18" s="210"/>
      <c r="DD18" s="210"/>
      <c r="DE18" s="210"/>
      <c r="DF18" s="210"/>
      <c r="DG18" s="210"/>
      <c r="DH18" s="210"/>
      <c r="DI18" s="210"/>
      <c r="DJ18" s="210"/>
      <c r="DK18" s="210"/>
      <c r="DL18" s="210"/>
      <c r="DM18" s="210"/>
      <c r="DN18" s="210"/>
      <c r="DO18" s="210"/>
      <c r="DP18" s="210"/>
      <c r="DQ18" s="210"/>
    </row>
    <row r="19" spans="1:121" s="209" customFormat="1" ht="22.5" outlineLevel="2" x14ac:dyDescent="0.25">
      <c r="A19" s="234">
        <f t="shared" si="7"/>
        <v>14</v>
      </c>
      <c r="B19" s="706"/>
      <c r="C19" s="213" t="s">
        <v>152</v>
      </c>
      <c r="D19" s="215"/>
      <c r="E19" s="215"/>
      <c r="F19" s="216">
        <f t="shared" si="22"/>
        <v>0</v>
      </c>
      <c r="G19" s="215"/>
      <c r="H19" s="215"/>
      <c r="I19" s="216">
        <f t="shared" si="23"/>
        <v>0</v>
      </c>
      <c r="J19" s="216">
        <f t="shared" si="24"/>
        <v>0</v>
      </c>
      <c r="K19" s="216">
        <f t="shared" si="24"/>
        <v>0</v>
      </c>
      <c r="L19" s="217">
        <f t="shared" si="25"/>
        <v>0</v>
      </c>
      <c r="W19" s="210"/>
      <c r="AF19" s="210"/>
      <c r="BC19" s="210"/>
      <c r="BD19" s="210"/>
      <c r="BJ19" s="210"/>
      <c r="BK19" s="210"/>
      <c r="BL19" s="210"/>
      <c r="BM19" s="210"/>
      <c r="BN19" s="210"/>
      <c r="BO19" s="210"/>
      <c r="BP19" s="210"/>
      <c r="BQ19" s="210"/>
      <c r="BR19" s="210"/>
      <c r="BS19" s="210"/>
      <c r="BT19" s="210"/>
      <c r="BU19" s="210"/>
      <c r="BV19" s="210"/>
      <c r="BW19" s="210"/>
      <c r="BX19" s="210"/>
      <c r="BY19" s="210"/>
      <c r="BZ19" s="210"/>
      <c r="CA19" s="210"/>
      <c r="CB19" s="210"/>
      <c r="CC19" s="210"/>
      <c r="CD19" s="210"/>
      <c r="CE19" s="210"/>
      <c r="CF19" s="210"/>
      <c r="CG19" s="210"/>
      <c r="CH19" s="210"/>
      <c r="CI19" s="210"/>
      <c r="CJ19" s="210"/>
      <c r="CK19" s="210"/>
      <c r="CL19" s="210"/>
      <c r="CM19" s="210"/>
      <c r="CN19" s="210"/>
      <c r="CO19" s="210"/>
      <c r="CP19" s="210"/>
      <c r="CQ19" s="210"/>
      <c r="CR19" s="210"/>
      <c r="CS19" s="210"/>
      <c r="CT19" s="210"/>
      <c r="CU19" s="210"/>
      <c r="CV19" s="210"/>
      <c r="CW19" s="210"/>
      <c r="CX19" s="210"/>
      <c r="CY19" s="210"/>
      <c r="CZ19" s="210"/>
      <c r="DA19" s="210"/>
      <c r="DB19" s="210"/>
      <c r="DC19" s="210"/>
      <c r="DD19" s="210"/>
      <c r="DE19" s="210"/>
      <c r="DF19" s="210"/>
      <c r="DG19" s="210"/>
      <c r="DH19" s="210"/>
      <c r="DI19" s="210"/>
      <c r="DJ19" s="210"/>
      <c r="DK19" s="210"/>
      <c r="DL19" s="210"/>
      <c r="DM19" s="210"/>
      <c r="DN19" s="210"/>
      <c r="DO19" s="210"/>
      <c r="DP19" s="210"/>
      <c r="DQ19" s="210"/>
    </row>
    <row r="20" spans="1:121" s="209" customFormat="1" outlineLevel="2" x14ac:dyDescent="0.25">
      <c r="A20" s="234">
        <f t="shared" si="7"/>
        <v>15</v>
      </c>
      <c r="B20" s="706"/>
      <c r="C20" s="213" t="s">
        <v>153</v>
      </c>
      <c r="D20" s="215"/>
      <c r="E20" s="215"/>
      <c r="F20" s="216">
        <f t="shared" si="22"/>
        <v>0</v>
      </c>
      <c r="G20" s="215"/>
      <c r="H20" s="215"/>
      <c r="I20" s="216">
        <f t="shared" si="23"/>
        <v>0</v>
      </c>
      <c r="J20" s="216">
        <f t="shared" si="24"/>
        <v>0</v>
      </c>
      <c r="K20" s="216">
        <f t="shared" si="24"/>
        <v>0</v>
      </c>
      <c r="L20" s="217">
        <f t="shared" si="25"/>
        <v>0</v>
      </c>
      <c r="W20" s="210"/>
      <c r="AF20" s="210"/>
      <c r="BC20" s="210"/>
      <c r="BD20" s="210"/>
      <c r="BJ20" s="210"/>
      <c r="BK20" s="210"/>
      <c r="BL20" s="210"/>
      <c r="BM20" s="210"/>
      <c r="BN20" s="210"/>
      <c r="BO20" s="210"/>
      <c r="BP20" s="210"/>
      <c r="BQ20" s="210"/>
      <c r="BR20" s="210"/>
      <c r="BS20" s="210"/>
      <c r="BT20" s="210"/>
      <c r="BU20" s="210"/>
      <c r="BV20" s="210"/>
      <c r="BW20" s="210"/>
      <c r="BX20" s="210"/>
      <c r="BY20" s="210"/>
      <c r="BZ20" s="210"/>
      <c r="CA20" s="210"/>
      <c r="CB20" s="210"/>
      <c r="CC20" s="210"/>
      <c r="CD20" s="210"/>
      <c r="CE20" s="210"/>
      <c r="CF20" s="210"/>
      <c r="CG20" s="210"/>
      <c r="CH20" s="210"/>
      <c r="CI20" s="210"/>
      <c r="CJ20" s="210"/>
      <c r="CK20" s="210"/>
      <c r="CL20" s="210"/>
      <c r="CM20" s="210"/>
      <c r="CN20" s="210"/>
      <c r="CO20" s="210"/>
      <c r="CP20" s="210"/>
      <c r="CQ20" s="210"/>
      <c r="CR20" s="210"/>
      <c r="CS20" s="210"/>
      <c r="CT20" s="210"/>
      <c r="CU20" s="210"/>
      <c r="CV20" s="210"/>
      <c r="CW20" s="210"/>
      <c r="CX20" s="210"/>
      <c r="CY20" s="210"/>
      <c r="CZ20" s="210"/>
      <c r="DA20" s="210"/>
      <c r="DB20" s="210"/>
      <c r="DC20" s="210"/>
      <c r="DD20" s="210"/>
      <c r="DE20" s="210"/>
      <c r="DF20" s="210"/>
      <c r="DG20" s="210"/>
      <c r="DH20" s="210"/>
      <c r="DI20" s="210"/>
      <c r="DJ20" s="210"/>
      <c r="DK20" s="210"/>
      <c r="DL20" s="210"/>
      <c r="DM20" s="210"/>
      <c r="DN20" s="210"/>
      <c r="DO20" s="210"/>
      <c r="DP20" s="210"/>
      <c r="DQ20" s="210"/>
    </row>
    <row r="21" spans="1:121" s="209" customFormat="1" ht="22.5" outlineLevel="1" x14ac:dyDescent="0.25">
      <c r="A21" s="234">
        <f t="shared" si="7"/>
        <v>16</v>
      </c>
      <c r="B21" s="705" t="s">
        <v>157</v>
      </c>
      <c r="C21" s="213" t="s">
        <v>150</v>
      </c>
      <c r="D21" s="216">
        <f>SUM(D22:D24)</f>
        <v>0</v>
      </c>
      <c r="E21" s="216">
        <f>SUM(E22:E24)</f>
        <v>0</v>
      </c>
      <c r="F21" s="216">
        <f t="shared" si="22"/>
        <v>0</v>
      </c>
      <c r="G21" s="216">
        <f>SUM(G22:G24)</f>
        <v>0</v>
      </c>
      <c r="H21" s="216">
        <f>SUM(H22:H24)</f>
        <v>0</v>
      </c>
      <c r="I21" s="216">
        <f t="shared" si="23"/>
        <v>0</v>
      </c>
      <c r="J21" s="216">
        <f>SUM(J22:J24)</f>
        <v>0</v>
      </c>
      <c r="K21" s="216">
        <f>SUM(K22:K24)</f>
        <v>0</v>
      </c>
      <c r="L21" s="217">
        <f t="shared" si="25"/>
        <v>0</v>
      </c>
      <c r="W21" s="210"/>
      <c r="AF21" s="210"/>
      <c r="BC21" s="210"/>
      <c r="BD21" s="210"/>
      <c r="BJ21" s="210"/>
      <c r="BK21" s="210"/>
      <c r="BL21" s="210"/>
      <c r="BM21" s="210"/>
      <c r="BN21" s="210"/>
      <c r="BO21" s="210"/>
      <c r="BP21" s="210"/>
      <c r="BQ21" s="210"/>
      <c r="BR21" s="210"/>
      <c r="BS21" s="210"/>
      <c r="BT21" s="210"/>
      <c r="BU21" s="210"/>
      <c r="BV21" s="210"/>
      <c r="BW21" s="210"/>
      <c r="BX21" s="210"/>
      <c r="BY21" s="210"/>
      <c r="BZ21" s="210"/>
      <c r="CA21" s="210"/>
      <c r="CB21" s="210"/>
      <c r="CC21" s="210"/>
      <c r="CD21" s="210"/>
      <c r="CE21" s="210"/>
      <c r="CF21" s="210"/>
      <c r="CG21" s="210"/>
      <c r="CH21" s="210"/>
      <c r="CI21" s="210"/>
      <c r="CJ21" s="210"/>
      <c r="CK21" s="210"/>
      <c r="CL21" s="210"/>
      <c r="CM21" s="210"/>
      <c r="CN21" s="210"/>
      <c r="CO21" s="210"/>
      <c r="CP21" s="210"/>
      <c r="CQ21" s="210"/>
      <c r="CR21" s="210"/>
      <c r="CS21" s="210"/>
      <c r="CT21" s="210"/>
      <c r="CU21" s="210"/>
      <c r="CV21" s="210"/>
      <c r="CW21" s="210"/>
      <c r="CX21" s="210"/>
      <c r="CY21" s="210"/>
      <c r="CZ21" s="210"/>
      <c r="DA21" s="210"/>
      <c r="DB21" s="210"/>
      <c r="DC21" s="210"/>
      <c r="DD21" s="210"/>
      <c r="DE21" s="210"/>
      <c r="DF21" s="210"/>
      <c r="DG21" s="210"/>
      <c r="DH21" s="210"/>
      <c r="DI21" s="210"/>
      <c r="DJ21" s="210"/>
      <c r="DK21" s="210"/>
      <c r="DL21" s="210"/>
      <c r="DM21" s="210"/>
      <c r="DN21" s="210"/>
      <c r="DO21" s="210"/>
      <c r="DP21" s="210"/>
      <c r="DQ21" s="210"/>
    </row>
    <row r="22" spans="1:121" s="209" customFormat="1" outlineLevel="2" x14ac:dyDescent="0.25">
      <c r="A22" s="234">
        <f t="shared" si="7"/>
        <v>17</v>
      </c>
      <c r="B22" s="706"/>
      <c r="C22" s="213" t="s">
        <v>151</v>
      </c>
      <c r="D22" s="215"/>
      <c r="E22" s="215"/>
      <c r="F22" s="216">
        <f t="shared" si="22"/>
        <v>0</v>
      </c>
      <c r="G22" s="215"/>
      <c r="H22" s="215"/>
      <c r="I22" s="216">
        <f t="shared" si="23"/>
        <v>0</v>
      </c>
      <c r="J22" s="216">
        <f t="shared" ref="J22:K24" si="26">G22+D22</f>
        <v>0</v>
      </c>
      <c r="K22" s="216">
        <f t="shared" si="26"/>
        <v>0</v>
      </c>
      <c r="L22" s="217">
        <f t="shared" si="25"/>
        <v>0</v>
      </c>
      <c r="W22" s="210"/>
      <c r="AF22" s="210"/>
      <c r="BC22" s="210"/>
      <c r="BD22" s="210"/>
      <c r="BJ22" s="210"/>
      <c r="BK22" s="210"/>
      <c r="BL22" s="210"/>
      <c r="BM22" s="210"/>
      <c r="BN22" s="210"/>
      <c r="BO22" s="210"/>
      <c r="BP22" s="210"/>
      <c r="BQ22" s="210"/>
      <c r="BR22" s="210"/>
      <c r="BS22" s="210"/>
      <c r="BT22" s="210"/>
      <c r="BU22" s="210"/>
      <c r="BV22" s="210"/>
      <c r="BW22" s="210"/>
      <c r="BX22" s="210"/>
      <c r="BY22" s="210"/>
      <c r="BZ22" s="210"/>
      <c r="CA22" s="210"/>
      <c r="CB22" s="210"/>
      <c r="CC22" s="210"/>
      <c r="CD22" s="210"/>
      <c r="CE22" s="210"/>
      <c r="CF22" s="210"/>
      <c r="CG22" s="210"/>
      <c r="CH22" s="210"/>
      <c r="CI22" s="210"/>
      <c r="CJ22" s="210"/>
      <c r="CK22" s="210"/>
      <c r="CL22" s="210"/>
      <c r="CM22" s="210"/>
      <c r="CN22" s="210"/>
      <c r="CO22" s="210"/>
      <c r="CP22" s="210"/>
      <c r="CQ22" s="210"/>
      <c r="CR22" s="210"/>
      <c r="CS22" s="210"/>
      <c r="CT22" s="210"/>
      <c r="CU22" s="210"/>
      <c r="CV22" s="210"/>
      <c r="CW22" s="210"/>
      <c r="CX22" s="210"/>
      <c r="CY22" s="210"/>
      <c r="CZ22" s="210"/>
      <c r="DA22" s="210"/>
      <c r="DB22" s="210"/>
      <c r="DC22" s="210"/>
      <c r="DD22" s="210"/>
      <c r="DE22" s="210"/>
      <c r="DF22" s="210"/>
      <c r="DG22" s="210"/>
      <c r="DH22" s="210"/>
      <c r="DI22" s="210"/>
      <c r="DJ22" s="210"/>
      <c r="DK22" s="210"/>
      <c r="DL22" s="210"/>
      <c r="DM22" s="210"/>
      <c r="DN22" s="210"/>
      <c r="DO22" s="210"/>
      <c r="DP22" s="210"/>
      <c r="DQ22" s="210"/>
    </row>
    <row r="23" spans="1:121" s="209" customFormat="1" ht="22.5" outlineLevel="2" x14ac:dyDescent="0.25">
      <c r="A23" s="234">
        <f t="shared" si="7"/>
        <v>18</v>
      </c>
      <c r="B23" s="706"/>
      <c r="C23" s="213" t="s">
        <v>152</v>
      </c>
      <c r="D23" s="215"/>
      <c r="E23" s="215"/>
      <c r="F23" s="216">
        <f t="shared" si="22"/>
        <v>0</v>
      </c>
      <c r="G23" s="215"/>
      <c r="H23" s="215"/>
      <c r="I23" s="216">
        <f t="shared" si="23"/>
        <v>0</v>
      </c>
      <c r="J23" s="216">
        <f t="shared" si="26"/>
        <v>0</v>
      </c>
      <c r="K23" s="216">
        <f t="shared" si="26"/>
        <v>0</v>
      </c>
      <c r="L23" s="217">
        <f t="shared" si="25"/>
        <v>0</v>
      </c>
      <c r="W23" s="210"/>
      <c r="AF23" s="210"/>
      <c r="BC23" s="210"/>
      <c r="BD23" s="210"/>
      <c r="BJ23" s="210"/>
      <c r="BK23" s="210"/>
      <c r="BL23" s="210"/>
      <c r="BM23" s="210"/>
      <c r="BN23" s="210"/>
      <c r="BO23" s="210"/>
      <c r="BP23" s="210"/>
      <c r="BQ23" s="210"/>
      <c r="BR23" s="210"/>
      <c r="BS23" s="210"/>
      <c r="BT23" s="210"/>
      <c r="BU23" s="210"/>
      <c r="BV23" s="210"/>
      <c r="BW23" s="210"/>
      <c r="BX23" s="210"/>
      <c r="BY23" s="210"/>
      <c r="BZ23" s="210"/>
      <c r="CA23" s="210"/>
      <c r="CB23" s="210"/>
      <c r="CC23" s="210"/>
      <c r="CD23" s="210"/>
      <c r="CE23" s="210"/>
      <c r="CF23" s="210"/>
      <c r="CG23" s="210"/>
      <c r="CH23" s="210"/>
      <c r="CI23" s="210"/>
      <c r="CJ23" s="210"/>
      <c r="CK23" s="210"/>
      <c r="CL23" s="210"/>
      <c r="CM23" s="210"/>
      <c r="CN23" s="210"/>
      <c r="CO23" s="210"/>
      <c r="CP23" s="210"/>
      <c r="CQ23" s="210"/>
      <c r="CR23" s="210"/>
      <c r="CS23" s="210"/>
      <c r="CT23" s="210"/>
      <c r="CU23" s="210"/>
      <c r="CV23" s="210"/>
      <c r="CW23" s="210"/>
      <c r="CX23" s="210"/>
      <c r="CY23" s="210"/>
      <c r="CZ23" s="210"/>
      <c r="DA23" s="210"/>
      <c r="DB23" s="210"/>
      <c r="DC23" s="210"/>
      <c r="DD23" s="210"/>
      <c r="DE23" s="210"/>
      <c r="DF23" s="210"/>
      <c r="DG23" s="210"/>
      <c r="DH23" s="210"/>
      <c r="DI23" s="210"/>
      <c r="DJ23" s="210"/>
      <c r="DK23" s="210"/>
      <c r="DL23" s="210"/>
      <c r="DM23" s="210"/>
      <c r="DN23" s="210"/>
      <c r="DO23" s="210"/>
      <c r="DP23" s="210"/>
      <c r="DQ23" s="210"/>
    </row>
    <row r="24" spans="1:121" s="209" customFormat="1" outlineLevel="2" x14ac:dyDescent="0.25">
      <c r="A24" s="234">
        <f t="shared" si="7"/>
        <v>19</v>
      </c>
      <c r="B24" s="706"/>
      <c r="C24" s="213" t="s">
        <v>153</v>
      </c>
      <c r="D24" s="215"/>
      <c r="E24" s="215"/>
      <c r="F24" s="216">
        <f t="shared" si="22"/>
        <v>0</v>
      </c>
      <c r="G24" s="215"/>
      <c r="H24" s="215"/>
      <c r="I24" s="216">
        <f t="shared" si="23"/>
        <v>0</v>
      </c>
      <c r="J24" s="216">
        <f t="shared" si="26"/>
        <v>0</v>
      </c>
      <c r="K24" s="216">
        <f t="shared" si="26"/>
        <v>0</v>
      </c>
      <c r="L24" s="217">
        <f t="shared" si="25"/>
        <v>0</v>
      </c>
      <c r="W24" s="210"/>
      <c r="AF24" s="210"/>
      <c r="BC24" s="210"/>
      <c r="BD24" s="210"/>
      <c r="BJ24" s="210"/>
      <c r="BK24" s="210"/>
      <c r="BL24" s="210"/>
      <c r="BM24" s="210"/>
      <c r="BN24" s="210"/>
      <c r="BO24" s="210"/>
      <c r="BP24" s="210"/>
      <c r="BQ24" s="210"/>
      <c r="BR24" s="210"/>
      <c r="BS24" s="210"/>
      <c r="BT24" s="210"/>
      <c r="BU24" s="210"/>
      <c r="BV24" s="210"/>
      <c r="BW24" s="210"/>
      <c r="BX24" s="210"/>
      <c r="BY24" s="210"/>
      <c r="BZ24" s="210"/>
      <c r="CA24" s="210"/>
      <c r="CB24" s="210"/>
      <c r="CC24" s="210"/>
      <c r="CD24" s="210"/>
      <c r="CE24" s="210"/>
      <c r="CF24" s="210"/>
      <c r="CG24" s="210"/>
      <c r="CH24" s="210"/>
      <c r="CI24" s="210"/>
      <c r="CJ24" s="210"/>
      <c r="CK24" s="210"/>
      <c r="CL24" s="210"/>
      <c r="CM24" s="210"/>
      <c r="CN24" s="210"/>
      <c r="CO24" s="210"/>
      <c r="CP24" s="210"/>
      <c r="CQ24" s="210"/>
      <c r="CR24" s="210"/>
      <c r="CS24" s="210"/>
      <c r="CT24" s="210"/>
      <c r="CU24" s="210"/>
      <c r="CV24" s="210"/>
      <c r="CW24" s="210"/>
      <c r="CX24" s="210"/>
      <c r="CY24" s="210"/>
      <c r="CZ24" s="210"/>
      <c r="DA24" s="210"/>
      <c r="DB24" s="210"/>
      <c r="DC24" s="210"/>
      <c r="DD24" s="210"/>
      <c r="DE24" s="210"/>
      <c r="DF24" s="210"/>
      <c r="DG24" s="210"/>
      <c r="DH24" s="210"/>
      <c r="DI24" s="210"/>
      <c r="DJ24" s="210"/>
      <c r="DK24" s="210"/>
      <c r="DL24" s="210"/>
      <c r="DM24" s="210"/>
      <c r="DN24" s="210"/>
      <c r="DO24" s="210"/>
      <c r="DP24" s="210"/>
      <c r="DQ24" s="210"/>
    </row>
    <row r="25" spans="1:121" s="209" customFormat="1" ht="22.5" customHeight="1" outlineLevel="1" x14ac:dyDescent="0.25">
      <c r="A25" s="234">
        <f t="shared" si="7"/>
        <v>20</v>
      </c>
      <c r="B25" s="705" t="s">
        <v>158</v>
      </c>
      <c r="C25" s="213" t="s">
        <v>150</v>
      </c>
      <c r="D25" s="216">
        <f>SUM(D26:D28)</f>
        <v>0</v>
      </c>
      <c r="E25" s="216">
        <f>SUM(E26:E28)</f>
        <v>0</v>
      </c>
      <c r="F25" s="216">
        <f t="shared" si="22"/>
        <v>0</v>
      </c>
      <c r="G25" s="216">
        <f>SUM(G26:G28)</f>
        <v>0</v>
      </c>
      <c r="H25" s="216">
        <f>SUM(H26:H28)</f>
        <v>0</v>
      </c>
      <c r="I25" s="216">
        <f t="shared" si="23"/>
        <v>0</v>
      </c>
      <c r="J25" s="216">
        <f>SUM(J26:J28)</f>
        <v>0</v>
      </c>
      <c r="K25" s="216">
        <f>SUM(K26:K28)</f>
        <v>0</v>
      </c>
      <c r="L25" s="217">
        <f t="shared" si="25"/>
        <v>0</v>
      </c>
      <c r="W25" s="210"/>
      <c r="AF25" s="210"/>
      <c r="BC25" s="210"/>
      <c r="BD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c r="DM25" s="210"/>
      <c r="DN25" s="210"/>
      <c r="DO25" s="210"/>
      <c r="DP25" s="210"/>
      <c r="DQ25" s="210"/>
    </row>
    <row r="26" spans="1:121" s="209" customFormat="1" outlineLevel="2" x14ac:dyDescent="0.25">
      <c r="A26" s="234">
        <f t="shared" si="7"/>
        <v>21</v>
      </c>
      <c r="B26" s="706"/>
      <c r="C26" s="213" t="s">
        <v>151</v>
      </c>
      <c r="D26" s="215"/>
      <c r="E26" s="215"/>
      <c r="F26" s="216">
        <f t="shared" si="22"/>
        <v>0</v>
      </c>
      <c r="G26" s="215"/>
      <c r="H26" s="215"/>
      <c r="I26" s="216">
        <f t="shared" si="23"/>
        <v>0</v>
      </c>
      <c r="J26" s="216">
        <f t="shared" ref="J26:K28" si="27">G26+D26</f>
        <v>0</v>
      </c>
      <c r="K26" s="216">
        <f t="shared" si="27"/>
        <v>0</v>
      </c>
      <c r="L26" s="217">
        <f t="shared" si="25"/>
        <v>0</v>
      </c>
      <c r="W26" s="210"/>
      <c r="AF26" s="210"/>
      <c r="BC26" s="210"/>
      <c r="BD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M26" s="210"/>
      <c r="CN26" s="210"/>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c r="DM26" s="210"/>
      <c r="DN26" s="210"/>
      <c r="DO26" s="210"/>
      <c r="DP26" s="210"/>
      <c r="DQ26" s="210"/>
    </row>
    <row r="27" spans="1:121" s="209" customFormat="1" ht="22.5" outlineLevel="2" x14ac:dyDescent="0.25">
      <c r="A27" s="234">
        <f t="shared" si="7"/>
        <v>22</v>
      </c>
      <c r="B27" s="706"/>
      <c r="C27" s="213" t="s">
        <v>152</v>
      </c>
      <c r="D27" s="215"/>
      <c r="E27" s="215"/>
      <c r="F27" s="216">
        <f t="shared" si="22"/>
        <v>0</v>
      </c>
      <c r="G27" s="215"/>
      <c r="H27" s="215"/>
      <c r="I27" s="216">
        <f t="shared" si="23"/>
        <v>0</v>
      </c>
      <c r="J27" s="216">
        <f t="shared" si="27"/>
        <v>0</v>
      </c>
      <c r="K27" s="216">
        <f t="shared" si="27"/>
        <v>0</v>
      </c>
      <c r="L27" s="217">
        <f t="shared" si="25"/>
        <v>0</v>
      </c>
      <c r="W27" s="210"/>
      <c r="AF27" s="210"/>
      <c r="BC27" s="210"/>
      <c r="BD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M27" s="210"/>
      <c r="CN27" s="210"/>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c r="DM27" s="210"/>
      <c r="DN27" s="210"/>
      <c r="DO27" s="210"/>
      <c r="DP27" s="210"/>
      <c r="DQ27" s="210"/>
    </row>
    <row r="28" spans="1:121" s="209" customFormat="1" outlineLevel="2" x14ac:dyDescent="0.25">
      <c r="A28" s="234">
        <f t="shared" si="7"/>
        <v>23</v>
      </c>
      <c r="B28" s="706"/>
      <c r="C28" s="213" t="s">
        <v>153</v>
      </c>
      <c r="D28" s="215"/>
      <c r="E28" s="215"/>
      <c r="F28" s="216">
        <f t="shared" si="22"/>
        <v>0</v>
      </c>
      <c r="G28" s="215"/>
      <c r="H28" s="215"/>
      <c r="I28" s="216">
        <f t="shared" si="23"/>
        <v>0</v>
      </c>
      <c r="J28" s="216">
        <f t="shared" si="27"/>
        <v>0</v>
      </c>
      <c r="K28" s="216">
        <f t="shared" si="27"/>
        <v>0</v>
      </c>
      <c r="L28" s="217">
        <f t="shared" si="25"/>
        <v>0</v>
      </c>
      <c r="W28" s="210"/>
      <c r="AF28" s="210"/>
      <c r="BC28" s="210"/>
      <c r="BD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M28" s="210"/>
      <c r="CN28" s="210"/>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c r="DM28" s="210"/>
      <c r="DN28" s="210"/>
      <c r="DO28" s="210"/>
      <c r="DP28" s="210"/>
      <c r="DQ28" s="210"/>
    </row>
    <row r="29" spans="1:121" s="209" customFormat="1" ht="22.5" customHeight="1" outlineLevel="1" x14ac:dyDescent="0.25">
      <c r="A29" s="234">
        <f t="shared" si="7"/>
        <v>24</v>
      </c>
      <c r="B29" s="705" t="s">
        <v>159</v>
      </c>
      <c r="C29" s="213" t="s">
        <v>150</v>
      </c>
      <c r="D29" s="216">
        <f>SUM(D30:D32)</f>
        <v>0</v>
      </c>
      <c r="E29" s="216">
        <f>SUM(E30:E32)</f>
        <v>0</v>
      </c>
      <c r="F29" s="216">
        <f t="shared" si="22"/>
        <v>0</v>
      </c>
      <c r="G29" s="216">
        <f>SUM(G30:G32)</f>
        <v>0</v>
      </c>
      <c r="H29" s="216">
        <f>SUM(H30:H32)</f>
        <v>0</v>
      </c>
      <c r="I29" s="216">
        <f t="shared" si="23"/>
        <v>0</v>
      </c>
      <c r="J29" s="216">
        <f>SUM(J30:J32)</f>
        <v>0</v>
      </c>
      <c r="K29" s="216">
        <f>SUM(K30:K32)</f>
        <v>0</v>
      </c>
      <c r="L29" s="217">
        <f t="shared" si="25"/>
        <v>0</v>
      </c>
      <c r="W29" s="210"/>
      <c r="AF29" s="210"/>
      <c r="BC29" s="210"/>
      <c r="BD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M29" s="210"/>
      <c r="CN29" s="210"/>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c r="DM29" s="210"/>
      <c r="DN29" s="210"/>
      <c r="DO29" s="210"/>
      <c r="DP29" s="210"/>
      <c r="DQ29" s="210"/>
    </row>
    <row r="30" spans="1:121" s="209" customFormat="1" outlineLevel="2" x14ac:dyDescent="0.25">
      <c r="A30" s="234">
        <f t="shared" si="7"/>
        <v>25</v>
      </c>
      <c r="B30" s="706"/>
      <c r="C30" s="213" t="s">
        <v>151</v>
      </c>
      <c r="D30" s="215"/>
      <c r="E30" s="215"/>
      <c r="F30" s="216">
        <f t="shared" si="22"/>
        <v>0</v>
      </c>
      <c r="G30" s="215"/>
      <c r="H30" s="215"/>
      <c r="I30" s="216">
        <f t="shared" si="23"/>
        <v>0</v>
      </c>
      <c r="J30" s="216">
        <f t="shared" ref="J30:K33" si="28">G30+D30</f>
        <v>0</v>
      </c>
      <c r="K30" s="216">
        <f t="shared" si="28"/>
        <v>0</v>
      </c>
      <c r="L30" s="217">
        <f t="shared" si="25"/>
        <v>0</v>
      </c>
      <c r="W30" s="210"/>
      <c r="AF30" s="210"/>
      <c r="BC30" s="210"/>
      <c r="BD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M30" s="210"/>
      <c r="CN30" s="210"/>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c r="DM30" s="210"/>
      <c r="DN30" s="210"/>
      <c r="DO30" s="210"/>
      <c r="DP30" s="210"/>
      <c r="DQ30" s="210"/>
    </row>
    <row r="31" spans="1:121" s="209" customFormat="1" ht="22.5" outlineLevel="2" x14ac:dyDescent="0.25">
      <c r="A31" s="234">
        <f t="shared" si="7"/>
        <v>26</v>
      </c>
      <c r="B31" s="706"/>
      <c r="C31" s="213" t="s">
        <v>152</v>
      </c>
      <c r="D31" s="215"/>
      <c r="E31" s="215"/>
      <c r="F31" s="216">
        <f t="shared" si="22"/>
        <v>0</v>
      </c>
      <c r="G31" s="215"/>
      <c r="H31" s="215"/>
      <c r="I31" s="216">
        <f t="shared" si="23"/>
        <v>0</v>
      </c>
      <c r="J31" s="216">
        <f t="shared" si="28"/>
        <v>0</v>
      </c>
      <c r="K31" s="216">
        <f t="shared" si="28"/>
        <v>0</v>
      </c>
      <c r="L31" s="217">
        <f t="shared" si="25"/>
        <v>0</v>
      </c>
      <c r="W31" s="210"/>
      <c r="AF31" s="210"/>
      <c r="BC31" s="210"/>
      <c r="BD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M31" s="210"/>
      <c r="CN31" s="210"/>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c r="DM31" s="210"/>
      <c r="DN31" s="210"/>
      <c r="DO31" s="210"/>
      <c r="DP31" s="210"/>
      <c r="DQ31" s="210"/>
    </row>
    <row r="32" spans="1:121" s="209" customFormat="1" outlineLevel="2" x14ac:dyDescent="0.25">
      <c r="A32" s="234">
        <f t="shared" si="7"/>
        <v>27</v>
      </c>
      <c r="B32" s="706"/>
      <c r="C32" s="213" t="s">
        <v>153</v>
      </c>
      <c r="D32" s="215"/>
      <c r="E32" s="215"/>
      <c r="F32" s="216">
        <f t="shared" si="22"/>
        <v>0</v>
      </c>
      <c r="G32" s="215"/>
      <c r="H32" s="215"/>
      <c r="I32" s="216">
        <f t="shared" si="23"/>
        <v>0</v>
      </c>
      <c r="J32" s="216">
        <f t="shared" si="28"/>
        <v>0</v>
      </c>
      <c r="K32" s="216">
        <f t="shared" si="28"/>
        <v>0</v>
      </c>
      <c r="L32" s="217">
        <f t="shared" si="25"/>
        <v>0</v>
      </c>
      <c r="W32" s="210"/>
      <c r="AF32" s="210"/>
      <c r="BC32" s="210"/>
      <c r="BD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M32" s="210"/>
      <c r="CN32" s="210"/>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c r="DM32" s="210"/>
      <c r="DN32" s="210"/>
      <c r="DO32" s="210"/>
      <c r="DP32" s="210"/>
      <c r="DQ32" s="210"/>
    </row>
    <row r="33" spans="1:121" s="209" customFormat="1" ht="38.25" outlineLevel="1" x14ac:dyDescent="0.25">
      <c r="A33" s="234">
        <f t="shared" si="7"/>
        <v>28</v>
      </c>
      <c r="B33" s="380" t="s">
        <v>253</v>
      </c>
      <c r="C33" s="396"/>
      <c r="D33" s="215"/>
      <c r="E33" s="215"/>
      <c r="F33" s="216">
        <f t="shared" si="22"/>
        <v>0</v>
      </c>
      <c r="G33" s="215"/>
      <c r="H33" s="215"/>
      <c r="I33" s="216">
        <f>H33-G33</f>
        <v>0</v>
      </c>
      <c r="J33" s="216">
        <f t="shared" si="28"/>
        <v>0</v>
      </c>
      <c r="K33" s="216">
        <f t="shared" si="28"/>
        <v>0</v>
      </c>
      <c r="L33" s="217">
        <f t="shared" si="25"/>
        <v>0</v>
      </c>
      <c r="W33" s="210"/>
      <c r="AF33" s="210"/>
      <c r="BC33" s="210"/>
      <c r="BD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M33" s="210"/>
      <c r="CN33" s="210"/>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c r="DM33" s="210"/>
      <c r="DN33" s="210"/>
      <c r="DO33" s="210"/>
      <c r="DP33" s="210"/>
      <c r="DQ33" s="210"/>
    </row>
    <row r="34" spans="1:121" s="209" customFormat="1" ht="22.5" customHeight="1" outlineLevel="1" x14ac:dyDescent="0.25">
      <c r="A34" s="234">
        <f t="shared" si="7"/>
        <v>29</v>
      </c>
      <c r="B34" s="705" t="s">
        <v>160</v>
      </c>
      <c r="C34" s="213" t="s">
        <v>150</v>
      </c>
      <c r="D34" s="216">
        <f>SUM(D35:D37)</f>
        <v>0</v>
      </c>
      <c r="E34" s="216">
        <f>SUM(E35:E37)</f>
        <v>0</v>
      </c>
      <c r="F34" s="216">
        <f t="shared" si="22"/>
        <v>0</v>
      </c>
      <c r="G34" s="216">
        <f>SUM(G35:G37)</f>
        <v>0</v>
      </c>
      <c r="H34" s="216">
        <f>SUM(H35:H37)</f>
        <v>0</v>
      </c>
      <c r="I34" s="216">
        <f t="shared" si="23"/>
        <v>0</v>
      </c>
      <c r="J34" s="216">
        <f>SUM(J35:J37)</f>
        <v>0</v>
      </c>
      <c r="K34" s="216">
        <f>SUM(K35:K37)</f>
        <v>0</v>
      </c>
      <c r="L34" s="217">
        <f t="shared" si="25"/>
        <v>0</v>
      </c>
      <c r="W34" s="210"/>
      <c r="AF34" s="210"/>
      <c r="BC34" s="210"/>
      <c r="BD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M34" s="210"/>
      <c r="CN34" s="210"/>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c r="DM34" s="210"/>
      <c r="DN34" s="210"/>
      <c r="DO34" s="210"/>
      <c r="DP34" s="210"/>
      <c r="DQ34" s="210"/>
    </row>
    <row r="35" spans="1:121" s="209" customFormat="1" outlineLevel="2" x14ac:dyDescent="0.25">
      <c r="A35" s="234">
        <f t="shared" si="7"/>
        <v>30</v>
      </c>
      <c r="B35" s="706"/>
      <c r="C35" s="213" t="s">
        <v>151</v>
      </c>
      <c r="D35" s="215"/>
      <c r="E35" s="215"/>
      <c r="F35" s="216">
        <f t="shared" si="22"/>
        <v>0</v>
      </c>
      <c r="G35" s="215"/>
      <c r="H35" s="215"/>
      <c r="I35" s="216">
        <f t="shared" si="23"/>
        <v>0</v>
      </c>
      <c r="J35" s="216">
        <f t="shared" ref="J35:K37" si="29">G35+D35</f>
        <v>0</v>
      </c>
      <c r="K35" s="216">
        <f t="shared" si="29"/>
        <v>0</v>
      </c>
      <c r="L35" s="217">
        <f t="shared" si="25"/>
        <v>0</v>
      </c>
      <c r="W35" s="210"/>
      <c r="AF35" s="210"/>
      <c r="BC35" s="210"/>
      <c r="BD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M35" s="210"/>
      <c r="CN35" s="210"/>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c r="DM35" s="210"/>
      <c r="DN35" s="210"/>
      <c r="DO35" s="210"/>
      <c r="DP35" s="210"/>
      <c r="DQ35" s="210"/>
    </row>
    <row r="36" spans="1:121" s="209" customFormat="1" ht="22.5" outlineLevel="2" x14ac:dyDescent="0.25">
      <c r="A36" s="234">
        <f t="shared" si="7"/>
        <v>31</v>
      </c>
      <c r="B36" s="706"/>
      <c r="C36" s="213" t="s">
        <v>152</v>
      </c>
      <c r="D36" s="215"/>
      <c r="E36" s="215"/>
      <c r="F36" s="216">
        <f t="shared" si="22"/>
        <v>0</v>
      </c>
      <c r="G36" s="215"/>
      <c r="H36" s="215"/>
      <c r="I36" s="216">
        <f t="shared" si="23"/>
        <v>0</v>
      </c>
      <c r="J36" s="216">
        <f t="shared" si="29"/>
        <v>0</v>
      </c>
      <c r="K36" s="216">
        <f t="shared" si="29"/>
        <v>0</v>
      </c>
      <c r="L36" s="217">
        <f t="shared" si="25"/>
        <v>0</v>
      </c>
      <c r="W36" s="210"/>
      <c r="AF36" s="210"/>
      <c r="BC36" s="210"/>
      <c r="BD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M36" s="210"/>
      <c r="CN36" s="210"/>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c r="DM36" s="210"/>
      <c r="DN36" s="210"/>
      <c r="DO36" s="210"/>
      <c r="DP36" s="210"/>
      <c r="DQ36" s="210"/>
    </row>
    <row r="37" spans="1:121" s="209" customFormat="1" outlineLevel="2" x14ac:dyDescent="0.25">
      <c r="A37" s="234">
        <f t="shared" si="7"/>
        <v>32</v>
      </c>
      <c r="B37" s="706"/>
      <c r="C37" s="213" t="s">
        <v>153</v>
      </c>
      <c r="D37" s="215"/>
      <c r="E37" s="215"/>
      <c r="F37" s="216">
        <f t="shared" si="22"/>
        <v>0</v>
      </c>
      <c r="G37" s="215"/>
      <c r="H37" s="215"/>
      <c r="I37" s="216">
        <f t="shared" si="23"/>
        <v>0</v>
      </c>
      <c r="J37" s="216">
        <f t="shared" si="29"/>
        <v>0</v>
      </c>
      <c r="K37" s="216">
        <f t="shared" si="29"/>
        <v>0</v>
      </c>
      <c r="L37" s="217">
        <f t="shared" si="25"/>
        <v>0</v>
      </c>
      <c r="W37" s="210"/>
      <c r="AF37" s="210"/>
      <c r="BC37" s="210"/>
      <c r="BD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M37" s="210"/>
      <c r="CN37" s="210"/>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c r="DM37" s="210"/>
      <c r="DN37" s="210"/>
      <c r="DO37" s="210"/>
      <c r="DP37" s="210"/>
      <c r="DQ37" s="210"/>
    </row>
    <row r="38" spans="1:121" s="209" customFormat="1" ht="22.5" customHeight="1" x14ac:dyDescent="0.25">
      <c r="A38" s="234">
        <f t="shared" si="7"/>
        <v>33</v>
      </c>
      <c r="B38" s="702" t="s">
        <v>56</v>
      </c>
      <c r="C38" s="213" t="s">
        <v>150</v>
      </c>
      <c r="D38" s="216">
        <f>SUM(D39:D42)</f>
        <v>0</v>
      </c>
      <c r="E38" s="216">
        <f>SUM(E39:E42)</f>
        <v>0</v>
      </c>
      <c r="F38" s="216">
        <f t="shared" si="22"/>
        <v>0</v>
      </c>
      <c r="G38" s="216">
        <f>SUM(G39:G42)</f>
        <v>0</v>
      </c>
      <c r="H38" s="216">
        <f>SUM(H39:H42)</f>
        <v>0</v>
      </c>
      <c r="I38" s="216">
        <f t="shared" si="23"/>
        <v>0</v>
      </c>
      <c r="J38" s="216">
        <f>SUM(J39:J42)</f>
        <v>0</v>
      </c>
      <c r="K38" s="216">
        <f>SUM(K39:K42)</f>
        <v>0</v>
      </c>
      <c r="L38" s="217">
        <f t="shared" si="25"/>
        <v>0</v>
      </c>
      <c r="W38" s="210"/>
      <c r="AF38" s="210"/>
      <c r="BC38" s="210"/>
      <c r="BD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M38" s="210"/>
      <c r="CN38" s="210"/>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c r="DM38" s="210"/>
      <c r="DN38" s="210"/>
      <c r="DO38" s="210"/>
      <c r="DP38" s="210"/>
      <c r="DQ38" s="210"/>
    </row>
    <row r="39" spans="1:121" s="209" customFormat="1" outlineLevel="1" x14ac:dyDescent="0.25">
      <c r="A39" s="234">
        <f t="shared" si="7"/>
        <v>34</v>
      </c>
      <c r="B39" s="703"/>
      <c r="C39" s="213" t="s">
        <v>151</v>
      </c>
      <c r="D39" s="215"/>
      <c r="E39" s="215"/>
      <c r="F39" s="216">
        <f t="shared" si="22"/>
        <v>0</v>
      </c>
      <c r="G39" s="215"/>
      <c r="H39" s="215"/>
      <c r="I39" s="216">
        <f t="shared" si="23"/>
        <v>0</v>
      </c>
      <c r="J39" s="216">
        <f t="shared" ref="J39:K42" si="30">(G39+D39)/2</f>
        <v>0</v>
      </c>
      <c r="K39" s="216">
        <f t="shared" si="30"/>
        <v>0</v>
      </c>
      <c r="L39" s="217">
        <f t="shared" si="25"/>
        <v>0</v>
      </c>
      <c r="W39" s="210"/>
      <c r="AF39" s="210"/>
      <c r="BC39" s="210"/>
      <c r="BD39" s="210"/>
      <c r="BJ39" s="210"/>
      <c r="BK39" s="210"/>
      <c r="BL39" s="210"/>
      <c r="BM39" s="210"/>
      <c r="BN39" s="210"/>
      <c r="BO39" s="210"/>
      <c r="BP39" s="210"/>
      <c r="BQ39" s="210"/>
      <c r="BR39" s="210"/>
      <c r="BS39" s="210"/>
      <c r="BT39" s="210"/>
      <c r="BU39" s="210"/>
      <c r="BV39" s="210"/>
      <c r="BW39" s="210"/>
      <c r="BX39" s="210"/>
      <c r="BY39" s="210"/>
      <c r="BZ39" s="210"/>
      <c r="CA39" s="210"/>
      <c r="CB39" s="210"/>
      <c r="CC39" s="210"/>
      <c r="CD39" s="210"/>
      <c r="CE39" s="210"/>
      <c r="CF39" s="210"/>
      <c r="CG39" s="210"/>
      <c r="CH39" s="210"/>
      <c r="CI39" s="210"/>
      <c r="CJ39" s="210"/>
      <c r="CK39" s="210"/>
      <c r="CL39" s="210"/>
      <c r="CM39" s="210"/>
      <c r="CN39" s="210"/>
      <c r="CO39" s="210"/>
      <c r="CP39" s="210"/>
      <c r="CQ39" s="210"/>
      <c r="CR39" s="210"/>
      <c r="CS39" s="210"/>
      <c r="CT39" s="210"/>
      <c r="CU39" s="210"/>
      <c r="CV39" s="210"/>
      <c r="CW39" s="210"/>
      <c r="CX39" s="210"/>
      <c r="CY39" s="210"/>
      <c r="CZ39" s="210"/>
      <c r="DA39" s="210"/>
      <c r="DB39" s="210"/>
      <c r="DC39" s="210"/>
      <c r="DD39" s="210"/>
      <c r="DE39" s="210"/>
      <c r="DF39" s="210"/>
      <c r="DG39" s="210"/>
      <c r="DH39" s="210"/>
      <c r="DI39" s="210"/>
      <c r="DJ39" s="210"/>
      <c r="DK39" s="210"/>
      <c r="DL39" s="210"/>
      <c r="DM39" s="210"/>
      <c r="DN39" s="210"/>
      <c r="DO39" s="210"/>
      <c r="DP39" s="210"/>
      <c r="DQ39" s="210"/>
    </row>
    <row r="40" spans="1:121" s="209" customFormat="1" ht="22.5" outlineLevel="1" x14ac:dyDescent="0.25">
      <c r="A40" s="234">
        <f t="shared" si="7"/>
        <v>35</v>
      </c>
      <c r="B40" s="703"/>
      <c r="C40" s="213" t="s">
        <v>152</v>
      </c>
      <c r="D40" s="215"/>
      <c r="E40" s="215"/>
      <c r="F40" s="216">
        <f t="shared" si="22"/>
        <v>0</v>
      </c>
      <c r="G40" s="215"/>
      <c r="H40" s="215"/>
      <c r="I40" s="216">
        <f t="shared" si="23"/>
        <v>0</v>
      </c>
      <c r="J40" s="216">
        <f t="shared" si="30"/>
        <v>0</v>
      </c>
      <c r="K40" s="216">
        <f t="shared" si="30"/>
        <v>0</v>
      </c>
      <c r="L40" s="217">
        <f t="shared" si="25"/>
        <v>0</v>
      </c>
      <c r="W40" s="210"/>
      <c r="AF40" s="210"/>
      <c r="BC40" s="210"/>
      <c r="BD40" s="210"/>
      <c r="BJ40" s="210"/>
      <c r="BK40" s="210"/>
      <c r="BL40" s="210"/>
      <c r="BM40" s="210"/>
      <c r="BN40" s="210"/>
      <c r="BO40" s="210"/>
      <c r="BP40" s="210"/>
      <c r="BQ40" s="210"/>
      <c r="BR40" s="210"/>
      <c r="BS40" s="210"/>
      <c r="BT40" s="210"/>
      <c r="BU40" s="210"/>
      <c r="BV40" s="210"/>
      <c r="BW40" s="210"/>
      <c r="BX40" s="210"/>
      <c r="BY40" s="210"/>
      <c r="BZ40" s="210"/>
      <c r="CA40" s="210"/>
      <c r="CB40" s="210"/>
      <c r="CC40" s="210"/>
      <c r="CD40" s="210"/>
      <c r="CE40" s="210"/>
      <c r="CF40" s="210"/>
      <c r="CG40" s="210"/>
      <c r="CH40" s="210"/>
      <c r="CI40" s="210"/>
      <c r="CJ40" s="210"/>
      <c r="CK40" s="210"/>
      <c r="CL40" s="210"/>
      <c r="CM40" s="210"/>
      <c r="CN40" s="210"/>
      <c r="CO40" s="210"/>
      <c r="CP40" s="210"/>
      <c r="CQ40" s="210"/>
      <c r="CR40" s="210"/>
      <c r="CS40" s="210"/>
      <c r="CT40" s="210"/>
      <c r="CU40" s="210"/>
      <c r="CV40" s="210"/>
      <c r="CW40" s="210"/>
      <c r="CX40" s="210"/>
      <c r="CY40" s="210"/>
      <c r="CZ40" s="210"/>
      <c r="DA40" s="210"/>
      <c r="DB40" s="210"/>
      <c r="DC40" s="210"/>
      <c r="DD40" s="210"/>
      <c r="DE40" s="210"/>
      <c r="DF40" s="210"/>
      <c r="DG40" s="210"/>
      <c r="DH40" s="210"/>
      <c r="DI40" s="210"/>
      <c r="DJ40" s="210"/>
      <c r="DK40" s="210"/>
      <c r="DL40" s="210"/>
      <c r="DM40" s="210"/>
      <c r="DN40" s="210"/>
      <c r="DO40" s="210"/>
      <c r="DP40" s="210"/>
      <c r="DQ40" s="210"/>
    </row>
    <row r="41" spans="1:121" s="209" customFormat="1" outlineLevel="1" x14ac:dyDescent="0.25">
      <c r="A41" s="234">
        <f t="shared" si="7"/>
        <v>36</v>
      </c>
      <c r="B41" s="703"/>
      <c r="C41" s="213" t="s">
        <v>153</v>
      </c>
      <c r="D41" s="215"/>
      <c r="E41" s="215"/>
      <c r="F41" s="216">
        <f t="shared" si="22"/>
        <v>0</v>
      </c>
      <c r="G41" s="215"/>
      <c r="H41" s="215"/>
      <c r="I41" s="216">
        <f t="shared" si="23"/>
        <v>0</v>
      </c>
      <c r="J41" s="216">
        <f t="shared" si="30"/>
        <v>0</v>
      </c>
      <c r="K41" s="216">
        <f t="shared" si="30"/>
        <v>0</v>
      </c>
      <c r="L41" s="217">
        <f t="shared" si="25"/>
        <v>0</v>
      </c>
      <c r="W41" s="210"/>
      <c r="AF41" s="210"/>
      <c r="BC41" s="210"/>
      <c r="BD41" s="210"/>
      <c r="BJ41" s="210"/>
      <c r="BK41" s="210"/>
      <c r="BL41" s="210"/>
      <c r="BM41" s="210"/>
      <c r="BN41" s="210"/>
      <c r="BO41" s="210"/>
      <c r="BP41" s="210"/>
      <c r="BQ41" s="210"/>
      <c r="BR41" s="210"/>
      <c r="BS41" s="210"/>
      <c r="BT41" s="210"/>
      <c r="BU41" s="210"/>
      <c r="BV41" s="210"/>
      <c r="BW41" s="210"/>
      <c r="BX41" s="210"/>
      <c r="BY41" s="210"/>
      <c r="BZ41" s="210"/>
      <c r="CA41" s="210"/>
      <c r="CB41" s="210"/>
      <c r="CC41" s="210"/>
      <c r="CD41" s="210"/>
      <c r="CE41" s="210"/>
      <c r="CF41" s="210"/>
      <c r="CG41" s="210"/>
      <c r="CH41" s="210"/>
      <c r="CI41" s="210"/>
      <c r="CJ41" s="210"/>
      <c r="CK41" s="210"/>
      <c r="CL41" s="210"/>
      <c r="CM41" s="210"/>
      <c r="CN41" s="210"/>
      <c r="CO41" s="210"/>
      <c r="CP41" s="210"/>
      <c r="CQ41" s="210"/>
      <c r="CR41" s="210"/>
      <c r="CS41" s="210"/>
      <c r="CT41" s="210"/>
      <c r="CU41" s="210"/>
      <c r="CV41" s="210"/>
      <c r="CW41" s="210"/>
      <c r="CX41" s="210"/>
      <c r="CY41" s="210"/>
      <c r="CZ41" s="210"/>
      <c r="DA41" s="210"/>
      <c r="DB41" s="210"/>
      <c r="DC41" s="210"/>
      <c r="DD41" s="210"/>
      <c r="DE41" s="210"/>
      <c r="DF41" s="210"/>
      <c r="DG41" s="210"/>
      <c r="DH41" s="210"/>
      <c r="DI41" s="210"/>
      <c r="DJ41" s="210"/>
      <c r="DK41" s="210"/>
      <c r="DL41" s="210"/>
      <c r="DM41" s="210"/>
      <c r="DN41" s="210"/>
      <c r="DO41" s="210"/>
      <c r="DP41" s="210"/>
      <c r="DQ41" s="210"/>
    </row>
    <row r="42" spans="1:121" s="209" customFormat="1" ht="22.5" outlineLevel="1" x14ac:dyDescent="0.25">
      <c r="A42" s="234">
        <f t="shared" si="7"/>
        <v>37</v>
      </c>
      <c r="B42" s="704"/>
      <c r="C42" s="213" t="s">
        <v>265</v>
      </c>
      <c r="D42" s="215"/>
      <c r="E42" s="215"/>
      <c r="F42" s="216">
        <f t="shared" si="22"/>
        <v>0</v>
      </c>
      <c r="G42" s="215"/>
      <c r="H42" s="215"/>
      <c r="I42" s="216">
        <f t="shared" si="23"/>
        <v>0</v>
      </c>
      <c r="J42" s="216">
        <f t="shared" si="30"/>
        <v>0</v>
      </c>
      <c r="K42" s="216">
        <f t="shared" si="30"/>
        <v>0</v>
      </c>
      <c r="L42" s="217">
        <f t="shared" si="25"/>
        <v>0</v>
      </c>
      <c r="W42" s="210"/>
      <c r="AF42" s="210"/>
      <c r="BC42" s="210"/>
      <c r="BD42" s="210"/>
      <c r="BJ42" s="210"/>
      <c r="BK42" s="210"/>
      <c r="BL42" s="210"/>
      <c r="BM42" s="210"/>
      <c r="BN42" s="210"/>
      <c r="BO42" s="210"/>
      <c r="BP42" s="210"/>
      <c r="BQ42" s="210"/>
      <c r="BR42" s="210"/>
      <c r="BS42" s="210"/>
      <c r="BT42" s="210"/>
      <c r="BU42" s="210"/>
      <c r="BV42" s="210"/>
      <c r="BW42" s="210"/>
      <c r="BX42" s="210"/>
      <c r="BY42" s="210"/>
      <c r="BZ42" s="210"/>
      <c r="CA42" s="210"/>
      <c r="CB42" s="210"/>
      <c r="CC42" s="210"/>
      <c r="CD42" s="210"/>
      <c r="CE42" s="210"/>
      <c r="CF42" s="210"/>
      <c r="CG42" s="210"/>
      <c r="CH42" s="210"/>
      <c r="CI42" s="210"/>
      <c r="CJ42" s="210"/>
      <c r="CK42" s="210"/>
      <c r="CL42" s="210"/>
      <c r="CM42" s="210"/>
      <c r="CN42" s="210"/>
      <c r="CO42" s="210"/>
      <c r="CP42" s="210"/>
      <c r="CQ42" s="210"/>
      <c r="CR42" s="210"/>
      <c r="CS42" s="210"/>
      <c r="CT42" s="210"/>
      <c r="CU42" s="210"/>
      <c r="CV42" s="210"/>
      <c r="CW42" s="210"/>
      <c r="CX42" s="210"/>
      <c r="CY42" s="210"/>
      <c r="CZ42" s="210"/>
      <c r="DA42" s="210"/>
      <c r="DB42" s="210"/>
      <c r="DC42" s="210"/>
      <c r="DD42" s="210"/>
      <c r="DE42" s="210"/>
      <c r="DF42" s="210"/>
      <c r="DG42" s="210"/>
      <c r="DH42" s="210"/>
      <c r="DI42" s="210"/>
      <c r="DJ42" s="210"/>
      <c r="DK42" s="210"/>
      <c r="DL42" s="210"/>
      <c r="DM42" s="210"/>
      <c r="DN42" s="210"/>
      <c r="DO42" s="210"/>
      <c r="DP42" s="210"/>
      <c r="DQ42" s="210"/>
    </row>
    <row r="43" spans="1:121" s="209" customFormat="1" ht="22.5" customHeight="1" x14ac:dyDescent="0.25">
      <c r="A43" s="234">
        <f t="shared" si="7"/>
        <v>38</v>
      </c>
      <c r="B43" s="702" t="s">
        <v>161</v>
      </c>
      <c r="C43" s="213" t="s">
        <v>150</v>
      </c>
      <c r="D43" s="381">
        <f t="shared" ref="D43:E47" si="31">IF(D38=0,0,D7/D38/6)*1000</f>
        <v>0</v>
      </c>
      <c r="E43" s="381">
        <f t="shared" si="31"/>
        <v>0</v>
      </c>
      <c r="F43" s="381">
        <f>E43-D43</f>
        <v>0</v>
      </c>
      <c r="G43" s="381">
        <f t="shared" ref="G43:H47" si="32">IF(G38=0,0,G7/G38/6)*1000</f>
        <v>0</v>
      </c>
      <c r="H43" s="381">
        <f t="shared" si="32"/>
        <v>0</v>
      </c>
      <c r="I43" s="381">
        <f>H43-G43</f>
        <v>0</v>
      </c>
      <c r="J43" s="381">
        <f t="shared" ref="J43:K47" si="33">IF(J38=0,0,J7/J38/12)*1000</f>
        <v>0</v>
      </c>
      <c r="K43" s="381">
        <f t="shared" si="33"/>
        <v>0</v>
      </c>
      <c r="L43" s="442">
        <f>K43-J43</f>
        <v>0</v>
      </c>
      <c r="W43" s="210"/>
      <c r="AF43" s="210"/>
      <c r="BC43" s="210"/>
      <c r="BD43" s="210"/>
      <c r="BJ43" s="210"/>
      <c r="BK43" s="210"/>
      <c r="BL43" s="210"/>
      <c r="BM43" s="210"/>
      <c r="BN43" s="210"/>
      <c r="BO43" s="210"/>
      <c r="BP43" s="210"/>
      <c r="BQ43" s="210"/>
      <c r="BR43" s="210"/>
      <c r="BS43" s="210"/>
      <c r="BT43" s="210"/>
      <c r="BU43" s="210"/>
      <c r="BV43" s="210"/>
      <c r="BW43" s="210"/>
      <c r="BX43" s="210"/>
      <c r="BY43" s="210"/>
      <c r="BZ43" s="210"/>
      <c r="CA43" s="210"/>
      <c r="CB43" s="210"/>
      <c r="CC43" s="210"/>
      <c r="CD43" s="210"/>
      <c r="CE43" s="210"/>
      <c r="CF43" s="210"/>
      <c r="CG43" s="210"/>
      <c r="CH43" s="210"/>
      <c r="CI43" s="210"/>
      <c r="CJ43" s="210"/>
      <c r="CK43" s="210"/>
      <c r="CL43" s="210"/>
      <c r="CM43" s="210"/>
      <c r="CN43" s="210"/>
      <c r="CO43" s="210"/>
      <c r="CP43" s="210"/>
      <c r="CQ43" s="210"/>
      <c r="CR43" s="210"/>
      <c r="CS43" s="210"/>
      <c r="CT43" s="210"/>
      <c r="CU43" s="210"/>
      <c r="CV43" s="210"/>
      <c r="CW43" s="210"/>
      <c r="CX43" s="210"/>
      <c r="CY43" s="210"/>
      <c r="CZ43" s="210"/>
      <c r="DA43" s="210"/>
      <c r="DB43" s="210"/>
      <c r="DC43" s="210"/>
      <c r="DD43" s="210"/>
      <c r="DE43" s="210"/>
      <c r="DF43" s="210"/>
      <c r="DG43" s="210"/>
      <c r="DH43" s="210"/>
      <c r="DI43" s="210"/>
      <c r="DJ43" s="210"/>
      <c r="DK43" s="210"/>
      <c r="DL43" s="210"/>
      <c r="DM43" s="210"/>
      <c r="DN43" s="210"/>
      <c r="DO43" s="210"/>
      <c r="DP43" s="210"/>
      <c r="DQ43" s="210"/>
    </row>
    <row r="44" spans="1:121" s="209" customFormat="1" outlineLevel="1" x14ac:dyDescent="0.25">
      <c r="A44" s="234">
        <f t="shared" si="7"/>
        <v>39</v>
      </c>
      <c r="B44" s="703"/>
      <c r="C44" s="213" t="s">
        <v>151</v>
      </c>
      <c r="D44" s="381">
        <f t="shared" si="31"/>
        <v>0</v>
      </c>
      <c r="E44" s="381">
        <f t="shared" si="31"/>
        <v>0</v>
      </c>
      <c r="F44" s="381">
        <f t="shared" ref="F44:F78" si="34">E44-D44</f>
        <v>0</v>
      </c>
      <c r="G44" s="381">
        <f t="shared" si="32"/>
        <v>0</v>
      </c>
      <c r="H44" s="381">
        <f t="shared" si="32"/>
        <v>0</v>
      </c>
      <c r="I44" s="381">
        <f t="shared" ref="I44:I78" si="35">H44-G44</f>
        <v>0</v>
      </c>
      <c r="J44" s="381">
        <f t="shared" si="33"/>
        <v>0</v>
      </c>
      <c r="K44" s="381">
        <f t="shared" si="33"/>
        <v>0</v>
      </c>
      <c r="L44" s="442">
        <f t="shared" ref="L44:L78" si="36">K44-J44</f>
        <v>0</v>
      </c>
      <c r="W44" s="210"/>
      <c r="AF44" s="210"/>
      <c r="BC44" s="210"/>
      <c r="BD44" s="210"/>
      <c r="BJ44" s="210"/>
      <c r="BK44" s="210"/>
      <c r="BL44" s="210"/>
      <c r="BM44" s="210"/>
      <c r="BN44" s="210"/>
      <c r="BO44" s="210"/>
      <c r="BP44" s="210"/>
      <c r="BQ44" s="210"/>
      <c r="BR44" s="210"/>
      <c r="BS44" s="210"/>
      <c r="BT44" s="210"/>
      <c r="BU44" s="210"/>
      <c r="BV44" s="210"/>
      <c r="BW44" s="210"/>
      <c r="BX44" s="210"/>
      <c r="BY44" s="210"/>
      <c r="BZ44" s="210"/>
      <c r="CA44" s="210"/>
      <c r="CB44" s="210"/>
      <c r="CC44" s="210"/>
      <c r="CD44" s="210"/>
      <c r="CE44" s="210"/>
      <c r="CF44" s="210"/>
      <c r="CG44" s="210"/>
      <c r="CH44" s="210"/>
      <c r="CI44" s="210"/>
      <c r="CJ44" s="210"/>
      <c r="CK44" s="210"/>
      <c r="CL44" s="210"/>
      <c r="CM44" s="210"/>
      <c r="CN44" s="210"/>
      <c r="CO44" s="210"/>
      <c r="CP44" s="210"/>
      <c r="CQ44" s="210"/>
      <c r="CR44" s="210"/>
      <c r="CS44" s="210"/>
      <c r="CT44" s="210"/>
      <c r="CU44" s="210"/>
      <c r="CV44" s="210"/>
      <c r="CW44" s="210"/>
      <c r="CX44" s="210"/>
      <c r="CY44" s="210"/>
      <c r="CZ44" s="210"/>
      <c r="DA44" s="210"/>
      <c r="DB44" s="210"/>
      <c r="DC44" s="210"/>
      <c r="DD44" s="210"/>
      <c r="DE44" s="210"/>
      <c r="DF44" s="210"/>
      <c r="DG44" s="210"/>
      <c r="DH44" s="210"/>
      <c r="DI44" s="210"/>
      <c r="DJ44" s="210"/>
      <c r="DK44" s="210"/>
      <c r="DL44" s="210"/>
      <c r="DM44" s="210"/>
      <c r="DN44" s="210"/>
      <c r="DO44" s="210"/>
      <c r="DP44" s="210"/>
      <c r="DQ44" s="210"/>
    </row>
    <row r="45" spans="1:121" s="209" customFormat="1" ht="22.5" outlineLevel="1" x14ac:dyDescent="0.25">
      <c r="A45" s="234">
        <f t="shared" si="7"/>
        <v>40</v>
      </c>
      <c r="B45" s="703"/>
      <c r="C45" s="213" t="s">
        <v>152</v>
      </c>
      <c r="D45" s="381">
        <f t="shared" si="31"/>
        <v>0</v>
      </c>
      <c r="E45" s="381">
        <f t="shared" si="31"/>
        <v>0</v>
      </c>
      <c r="F45" s="381">
        <f t="shared" si="34"/>
        <v>0</v>
      </c>
      <c r="G45" s="381">
        <f t="shared" si="32"/>
        <v>0</v>
      </c>
      <c r="H45" s="381">
        <f t="shared" si="32"/>
        <v>0</v>
      </c>
      <c r="I45" s="381">
        <f t="shared" si="35"/>
        <v>0</v>
      </c>
      <c r="J45" s="381">
        <f t="shared" si="33"/>
        <v>0</v>
      </c>
      <c r="K45" s="381">
        <f t="shared" si="33"/>
        <v>0</v>
      </c>
      <c r="L45" s="442">
        <f t="shared" si="36"/>
        <v>0</v>
      </c>
      <c r="W45" s="210"/>
      <c r="AF45" s="210"/>
      <c r="BC45" s="210"/>
      <c r="BD45" s="210"/>
      <c r="BJ45" s="210"/>
      <c r="BK45" s="210"/>
      <c r="BL45" s="210"/>
      <c r="BM45" s="210"/>
      <c r="BN45" s="210"/>
      <c r="BO45" s="210"/>
      <c r="BP45" s="210"/>
      <c r="BQ45" s="210"/>
      <c r="BR45" s="210"/>
      <c r="BS45" s="210"/>
      <c r="BT45" s="210"/>
      <c r="BU45" s="210"/>
      <c r="BV45" s="210"/>
      <c r="BW45" s="210"/>
      <c r="BX45" s="210"/>
      <c r="BY45" s="210"/>
      <c r="BZ45" s="210"/>
      <c r="CA45" s="210"/>
      <c r="CB45" s="210"/>
      <c r="CC45" s="210"/>
      <c r="CD45" s="210"/>
      <c r="CE45" s="210"/>
      <c r="CF45" s="210"/>
      <c r="CG45" s="210"/>
      <c r="CH45" s="210"/>
      <c r="CI45" s="210"/>
      <c r="CJ45" s="210"/>
      <c r="CK45" s="210"/>
      <c r="CL45" s="210"/>
      <c r="CM45" s="210"/>
      <c r="CN45" s="210"/>
      <c r="CO45" s="210"/>
      <c r="CP45" s="210"/>
      <c r="CQ45" s="210"/>
      <c r="CR45" s="210"/>
      <c r="CS45" s="210"/>
      <c r="CT45" s="210"/>
      <c r="CU45" s="210"/>
      <c r="CV45" s="210"/>
      <c r="CW45" s="210"/>
      <c r="CX45" s="210"/>
      <c r="CY45" s="210"/>
      <c r="CZ45" s="210"/>
      <c r="DA45" s="210"/>
      <c r="DB45" s="210"/>
      <c r="DC45" s="210"/>
      <c r="DD45" s="210"/>
      <c r="DE45" s="210"/>
      <c r="DF45" s="210"/>
      <c r="DG45" s="210"/>
      <c r="DH45" s="210"/>
      <c r="DI45" s="210"/>
      <c r="DJ45" s="210"/>
      <c r="DK45" s="210"/>
      <c r="DL45" s="210"/>
      <c r="DM45" s="210"/>
      <c r="DN45" s="210"/>
      <c r="DO45" s="210"/>
      <c r="DP45" s="210"/>
      <c r="DQ45" s="210"/>
    </row>
    <row r="46" spans="1:121" s="209" customFormat="1" outlineLevel="1" x14ac:dyDescent="0.25">
      <c r="A46" s="234">
        <f t="shared" si="7"/>
        <v>41</v>
      </c>
      <c r="B46" s="703"/>
      <c r="C46" s="213" t="s">
        <v>153</v>
      </c>
      <c r="D46" s="381">
        <f t="shared" si="31"/>
        <v>0</v>
      </c>
      <c r="E46" s="381">
        <f t="shared" si="31"/>
        <v>0</v>
      </c>
      <c r="F46" s="381">
        <f t="shared" si="34"/>
        <v>0</v>
      </c>
      <c r="G46" s="381">
        <f t="shared" si="32"/>
        <v>0</v>
      </c>
      <c r="H46" s="381">
        <f t="shared" si="32"/>
        <v>0</v>
      </c>
      <c r="I46" s="381">
        <f t="shared" si="35"/>
        <v>0</v>
      </c>
      <c r="J46" s="381">
        <f t="shared" si="33"/>
        <v>0</v>
      </c>
      <c r="K46" s="381">
        <f t="shared" si="33"/>
        <v>0</v>
      </c>
      <c r="L46" s="442">
        <f t="shared" si="36"/>
        <v>0</v>
      </c>
      <c r="W46" s="210"/>
      <c r="AF46" s="210"/>
      <c r="BC46" s="210"/>
      <c r="BD46" s="210"/>
      <c r="BJ46" s="210"/>
      <c r="BK46" s="210"/>
      <c r="BL46" s="210"/>
      <c r="BM46" s="210"/>
      <c r="BN46" s="210"/>
      <c r="BO46" s="210"/>
      <c r="BP46" s="210"/>
      <c r="BQ46" s="210"/>
      <c r="BR46" s="210"/>
      <c r="BS46" s="210"/>
      <c r="BT46" s="210"/>
      <c r="BU46" s="210"/>
      <c r="BV46" s="210"/>
      <c r="BW46" s="210"/>
      <c r="BX46" s="210"/>
      <c r="BY46" s="210"/>
      <c r="BZ46" s="210"/>
      <c r="CA46" s="210"/>
      <c r="CB46" s="210"/>
      <c r="CC46" s="210"/>
      <c r="CD46" s="210"/>
      <c r="CE46" s="210"/>
      <c r="CF46" s="210"/>
      <c r="CG46" s="210"/>
      <c r="CH46" s="210"/>
      <c r="CI46" s="210"/>
      <c r="CJ46" s="210"/>
      <c r="CK46" s="210"/>
      <c r="CL46" s="210"/>
      <c r="CM46" s="210"/>
      <c r="CN46" s="210"/>
      <c r="CO46" s="210"/>
      <c r="CP46" s="210"/>
      <c r="CQ46" s="210"/>
      <c r="CR46" s="210"/>
      <c r="CS46" s="210"/>
      <c r="CT46" s="210"/>
      <c r="CU46" s="210"/>
      <c r="CV46" s="210"/>
      <c r="CW46" s="210"/>
      <c r="CX46" s="210"/>
      <c r="CY46" s="210"/>
      <c r="CZ46" s="210"/>
      <c r="DA46" s="210"/>
      <c r="DB46" s="210"/>
      <c r="DC46" s="210"/>
      <c r="DD46" s="210"/>
      <c r="DE46" s="210"/>
      <c r="DF46" s="210"/>
      <c r="DG46" s="210"/>
      <c r="DH46" s="210"/>
      <c r="DI46" s="210"/>
      <c r="DJ46" s="210"/>
      <c r="DK46" s="210"/>
      <c r="DL46" s="210"/>
      <c r="DM46" s="210"/>
      <c r="DN46" s="210"/>
      <c r="DO46" s="210"/>
      <c r="DP46" s="210"/>
      <c r="DQ46" s="210"/>
    </row>
    <row r="47" spans="1:121" s="209" customFormat="1" ht="22.5" outlineLevel="1" x14ac:dyDescent="0.25">
      <c r="A47" s="234">
        <f t="shared" si="7"/>
        <v>42</v>
      </c>
      <c r="B47" s="704"/>
      <c r="C47" s="213" t="s">
        <v>265</v>
      </c>
      <c r="D47" s="381">
        <f t="shared" si="31"/>
        <v>0</v>
      </c>
      <c r="E47" s="381">
        <f t="shared" si="31"/>
        <v>0</v>
      </c>
      <c r="F47" s="381">
        <f t="shared" si="34"/>
        <v>0</v>
      </c>
      <c r="G47" s="381">
        <f t="shared" si="32"/>
        <v>0</v>
      </c>
      <c r="H47" s="381">
        <f t="shared" si="32"/>
        <v>0</v>
      </c>
      <c r="I47" s="381">
        <f t="shared" si="35"/>
        <v>0</v>
      </c>
      <c r="J47" s="381">
        <f t="shared" si="33"/>
        <v>0</v>
      </c>
      <c r="K47" s="381">
        <f t="shared" si="33"/>
        <v>0</v>
      </c>
      <c r="L47" s="442">
        <f t="shared" si="36"/>
        <v>0</v>
      </c>
      <c r="W47" s="210"/>
      <c r="AF47" s="210"/>
      <c r="BC47" s="210"/>
      <c r="BD47" s="210"/>
      <c r="BJ47" s="210"/>
      <c r="BK47" s="210"/>
      <c r="BL47" s="210"/>
      <c r="BM47" s="210"/>
      <c r="BN47" s="210"/>
      <c r="BO47" s="210"/>
      <c r="BP47" s="210"/>
      <c r="BQ47" s="210"/>
      <c r="BR47" s="210"/>
      <c r="BS47" s="210"/>
      <c r="BT47" s="210"/>
      <c r="BU47" s="210"/>
      <c r="BV47" s="210"/>
      <c r="BW47" s="210"/>
      <c r="BX47" s="210"/>
      <c r="BY47" s="210"/>
      <c r="BZ47" s="210"/>
      <c r="CA47" s="210"/>
      <c r="CB47" s="210"/>
      <c r="CC47" s="210"/>
      <c r="CD47" s="210"/>
      <c r="CE47" s="210"/>
      <c r="CF47" s="210"/>
      <c r="CG47" s="210"/>
      <c r="CH47" s="210"/>
      <c r="CI47" s="210"/>
      <c r="CJ47" s="210"/>
      <c r="CK47" s="210"/>
      <c r="CL47" s="210"/>
      <c r="CM47" s="210"/>
      <c r="CN47" s="210"/>
      <c r="CO47" s="210"/>
      <c r="CP47" s="210"/>
      <c r="CQ47" s="210"/>
      <c r="CR47" s="210"/>
      <c r="CS47" s="210"/>
      <c r="CT47" s="210"/>
      <c r="CU47" s="210"/>
      <c r="CV47" s="210"/>
      <c r="CW47" s="210"/>
      <c r="CX47" s="210"/>
      <c r="CY47" s="210"/>
      <c r="CZ47" s="210"/>
      <c r="DA47" s="210"/>
      <c r="DB47" s="210"/>
      <c r="DC47" s="210"/>
      <c r="DD47" s="210"/>
      <c r="DE47" s="210"/>
      <c r="DF47" s="210"/>
      <c r="DG47" s="210"/>
      <c r="DH47" s="210"/>
      <c r="DI47" s="210"/>
      <c r="DJ47" s="210"/>
      <c r="DK47" s="210"/>
      <c r="DL47" s="210"/>
      <c r="DM47" s="210"/>
      <c r="DN47" s="210"/>
      <c r="DO47" s="210"/>
      <c r="DP47" s="210"/>
      <c r="DQ47" s="210"/>
    </row>
    <row r="48" spans="1:121" s="218" customFormat="1" x14ac:dyDescent="0.25">
      <c r="A48" s="234">
        <f t="shared" si="7"/>
        <v>43</v>
      </c>
      <c r="B48" s="214" t="s">
        <v>162</v>
      </c>
      <c r="C48" s="397"/>
      <c r="D48" s="215"/>
      <c r="E48" s="215"/>
      <c r="F48" s="216">
        <f t="shared" si="34"/>
        <v>0</v>
      </c>
      <c r="G48" s="215"/>
      <c r="H48" s="215"/>
      <c r="I48" s="216">
        <f t="shared" si="35"/>
        <v>0</v>
      </c>
      <c r="J48" s="216">
        <f>G48+D48</f>
        <v>0</v>
      </c>
      <c r="K48" s="216">
        <f>H48+E48</f>
        <v>0</v>
      </c>
      <c r="L48" s="217">
        <f t="shared" si="36"/>
        <v>0</v>
      </c>
      <c r="M48" s="206"/>
      <c r="N48" s="206"/>
      <c r="O48" s="206"/>
      <c r="P48" s="206"/>
      <c r="Q48" s="206"/>
      <c r="R48" s="206"/>
      <c r="S48" s="206"/>
      <c r="T48" s="206"/>
      <c r="U48" s="206"/>
      <c r="V48" s="206"/>
      <c r="X48" s="206"/>
      <c r="Y48" s="206"/>
      <c r="Z48" s="206"/>
      <c r="AA48" s="206"/>
      <c r="AB48" s="206"/>
      <c r="AC48" s="206"/>
      <c r="AD48" s="206"/>
      <c r="AE48" s="206"/>
      <c r="AG48" s="206"/>
      <c r="AH48" s="206"/>
      <c r="AI48" s="206"/>
      <c r="AJ48" s="206"/>
      <c r="AK48" s="206"/>
      <c r="AL48" s="206"/>
      <c r="AM48" s="206"/>
      <c r="AN48" s="206"/>
      <c r="AO48" s="206"/>
      <c r="AP48" s="206"/>
      <c r="AQ48" s="206"/>
      <c r="AR48" s="206"/>
      <c r="AS48" s="206"/>
      <c r="AT48" s="206"/>
      <c r="AU48" s="206"/>
      <c r="AV48" s="206"/>
      <c r="AW48" s="206"/>
      <c r="AX48" s="206"/>
      <c r="AY48" s="206"/>
      <c r="AZ48" s="206"/>
      <c r="BA48" s="206"/>
      <c r="BB48" s="206"/>
      <c r="BE48" s="206"/>
      <c r="BF48" s="206"/>
      <c r="BG48" s="206"/>
      <c r="BH48" s="206"/>
      <c r="BI48" s="206"/>
    </row>
    <row r="49" spans="1:121" s="230" customFormat="1" ht="25.5" x14ac:dyDescent="0.25">
      <c r="A49" s="234">
        <f t="shared" si="7"/>
        <v>44</v>
      </c>
      <c r="B49" s="219" t="s">
        <v>163</v>
      </c>
      <c r="C49" s="397"/>
      <c r="D49" s="216">
        <f>SUM(D51:D71)</f>
        <v>0</v>
      </c>
      <c r="E49" s="216">
        <f>SUM(E51:E71)</f>
        <v>0</v>
      </c>
      <c r="F49" s="216">
        <f t="shared" si="34"/>
        <v>0</v>
      </c>
      <c r="G49" s="216">
        <f>SUM(G51:G71)</f>
        <v>0</v>
      </c>
      <c r="H49" s="216">
        <f>SUM(H51:H71)</f>
        <v>0</v>
      </c>
      <c r="I49" s="216">
        <f t="shared" si="35"/>
        <v>0</v>
      </c>
      <c r="J49" s="216">
        <f>G49+D49</f>
        <v>0</v>
      </c>
      <c r="K49" s="216">
        <f>H49+E49</f>
        <v>0</v>
      </c>
      <c r="L49" s="217">
        <f t="shared" si="36"/>
        <v>0</v>
      </c>
      <c r="M49" s="229"/>
      <c r="N49" s="229"/>
      <c r="O49" s="229"/>
      <c r="P49" s="229"/>
      <c r="Q49" s="229"/>
      <c r="R49" s="229"/>
      <c r="S49" s="229"/>
      <c r="T49" s="229"/>
      <c r="U49" s="229"/>
      <c r="V49" s="229"/>
      <c r="X49" s="229"/>
      <c r="Y49" s="229"/>
      <c r="Z49" s="229"/>
      <c r="AA49" s="229"/>
      <c r="AB49" s="229"/>
      <c r="AC49" s="229"/>
      <c r="AD49" s="229"/>
      <c r="AE49" s="229"/>
      <c r="AG49" s="229"/>
      <c r="AH49" s="229"/>
      <c r="AI49" s="229"/>
      <c r="AJ49" s="229"/>
      <c r="AK49" s="229"/>
      <c r="AL49" s="229"/>
      <c r="AM49" s="229"/>
      <c r="AN49" s="229"/>
      <c r="AO49" s="229"/>
      <c r="AP49" s="229"/>
      <c r="AQ49" s="229"/>
      <c r="AR49" s="229"/>
      <c r="AS49" s="229"/>
      <c r="AT49" s="229"/>
      <c r="AU49" s="229"/>
      <c r="AV49" s="229"/>
      <c r="AW49" s="229"/>
      <c r="AX49" s="229"/>
      <c r="AY49" s="229"/>
      <c r="AZ49" s="229"/>
      <c r="BA49" s="229"/>
      <c r="BB49" s="229"/>
      <c r="BE49" s="229"/>
      <c r="BF49" s="229"/>
      <c r="BG49" s="229"/>
      <c r="BH49" s="229"/>
      <c r="BI49" s="229"/>
    </row>
    <row r="50" spans="1:121" s="209" customFormat="1" outlineLevel="1" collapsed="1" x14ac:dyDescent="0.25">
      <c r="A50" s="234">
        <f t="shared" si="7"/>
        <v>45</v>
      </c>
      <c r="B50" s="212" t="s">
        <v>154</v>
      </c>
      <c r="C50" s="213"/>
      <c r="D50" s="202"/>
      <c r="E50" s="202"/>
      <c r="F50" s="202"/>
      <c r="G50" s="202"/>
      <c r="H50" s="202"/>
      <c r="I50" s="202"/>
      <c r="J50" s="202"/>
      <c r="K50" s="202"/>
      <c r="L50" s="203"/>
      <c r="W50" s="210"/>
      <c r="AF50" s="210"/>
      <c r="BC50" s="210"/>
      <c r="BD50" s="210"/>
      <c r="BJ50" s="210"/>
      <c r="BK50" s="210"/>
      <c r="BL50" s="210"/>
      <c r="BM50" s="210"/>
      <c r="BN50" s="210"/>
      <c r="BO50" s="210"/>
      <c r="BP50" s="210"/>
      <c r="BQ50" s="210"/>
      <c r="BR50" s="210"/>
      <c r="BS50" s="210"/>
      <c r="BT50" s="210"/>
      <c r="BU50" s="210"/>
      <c r="BV50" s="210"/>
      <c r="BW50" s="210"/>
      <c r="BX50" s="210"/>
      <c r="BY50" s="210"/>
      <c r="BZ50" s="210"/>
      <c r="CA50" s="210"/>
      <c r="CB50" s="210"/>
      <c r="CC50" s="210"/>
      <c r="CD50" s="210"/>
      <c r="CE50" s="210"/>
      <c r="CF50" s="210"/>
      <c r="CG50" s="210"/>
      <c r="CH50" s="210"/>
      <c r="CI50" s="210"/>
      <c r="CJ50" s="210"/>
      <c r="CK50" s="210"/>
      <c r="CL50" s="210"/>
      <c r="CM50" s="210"/>
      <c r="CN50" s="210"/>
      <c r="CO50" s="210"/>
      <c r="CP50" s="210"/>
      <c r="CQ50" s="210"/>
      <c r="CR50" s="210"/>
      <c r="CS50" s="210"/>
      <c r="CT50" s="210"/>
      <c r="CU50" s="210"/>
      <c r="CV50" s="210"/>
      <c r="CW50" s="210"/>
      <c r="CX50" s="210"/>
      <c r="CY50" s="210"/>
      <c r="CZ50" s="210"/>
      <c r="DA50" s="210"/>
      <c r="DB50" s="210"/>
      <c r="DC50" s="210"/>
      <c r="DD50" s="210"/>
      <c r="DE50" s="210"/>
      <c r="DF50" s="210"/>
      <c r="DG50" s="210"/>
      <c r="DH50" s="210"/>
      <c r="DI50" s="210"/>
      <c r="DJ50" s="210"/>
      <c r="DK50" s="210"/>
      <c r="DL50" s="210"/>
      <c r="DM50" s="210"/>
      <c r="DN50" s="210"/>
      <c r="DO50" s="210"/>
      <c r="DP50" s="210"/>
      <c r="DQ50" s="210"/>
    </row>
    <row r="51" spans="1:121" s="209" customFormat="1" ht="25.5" outlineLevel="1" x14ac:dyDescent="0.25">
      <c r="A51" s="234">
        <f t="shared" si="7"/>
        <v>46</v>
      </c>
      <c r="B51" s="221" t="s">
        <v>164</v>
      </c>
      <c r="C51" s="222"/>
      <c r="D51" s="215"/>
      <c r="E51" s="215"/>
      <c r="F51" s="216">
        <f t="shared" ref="F51:F70" si="37">E51-D51</f>
        <v>0</v>
      </c>
      <c r="G51" s="215"/>
      <c r="H51" s="215"/>
      <c r="I51" s="216">
        <f t="shared" ref="I51:I70" si="38">H51-G51</f>
        <v>0</v>
      </c>
      <c r="J51" s="216">
        <f t="shared" ref="J51:J80" si="39">G51+D51</f>
        <v>0</v>
      </c>
      <c r="K51" s="216">
        <f t="shared" ref="K51:K80" si="40">H51+E51</f>
        <v>0</v>
      </c>
      <c r="L51" s="217">
        <f t="shared" ref="L51:L70" si="41">K51-J51</f>
        <v>0</v>
      </c>
      <c r="W51" s="210"/>
      <c r="AF51" s="210"/>
      <c r="BC51" s="210"/>
      <c r="BD51" s="210"/>
      <c r="BJ51" s="210"/>
      <c r="BK51" s="210"/>
      <c r="BL51" s="210"/>
      <c r="BM51" s="210"/>
      <c r="BN51" s="210"/>
      <c r="BO51" s="210"/>
      <c r="BP51" s="210"/>
      <c r="BQ51" s="210"/>
      <c r="BR51" s="210"/>
      <c r="BS51" s="210"/>
      <c r="BT51" s="210"/>
      <c r="BU51" s="210"/>
      <c r="BV51" s="210"/>
      <c r="BW51" s="210"/>
      <c r="BX51" s="210"/>
      <c r="BY51" s="210"/>
      <c r="BZ51" s="210"/>
      <c r="CA51" s="210"/>
      <c r="CB51" s="210"/>
      <c r="CC51" s="210"/>
      <c r="CD51" s="210"/>
      <c r="CE51" s="210"/>
      <c r="CF51" s="210"/>
      <c r="CG51" s="210"/>
      <c r="CH51" s="210"/>
      <c r="CI51" s="210"/>
      <c r="CJ51" s="210"/>
      <c r="CK51" s="210"/>
      <c r="CL51" s="210"/>
      <c r="CM51" s="210"/>
      <c r="CN51" s="210"/>
      <c r="CO51" s="210"/>
      <c r="CP51" s="210"/>
      <c r="CQ51" s="210"/>
      <c r="CR51" s="210"/>
      <c r="CS51" s="210"/>
      <c r="CT51" s="210"/>
      <c r="CU51" s="210"/>
      <c r="CV51" s="210"/>
      <c r="CW51" s="210"/>
      <c r="CX51" s="210"/>
      <c r="CY51" s="210"/>
      <c r="CZ51" s="210"/>
      <c r="DA51" s="210"/>
      <c r="DB51" s="210"/>
      <c r="DC51" s="210"/>
      <c r="DD51" s="210"/>
      <c r="DE51" s="210"/>
      <c r="DF51" s="210"/>
      <c r="DG51" s="210"/>
      <c r="DH51" s="210"/>
      <c r="DI51" s="210"/>
      <c r="DJ51" s="210"/>
      <c r="DK51" s="210"/>
      <c r="DL51" s="210"/>
      <c r="DM51" s="210"/>
      <c r="DN51" s="210"/>
      <c r="DO51" s="210"/>
      <c r="DP51" s="210"/>
      <c r="DQ51" s="210"/>
    </row>
    <row r="52" spans="1:121" s="209" customFormat="1" ht="25.5" outlineLevel="1" x14ac:dyDescent="0.25">
      <c r="A52" s="234">
        <f t="shared" si="7"/>
        <v>47</v>
      </c>
      <c r="B52" s="221" t="s">
        <v>165</v>
      </c>
      <c r="C52" s="222"/>
      <c r="D52" s="215"/>
      <c r="E52" s="215"/>
      <c r="F52" s="216">
        <f t="shared" si="37"/>
        <v>0</v>
      </c>
      <c r="G52" s="215"/>
      <c r="H52" s="215"/>
      <c r="I52" s="216">
        <f t="shared" si="38"/>
        <v>0</v>
      </c>
      <c r="J52" s="216">
        <f t="shared" si="39"/>
        <v>0</v>
      </c>
      <c r="K52" s="216">
        <f t="shared" si="40"/>
        <v>0</v>
      </c>
      <c r="L52" s="217">
        <f t="shared" si="41"/>
        <v>0</v>
      </c>
      <c r="W52" s="210"/>
      <c r="AF52" s="210"/>
      <c r="BC52" s="210"/>
      <c r="BD52" s="210"/>
      <c r="BJ52" s="210"/>
      <c r="BK52" s="210"/>
      <c r="BL52" s="210"/>
      <c r="BM52" s="210"/>
      <c r="BN52" s="210"/>
      <c r="BO52" s="210"/>
      <c r="BP52" s="210"/>
      <c r="BQ52" s="210"/>
      <c r="BR52" s="210"/>
      <c r="BS52" s="210"/>
      <c r="BT52" s="210"/>
      <c r="BU52" s="210"/>
      <c r="BV52" s="210"/>
      <c r="BW52" s="210"/>
      <c r="BX52" s="210"/>
      <c r="BY52" s="210"/>
      <c r="BZ52" s="210"/>
      <c r="CA52" s="210"/>
      <c r="CB52" s="210"/>
      <c r="CC52" s="210"/>
      <c r="CD52" s="210"/>
      <c r="CE52" s="210"/>
      <c r="CF52" s="210"/>
      <c r="CG52" s="210"/>
      <c r="CH52" s="210"/>
      <c r="CI52" s="210"/>
      <c r="CJ52" s="210"/>
      <c r="CK52" s="210"/>
      <c r="CL52" s="210"/>
      <c r="CM52" s="210"/>
      <c r="CN52" s="210"/>
      <c r="CO52" s="210"/>
      <c r="CP52" s="210"/>
      <c r="CQ52" s="210"/>
      <c r="CR52" s="210"/>
      <c r="CS52" s="210"/>
      <c r="CT52" s="210"/>
      <c r="CU52" s="210"/>
      <c r="CV52" s="210"/>
      <c r="CW52" s="210"/>
      <c r="CX52" s="210"/>
      <c r="CY52" s="210"/>
      <c r="CZ52" s="210"/>
      <c r="DA52" s="210"/>
      <c r="DB52" s="210"/>
      <c r="DC52" s="210"/>
      <c r="DD52" s="210"/>
      <c r="DE52" s="210"/>
      <c r="DF52" s="210"/>
      <c r="DG52" s="210"/>
      <c r="DH52" s="210"/>
      <c r="DI52" s="210"/>
      <c r="DJ52" s="210"/>
      <c r="DK52" s="210"/>
      <c r="DL52" s="210"/>
      <c r="DM52" s="210"/>
      <c r="DN52" s="210"/>
      <c r="DO52" s="210"/>
      <c r="DP52" s="210"/>
      <c r="DQ52" s="210"/>
    </row>
    <row r="53" spans="1:121" s="209" customFormat="1" ht="38.25" outlineLevel="1" x14ac:dyDescent="0.25">
      <c r="A53" s="234">
        <f t="shared" si="7"/>
        <v>48</v>
      </c>
      <c r="B53" s="221" t="s">
        <v>166</v>
      </c>
      <c r="C53" s="222"/>
      <c r="D53" s="215"/>
      <c r="E53" s="215"/>
      <c r="F53" s="216">
        <f t="shared" si="37"/>
        <v>0</v>
      </c>
      <c r="G53" s="215"/>
      <c r="H53" s="215"/>
      <c r="I53" s="216">
        <f t="shared" si="38"/>
        <v>0</v>
      </c>
      <c r="J53" s="216">
        <f t="shared" si="39"/>
        <v>0</v>
      </c>
      <c r="K53" s="216">
        <f t="shared" si="40"/>
        <v>0</v>
      </c>
      <c r="L53" s="217">
        <f t="shared" si="41"/>
        <v>0</v>
      </c>
      <c r="W53" s="210"/>
      <c r="AF53" s="210"/>
      <c r="BC53" s="210"/>
      <c r="BD53" s="210"/>
      <c r="BJ53" s="210"/>
      <c r="BK53" s="210"/>
      <c r="BL53" s="210"/>
      <c r="BM53" s="210"/>
      <c r="BN53" s="210"/>
      <c r="BO53" s="210"/>
      <c r="BP53" s="210"/>
      <c r="BQ53" s="210"/>
      <c r="BR53" s="210"/>
      <c r="BS53" s="210"/>
      <c r="BT53" s="210"/>
      <c r="BU53" s="210"/>
      <c r="BV53" s="210"/>
      <c r="BW53" s="210"/>
      <c r="BX53" s="210"/>
      <c r="BY53" s="210"/>
      <c r="BZ53" s="210"/>
      <c r="CA53" s="210"/>
      <c r="CB53" s="210"/>
      <c r="CC53" s="210"/>
      <c r="CD53" s="210"/>
      <c r="CE53" s="210"/>
      <c r="CF53" s="210"/>
      <c r="CG53" s="210"/>
      <c r="CH53" s="210"/>
      <c r="CI53" s="210"/>
      <c r="CJ53" s="210"/>
      <c r="CK53" s="210"/>
      <c r="CL53" s="210"/>
      <c r="CM53" s="210"/>
      <c r="CN53" s="210"/>
      <c r="CO53" s="210"/>
      <c r="CP53" s="210"/>
      <c r="CQ53" s="210"/>
      <c r="CR53" s="210"/>
      <c r="CS53" s="210"/>
      <c r="CT53" s="210"/>
      <c r="CU53" s="210"/>
      <c r="CV53" s="210"/>
      <c r="CW53" s="210"/>
      <c r="CX53" s="210"/>
      <c r="CY53" s="210"/>
      <c r="CZ53" s="210"/>
      <c r="DA53" s="210"/>
      <c r="DB53" s="210"/>
      <c r="DC53" s="210"/>
      <c r="DD53" s="210"/>
      <c r="DE53" s="210"/>
      <c r="DF53" s="210"/>
      <c r="DG53" s="210"/>
      <c r="DH53" s="210"/>
      <c r="DI53" s="210"/>
      <c r="DJ53" s="210"/>
      <c r="DK53" s="210"/>
      <c r="DL53" s="210"/>
      <c r="DM53" s="210"/>
      <c r="DN53" s="210"/>
      <c r="DO53" s="210"/>
      <c r="DP53" s="210"/>
      <c r="DQ53" s="210"/>
    </row>
    <row r="54" spans="1:121" s="209" customFormat="1" ht="38.25" outlineLevel="1" x14ac:dyDescent="0.25">
      <c r="A54" s="234">
        <f t="shared" si="7"/>
        <v>49</v>
      </c>
      <c r="B54" s="221" t="s">
        <v>167</v>
      </c>
      <c r="C54" s="222"/>
      <c r="D54" s="215"/>
      <c r="E54" s="215"/>
      <c r="F54" s="216">
        <f t="shared" si="37"/>
        <v>0</v>
      </c>
      <c r="G54" s="215"/>
      <c r="H54" s="215"/>
      <c r="I54" s="216">
        <f t="shared" si="38"/>
        <v>0</v>
      </c>
      <c r="J54" s="216">
        <f t="shared" si="39"/>
        <v>0</v>
      </c>
      <c r="K54" s="216">
        <f t="shared" si="40"/>
        <v>0</v>
      </c>
      <c r="L54" s="217">
        <f t="shared" si="41"/>
        <v>0</v>
      </c>
      <c r="W54" s="210"/>
      <c r="AF54" s="210"/>
      <c r="BC54" s="210"/>
      <c r="BD54" s="210"/>
      <c r="BJ54" s="210"/>
      <c r="BK54" s="210"/>
      <c r="BL54" s="210"/>
      <c r="BM54" s="210"/>
      <c r="BN54" s="210"/>
      <c r="BO54" s="210"/>
      <c r="BP54" s="210"/>
      <c r="BQ54" s="210"/>
      <c r="BR54" s="210"/>
      <c r="BS54" s="210"/>
      <c r="BT54" s="210"/>
      <c r="BU54" s="210"/>
      <c r="BV54" s="210"/>
      <c r="BW54" s="210"/>
      <c r="BX54" s="210"/>
      <c r="BY54" s="210"/>
      <c r="BZ54" s="210"/>
      <c r="CA54" s="210"/>
      <c r="CB54" s="210"/>
      <c r="CC54" s="210"/>
      <c r="CD54" s="210"/>
      <c r="CE54" s="210"/>
      <c r="CF54" s="210"/>
      <c r="CG54" s="210"/>
      <c r="CH54" s="210"/>
      <c r="CI54" s="210"/>
      <c r="CJ54" s="210"/>
      <c r="CK54" s="210"/>
      <c r="CL54" s="210"/>
      <c r="CM54" s="210"/>
      <c r="CN54" s="210"/>
      <c r="CO54" s="210"/>
      <c r="CP54" s="210"/>
      <c r="CQ54" s="210"/>
      <c r="CR54" s="210"/>
      <c r="CS54" s="210"/>
      <c r="CT54" s="210"/>
      <c r="CU54" s="210"/>
      <c r="CV54" s="210"/>
      <c r="CW54" s="210"/>
      <c r="CX54" s="210"/>
      <c r="CY54" s="210"/>
      <c r="CZ54" s="210"/>
      <c r="DA54" s="210"/>
      <c r="DB54" s="210"/>
      <c r="DC54" s="210"/>
      <c r="DD54" s="210"/>
      <c r="DE54" s="210"/>
      <c r="DF54" s="210"/>
      <c r="DG54" s="210"/>
      <c r="DH54" s="210"/>
      <c r="DI54" s="210"/>
      <c r="DJ54" s="210"/>
      <c r="DK54" s="210"/>
      <c r="DL54" s="210"/>
      <c r="DM54" s="210"/>
      <c r="DN54" s="210"/>
      <c r="DO54" s="210"/>
      <c r="DP54" s="210"/>
      <c r="DQ54" s="210"/>
    </row>
    <row r="55" spans="1:121" s="209" customFormat="1" ht="25.5" outlineLevel="1" x14ac:dyDescent="0.25">
      <c r="A55" s="234">
        <f t="shared" si="7"/>
        <v>50</v>
      </c>
      <c r="B55" s="221" t="s">
        <v>168</v>
      </c>
      <c r="C55" s="222"/>
      <c r="D55" s="215"/>
      <c r="E55" s="215"/>
      <c r="F55" s="216">
        <f t="shared" si="37"/>
        <v>0</v>
      </c>
      <c r="G55" s="215"/>
      <c r="H55" s="215"/>
      <c r="I55" s="216">
        <f t="shared" si="38"/>
        <v>0</v>
      </c>
      <c r="J55" s="216">
        <f t="shared" si="39"/>
        <v>0</v>
      </c>
      <c r="K55" s="216">
        <f t="shared" si="40"/>
        <v>0</v>
      </c>
      <c r="L55" s="217">
        <f t="shared" si="41"/>
        <v>0</v>
      </c>
      <c r="W55" s="210"/>
      <c r="AF55" s="210"/>
      <c r="BC55" s="210"/>
      <c r="BD55" s="210"/>
      <c r="BJ55" s="210"/>
      <c r="BK55" s="210"/>
      <c r="BL55" s="210"/>
      <c r="BM55" s="210"/>
      <c r="BN55" s="210"/>
      <c r="BO55" s="210"/>
      <c r="BP55" s="210"/>
      <c r="BQ55" s="210"/>
      <c r="BR55" s="210"/>
      <c r="BS55" s="210"/>
      <c r="BT55" s="210"/>
      <c r="BU55" s="210"/>
      <c r="BV55" s="210"/>
      <c r="BW55" s="210"/>
      <c r="BX55" s="210"/>
      <c r="BY55" s="210"/>
      <c r="BZ55" s="210"/>
      <c r="CA55" s="210"/>
      <c r="CB55" s="210"/>
      <c r="CC55" s="210"/>
      <c r="CD55" s="210"/>
      <c r="CE55" s="210"/>
      <c r="CF55" s="210"/>
      <c r="CG55" s="210"/>
      <c r="CH55" s="210"/>
      <c r="CI55" s="210"/>
      <c r="CJ55" s="210"/>
      <c r="CK55" s="210"/>
      <c r="CL55" s="210"/>
      <c r="CM55" s="210"/>
      <c r="CN55" s="210"/>
      <c r="CO55" s="210"/>
      <c r="CP55" s="210"/>
      <c r="CQ55" s="210"/>
      <c r="CR55" s="210"/>
      <c r="CS55" s="210"/>
      <c r="CT55" s="210"/>
      <c r="CU55" s="210"/>
      <c r="CV55" s="210"/>
      <c r="CW55" s="210"/>
      <c r="CX55" s="210"/>
      <c r="CY55" s="210"/>
      <c r="CZ55" s="210"/>
      <c r="DA55" s="210"/>
      <c r="DB55" s="210"/>
      <c r="DC55" s="210"/>
      <c r="DD55" s="210"/>
      <c r="DE55" s="210"/>
      <c r="DF55" s="210"/>
      <c r="DG55" s="210"/>
      <c r="DH55" s="210"/>
      <c r="DI55" s="210"/>
      <c r="DJ55" s="210"/>
      <c r="DK55" s="210"/>
      <c r="DL55" s="210"/>
      <c r="DM55" s="210"/>
      <c r="DN55" s="210"/>
      <c r="DO55" s="210"/>
      <c r="DP55" s="210"/>
      <c r="DQ55" s="210"/>
    </row>
    <row r="56" spans="1:121" s="209" customFormat="1" ht="38.25" outlineLevel="1" x14ac:dyDescent="0.25">
      <c r="A56" s="234">
        <f t="shared" si="7"/>
        <v>51</v>
      </c>
      <c r="B56" s="221" t="s">
        <v>169</v>
      </c>
      <c r="C56" s="222"/>
      <c r="D56" s="215"/>
      <c r="E56" s="215"/>
      <c r="F56" s="216">
        <f t="shared" si="37"/>
        <v>0</v>
      </c>
      <c r="G56" s="215"/>
      <c r="H56" s="215"/>
      <c r="I56" s="216">
        <f t="shared" si="38"/>
        <v>0</v>
      </c>
      <c r="J56" s="216">
        <f t="shared" si="39"/>
        <v>0</v>
      </c>
      <c r="K56" s="216">
        <f t="shared" si="40"/>
        <v>0</v>
      </c>
      <c r="L56" s="217">
        <f t="shared" si="41"/>
        <v>0</v>
      </c>
      <c r="W56" s="210"/>
      <c r="AF56" s="210"/>
      <c r="BC56" s="210"/>
      <c r="BD56" s="210"/>
      <c r="BJ56" s="210"/>
      <c r="BK56" s="210"/>
      <c r="BL56" s="210"/>
      <c r="BM56" s="210"/>
      <c r="BN56" s="210"/>
      <c r="BO56" s="210"/>
      <c r="BP56" s="210"/>
      <c r="BQ56" s="210"/>
      <c r="BR56" s="210"/>
      <c r="BS56" s="210"/>
      <c r="BT56" s="210"/>
      <c r="BU56" s="210"/>
      <c r="BV56" s="210"/>
      <c r="BW56" s="210"/>
      <c r="BX56" s="210"/>
      <c r="BY56" s="210"/>
      <c r="BZ56" s="210"/>
      <c r="CA56" s="210"/>
      <c r="CB56" s="210"/>
      <c r="CC56" s="210"/>
      <c r="CD56" s="210"/>
      <c r="CE56" s="210"/>
      <c r="CF56" s="210"/>
      <c r="CG56" s="210"/>
      <c r="CH56" s="210"/>
      <c r="CI56" s="210"/>
      <c r="CJ56" s="210"/>
      <c r="CK56" s="210"/>
      <c r="CL56" s="210"/>
      <c r="CM56" s="210"/>
      <c r="CN56" s="210"/>
      <c r="CO56" s="210"/>
      <c r="CP56" s="210"/>
      <c r="CQ56" s="210"/>
      <c r="CR56" s="210"/>
      <c r="CS56" s="210"/>
      <c r="CT56" s="210"/>
      <c r="CU56" s="210"/>
      <c r="CV56" s="210"/>
      <c r="CW56" s="210"/>
      <c r="CX56" s="210"/>
      <c r="CY56" s="210"/>
      <c r="CZ56" s="210"/>
      <c r="DA56" s="210"/>
      <c r="DB56" s="210"/>
      <c r="DC56" s="210"/>
      <c r="DD56" s="210"/>
      <c r="DE56" s="210"/>
      <c r="DF56" s="210"/>
      <c r="DG56" s="210"/>
      <c r="DH56" s="210"/>
      <c r="DI56" s="210"/>
      <c r="DJ56" s="210"/>
      <c r="DK56" s="210"/>
      <c r="DL56" s="210"/>
      <c r="DM56" s="210"/>
      <c r="DN56" s="210"/>
      <c r="DO56" s="210"/>
      <c r="DP56" s="210"/>
      <c r="DQ56" s="210"/>
    </row>
    <row r="57" spans="1:121" s="209" customFormat="1" ht="38.25" outlineLevel="1" x14ac:dyDescent="0.25">
      <c r="A57" s="234">
        <f t="shared" si="7"/>
        <v>52</v>
      </c>
      <c r="B57" s="221" t="s">
        <v>170</v>
      </c>
      <c r="C57" s="222"/>
      <c r="D57" s="215"/>
      <c r="E57" s="215"/>
      <c r="F57" s="216">
        <f t="shared" si="37"/>
        <v>0</v>
      </c>
      <c r="G57" s="215"/>
      <c r="H57" s="215"/>
      <c r="I57" s="216">
        <f t="shared" si="38"/>
        <v>0</v>
      </c>
      <c r="J57" s="216">
        <f t="shared" si="39"/>
        <v>0</v>
      </c>
      <c r="K57" s="216">
        <f t="shared" si="40"/>
        <v>0</v>
      </c>
      <c r="L57" s="217">
        <f t="shared" si="41"/>
        <v>0</v>
      </c>
      <c r="W57" s="210"/>
      <c r="AF57" s="210"/>
      <c r="BC57" s="210"/>
      <c r="BD57" s="210"/>
      <c r="BJ57" s="210"/>
      <c r="BK57" s="210"/>
      <c r="BL57" s="210"/>
      <c r="BM57" s="210"/>
      <c r="BN57" s="210"/>
      <c r="BO57" s="210"/>
      <c r="BP57" s="210"/>
      <c r="BQ57" s="210"/>
      <c r="BR57" s="210"/>
      <c r="BS57" s="210"/>
      <c r="BT57" s="210"/>
      <c r="BU57" s="210"/>
      <c r="BV57" s="210"/>
      <c r="BW57" s="210"/>
      <c r="BX57" s="210"/>
      <c r="BY57" s="210"/>
      <c r="BZ57" s="210"/>
      <c r="CA57" s="210"/>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0"/>
      <c r="DP57" s="210"/>
      <c r="DQ57" s="210"/>
    </row>
    <row r="58" spans="1:121" s="209" customFormat="1" ht="25.5" outlineLevel="1" x14ac:dyDescent="0.25">
      <c r="A58" s="234">
        <f t="shared" si="7"/>
        <v>53</v>
      </c>
      <c r="B58" s="221" t="s">
        <v>171</v>
      </c>
      <c r="C58" s="222"/>
      <c r="D58" s="215"/>
      <c r="E58" s="215"/>
      <c r="F58" s="216">
        <f t="shared" si="37"/>
        <v>0</v>
      </c>
      <c r="G58" s="215"/>
      <c r="H58" s="215"/>
      <c r="I58" s="216">
        <f t="shared" si="38"/>
        <v>0</v>
      </c>
      <c r="J58" s="216">
        <f t="shared" si="39"/>
        <v>0</v>
      </c>
      <c r="K58" s="216">
        <f t="shared" si="40"/>
        <v>0</v>
      </c>
      <c r="L58" s="217">
        <f t="shared" si="41"/>
        <v>0</v>
      </c>
      <c r="W58" s="210"/>
      <c r="AF58" s="210"/>
      <c r="BC58" s="210"/>
      <c r="BD58" s="210"/>
      <c r="BJ58" s="210"/>
      <c r="BK58" s="210"/>
      <c r="BL58" s="210"/>
      <c r="BM58" s="210"/>
      <c r="BN58" s="210"/>
      <c r="BO58" s="210"/>
      <c r="BP58" s="210"/>
      <c r="BQ58" s="210"/>
      <c r="BR58" s="210"/>
      <c r="BS58" s="210"/>
      <c r="BT58" s="210"/>
      <c r="BU58" s="210"/>
      <c r="BV58" s="210"/>
      <c r="BW58" s="210"/>
      <c r="BX58" s="210"/>
      <c r="BY58" s="210"/>
      <c r="BZ58" s="210"/>
      <c r="CA58" s="210"/>
      <c r="CB58" s="210"/>
      <c r="CC58" s="210"/>
      <c r="CD58" s="210"/>
      <c r="CE58" s="210"/>
      <c r="CF58" s="210"/>
      <c r="CG58" s="210"/>
      <c r="CH58" s="210"/>
      <c r="CI58" s="210"/>
      <c r="CJ58" s="210"/>
      <c r="CK58" s="210"/>
      <c r="CL58" s="210"/>
      <c r="CM58" s="210"/>
      <c r="CN58" s="210"/>
      <c r="CO58" s="210"/>
      <c r="CP58" s="210"/>
      <c r="CQ58" s="210"/>
      <c r="CR58" s="210"/>
      <c r="CS58" s="210"/>
      <c r="CT58" s="210"/>
      <c r="CU58" s="210"/>
      <c r="CV58" s="210"/>
      <c r="CW58" s="210"/>
      <c r="CX58" s="210"/>
      <c r="CY58" s="210"/>
      <c r="CZ58" s="210"/>
      <c r="DA58" s="210"/>
      <c r="DB58" s="210"/>
      <c r="DC58" s="210"/>
      <c r="DD58" s="210"/>
      <c r="DE58" s="210"/>
      <c r="DF58" s="210"/>
      <c r="DG58" s="210"/>
      <c r="DH58" s="210"/>
      <c r="DI58" s="210"/>
      <c r="DJ58" s="210"/>
      <c r="DK58" s="210"/>
      <c r="DL58" s="210"/>
      <c r="DM58" s="210"/>
      <c r="DN58" s="210"/>
      <c r="DO58" s="210"/>
      <c r="DP58" s="210"/>
      <c r="DQ58" s="210"/>
    </row>
    <row r="59" spans="1:121" s="209" customFormat="1" ht="38.25" outlineLevel="1" x14ac:dyDescent="0.25">
      <c r="A59" s="234">
        <f t="shared" si="7"/>
        <v>54</v>
      </c>
      <c r="B59" s="221" t="s">
        <v>172</v>
      </c>
      <c r="C59" s="222"/>
      <c r="D59" s="215"/>
      <c r="E59" s="215"/>
      <c r="F59" s="216">
        <f t="shared" si="37"/>
        <v>0</v>
      </c>
      <c r="G59" s="215"/>
      <c r="H59" s="215"/>
      <c r="I59" s="216">
        <f t="shared" si="38"/>
        <v>0</v>
      </c>
      <c r="J59" s="216">
        <f t="shared" si="39"/>
        <v>0</v>
      </c>
      <c r="K59" s="216">
        <f t="shared" si="40"/>
        <v>0</v>
      </c>
      <c r="L59" s="217">
        <f t="shared" si="41"/>
        <v>0</v>
      </c>
      <c r="W59" s="210"/>
      <c r="AF59" s="210"/>
      <c r="BC59" s="210"/>
      <c r="BD59" s="210"/>
      <c r="BJ59" s="210"/>
      <c r="BK59" s="210"/>
      <c r="BL59" s="210"/>
      <c r="BM59" s="210"/>
      <c r="BN59" s="210"/>
      <c r="BO59" s="210"/>
      <c r="BP59" s="210"/>
      <c r="BQ59" s="210"/>
      <c r="BR59" s="210"/>
      <c r="BS59" s="210"/>
      <c r="BT59" s="210"/>
      <c r="BU59" s="210"/>
      <c r="BV59" s="210"/>
      <c r="BW59" s="210"/>
      <c r="BX59" s="210"/>
      <c r="BY59" s="210"/>
      <c r="BZ59" s="210"/>
      <c r="CA59" s="210"/>
      <c r="CB59" s="210"/>
      <c r="CC59" s="210"/>
      <c r="CD59" s="210"/>
      <c r="CE59" s="210"/>
      <c r="CF59" s="210"/>
      <c r="CG59" s="210"/>
      <c r="CH59" s="210"/>
      <c r="CI59" s="210"/>
      <c r="CJ59" s="210"/>
      <c r="CK59" s="210"/>
      <c r="CL59" s="210"/>
      <c r="CM59" s="210"/>
      <c r="CN59" s="210"/>
      <c r="CO59" s="210"/>
      <c r="CP59" s="210"/>
      <c r="CQ59" s="210"/>
      <c r="CR59" s="210"/>
      <c r="CS59" s="210"/>
      <c r="CT59" s="210"/>
      <c r="CU59" s="210"/>
      <c r="CV59" s="210"/>
      <c r="CW59" s="210"/>
      <c r="CX59" s="210"/>
      <c r="CY59" s="210"/>
      <c r="CZ59" s="210"/>
      <c r="DA59" s="210"/>
      <c r="DB59" s="210"/>
      <c r="DC59" s="210"/>
      <c r="DD59" s="210"/>
      <c r="DE59" s="210"/>
      <c r="DF59" s="210"/>
      <c r="DG59" s="210"/>
      <c r="DH59" s="210"/>
      <c r="DI59" s="210"/>
      <c r="DJ59" s="210"/>
      <c r="DK59" s="210"/>
      <c r="DL59" s="210"/>
      <c r="DM59" s="210"/>
      <c r="DN59" s="210"/>
      <c r="DO59" s="210"/>
      <c r="DP59" s="210"/>
      <c r="DQ59" s="210"/>
    </row>
    <row r="60" spans="1:121" s="209" customFormat="1" ht="25.5" outlineLevel="1" x14ac:dyDescent="0.25">
      <c r="A60" s="234">
        <f t="shared" si="7"/>
        <v>55</v>
      </c>
      <c r="B60" s="221" t="s">
        <v>173</v>
      </c>
      <c r="C60" s="222"/>
      <c r="D60" s="215"/>
      <c r="E60" s="215"/>
      <c r="F60" s="216">
        <f t="shared" si="37"/>
        <v>0</v>
      </c>
      <c r="G60" s="215"/>
      <c r="H60" s="215"/>
      <c r="I60" s="216">
        <f t="shared" si="38"/>
        <v>0</v>
      </c>
      <c r="J60" s="216">
        <f t="shared" si="39"/>
        <v>0</v>
      </c>
      <c r="K60" s="216">
        <f t="shared" si="40"/>
        <v>0</v>
      </c>
      <c r="L60" s="217">
        <f t="shared" si="41"/>
        <v>0</v>
      </c>
      <c r="W60" s="210"/>
      <c r="AF60" s="210"/>
      <c r="BC60" s="210"/>
      <c r="BD60" s="210"/>
      <c r="BJ60" s="210"/>
      <c r="BK60" s="210"/>
      <c r="BL60" s="210"/>
      <c r="BM60" s="210"/>
      <c r="BN60" s="210"/>
      <c r="BO60" s="210"/>
      <c r="BP60" s="210"/>
      <c r="BQ60" s="210"/>
      <c r="BR60" s="210"/>
      <c r="BS60" s="210"/>
      <c r="BT60" s="210"/>
      <c r="BU60" s="210"/>
      <c r="BV60" s="210"/>
      <c r="BW60" s="210"/>
      <c r="BX60" s="210"/>
      <c r="BY60" s="210"/>
      <c r="BZ60" s="210"/>
      <c r="CA60" s="210"/>
      <c r="CB60" s="210"/>
      <c r="CC60" s="210"/>
      <c r="CD60" s="210"/>
      <c r="CE60" s="210"/>
      <c r="CF60" s="210"/>
      <c r="CG60" s="210"/>
      <c r="CH60" s="210"/>
      <c r="CI60" s="210"/>
      <c r="CJ60" s="210"/>
      <c r="CK60" s="210"/>
      <c r="CL60" s="210"/>
      <c r="CM60" s="210"/>
      <c r="CN60" s="210"/>
      <c r="CO60" s="210"/>
      <c r="CP60" s="210"/>
      <c r="CQ60" s="210"/>
      <c r="CR60" s="210"/>
      <c r="CS60" s="210"/>
      <c r="CT60" s="210"/>
      <c r="CU60" s="210"/>
      <c r="CV60" s="210"/>
      <c r="CW60" s="210"/>
      <c r="CX60" s="210"/>
      <c r="CY60" s="210"/>
      <c r="CZ60" s="210"/>
      <c r="DA60" s="210"/>
      <c r="DB60" s="210"/>
      <c r="DC60" s="210"/>
      <c r="DD60" s="210"/>
      <c r="DE60" s="210"/>
      <c r="DF60" s="210"/>
      <c r="DG60" s="210"/>
      <c r="DH60" s="210"/>
      <c r="DI60" s="210"/>
      <c r="DJ60" s="210"/>
      <c r="DK60" s="210"/>
      <c r="DL60" s="210"/>
      <c r="DM60" s="210"/>
      <c r="DN60" s="210"/>
      <c r="DO60" s="210"/>
      <c r="DP60" s="210"/>
      <c r="DQ60" s="210"/>
    </row>
    <row r="61" spans="1:121" s="209" customFormat="1" ht="25.5" outlineLevel="1" x14ac:dyDescent="0.25">
      <c r="A61" s="234">
        <f t="shared" si="7"/>
        <v>56</v>
      </c>
      <c r="B61" s="221" t="s">
        <v>174</v>
      </c>
      <c r="C61" s="222"/>
      <c r="D61" s="215"/>
      <c r="E61" s="215"/>
      <c r="F61" s="216">
        <f t="shared" si="37"/>
        <v>0</v>
      </c>
      <c r="G61" s="215"/>
      <c r="H61" s="215"/>
      <c r="I61" s="216">
        <f t="shared" si="38"/>
        <v>0</v>
      </c>
      <c r="J61" s="216">
        <f t="shared" si="39"/>
        <v>0</v>
      </c>
      <c r="K61" s="216">
        <f t="shared" si="40"/>
        <v>0</v>
      </c>
      <c r="L61" s="217">
        <f t="shared" si="41"/>
        <v>0</v>
      </c>
      <c r="W61" s="210"/>
      <c r="AF61" s="210"/>
      <c r="BC61" s="210"/>
      <c r="BD61" s="210"/>
      <c r="BJ61" s="210"/>
      <c r="BK61" s="210"/>
      <c r="BL61" s="210"/>
      <c r="BM61" s="210"/>
      <c r="BN61" s="210"/>
      <c r="BO61" s="210"/>
      <c r="BP61" s="210"/>
      <c r="BQ61" s="210"/>
      <c r="BR61" s="210"/>
      <c r="BS61" s="210"/>
      <c r="BT61" s="210"/>
      <c r="BU61" s="210"/>
      <c r="BV61" s="210"/>
      <c r="BW61" s="210"/>
      <c r="BX61" s="210"/>
      <c r="BY61" s="210"/>
      <c r="BZ61" s="210"/>
      <c r="CA61" s="210"/>
      <c r="CB61" s="210"/>
      <c r="CC61" s="210"/>
      <c r="CD61" s="210"/>
      <c r="CE61" s="210"/>
      <c r="CF61" s="210"/>
      <c r="CG61" s="210"/>
      <c r="CH61" s="210"/>
      <c r="CI61" s="210"/>
      <c r="CJ61" s="210"/>
      <c r="CK61" s="210"/>
      <c r="CL61" s="210"/>
      <c r="CM61" s="210"/>
      <c r="CN61" s="210"/>
      <c r="CO61" s="210"/>
      <c r="CP61" s="210"/>
      <c r="CQ61" s="210"/>
      <c r="CR61" s="210"/>
      <c r="CS61" s="210"/>
      <c r="CT61" s="210"/>
      <c r="CU61" s="210"/>
      <c r="CV61" s="210"/>
      <c r="CW61" s="210"/>
      <c r="CX61" s="210"/>
      <c r="CY61" s="210"/>
      <c r="CZ61" s="210"/>
      <c r="DA61" s="210"/>
      <c r="DB61" s="210"/>
      <c r="DC61" s="210"/>
      <c r="DD61" s="210"/>
      <c r="DE61" s="210"/>
      <c r="DF61" s="210"/>
      <c r="DG61" s="210"/>
      <c r="DH61" s="210"/>
      <c r="DI61" s="210"/>
      <c r="DJ61" s="210"/>
      <c r="DK61" s="210"/>
      <c r="DL61" s="210"/>
      <c r="DM61" s="210"/>
      <c r="DN61" s="210"/>
      <c r="DO61" s="210"/>
      <c r="DP61" s="210"/>
      <c r="DQ61" s="210"/>
    </row>
    <row r="62" spans="1:121" s="209" customFormat="1" ht="25.5" outlineLevel="1" x14ac:dyDescent="0.25">
      <c r="A62" s="234">
        <f t="shared" si="7"/>
        <v>57</v>
      </c>
      <c r="B62" s="221" t="s">
        <v>175</v>
      </c>
      <c r="C62" s="222"/>
      <c r="D62" s="215"/>
      <c r="E62" s="215"/>
      <c r="F62" s="216">
        <f t="shared" si="37"/>
        <v>0</v>
      </c>
      <c r="G62" s="215"/>
      <c r="H62" s="215"/>
      <c r="I62" s="216">
        <f t="shared" si="38"/>
        <v>0</v>
      </c>
      <c r="J62" s="216">
        <f t="shared" si="39"/>
        <v>0</v>
      </c>
      <c r="K62" s="216">
        <f t="shared" si="40"/>
        <v>0</v>
      </c>
      <c r="L62" s="217">
        <f t="shared" si="41"/>
        <v>0</v>
      </c>
      <c r="W62" s="210"/>
      <c r="AF62" s="210"/>
      <c r="BC62" s="210"/>
      <c r="BD62" s="210"/>
      <c r="BJ62" s="210"/>
      <c r="BK62" s="210"/>
      <c r="BL62" s="210"/>
      <c r="BM62" s="210"/>
      <c r="BN62" s="210"/>
      <c r="BO62" s="210"/>
      <c r="BP62" s="210"/>
      <c r="BQ62" s="210"/>
      <c r="BR62" s="210"/>
      <c r="BS62" s="210"/>
      <c r="BT62" s="210"/>
      <c r="BU62" s="210"/>
      <c r="BV62" s="210"/>
      <c r="BW62" s="210"/>
      <c r="BX62" s="210"/>
      <c r="BY62" s="210"/>
      <c r="BZ62" s="210"/>
      <c r="CA62" s="210"/>
      <c r="CB62" s="210"/>
      <c r="CC62" s="210"/>
      <c r="CD62" s="210"/>
      <c r="CE62" s="210"/>
      <c r="CF62" s="210"/>
      <c r="CG62" s="210"/>
      <c r="CH62" s="210"/>
      <c r="CI62" s="210"/>
      <c r="CJ62" s="210"/>
      <c r="CK62" s="210"/>
      <c r="CL62" s="210"/>
      <c r="CM62" s="210"/>
      <c r="CN62" s="210"/>
      <c r="CO62" s="210"/>
      <c r="CP62" s="210"/>
      <c r="CQ62" s="210"/>
      <c r="CR62" s="210"/>
      <c r="CS62" s="210"/>
      <c r="CT62" s="210"/>
      <c r="CU62" s="210"/>
      <c r="CV62" s="210"/>
      <c r="CW62" s="210"/>
      <c r="CX62" s="210"/>
      <c r="CY62" s="210"/>
      <c r="CZ62" s="210"/>
      <c r="DA62" s="210"/>
      <c r="DB62" s="210"/>
      <c r="DC62" s="210"/>
      <c r="DD62" s="210"/>
      <c r="DE62" s="210"/>
      <c r="DF62" s="210"/>
      <c r="DG62" s="210"/>
      <c r="DH62" s="210"/>
      <c r="DI62" s="210"/>
      <c r="DJ62" s="210"/>
      <c r="DK62" s="210"/>
      <c r="DL62" s="210"/>
      <c r="DM62" s="210"/>
      <c r="DN62" s="210"/>
      <c r="DO62" s="210"/>
      <c r="DP62" s="210"/>
      <c r="DQ62" s="210"/>
    </row>
    <row r="63" spans="1:121" s="209" customFormat="1" outlineLevel="1" x14ac:dyDescent="0.25">
      <c r="A63" s="234">
        <f t="shared" si="7"/>
        <v>58</v>
      </c>
      <c r="B63" s="221" t="s">
        <v>176</v>
      </c>
      <c r="C63" s="222"/>
      <c r="D63" s="215"/>
      <c r="E63" s="215"/>
      <c r="F63" s="216">
        <f t="shared" si="37"/>
        <v>0</v>
      </c>
      <c r="G63" s="215"/>
      <c r="H63" s="215"/>
      <c r="I63" s="216">
        <f t="shared" si="38"/>
        <v>0</v>
      </c>
      <c r="J63" s="216">
        <f t="shared" si="39"/>
        <v>0</v>
      </c>
      <c r="K63" s="216">
        <f t="shared" si="40"/>
        <v>0</v>
      </c>
      <c r="L63" s="217">
        <f t="shared" si="41"/>
        <v>0</v>
      </c>
      <c r="W63" s="210"/>
      <c r="AF63" s="210"/>
      <c r="BC63" s="210"/>
      <c r="BD63" s="210"/>
      <c r="BJ63" s="210"/>
      <c r="BK63" s="210"/>
      <c r="BL63" s="210"/>
      <c r="BM63" s="210"/>
      <c r="BN63" s="210"/>
      <c r="BO63" s="210"/>
      <c r="BP63" s="210"/>
      <c r="BQ63" s="210"/>
      <c r="BR63" s="210"/>
      <c r="BS63" s="210"/>
      <c r="BT63" s="210"/>
      <c r="BU63" s="210"/>
      <c r="BV63" s="210"/>
      <c r="BW63" s="210"/>
      <c r="BX63" s="210"/>
      <c r="BY63" s="210"/>
      <c r="BZ63" s="210"/>
      <c r="CA63" s="210"/>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0"/>
      <c r="DP63" s="210"/>
      <c r="DQ63" s="210"/>
    </row>
    <row r="64" spans="1:121" s="209" customFormat="1" ht="38.25" outlineLevel="1" x14ac:dyDescent="0.25">
      <c r="A64" s="234">
        <f t="shared" si="7"/>
        <v>59</v>
      </c>
      <c r="B64" s="221" t="s">
        <v>177</v>
      </c>
      <c r="C64" s="222"/>
      <c r="D64" s="215"/>
      <c r="E64" s="215"/>
      <c r="F64" s="216">
        <f t="shared" si="37"/>
        <v>0</v>
      </c>
      <c r="G64" s="215"/>
      <c r="H64" s="215"/>
      <c r="I64" s="216">
        <f t="shared" si="38"/>
        <v>0</v>
      </c>
      <c r="J64" s="216">
        <f t="shared" si="39"/>
        <v>0</v>
      </c>
      <c r="K64" s="216">
        <f t="shared" si="40"/>
        <v>0</v>
      </c>
      <c r="L64" s="217">
        <f t="shared" si="41"/>
        <v>0</v>
      </c>
      <c r="W64" s="210"/>
      <c r="AF64" s="210"/>
      <c r="BC64" s="210"/>
      <c r="BD64" s="210"/>
      <c r="BJ64" s="210"/>
      <c r="BK64" s="210"/>
      <c r="BL64" s="210"/>
      <c r="BM64" s="210"/>
      <c r="BN64" s="210"/>
      <c r="BO64" s="210"/>
      <c r="BP64" s="210"/>
      <c r="BQ64" s="210"/>
      <c r="BR64" s="210"/>
      <c r="BS64" s="210"/>
      <c r="BT64" s="210"/>
      <c r="BU64" s="210"/>
      <c r="BV64" s="210"/>
      <c r="BW64" s="210"/>
      <c r="BX64" s="210"/>
      <c r="BY64" s="210"/>
      <c r="BZ64" s="210"/>
      <c r="CA64" s="210"/>
      <c r="CB64" s="210"/>
      <c r="CC64" s="210"/>
      <c r="CD64" s="210"/>
      <c r="CE64" s="210"/>
      <c r="CF64" s="210"/>
      <c r="CG64" s="210"/>
      <c r="CH64" s="210"/>
      <c r="CI64" s="210"/>
      <c r="CJ64" s="210"/>
      <c r="CK64" s="210"/>
      <c r="CL64" s="210"/>
      <c r="CM64" s="210"/>
      <c r="CN64" s="210"/>
      <c r="CO64" s="210"/>
      <c r="CP64" s="210"/>
      <c r="CQ64" s="210"/>
      <c r="CR64" s="210"/>
      <c r="CS64" s="210"/>
      <c r="CT64" s="210"/>
      <c r="CU64" s="210"/>
      <c r="CV64" s="210"/>
      <c r="CW64" s="210"/>
      <c r="CX64" s="210"/>
      <c r="CY64" s="210"/>
      <c r="CZ64" s="210"/>
      <c r="DA64" s="210"/>
      <c r="DB64" s="210"/>
      <c r="DC64" s="210"/>
      <c r="DD64" s="210"/>
      <c r="DE64" s="210"/>
      <c r="DF64" s="210"/>
      <c r="DG64" s="210"/>
      <c r="DH64" s="210"/>
      <c r="DI64" s="210"/>
      <c r="DJ64" s="210"/>
      <c r="DK64" s="210"/>
      <c r="DL64" s="210"/>
      <c r="DM64" s="210"/>
      <c r="DN64" s="210"/>
      <c r="DO64" s="210"/>
      <c r="DP64" s="210"/>
      <c r="DQ64" s="210"/>
    </row>
    <row r="65" spans="1:121" s="209" customFormat="1" ht="38.25" outlineLevel="1" x14ac:dyDescent="0.25">
      <c r="A65" s="234">
        <f t="shared" si="7"/>
        <v>60</v>
      </c>
      <c r="B65" s="221" t="s">
        <v>178</v>
      </c>
      <c r="C65" s="222"/>
      <c r="D65" s="215"/>
      <c r="E65" s="215"/>
      <c r="F65" s="216">
        <f t="shared" si="37"/>
        <v>0</v>
      </c>
      <c r="G65" s="215"/>
      <c r="H65" s="215"/>
      <c r="I65" s="216">
        <f t="shared" si="38"/>
        <v>0</v>
      </c>
      <c r="J65" s="216">
        <f t="shared" si="39"/>
        <v>0</v>
      </c>
      <c r="K65" s="216">
        <f t="shared" si="40"/>
        <v>0</v>
      </c>
      <c r="L65" s="217">
        <f t="shared" si="41"/>
        <v>0</v>
      </c>
      <c r="W65" s="210"/>
      <c r="AF65" s="210"/>
      <c r="BC65" s="210"/>
      <c r="BD65" s="210"/>
      <c r="BJ65" s="210"/>
      <c r="BK65" s="210"/>
      <c r="BL65" s="210"/>
      <c r="BM65" s="210"/>
      <c r="BN65" s="210"/>
      <c r="BO65" s="210"/>
      <c r="BP65" s="210"/>
      <c r="BQ65" s="210"/>
      <c r="BR65" s="210"/>
      <c r="BS65" s="210"/>
      <c r="BT65" s="210"/>
      <c r="BU65" s="210"/>
      <c r="BV65" s="210"/>
      <c r="BW65" s="210"/>
      <c r="BX65" s="210"/>
      <c r="BY65" s="210"/>
      <c r="BZ65" s="210"/>
      <c r="CA65" s="210"/>
      <c r="CB65" s="210"/>
      <c r="CC65" s="210"/>
      <c r="CD65" s="210"/>
      <c r="CE65" s="210"/>
      <c r="CF65" s="210"/>
      <c r="CG65" s="210"/>
      <c r="CH65" s="210"/>
      <c r="CI65" s="210"/>
      <c r="CJ65" s="210"/>
      <c r="CK65" s="210"/>
      <c r="CL65" s="210"/>
      <c r="CM65" s="210"/>
      <c r="CN65" s="210"/>
      <c r="CO65" s="210"/>
      <c r="CP65" s="210"/>
      <c r="CQ65" s="210"/>
      <c r="CR65" s="210"/>
      <c r="CS65" s="210"/>
      <c r="CT65" s="210"/>
      <c r="CU65" s="210"/>
      <c r="CV65" s="210"/>
      <c r="CW65" s="210"/>
      <c r="CX65" s="210"/>
      <c r="CY65" s="210"/>
      <c r="CZ65" s="210"/>
      <c r="DA65" s="210"/>
      <c r="DB65" s="210"/>
      <c r="DC65" s="210"/>
      <c r="DD65" s="210"/>
      <c r="DE65" s="210"/>
      <c r="DF65" s="210"/>
      <c r="DG65" s="210"/>
      <c r="DH65" s="210"/>
      <c r="DI65" s="210"/>
      <c r="DJ65" s="210"/>
      <c r="DK65" s="210"/>
      <c r="DL65" s="210"/>
      <c r="DM65" s="210"/>
      <c r="DN65" s="210"/>
      <c r="DO65" s="210"/>
      <c r="DP65" s="210"/>
      <c r="DQ65" s="210"/>
    </row>
    <row r="66" spans="1:121" s="209" customFormat="1" ht="51" outlineLevel="1" x14ac:dyDescent="0.25">
      <c r="A66" s="234">
        <f t="shared" si="7"/>
        <v>61</v>
      </c>
      <c r="B66" s="221" t="s">
        <v>179</v>
      </c>
      <c r="C66" s="222"/>
      <c r="D66" s="215"/>
      <c r="E66" s="215"/>
      <c r="F66" s="216">
        <f t="shared" si="37"/>
        <v>0</v>
      </c>
      <c r="G66" s="215"/>
      <c r="H66" s="215"/>
      <c r="I66" s="216">
        <f t="shared" si="38"/>
        <v>0</v>
      </c>
      <c r="J66" s="216">
        <f t="shared" si="39"/>
        <v>0</v>
      </c>
      <c r="K66" s="216">
        <f t="shared" si="40"/>
        <v>0</v>
      </c>
      <c r="L66" s="217">
        <f t="shared" si="41"/>
        <v>0</v>
      </c>
      <c r="W66" s="210"/>
      <c r="AF66" s="210"/>
      <c r="BC66" s="210"/>
      <c r="BD66" s="210"/>
      <c r="BJ66" s="210"/>
      <c r="BK66" s="210"/>
      <c r="BL66" s="210"/>
      <c r="BM66" s="210"/>
      <c r="BN66" s="210"/>
      <c r="BO66" s="210"/>
      <c r="BP66" s="210"/>
      <c r="BQ66" s="210"/>
      <c r="BR66" s="210"/>
      <c r="BS66" s="210"/>
      <c r="BT66" s="210"/>
      <c r="BU66" s="210"/>
      <c r="BV66" s="210"/>
      <c r="BW66" s="210"/>
      <c r="BX66" s="210"/>
      <c r="BY66" s="210"/>
      <c r="BZ66" s="210"/>
      <c r="CA66" s="210"/>
      <c r="CB66" s="210"/>
      <c r="CC66" s="210"/>
      <c r="CD66" s="210"/>
      <c r="CE66" s="210"/>
      <c r="CF66" s="210"/>
      <c r="CG66" s="210"/>
      <c r="CH66" s="210"/>
      <c r="CI66" s="210"/>
      <c r="CJ66" s="210"/>
      <c r="CK66" s="210"/>
      <c r="CL66" s="210"/>
      <c r="CM66" s="210"/>
      <c r="CN66" s="210"/>
      <c r="CO66" s="210"/>
      <c r="CP66" s="210"/>
      <c r="CQ66" s="210"/>
      <c r="CR66" s="210"/>
      <c r="CS66" s="210"/>
      <c r="CT66" s="210"/>
      <c r="CU66" s="210"/>
      <c r="CV66" s="210"/>
      <c r="CW66" s="210"/>
      <c r="CX66" s="210"/>
      <c r="CY66" s="210"/>
      <c r="CZ66" s="210"/>
      <c r="DA66" s="210"/>
      <c r="DB66" s="210"/>
      <c r="DC66" s="210"/>
      <c r="DD66" s="210"/>
      <c r="DE66" s="210"/>
      <c r="DF66" s="210"/>
      <c r="DG66" s="210"/>
      <c r="DH66" s="210"/>
      <c r="DI66" s="210"/>
      <c r="DJ66" s="210"/>
      <c r="DK66" s="210"/>
      <c r="DL66" s="210"/>
      <c r="DM66" s="210"/>
      <c r="DN66" s="210"/>
      <c r="DO66" s="210"/>
      <c r="DP66" s="210"/>
      <c r="DQ66" s="210"/>
    </row>
    <row r="67" spans="1:121" s="209" customFormat="1" ht="38.25" outlineLevel="1" x14ac:dyDescent="0.25">
      <c r="A67" s="234">
        <f t="shared" si="7"/>
        <v>62</v>
      </c>
      <c r="B67" s="221" t="s">
        <v>180</v>
      </c>
      <c r="C67" s="222"/>
      <c r="D67" s="215"/>
      <c r="E67" s="215"/>
      <c r="F67" s="216">
        <f t="shared" si="37"/>
        <v>0</v>
      </c>
      <c r="G67" s="215"/>
      <c r="H67" s="215"/>
      <c r="I67" s="216">
        <f t="shared" si="38"/>
        <v>0</v>
      </c>
      <c r="J67" s="216">
        <f t="shared" si="39"/>
        <v>0</v>
      </c>
      <c r="K67" s="216">
        <f t="shared" si="40"/>
        <v>0</v>
      </c>
      <c r="L67" s="217">
        <f t="shared" si="41"/>
        <v>0</v>
      </c>
      <c r="W67" s="210"/>
      <c r="AF67" s="210"/>
      <c r="BC67" s="210"/>
      <c r="BD67" s="210"/>
      <c r="BJ67" s="210"/>
      <c r="BK67" s="210"/>
      <c r="BL67" s="210"/>
      <c r="BM67" s="210"/>
      <c r="BN67" s="210"/>
      <c r="BO67" s="210"/>
      <c r="BP67" s="210"/>
      <c r="BQ67" s="210"/>
      <c r="BR67" s="210"/>
      <c r="BS67" s="210"/>
      <c r="BT67" s="210"/>
      <c r="BU67" s="210"/>
      <c r="BV67" s="210"/>
      <c r="BW67" s="210"/>
      <c r="BX67" s="210"/>
      <c r="BY67" s="210"/>
      <c r="BZ67" s="210"/>
      <c r="CA67" s="210"/>
      <c r="CB67" s="210"/>
      <c r="CC67" s="210"/>
      <c r="CD67" s="210"/>
      <c r="CE67" s="210"/>
      <c r="CF67" s="210"/>
      <c r="CG67" s="210"/>
      <c r="CH67" s="210"/>
      <c r="CI67" s="210"/>
      <c r="CJ67" s="210"/>
      <c r="CK67" s="210"/>
      <c r="CL67" s="210"/>
      <c r="CM67" s="210"/>
      <c r="CN67" s="210"/>
      <c r="CO67" s="210"/>
      <c r="CP67" s="210"/>
      <c r="CQ67" s="210"/>
      <c r="CR67" s="210"/>
      <c r="CS67" s="210"/>
      <c r="CT67" s="210"/>
      <c r="CU67" s="210"/>
      <c r="CV67" s="210"/>
      <c r="CW67" s="210"/>
      <c r="CX67" s="210"/>
      <c r="CY67" s="210"/>
      <c r="CZ67" s="210"/>
      <c r="DA67" s="210"/>
      <c r="DB67" s="210"/>
      <c r="DC67" s="210"/>
      <c r="DD67" s="210"/>
      <c r="DE67" s="210"/>
      <c r="DF67" s="210"/>
      <c r="DG67" s="210"/>
      <c r="DH67" s="210"/>
      <c r="DI67" s="210"/>
      <c r="DJ67" s="210"/>
      <c r="DK67" s="210"/>
      <c r="DL67" s="210"/>
      <c r="DM67" s="210"/>
      <c r="DN67" s="210"/>
      <c r="DO67" s="210"/>
      <c r="DP67" s="210"/>
      <c r="DQ67" s="210"/>
    </row>
    <row r="68" spans="1:121" s="209" customFormat="1" ht="51" outlineLevel="1" x14ac:dyDescent="0.25">
      <c r="A68" s="234">
        <f t="shared" si="7"/>
        <v>63</v>
      </c>
      <c r="B68" s="221" t="s">
        <v>181</v>
      </c>
      <c r="C68" s="222"/>
      <c r="D68" s="215"/>
      <c r="E68" s="215"/>
      <c r="F68" s="216">
        <f t="shared" si="37"/>
        <v>0</v>
      </c>
      <c r="G68" s="215"/>
      <c r="H68" s="215"/>
      <c r="I68" s="216">
        <f t="shared" si="38"/>
        <v>0</v>
      </c>
      <c r="J68" s="216">
        <f t="shared" si="39"/>
        <v>0</v>
      </c>
      <c r="K68" s="216">
        <f t="shared" si="40"/>
        <v>0</v>
      </c>
      <c r="L68" s="217">
        <f t="shared" si="41"/>
        <v>0</v>
      </c>
      <c r="W68" s="210"/>
      <c r="AF68" s="210"/>
      <c r="BC68" s="210"/>
      <c r="BD68" s="210"/>
      <c r="BJ68" s="210"/>
      <c r="BK68" s="210"/>
      <c r="BL68" s="210"/>
      <c r="BM68" s="210"/>
      <c r="BN68" s="210"/>
      <c r="BO68" s="210"/>
      <c r="BP68" s="210"/>
      <c r="BQ68" s="210"/>
      <c r="BR68" s="210"/>
      <c r="BS68" s="210"/>
      <c r="BT68" s="210"/>
      <c r="BU68" s="210"/>
      <c r="BV68" s="210"/>
      <c r="BW68" s="210"/>
      <c r="BX68" s="210"/>
      <c r="BY68" s="210"/>
      <c r="BZ68" s="210"/>
      <c r="CA68" s="210"/>
      <c r="CB68" s="210"/>
      <c r="CC68" s="210"/>
      <c r="CD68" s="210"/>
      <c r="CE68" s="210"/>
      <c r="CF68" s="210"/>
      <c r="CG68" s="210"/>
      <c r="CH68" s="210"/>
      <c r="CI68" s="210"/>
      <c r="CJ68" s="210"/>
      <c r="CK68" s="210"/>
      <c r="CL68" s="210"/>
      <c r="CM68" s="210"/>
      <c r="CN68" s="210"/>
      <c r="CO68" s="210"/>
      <c r="CP68" s="210"/>
      <c r="CQ68" s="210"/>
      <c r="CR68" s="210"/>
      <c r="CS68" s="210"/>
      <c r="CT68" s="210"/>
      <c r="CU68" s="210"/>
      <c r="CV68" s="210"/>
      <c r="CW68" s="210"/>
      <c r="CX68" s="210"/>
      <c r="CY68" s="210"/>
      <c r="CZ68" s="210"/>
      <c r="DA68" s="210"/>
      <c r="DB68" s="210"/>
      <c r="DC68" s="210"/>
      <c r="DD68" s="210"/>
      <c r="DE68" s="210"/>
      <c r="DF68" s="210"/>
      <c r="DG68" s="210"/>
      <c r="DH68" s="210"/>
      <c r="DI68" s="210"/>
      <c r="DJ68" s="210"/>
      <c r="DK68" s="210"/>
      <c r="DL68" s="210"/>
      <c r="DM68" s="210"/>
      <c r="DN68" s="210"/>
      <c r="DO68" s="210"/>
      <c r="DP68" s="210"/>
      <c r="DQ68" s="210"/>
    </row>
    <row r="69" spans="1:121" s="209" customFormat="1" ht="51" outlineLevel="1" x14ac:dyDescent="0.25">
      <c r="A69" s="234">
        <f t="shared" si="7"/>
        <v>64</v>
      </c>
      <c r="B69" s="221" t="s">
        <v>182</v>
      </c>
      <c r="C69" s="222"/>
      <c r="D69" s="215"/>
      <c r="E69" s="215"/>
      <c r="F69" s="216">
        <f t="shared" si="37"/>
        <v>0</v>
      </c>
      <c r="G69" s="215"/>
      <c r="H69" s="215"/>
      <c r="I69" s="216">
        <f t="shared" si="38"/>
        <v>0</v>
      </c>
      <c r="J69" s="216">
        <f t="shared" si="39"/>
        <v>0</v>
      </c>
      <c r="K69" s="216">
        <f t="shared" si="40"/>
        <v>0</v>
      </c>
      <c r="L69" s="217">
        <f t="shared" si="41"/>
        <v>0</v>
      </c>
      <c r="W69" s="210"/>
      <c r="AF69" s="210"/>
      <c r="BC69" s="210"/>
      <c r="BD69" s="210"/>
      <c r="BJ69" s="210"/>
      <c r="BK69" s="210"/>
      <c r="BL69" s="210"/>
      <c r="BM69" s="210"/>
      <c r="BN69" s="210"/>
      <c r="BO69" s="210"/>
      <c r="BP69" s="210"/>
      <c r="BQ69" s="210"/>
      <c r="BR69" s="210"/>
      <c r="BS69" s="210"/>
      <c r="BT69" s="210"/>
      <c r="BU69" s="210"/>
      <c r="BV69" s="210"/>
      <c r="BW69" s="210"/>
      <c r="BX69" s="210"/>
      <c r="BY69" s="210"/>
      <c r="BZ69" s="210"/>
      <c r="CA69" s="210"/>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0"/>
      <c r="DP69" s="210"/>
      <c r="DQ69" s="210"/>
    </row>
    <row r="70" spans="1:121" s="209" customFormat="1" ht="25.5" outlineLevel="1" x14ac:dyDescent="0.25">
      <c r="A70" s="234">
        <f t="shared" si="7"/>
        <v>65</v>
      </c>
      <c r="B70" s="221" t="s">
        <v>183</v>
      </c>
      <c r="C70" s="222"/>
      <c r="D70" s="215"/>
      <c r="E70" s="215"/>
      <c r="F70" s="216">
        <f t="shared" si="37"/>
        <v>0</v>
      </c>
      <c r="G70" s="215"/>
      <c r="H70" s="215"/>
      <c r="I70" s="216">
        <f t="shared" si="38"/>
        <v>0</v>
      </c>
      <c r="J70" s="216">
        <f t="shared" si="39"/>
        <v>0</v>
      </c>
      <c r="K70" s="216">
        <f t="shared" si="40"/>
        <v>0</v>
      </c>
      <c r="L70" s="217">
        <f t="shared" si="41"/>
        <v>0</v>
      </c>
      <c r="W70" s="210"/>
      <c r="AF70" s="210"/>
      <c r="BC70" s="210"/>
      <c r="BD70" s="210"/>
      <c r="BJ70" s="210"/>
      <c r="BK70" s="210"/>
      <c r="BL70" s="210"/>
      <c r="BM70" s="210"/>
      <c r="BN70" s="210"/>
      <c r="BO70" s="210"/>
      <c r="BP70" s="210"/>
      <c r="BQ70" s="210"/>
      <c r="BR70" s="210"/>
      <c r="BS70" s="210"/>
      <c r="BT70" s="210"/>
      <c r="BU70" s="210"/>
      <c r="BV70" s="210"/>
      <c r="BW70" s="210"/>
      <c r="BX70" s="210"/>
      <c r="BY70" s="210"/>
      <c r="BZ70" s="210"/>
      <c r="CA70" s="210"/>
      <c r="CB70" s="210"/>
      <c r="CC70" s="210"/>
      <c r="CD70" s="210"/>
      <c r="CE70" s="210"/>
      <c r="CF70" s="210"/>
      <c r="CG70" s="210"/>
      <c r="CH70" s="210"/>
      <c r="CI70" s="210"/>
      <c r="CJ70" s="210"/>
      <c r="CK70" s="210"/>
      <c r="CL70" s="210"/>
      <c r="CM70" s="210"/>
      <c r="CN70" s="210"/>
      <c r="CO70" s="210"/>
      <c r="CP70" s="210"/>
      <c r="CQ70" s="210"/>
      <c r="CR70" s="210"/>
      <c r="CS70" s="210"/>
      <c r="CT70" s="210"/>
      <c r="CU70" s="210"/>
      <c r="CV70" s="210"/>
      <c r="CW70" s="210"/>
      <c r="CX70" s="210"/>
      <c r="CY70" s="210"/>
      <c r="CZ70" s="210"/>
      <c r="DA70" s="210"/>
      <c r="DB70" s="210"/>
      <c r="DC70" s="210"/>
      <c r="DD70" s="210"/>
      <c r="DE70" s="210"/>
      <c r="DF70" s="210"/>
      <c r="DG70" s="210"/>
      <c r="DH70" s="210"/>
      <c r="DI70" s="210"/>
      <c r="DJ70" s="210"/>
      <c r="DK70" s="210"/>
      <c r="DL70" s="210"/>
      <c r="DM70" s="210"/>
      <c r="DN70" s="210"/>
      <c r="DO70" s="210"/>
      <c r="DP70" s="210"/>
      <c r="DQ70" s="210"/>
    </row>
    <row r="71" spans="1:121" s="209" customFormat="1" ht="20.25" customHeight="1" outlineLevel="1" x14ac:dyDescent="0.25">
      <c r="A71" s="234">
        <f t="shared" si="7"/>
        <v>66</v>
      </c>
      <c r="B71" s="221" t="s">
        <v>160</v>
      </c>
      <c r="C71" s="222"/>
      <c r="D71" s="215"/>
      <c r="E71" s="215"/>
      <c r="F71" s="216">
        <f t="shared" ref="F71" si="42">E71-D71</f>
        <v>0</v>
      </c>
      <c r="G71" s="215"/>
      <c r="H71" s="215"/>
      <c r="I71" s="216">
        <f t="shared" ref="I71" si="43">H71-G71</f>
        <v>0</v>
      </c>
      <c r="J71" s="216">
        <f t="shared" si="39"/>
        <v>0</v>
      </c>
      <c r="K71" s="216">
        <f t="shared" si="40"/>
        <v>0</v>
      </c>
      <c r="L71" s="217">
        <f t="shared" ref="L71" si="44">K71-J71</f>
        <v>0</v>
      </c>
      <c r="W71" s="210"/>
      <c r="AF71" s="210"/>
      <c r="BC71" s="210"/>
      <c r="BD71" s="210"/>
      <c r="BJ71" s="210"/>
      <c r="BK71" s="210"/>
      <c r="BL71" s="210"/>
      <c r="BM71" s="210"/>
      <c r="BN71" s="210"/>
      <c r="BO71" s="210"/>
      <c r="BP71" s="210"/>
      <c r="BQ71" s="210"/>
      <c r="BR71" s="210"/>
      <c r="BS71" s="210"/>
      <c r="BT71" s="210"/>
      <c r="BU71" s="210"/>
      <c r="BV71" s="210"/>
      <c r="BW71" s="210"/>
      <c r="BX71" s="210"/>
      <c r="BY71" s="210"/>
      <c r="BZ71" s="210"/>
      <c r="CA71" s="210"/>
      <c r="CB71" s="210"/>
      <c r="CC71" s="210"/>
      <c r="CD71" s="210"/>
      <c r="CE71" s="210"/>
      <c r="CF71" s="210"/>
      <c r="CG71" s="210"/>
      <c r="CH71" s="210"/>
      <c r="CI71" s="210"/>
      <c r="CJ71" s="210"/>
      <c r="CK71" s="210"/>
      <c r="CL71" s="210"/>
      <c r="CM71" s="210"/>
      <c r="CN71" s="210"/>
      <c r="CO71" s="210"/>
      <c r="CP71" s="210"/>
      <c r="CQ71" s="210"/>
      <c r="CR71" s="210"/>
      <c r="CS71" s="210"/>
      <c r="CT71" s="210"/>
      <c r="CU71" s="210"/>
      <c r="CV71" s="210"/>
      <c r="CW71" s="210"/>
      <c r="CX71" s="210"/>
      <c r="CY71" s="210"/>
      <c r="CZ71" s="210"/>
      <c r="DA71" s="210"/>
      <c r="DB71" s="210"/>
      <c r="DC71" s="210"/>
      <c r="DD71" s="210"/>
      <c r="DE71" s="210"/>
      <c r="DF71" s="210"/>
      <c r="DG71" s="210"/>
      <c r="DH71" s="210"/>
      <c r="DI71" s="210"/>
      <c r="DJ71" s="210"/>
      <c r="DK71" s="210"/>
      <c r="DL71" s="210"/>
      <c r="DM71" s="210"/>
      <c r="DN71" s="210"/>
      <c r="DO71" s="210"/>
      <c r="DP71" s="210"/>
      <c r="DQ71" s="210"/>
    </row>
    <row r="72" spans="1:121" s="218" customFormat="1" x14ac:dyDescent="0.25">
      <c r="A72" s="234">
        <f t="shared" ref="A72:A81" si="45">A71+1</f>
        <v>67</v>
      </c>
      <c r="B72" s="219" t="s">
        <v>184</v>
      </c>
      <c r="C72" s="220"/>
      <c r="D72" s="215"/>
      <c r="E72" s="215"/>
      <c r="F72" s="216">
        <f t="shared" si="34"/>
        <v>0</v>
      </c>
      <c r="G72" s="215"/>
      <c r="H72" s="215"/>
      <c r="I72" s="216">
        <f t="shared" si="35"/>
        <v>0</v>
      </c>
      <c r="J72" s="216">
        <f t="shared" si="39"/>
        <v>0</v>
      </c>
      <c r="K72" s="216">
        <f t="shared" si="40"/>
        <v>0</v>
      </c>
      <c r="L72" s="217">
        <f t="shared" si="36"/>
        <v>0</v>
      </c>
      <c r="M72" s="206"/>
      <c r="N72" s="206"/>
      <c r="O72" s="206"/>
      <c r="P72" s="206"/>
      <c r="Q72" s="206"/>
      <c r="R72" s="206"/>
      <c r="S72" s="206"/>
      <c r="T72" s="206"/>
      <c r="U72" s="206"/>
      <c r="V72" s="206"/>
      <c r="X72" s="206"/>
      <c r="Y72" s="206"/>
      <c r="Z72" s="206"/>
      <c r="AA72" s="206"/>
      <c r="AB72" s="206"/>
      <c r="AC72" s="206"/>
      <c r="AD72" s="206"/>
      <c r="AE72" s="206"/>
      <c r="AG72" s="206"/>
      <c r="AH72" s="206"/>
      <c r="AI72" s="206"/>
      <c r="AJ72" s="206"/>
      <c r="AK72" s="206"/>
      <c r="AL72" s="206"/>
      <c r="AM72" s="206"/>
      <c r="AN72" s="206"/>
      <c r="AO72" s="206"/>
      <c r="AP72" s="206"/>
      <c r="AQ72" s="206"/>
      <c r="AR72" s="206"/>
      <c r="AS72" s="206"/>
      <c r="AT72" s="206"/>
      <c r="AU72" s="206"/>
      <c r="AV72" s="206"/>
      <c r="AW72" s="206"/>
      <c r="AX72" s="206"/>
      <c r="AY72" s="206"/>
      <c r="AZ72" s="206"/>
      <c r="BA72" s="206"/>
      <c r="BB72" s="206"/>
      <c r="BE72" s="206"/>
      <c r="BF72" s="206"/>
      <c r="BG72" s="206"/>
      <c r="BH72" s="206"/>
      <c r="BI72" s="206"/>
    </row>
    <row r="73" spans="1:121" s="218" customFormat="1" ht="25.5" x14ac:dyDescent="0.25">
      <c r="A73" s="234">
        <f t="shared" si="45"/>
        <v>68</v>
      </c>
      <c r="B73" s="219" t="s">
        <v>185</v>
      </c>
      <c r="C73" s="220"/>
      <c r="D73" s="215"/>
      <c r="E73" s="215"/>
      <c r="F73" s="216">
        <f t="shared" si="34"/>
        <v>0</v>
      </c>
      <c r="G73" s="215"/>
      <c r="H73" s="215"/>
      <c r="I73" s="216">
        <f t="shared" si="35"/>
        <v>0</v>
      </c>
      <c r="J73" s="216">
        <f t="shared" si="39"/>
        <v>0</v>
      </c>
      <c r="K73" s="216">
        <f t="shared" si="40"/>
        <v>0</v>
      </c>
      <c r="L73" s="217">
        <f t="shared" si="36"/>
        <v>0</v>
      </c>
      <c r="M73" s="206"/>
      <c r="N73" s="206"/>
      <c r="O73" s="206"/>
      <c r="P73" s="206"/>
      <c r="Q73" s="206"/>
      <c r="R73" s="206"/>
      <c r="S73" s="206"/>
      <c r="T73" s="206"/>
      <c r="U73" s="206"/>
      <c r="V73" s="206"/>
      <c r="X73" s="206"/>
      <c r="Y73" s="206"/>
      <c r="Z73" s="206"/>
      <c r="AA73" s="206"/>
      <c r="AB73" s="206"/>
      <c r="AC73" s="206"/>
      <c r="AD73" s="206"/>
      <c r="AE73" s="206"/>
      <c r="AG73" s="206"/>
      <c r="AH73" s="206"/>
      <c r="AI73" s="206"/>
      <c r="AJ73" s="206"/>
      <c r="AK73" s="206"/>
      <c r="AL73" s="206"/>
      <c r="AM73" s="206"/>
      <c r="AN73" s="206"/>
      <c r="AO73" s="206"/>
      <c r="AP73" s="206"/>
      <c r="AQ73" s="206"/>
      <c r="AR73" s="206"/>
      <c r="AS73" s="206"/>
      <c r="AT73" s="206"/>
      <c r="AU73" s="206"/>
      <c r="AV73" s="206"/>
      <c r="AW73" s="206"/>
      <c r="AX73" s="206"/>
      <c r="AY73" s="206"/>
      <c r="AZ73" s="206"/>
      <c r="BA73" s="206"/>
      <c r="BB73" s="206"/>
      <c r="BE73" s="206"/>
      <c r="BF73" s="206"/>
      <c r="BG73" s="206"/>
      <c r="BH73" s="206"/>
      <c r="BI73" s="206"/>
    </row>
    <row r="74" spans="1:121" s="218" customFormat="1" ht="38.25" x14ac:dyDescent="0.25">
      <c r="A74" s="234">
        <f t="shared" si="45"/>
        <v>69</v>
      </c>
      <c r="B74" s="347" t="s">
        <v>1636</v>
      </c>
      <c r="C74" s="220"/>
      <c r="D74" s="215"/>
      <c r="E74" s="215"/>
      <c r="F74" s="216">
        <f t="shared" si="34"/>
        <v>0</v>
      </c>
      <c r="G74" s="215"/>
      <c r="H74" s="215"/>
      <c r="I74" s="216">
        <f t="shared" si="35"/>
        <v>0</v>
      </c>
      <c r="J74" s="216">
        <f t="shared" si="39"/>
        <v>0</v>
      </c>
      <c r="K74" s="216">
        <f t="shared" si="40"/>
        <v>0</v>
      </c>
      <c r="L74" s="217">
        <f t="shared" si="36"/>
        <v>0</v>
      </c>
      <c r="M74" s="206"/>
      <c r="N74" s="206"/>
      <c r="O74" s="206"/>
      <c r="P74" s="206"/>
      <c r="Q74" s="206"/>
      <c r="R74" s="206"/>
      <c r="S74" s="206"/>
      <c r="T74" s="206"/>
      <c r="U74" s="206"/>
      <c r="V74" s="206"/>
      <c r="X74" s="206"/>
      <c r="Y74" s="206"/>
      <c r="Z74" s="206"/>
      <c r="AA74" s="206"/>
      <c r="AB74" s="206"/>
      <c r="AC74" s="206"/>
      <c r="AD74" s="206"/>
      <c r="AE74" s="206"/>
      <c r="AG74" s="206"/>
      <c r="AH74" s="206"/>
      <c r="AI74" s="206"/>
      <c r="AJ74" s="206"/>
      <c r="AK74" s="206"/>
      <c r="AL74" s="206"/>
      <c r="AM74" s="206"/>
      <c r="AN74" s="206"/>
      <c r="AO74" s="206"/>
      <c r="AP74" s="206"/>
      <c r="AQ74" s="206"/>
      <c r="AR74" s="206"/>
      <c r="AS74" s="206"/>
      <c r="AT74" s="206"/>
      <c r="AU74" s="206"/>
      <c r="AV74" s="206"/>
      <c r="AW74" s="206"/>
      <c r="AX74" s="206"/>
      <c r="AY74" s="206"/>
      <c r="AZ74" s="206"/>
      <c r="BA74" s="206"/>
      <c r="BB74" s="206"/>
      <c r="BE74" s="206"/>
      <c r="BF74" s="206"/>
      <c r="BG74" s="206"/>
      <c r="BH74" s="206"/>
      <c r="BI74" s="206"/>
    </row>
    <row r="75" spans="1:121" s="218" customFormat="1" x14ac:dyDescent="0.25">
      <c r="A75" s="234">
        <f t="shared" si="45"/>
        <v>70</v>
      </c>
      <c r="B75" s="219" t="s">
        <v>186</v>
      </c>
      <c r="C75" s="220"/>
      <c r="D75" s="215"/>
      <c r="E75" s="215"/>
      <c r="F75" s="216">
        <f t="shared" si="34"/>
        <v>0</v>
      </c>
      <c r="G75" s="215"/>
      <c r="H75" s="215"/>
      <c r="I75" s="216">
        <f t="shared" si="35"/>
        <v>0</v>
      </c>
      <c r="J75" s="216">
        <f t="shared" si="39"/>
        <v>0</v>
      </c>
      <c r="K75" s="216">
        <f t="shared" si="40"/>
        <v>0</v>
      </c>
      <c r="L75" s="217">
        <f t="shared" si="36"/>
        <v>0</v>
      </c>
      <c r="M75" s="206"/>
      <c r="N75" s="206"/>
      <c r="O75" s="206"/>
      <c r="P75" s="206"/>
      <c r="Q75" s="206"/>
      <c r="R75" s="206"/>
      <c r="S75" s="206"/>
      <c r="T75" s="206"/>
      <c r="U75" s="206"/>
      <c r="V75" s="206"/>
      <c r="X75" s="206"/>
      <c r="Y75" s="206"/>
      <c r="Z75" s="206"/>
      <c r="AA75" s="206"/>
      <c r="AB75" s="206"/>
      <c r="AC75" s="206"/>
      <c r="AD75" s="206"/>
      <c r="AE75" s="206"/>
      <c r="AG75" s="206"/>
      <c r="AH75" s="206"/>
      <c r="AI75" s="206"/>
      <c r="AJ75" s="206"/>
      <c r="AK75" s="206"/>
      <c r="AL75" s="206"/>
      <c r="AM75" s="206"/>
      <c r="AN75" s="206"/>
      <c r="AO75" s="206"/>
      <c r="AP75" s="206"/>
      <c r="AQ75" s="206"/>
      <c r="AR75" s="206"/>
      <c r="AS75" s="206"/>
      <c r="AT75" s="206"/>
      <c r="AU75" s="206"/>
      <c r="AV75" s="206"/>
      <c r="AW75" s="206"/>
      <c r="AX75" s="206"/>
      <c r="AY75" s="206"/>
      <c r="AZ75" s="206"/>
      <c r="BA75" s="206"/>
      <c r="BB75" s="206"/>
      <c r="BE75" s="206"/>
      <c r="BF75" s="206"/>
      <c r="BG75" s="206"/>
      <c r="BH75" s="206"/>
      <c r="BI75" s="206"/>
    </row>
    <row r="76" spans="1:121" s="218" customFormat="1" ht="51" x14ac:dyDescent="0.25">
      <c r="A76" s="234">
        <f t="shared" si="45"/>
        <v>71</v>
      </c>
      <c r="B76" s="219" t="s">
        <v>187</v>
      </c>
      <c r="C76" s="220"/>
      <c r="D76" s="215"/>
      <c r="E76" s="215"/>
      <c r="F76" s="216">
        <f t="shared" si="34"/>
        <v>0</v>
      </c>
      <c r="G76" s="215"/>
      <c r="H76" s="215"/>
      <c r="I76" s="216">
        <f t="shared" si="35"/>
        <v>0</v>
      </c>
      <c r="J76" s="216">
        <f t="shared" si="39"/>
        <v>0</v>
      </c>
      <c r="K76" s="216">
        <f t="shared" si="40"/>
        <v>0</v>
      </c>
      <c r="L76" s="217">
        <f t="shared" si="36"/>
        <v>0</v>
      </c>
      <c r="M76" s="206"/>
      <c r="N76" s="206"/>
      <c r="O76" s="206"/>
      <c r="P76" s="206"/>
      <c r="Q76" s="206"/>
      <c r="R76" s="206"/>
      <c r="S76" s="206"/>
      <c r="T76" s="206"/>
      <c r="U76" s="206"/>
      <c r="V76" s="206"/>
      <c r="X76" s="206"/>
      <c r="Y76" s="206"/>
      <c r="Z76" s="206"/>
      <c r="AA76" s="206"/>
      <c r="AB76" s="206"/>
      <c r="AC76" s="206"/>
      <c r="AD76" s="206"/>
      <c r="AE76" s="206"/>
      <c r="AG76" s="206"/>
      <c r="AH76" s="206"/>
      <c r="AI76" s="206"/>
      <c r="AJ76" s="206"/>
      <c r="AK76" s="206"/>
      <c r="AL76" s="206"/>
      <c r="AM76" s="206"/>
      <c r="AN76" s="206"/>
      <c r="AO76" s="206"/>
      <c r="AP76" s="206"/>
      <c r="AQ76" s="206"/>
      <c r="AR76" s="206"/>
      <c r="AS76" s="206"/>
      <c r="AT76" s="206"/>
      <c r="AU76" s="206"/>
      <c r="AV76" s="206"/>
      <c r="AW76" s="206"/>
      <c r="AX76" s="206"/>
      <c r="AY76" s="206"/>
      <c r="AZ76" s="206"/>
      <c r="BA76" s="206"/>
      <c r="BB76" s="206"/>
      <c r="BE76" s="206"/>
      <c r="BF76" s="206"/>
      <c r="BG76" s="206"/>
      <c r="BH76" s="206"/>
      <c r="BI76" s="206"/>
    </row>
    <row r="77" spans="1:121" s="218" customFormat="1" ht="38.25" x14ac:dyDescent="0.25">
      <c r="A77" s="234">
        <f t="shared" si="45"/>
        <v>72</v>
      </c>
      <c r="B77" s="219" t="s">
        <v>188</v>
      </c>
      <c r="C77" s="220"/>
      <c r="D77" s="215"/>
      <c r="E77" s="215"/>
      <c r="F77" s="216">
        <f t="shared" si="34"/>
        <v>0</v>
      </c>
      <c r="G77" s="215"/>
      <c r="H77" s="215"/>
      <c r="I77" s="216">
        <f t="shared" si="35"/>
        <v>0</v>
      </c>
      <c r="J77" s="216">
        <f t="shared" si="39"/>
        <v>0</v>
      </c>
      <c r="K77" s="216">
        <f t="shared" si="40"/>
        <v>0</v>
      </c>
      <c r="L77" s="217">
        <f t="shared" si="36"/>
        <v>0</v>
      </c>
      <c r="M77" s="206"/>
      <c r="N77" s="206"/>
      <c r="O77" s="206"/>
      <c r="P77" s="206"/>
      <c r="Q77" s="206"/>
      <c r="R77" s="206"/>
      <c r="S77" s="206"/>
      <c r="T77" s="206"/>
      <c r="U77" s="206"/>
      <c r="V77" s="206"/>
      <c r="X77" s="206"/>
      <c r="Y77" s="206"/>
      <c r="Z77" s="206"/>
      <c r="AA77" s="206"/>
      <c r="AB77" s="206"/>
      <c r="AC77" s="206"/>
      <c r="AD77" s="206"/>
      <c r="AE77" s="206"/>
      <c r="AG77" s="206"/>
      <c r="AH77" s="206"/>
      <c r="AI77" s="206"/>
      <c r="AJ77" s="206"/>
      <c r="AK77" s="206"/>
      <c r="AL77" s="206"/>
      <c r="AM77" s="206"/>
      <c r="AN77" s="206"/>
      <c r="AO77" s="206"/>
      <c r="AP77" s="206"/>
      <c r="AQ77" s="206"/>
      <c r="AR77" s="206"/>
      <c r="AS77" s="206"/>
      <c r="AT77" s="206"/>
      <c r="AU77" s="206"/>
      <c r="AV77" s="206"/>
      <c r="AW77" s="206"/>
      <c r="AX77" s="206"/>
      <c r="AY77" s="206"/>
      <c r="AZ77" s="206"/>
      <c r="BA77" s="206"/>
      <c r="BB77" s="206"/>
      <c r="BE77" s="206"/>
      <c r="BF77" s="206"/>
      <c r="BG77" s="206"/>
      <c r="BH77" s="206"/>
      <c r="BI77" s="206"/>
    </row>
    <row r="78" spans="1:121" s="218" customFormat="1" ht="25.5" x14ac:dyDescent="0.25">
      <c r="A78" s="234">
        <f t="shared" si="45"/>
        <v>73</v>
      </c>
      <c r="B78" s="219" t="s">
        <v>189</v>
      </c>
      <c r="C78" s="220"/>
      <c r="D78" s="215"/>
      <c r="E78" s="215"/>
      <c r="F78" s="216">
        <f t="shared" si="34"/>
        <v>0</v>
      </c>
      <c r="G78" s="215"/>
      <c r="H78" s="215"/>
      <c r="I78" s="216">
        <f t="shared" si="35"/>
        <v>0</v>
      </c>
      <c r="J78" s="216">
        <f t="shared" si="39"/>
        <v>0</v>
      </c>
      <c r="K78" s="216">
        <f t="shared" si="40"/>
        <v>0</v>
      </c>
      <c r="L78" s="217">
        <f t="shared" si="36"/>
        <v>0</v>
      </c>
      <c r="M78" s="206"/>
      <c r="N78" s="206"/>
      <c r="O78" s="206"/>
      <c r="P78" s="206"/>
      <c r="Q78" s="206"/>
      <c r="R78" s="206"/>
      <c r="S78" s="206"/>
      <c r="T78" s="206"/>
      <c r="U78" s="206"/>
      <c r="V78" s="206"/>
      <c r="X78" s="206"/>
      <c r="Y78" s="206"/>
      <c r="Z78" s="206"/>
      <c r="AA78" s="206"/>
      <c r="AB78" s="206"/>
      <c r="AC78" s="206"/>
      <c r="AD78" s="206"/>
      <c r="AE78" s="206"/>
      <c r="AG78" s="206"/>
      <c r="AH78" s="206"/>
      <c r="AI78" s="206"/>
      <c r="AJ78" s="206"/>
      <c r="AK78" s="206"/>
      <c r="AL78" s="206"/>
      <c r="AM78" s="206"/>
      <c r="AN78" s="206"/>
      <c r="AO78" s="206"/>
      <c r="AP78" s="206"/>
      <c r="AQ78" s="206"/>
      <c r="AR78" s="206"/>
      <c r="AS78" s="206"/>
      <c r="AT78" s="206"/>
      <c r="AU78" s="206"/>
      <c r="AV78" s="206"/>
      <c r="AW78" s="206"/>
      <c r="AX78" s="206"/>
      <c r="AY78" s="206"/>
      <c r="AZ78" s="206"/>
      <c r="BA78" s="206"/>
      <c r="BB78" s="206"/>
      <c r="BE78" s="206"/>
      <c r="BF78" s="206"/>
      <c r="BG78" s="206"/>
      <c r="BH78" s="206"/>
      <c r="BI78" s="206"/>
    </row>
    <row r="79" spans="1:121" s="218" customFormat="1" ht="25.5" x14ac:dyDescent="0.25">
      <c r="A79" s="234">
        <f t="shared" si="45"/>
        <v>74</v>
      </c>
      <c r="B79" s="219" t="s">
        <v>190</v>
      </c>
      <c r="C79" s="220"/>
      <c r="D79" s="215"/>
      <c r="E79" s="215"/>
      <c r="F79" s="216">
        <f>E79-D79</f>
        <v>0</v>
      </c>
      <c r="G79" s="215"/>
      <c r="H79" s="215"/>
      <c r="I79" s="216">
        <f>H79-G79</f>
        <v>0</v>
      </c>
      <c r="J79" s="216">
        <f t="shared" si="39"/>
        <v>0</v>
      </c>
      <c r="K79" s="216">
        <f t="shared" si="40"/>
        <v>0</v>
      </c>
      <c r="L79" s="217">
        <f>K79-J79</f>
        <v>0</v>
      </c>
      <c r="M79" s="206"/>
      <c r="N79" s="206"/>
      <c r="O79" s="206"/>
      <c r="P79" s="206"/>
      <c r="Q79" s="206"/>
      <c r="R79" s="206"/>
      <c r="S79" s="206"/>
      <c r="T79" s="206"/>
      <c r="U79" s="206"/>
      <c r="V79" s="206"/>
      <c r="X79" s="206"/>
      <c r="Y79" s="206"/>
      <c r="Z79" s="206"/>
      <c r="AA79" s="206"/>
      <c r="AB79" s="206"/>
      <c r="AC79" s="206"/>
      <c r="AD79" s="206"/>
      <c r="AE79" s="206"/>
      <c r="AG79" s="206"/>
      <c r="AH79" s="206"/>
      <c r="AI79" s="206"/>
      <c r="AJ79" s="206"/>
      <c r="AK79" s="206"/>
      <c r="AL79" s="206"/>
      <c r="AM79" s="206"/>
      <c r="AN79" s="206"/>
      <c r="AO79" s="206"/>
      <c r="AP79" s="206"/>
      <c r="AQ79" s="206"/>
      <c r="AR79" s="206"/>
      <c r="AS79" s="206"/>
      <c r="AT79" s="206"/>
      <c r="AU79" s="206"/>
      <c r="AV79" s="206"/>
      <c r="AW79" s="206"/>
      <c r="AX79" s="206"/>
      <c r="AY79" s="206"/>
      <c r="AZ79" s="206"/>
      <c r="BA79" s="206"/>
      <c r="BB79" s="206"/>
      <c r="BE79" s="206"/>
      <c r="BF79" s="206"/>
      <c r="BG79" s="206"/>
      <c r="BH79" s="206"/>
      <c r="BI79" s="206"/>
    </row>
    <row r="80" spans="1:121" s="218" customFormat="1" x14ac:dyDescent="0.25">
      <c r="A80" s="234">
        <f t="shared" si="45"/>
        <v>75</v>
      </c>
      <c r="B80" s="223" t="s">
        <v>191</v>
      </c>
      <c r="C80" s="224"/>
      <c r="D80" s="215"/>
      <c r="E80" s="215"/>
      <c r="F80" s="216">
        <f>E80-D80</f>
        <v>0</v>
      </c>
      <c r="G80" s="215"/>
      <c r="H80" s="215"/>
      <c r="I80" s="225">
        <f>H80-G80</f>
        <v>0</v>
      </c>
      <c r="J80" s="225">
        <f t="shared" si="39"/>
        <v>0</v>
      </c>
      <c r="K80" s="225">
        <f t="shared" si="40"/>
        <v>0</v>
      </c>
      <c r="L80" s="226">
        <f>K80-J80</f>
        <v>0</v>
      </c>
      <c r="M80" s="206"/>
      <c r="N80" s="206"/>
      <c r="O80" s="206"/>
      <c r="P80" s="206"/>
      <c r="Q80" s="206"/>
      <c r="R80" s="206"/>
      <c r="S80" s="206"/>
      <c r="T80" s="206"/>
      <c r="U80" s="206"/>
      <c r="V80" s="206"/>
      <c r="X80" s="206"/>
      <c r="Y80" s="206"/>
      <c r="Z80" s="206"/>
      <c r="AA80" s="206"/>
      <c r="AB80" s="206"/>
      <c r="AC80" s="206"/>
      <c r="AD80" s="206"/>
      <c r="AE80" s="206"/>
      <c r="AG80" s="206"/>
      <c r="AH80" s="206"/>
      <c r="AI80" s="206"/>
      <c r="AJ80" s="206"/>
      <c r="AK80" s="206"/>
      <c r="AL80" s="206"/>
      <c r="AM80" s="206"/>
      <c r="AN80" s="206"/>
      <c r="AO80" s="206"/>
      <c r="AP80" s="206"/>
      <c r="AQ80" s="206"/>
      <c r="AR80" s="206"/>
      <c r="AS80" s="206"/>
      <c r="AT80" s="206"/>
      <c r="AU80" s="206"/>
      <c r="AV80" s="206"/>
      <c r="AW80" s="206"/>
      <c r="AX80" s="206"/>
      <c r="AY80" s="206"/>
      <c r="AZ80" s="206"/>
      <c r="BA80" s="206"/>
      <c r="BB80" s="206"/>
      <c r="BE80" s="206"/>
      <c r="BF80" s="206"/>
      <c r="BG80" s="206"/>
      <c r="BH80" s="206"/>
      <c r="BI80" s="206"/>
    </row>
    <row r="81" spans="1:121" s="209" customFormat="1" ht="15.75" thickBot="1" x14ac:dyDescent="0.3">
      <c r="A81" s="443">
        <f t="shared" si="45"/>
        <v>76</v>
      </c>
      <c r="B81" s="709" t="s">
        <v>1630</v>
      </c>
      <c r="C81" s="709"/>
      <c r="D81" s="710"/>
      <c r="E81" s="710"/>
      <c r="F81" s="710"/>
      <c r="G81" s="710"/>
      <c r="H81" s="710"/>
      <c r="I81" s="710"/>
      <c r="J81" s="710"/>
      <c r="K81" s="710"/>
      <c r="L81" s="711"/>
      <c r="W81" s="210"/>
      <c r="AF81" s="210"/>
      <c r="BC81" s="210"/>
      <c r="BD81" s="210"/>
      <c r="BJ81" s="210"/>
      <c r="BK81" s="210"/>
      <c r="BL81" s="210"/>
      <c r="BM81" s="210"/>
      <c r="BN81" s="210"/>
      <c r="BO81" s="210"/>
      <c r="BP81" s="210"/>
      <c r="BQ81" s="210"/>
      <c r="BR81" s="210"/>
      <c r="BS81" s="210"/>
      <c r="BT81" s="210"/>
      <c r="BU81" s="210"/>
      <c r="BV81" s="210"/>
      <c r="BW81" s="210"/>
      <c r="BX81" s="210"/>
      <c r="BY81" s="210"/>
      <c r="BZ81" s="210"/>
      <c r="CA81" s="210"/>
      <c r="CB81" s="210"/>
      <c r="CC81" s="210"/>
      <c r="CD81" s="210"/>
      <c r="CE81" s="210"/>
      <c r="CF81" s="210"/>
      <c r="CG81" s="210"/>
      <c r="CH81" s="210"/>
      <c r="CI81" s="210"/>
      <c r="CJ81" s="210"/>
      <c r="CK81" s="210"/>
      <c r="CL81" s="210"/>
      <c r="CM81" s="210"/>
      <c r="CN81" s="210"/>
      <c r="CO81" s="210"/>
      <c r="CP81" s="210"/>
      <c r="CQ81" s="210"/>
      <c r="CR81" s="210"/>
      <c r="CS81" s="210"/>
      <c r="CT81" s="210"/>
      <c r="CU81" s="210"/>
      <c r="CV81" s="210"/>
      <c r="CW81" s="210"/>
      <c r="CX81" s="210"/>
      <c r="CY81" s="210"/>
      <c r="CZ81" s="210"/>
      <c r="DA81" s="210"/>
      <c r="DB81" s="210"/>
      <c r="DC81" s="210"/>
      <c r="DD81" s="210"/>
      <c r="DE81" s="210"/>
      <c r="DF81" s="210"/>
      <c r="DG81" s="210"/>
      <c r="DH81" s="210"/>
      <c r="DI81" s="210"/>
      <c r="DJ81" s="210"/>
      <c r="DK81" s="210"/>
      <c r="DL81" s="210"/>
      <c r="DM81" s="210"/>
      <c r="DN81" s="210"/>
      <c r="DO81" s="210"/>
      <c r="DP81" s="210"/>
      <c r="DQ81" s="210"/>
    </row>
    <row r="82" spans="1:121" s="209" customFormat="1" x14ac:dyDescent="0.25">
      <c r="A82" s="370"/>
      <c r="B82" s="228"/>
      <c r="C82" s="228"/>
      <c r="D82" s="227"/>
      <c r="E82" s="227"/>
      <c r="F82" s="227"/>
      <c r="W82" s="210"/>
      <c r="AF82" s="210"/>
      <c r="BC82" s="210"/>
      <c r="BD82" s="210"/>
      <c r="BJ82" s="210"/>
      <c r="BK82" s="210"/>
      <c r="BL82" s="210"/>
      <c r="BM82" s="210"/>
      <c r="BN82" s="210"/>
      <c r="BO82" s="210"/>
      <c r="BP82" s="210"/>
      <c r="BQ82" s="210"/>
      <c r="BR82" s="210"/>
      <c r="BS82" s="210"/>
      <c r="BT82" s="210"/>
      <c r="BU82" s="210"/>
      <c r="BV82" s="210"/>
      <c r="BW82" s="210"/>
      <c r="BX82" s="210"/>
      <c r="BY82" s="210"/>
      <c r="BZ82" s="210"/>
      <c r="CA82" s="210"/>
      <c r="CB82" s="210"/>
      <c r="CC82" s="210"/>
      <c r="CD82" s="210"/>
      <c r="CE82" s="210"/>
      <c r="CF82" s="210"/>
      <c r="CG82" s="210"/>
      <c r="CH82" s="210"/>
      <c r="CI82" s="210"/>
      <c r="CJ82" s="210"/>
      <c r="CK82" s="210"/>
      <c r="CL82" s="210"/>
      <c r="CM82" s="210"/>
      <c r="CN82" s="210"/>
      <c r="CO82" s="210"/>
      <c r="CP82" s="210"/>
      <c r="CQ82" s="210"/>
      <c r="CR82" s="210"/>
      <c r="CS82" s="210"/>
      <c r="CT82" s="210"/>
      <c r="CU82" s="210"/>
      <c r="CV82" s="210"/>
      <c r="CW82" s="210"/>
      <c r="CX82" s="210"/>
      <c r="CY82" s="210"/>
      <c r="CZ82" s="210"/>
      <c r="DA82" s="210"/>
      <c r="DB82" s="210"/>
      <c r="DC82" s="210"/>
      <c r="DD82" s="210"/>
      <c r="DE82" s="210"/>
      <c r="DF82" s="210"/>
      <c r="DG82" s="210"/>
      <c r="DH82" s="210"/>
      <c r="DI82" s="210"/>
      <c r="DJ82" s="210"/>
      <c r="DK82" s="210"/>
      <c r="DL82" s="210"/>
      <c r="DM82" s="210"/>
      <c r="DN82" s="210"/>
      <c r="DO82" s="210"/>
      <c r="DP82" s="210"/>
      <c r="DQ82" s="210"/>
    </row>
    <row r="83" spans="1:121" s="209" customFormat="1" x14ac:dyDescent="0.25">
      <c r="A83" s="370"/>
      <c r="B83" s="228"/>
      <c r="C83" s="228"/>
      <c r="D83" s="227"/>
      <c r="E83" s="227"/>
      <c r="F83" s="227"/>
      <c r="W83" s="210"/>
      <c r="AF83" s="210"/>
      <c r="BC83" s="210"/>
      <c r="BD83" s="210"/>
      <c r="BJ83" s="210"/>
      <c r="BK83" s="210"/>
      <c r="BL83" s="210"/>
      <c r="BM83" s="210"/>
      <c r="BN83" s="210"/>
      <c r="BO83" s="210"/>
      <c r="BP83" s="210"/>
      <c r="BQ83" s="210"/>
      <c r="BR83" s="210"/>
      <c r="BS83" s="210"/>
      <c r="BT83" s="210"/>
      <c r="BU83" s="210"/>
      <c r="BV83" s="210"/>
      <c r="BW83" s="210"/>
      <c r="BX83" s="210"/>
      <c r="BY83" s="210"/>
      <c r="BZ83" s="210"/>
      <c r="CA83" s="210"/>
      <c r="CB83" s="210"/>
      <c r="CC83" s="210"/>
      <c r="CD83" s="210"/>
      <c r="CE83" s="210"/>
      <c r="CF83" s="210"/>
      <c r="CG83" s="210"/>
      <c r="CH83" s="210"/>
      <c r="CI83" s="210"/>
      <c r="CJ83" s="210"/>
      <c r="CK83" s="210"/>
      <c r="CL83" s="210"/>
      <c r="CM83" s="210"/>
      <c r="CN83" s="210"/>
      <c r="CO83" s="210"/>
      <c r="CP83" s="210"/>
      <c r="CQ83" s="210"/>
      <c r="CR83" s="210"/>
      <c r="CS83" s="210"/>
      <c r="CT83" s="210"/>
      <c r="CU83" s="210"/>
      <c r="CV83" s="210"/>
      <c r="CW83" s="210"/>
      <c r="CX83" s="210"/>
      <c r="CY83" s="210"/>
      <c r="CZ83" s="210"/>
      <c r="DA83" s="210"/>
      <c r="DB83" s="210"/>
      <c r="DC83" s="210"/>
      <c r="DD83" s="210"/>
      <c r="DE83" s="210"/>
      <c r="DF83" s="210"/>
      <c r="DG83" s="210"/>
      <c r="DH83" s="210"/>
      <c r="DI83" s="210"/>
      <c r="DJ83" s="210"/>
      <c r="DK83" s="210"/>
      <c r="DL83" s="210"/>
      <c r="DM83" s="210"/>
      <c r="DN83" s="210"/>
      <c r="DO83" s="210"/>
      <c r="DP83" s="210"/>
      <c r="DQ83" s="210"/>
    </row>
    <row r="84" spans="1:121" s="209" customFormat="1" x14ac:dyDescent="0.25">
      <c r="A84" s="370"/>
      <c r="B84" s="228"/>
      <c r="C84" s="228"/>
      <c r="D84" s="227"/>
      <c r="E84" s="227"/>
      <c r="F84" s="227"/>
      <c r="W84" s="210"/>
      <c r="AF84" s="210"/>
      <c r="BC84" s="210"/>
      <c r="BD84" s="210"/>
      <c r="BJ84" s="210"/>
      <c r="BK84" s="210"/>
      <c r="BL84" s="210"/>
      <c r="BM84" s="210"/>
      <c r="BN84" s="210"/>
      <c r="BO84" s="210"/>
      <c r="BP84" s="210"/>
      <c r="BQ84" s="210"/>
      <c r="BR84" s="210"/>
      <c r="BS84" s="210"/>
      <c r="BT84" s="210"/>
      <c r="BU84" s="210"/>
      <c r="BV84" s="210"/>
      <c r="BW84" s="210"/>
      <c r="BX84" s="210"/>
      <c r="BY84" s="210"/>
      <c r="BZ84" s="210"/>
      <c r="CA84" s="210"/>
      <c r="CB84" s="210"/>
      <c r="CC84" s="210"/>
      <c r="CD84" s="210"/>
      <c r="CE84" s="210"/>
      <c r="CF84" s="210"/>
      <c r="CG84" s="210"/>
      <c r="CH84" s="210"/>
      <c r="CI84" s="210"/>
      <c r="CJ84" s="210"/>
      <c r="CK84" s="210"/>
      <c r="CL84" s="210"/>
      <c r="CM84" s="210"/>
      <c r="CN84" s="210"/>
      <c r="CO84" s="210"/>
      <c r="CP84" s="210"/>
      <c r="CQ84" s="210"/>
      <c r="CR84" s="210"/>
      <c r="CS84" s="210"/>
      <c r="CT84" s="210"/>
      <c r="CU84" s="210"/>
      <c r="CV84" s="210"/>
      <c r="CW84" s="210"/>
      <c r="CX84" s="210"/>
      <c r="CY84" s="210"/>
      <c r="CZ84" s="210"/>
      <c r="DA84" s="210"/>
      <c r="DB84" s="210"/>
      <c r="DC84" s="210"/>
      <c r="DD84" s="210"/>
      <c r="DE84" s="210"/>
      <c r="DF84" s="210"/>
      <c r="DG84" s="210"/>
      <c r="DH84" s="210"/>
      <c r="DI84" s="210"/>
      <c r="DJ84" s="210"/>
      <c r="DK84" s="210"/>
      <c r="DL84" s="210"/>
      <c r="DM84" s="210"/>
      <c r="DN84" s="210"/>
      <c r="DO84" s="210"/>
      <c r="DP84" s="210"/>
      <c r="DQ84" s="210"/>
    </row>
    <row r="85" spans="1:121" s="209" customFormat="1" x14ac:dyDescent="0.25">
      <c r="A85" s="370"/>
      <c r="B85" s="228"/>
      <c r="C85" s="228"/>
      <c r="D85" s="227"/>
      <c r="E85" s="227"/>
      <c r="F85" s="227"/>
      <c r="W85" s="210"/>
      <c r="AF85" s="210"/>
      <c r="BC85" s="210"/>
      <c r="BD85" s="210"/>
      <c r="BJ85" s="210"/>
      <c r="BK85" s="210"/>
      <c r="BL85" s="210"/>
      <c r="BM85" s="210"/>
      <c r="BN85" s="210"/>
      <c r="BO85" s="210"/>
      <c r="BP85" s="210"/>
      <c r="BQ85" s="210"/>
      <c r="BR85" s="210"/>
      <c r="BS85" s="210"/>
      <c r="BT85" s="210"/>
      <c r="BU85" s="210"/>
      <c r="BV85" s="210"/>
      <c r="BW85" s="210"/>
      <c r="BX85" s="210"/>
      <c r="BY85" s="210"/>
      <c r="BZ85" s="210"/>
      <c r="CA85" s="210"/>
      <c r="CB85" s="210"/>
      <c r="CC85" s="210"/>
      <c r="CD85" s="210"/>
      <c r="CE85" s="210"/>
      <c r="CF85" s="210"/>
      <c r="CG85" s="210"/>
      <c r="CH85" s="210"/>
      <c r="CI85" s="210"/>
      <c r="CJ85" s="210"/>
      <c r="CK85" s="210"/>
      <c r="CL85" s="210"/>
      <c r="CM85" s="210"/>
      <c r="CN85" s="210"/>
      <c r="CO85" s="210"/>
      <c r="CP85" s="210"/>
      <c r="CQ85" s="210"/>
      <c r="CR85" s="210"/>
      <c r="CS85" s="210"/>
      <c r="CT85" s="210"/>
      <c r="CU85" s="210"/>
      <c r="CV85" s="210"/>
      <c r="CW85" s="210"/>
      <c r="CX85" s="210"/>
      <c r="CY85" s="210"/>
      <c r="CZ85" s="210"/>
      <c r="DA85" s="210"/>
      <c r="DB85" s="210"/>
      <c r="DC85" s="210"/>
      <c r="DD85" s="210"/>
      <c r="DE85" s="210"/>
      <c r="DF85" s="210"/>
      <c r="DG85" s="210"/>
      <c r="DH85" s="210"/>
      <c r="DI85" s="210"/>
      <c r="DJ85" s="210"/>
      <c r="DK85" s="210"/>
      <c r="DL85" s="210"/>
      <c r="DM85" s="210"/>
      <c r="DN85" s="210"/>
      <c r="DO85" s="210"/>
      <c r="DP85" s="210"/>
      <c r="DQ85" s="210"/>
    </row>
    <row r="86" spans="1:121" s="209" customFormat="1" x14ac:dyDescent="0.25">
      <c r="A86" s="370"/>
      <c r="B86" s="228"/>
      <c r="C86" s="228"/>
      <c r="D86" s="227"/>
      <c r="E86" s="227"/>
      <c r="F86" s="227"/>
      <c r="W86" s="210"/>
      <c r="AF86" s="210"/>
      <c r="BC86" s="210"/>
      <c r="BD86" s="210"/>
      <c r="BJ86" s="210"/>
      <c r="BK86" s="210"/>
      <c r="BL86" s="210"/>
      <c r="BM86" s="210"/>
      <c r="BN86" s="210"/>
      <c r="BO86" s="210"/>
      <c r="BP86" s="210"/>
      <c r="BQ86" s="210"/>
      <c r="BR86" s="210"/>
      <c r="BS86" s="210"/>
      <c r="BT86" s="210"/>
      <c r="BU86" s="210"/>
      <c r="BV86" s="210"/>
      <c r="BW86" s="210"/>
      <c r="BX86" s="210"/>
      <c r="BY86" s="210"/>
      <c r="BZ86" s="210"/>
      <c r="CA86" s="210"/>
      <c r="CB86" s="210"/>
      <c r="CC86" s="210"/>
      <c r="CD86" s="210"/>
      <c r="CE86" s="210"/>
      <c r="CF86" s="210"/>
      <c r="CG86" s="210"/>
      <c r="CH86" s="210"/>
      <c r="CI86" s="210"/>
      <c r="CJ86" s="210"/>
      <c r="CK86" s="210"/>
      <c r="CL86" s="210"/>
      <c r="CM86" s="210"/>
      <c r="CN86" s="210"/>
      <c r="CO86" s="210"/>
      <c r="CP86" s="210"/>
      <c r="CQ86" s="210"/>
      <c r="CR86" s="210"/>
      <c r="CS86" s="210"/>
      <c r="CT86" s="210"/>
      <c r="CU86" s="210"/>
      <c r="CV86" s="210"/>
      <c r="CW86" s="210"/>
      <c r="CX86" s="210"/>
      <c r="CY86" s="210"/>
      <c r="CZ86" s="210"/>
      <c r="DA86" s="210"/>
      <c r="DB86" s="210"/>
      <c r="DC86" s="210"/>
      <c r="DD86" s="210"/>
      <c r="DE86" s="210"/>
      <c r="DF86" s="210"/>
      <c r="DG86" s="210"/>
      <c r="DH86" s="210"/>
      <c r="DI86" s="210"/>
      <c r="DJ86" s="210"/>
      <c r="DK86" s="210"/>
      <c r="DL86" s="210"/>
      <c r="DM86" s="210"/>
      <c r="DN86" s="210"/>
      <c r="DO86" s="210"/>
      <c r="DP86" s="210"/>
      <c r="DQ86" s="210"/>
    </row>
    <row r="87" spans="1:121" s="209" customFormat="1" x14ac:dyDescent="0.25">
      <c r="A87" s="370"/>
      <c r="B87" s="228"/>
      <c r="C87" s="228"/>
      <c r="D87" s="227"/>
      <c r="E87" s="227"/>
      <c r="F87" s="227"/>
      <c r="W87" s="210"/>
      <c r="AF87" s="210"/>
      <c r="BC87" s="210"/>
      <c r="BD87" s="210"/>
      <c r="BJ87" s="210"/>
      <c r="BK87" s="210"/>
      <c r="BL87" s="210"/>
      <c r="BM87" s="210"/>
      <c r="BN87" s="210"/>
      <c r="BO87" s="210"/>
      <c r="BP87" s="210"/>
      <c r="BQ87" s="210"/>
      <c r="BR87" s="210"/>
      <c r="BS87" s="210"/>
      <c r="BT87" s="210"/>
      <c r="BU87" s="210"/>
      <c r="BV87" s="210"/>
      <c r="BW87" s="210"/>
      <c r="BX87" s="210"/>
      <c r="BY87" s="210"/>
      <c r="BZ87" s="210"/>
      <c r="CA87" s="210"/>
      <c r="CB87" s="210"/>
      <c r="CC87" s="210"/>
      <c r="CD87" s="210"/>
      <c r="CE87" s="210"/>
      <c r="CF87" s="210"/>
      <c r="CG87" s="210"/>
      <c r="CH87" s="210"/>
      <c r="CI87" s="210"/>
      <c r="CJ87" s="210"/>
      <c r="CK87" s="210"/>
      <c r="CL87" s="210"/>
      <c r="CM87" s="210"/>
      <c r="CN87" s="210"/>
      <c r="CO87" s="210"/>
      <c r="CP87" s="210"/>
      <c r="CQ87" s="210"/>
      <c r="CR87" s="210"/>
      <c r="CS87" s="210"/>
      <c r="CT87" s="210"/>
      <c r="CU87" s="210"/>
      <c r="CV87" s="210"/>
      <c r="CW87" s="210"/>
      <c r="CX87" s="210"/>
      <c r="CY87" s="210"/>
      <c r="CZ87" s="210"/>
      <c r="DA87" s="210"/>
      <c r="DB87" s="210"/>
      <c r="DC87" s="210"/>
      <c r="DD87" s="210"/>
      <c r="DE87" s="210"/>
      <c r="DF87" s="210"/>
      <c r="DG87" s="210"/>
      <c r="DH87" s="210"/>
      <c r="DI87" s="210"/>
      <c r="DJ87" s="210"/>
      <c r="DK87" s="210"/>
      <c r="DL87" s="210"/>
      <c r="DM87" s="210"/>
      <c r="DN87" s="210"/>
      <c r="DO87" s="210"/>
      <c r="DP87" s="210"/>
      <c r="DQ87" s="210"/>
    </row>
    <row r="88" spans="1:121" s="209" customFormat="1" x14ac:dyDescent="0.25">
      <c r="A88" s="370"/>
      <c r="B88" s="228"/>
      <c r="C88" s="228"/>
      <c r="D88" s="227"/>
      <c r="E88" s="227"/>
      <c r="F88" s="227"/>
      <c r="W88" s="210"/>
      <c r="AF88" s="210"/>
      <c r="BC88" s="210"/>
      <c r="BD88" s="210"/>
      <c r="BJ88" s="210"/>
      <c r="BK88" s="210"/>
      <c r="BL88" s="210"/>
      <c r="BM88" s="210"/>
      <c r="BN88" s="210"/>
      <c r="BO88" s="210"/>
      <c r="BP88" s="210"/>
      <c r="BQ88" s="210"/>
      <c r="BR88" s="210"/>
      <c r="BS88" s="210"/>
      <c r="BT88" s="210"/>
      <c r="BU88" s="210"/>
      <c r="BV88" s="210"/>
      <c r="BW88" s="210"/>
      <c r="BX88" s="210"/>
      <c r="BY88" s="210"/>
      <c r="BZ88" s="210"/>
      <c r="CA88" s="210"/>
      <c r="CB88" s="210"/>
      <c r="CC88" s="210"/>
      <c r="CD88" s="210"/>
      <c r="CE88" s="210"/>
      <c r="CF88" s="210"/>
      <c r="CG88" s="210"/>
      <c r="CH88" s="210"/>
      <c r="CI88" s="210"/>
      <c r="CJ88" s="210"/>
      <c r="CK88" s="210"/>
      <c r="CL88" s="210"/>
      <c r="CM88" s="210"/>
      <c r="CN88" s="210"/>
      <c r="CO88" s="210"/>
      <c r="CP88" s="210"/>
      <c r="CQ88" s="210"/>
      <c r="CR88" s="210"/>
      <c r="CS88" s="210"/>
      <c r="CT88" s="210"/>
      <c r="CU88" s="210"/>
      <c r="CV88" s="210"/>
      <c r="CW88" s="210"/>
      <c r="CX88" s="210"/>
      <c r="CY88" s="210"/>
      <c r="CZ88" s="210"/>
      <c r="DA88" s="210"/>
      <c r="DB88" s="210"/>
      <c r="DC88" s="210"/>
      <c r="DD88" s="210"/>
      <c r="DE88" s="210"/>
      <c r="DF88" s="210"/>
      <c r="DG88" s="210"/>
      <c r="DH88" s="210"/>
      <c r="DI88" s="210"/>
      <c r="DJ88" s="210"/>
      <c r="DK88" s="210"/>
      <c r="DL88" s="210"/>
      <c r="DM88" s="210"/>
      <c r="DN88" s="210"/>
      <c r="DO88" s="210"/>
      <c r="DP88" s="210"/>
      <c r="DQ88" s="210"/>
    </row>
    <row r="89" spans="1:121" s="209" customFormat="1" x14ac:dyDescent="0.25">
      <c r="A89" s="370"/>
      <c r="B89" s="228"/>
      <c r="C89" s="228"/>
      <c r="D89" s="227"/>
      <c r="E89" s="227"/>
      <c r="F89" s="227"/>
      <c r="W89" s="210"/>
      <c r="AF89" s="210"/>
      <c r="BC89" s="210"/>
      <c r="BD89" s="210"/>
      <c r="BJ89" s="210"/>
      <c r="BK89" s="210"/>
      <c r="BL89" s="210"/>
      <c r="BM89" s="210"/>
      <c r="BN89" s="210"/>
      <c r="BO89" s="210"/>
      <c r="BP89" s="210"/>
      <c r="BQ89" s="210"/>
      <c r="BR89" s="210"/>
      <c r="BS89" s="210"/>
      <c r="BT89" s="210"/>
      <c r="BU89" s="210"/>
      <c r="BV89" s="210"/>
      <c r="BW89" s="210"/>
      <c r="BX89" s="210"/>
      <c r="BY89" s="210"/>
      <c r="BZ89" s="210"/>
      <c r="CA89" s="210"/>
      <c r="CB89" s="210"/>
      <c r="CC89" s="210"/>
      <c r="CD89" s="210"/>
      <c r="CE89" s="210"/>
      <c r="CF89" s="210"/>
      <c r="CG89" s="210"/>
      <c r="CH89" s="210"/>
      <c r="CI89" s="210"/>
      <c r="CJ89" s="210"/>
      <c r="CK89" s="210"/>
      <c r="CL89" s="210"/>
      <c r="CM89" s="210"/>
      <c r="CN89" s="210"/>
      <c r="CO89" s="210"/>
      <c r="CP89" s="210"/>
      <c r="CQ89" s="210"/>
      <c r="CR89" s="210"/>
      <c r="CS89" s="210"/>
      <c r="CT89" s="210"/>
      <c r="CU89" s="210"/>
      <c r="CV89" s="210"/>
      <c r="CW89" s="210"/>
      <c r="CX89" s="210"/>
      <c r="CY89" s="210"/>
      <c r="CZ89" s="210"/>
      <c r="DA89" s="210"/>
      <c r="DB89" s="210"/>
      <c r="DC89" s="210"/>
      <c r="DD89" s="210"/>
      <c r="DE89" s="210"/>
      <c r="DF89" s="210"/>
      <c r="DG89" s="210"/>
      <c r="DH89" s="210"/>
      <c r="DI89" s="210"/>
      <c r="DJ89" s="210"/>
      <c r="DK89" s="210"/>
      <c r="DL89" s="210"/>
      <c r="DM89" s="210"/>
      <c r="DN89" s="210"/>
      <c r="DO89" s="210"/>
      <c r="DP89" s="210"/>
      <c r="DQ89" s="210"/>
    </row>
    <row r="90" spans="1:121" s="209" customFormat="1" x14ac:dyDescent="0.25">
      <c r="A90" s="370"/>
      <c r="B90" s="228"/>
      <c r="C90" s="228"/>
      <c r="D90" s="227"/>
      <c r="E90" s="227"/>
      <c r="F90" s="227"/>
      <c r="W90" s="210"/>
      <c r="AF90" s="210"/>
      <c r="BC90" s="210"/>
      <c r="BD90" s="210"/>
      <c r="BJ90" s="210"/>
      <c r="BK90" s="210"/>
      <c r="BL90" s="210"/>
      <c r="BM90" s="210"/>
      <c r="BN90" s="210"/>
      <c r="BO90" s="210"/>
      <c r="BP90" s="210"/>
      <c r="BQ90" s="210"/>
      <c r="BR90" s="210"/>
      <c r="BS90" s="210"/>
      <c r="BT90" s="210"/>
      <c r="BU90" s="210"/>
      <c r="BV90" s="210"/>
      <c r="BW90" s="210"/>
      <c r="BX90" s="210"/>
      <c r="BY90" s="210"/>
      <c r="BZ90" s="210"/>
      <c r="CA90" s="210"/>
      <c r="CB90" s="210"/>
      <c r="CC90" s="210"/>
      <c r="CD90" s="210"/>
      <c r="CE90" s="210"/>
      <c r="CF90" s="210"/>
      <c r="CG90" s="210"/>
      <c r="CH90" s="210"/>
      <c r="CI90" s="210"/>
      <c r="CJ90" s="210"/>
      <c r="CK90" s="210"/>
      <c r="CL90" s="210"/>
      <c r="CM90" s="210"/>
      <c r="CN90" s="210"/>
      <c r="CO90" s="210"/>
      <c r="CP90" s="210"/>
      <c r="CQ90" s="210"/>
      <c r="CR90" s="210"/>
      <c r="CS90" s="210"/>
      <c r="CT90" s="210"/>
      <c r="CU90" s="210"/>
      <c r="CV90" s="210"/>
      <c r="CW90" s="210"/>
      <c r="CX90" s="210"/>
      <c r="CY90" s="210"/>
      <c r="CZ90" s="210"/>
      <c r="DA90" s="210"/>
      <c r="DB90" s="210"/>
      <c r="DC90" s="210"/>
      <c r="DD90" s="210"/>
      <c r="DE90" s="210"/>
      <c r="DF90" s="210"/>
      <c r="DG90" s="210"/>
      <c r="DH90" s="210"/>
      <c r="DI90" s="210"/>
      <c r="DJ90" s="210"/>
      <c r="DK90" s="210"/>
      <c r="DL90" s="210"/>
      <c r="DM90" s="210"/>
      <c r="DN90" s="210"/>
      <c r="DO90" s="210"/>
      <c r="DP90" s="210"/>
      <c r="DQ90" s="210"/>
    </row>
    <row r="91" spans="1:121" s="209" customFormat="1" x14ac:dyDescent="0.25">
      <c r="A91" s="370"/>
      <c r="B91" s="228"/>
      <c r="C91" s="228"/>
      <c r="D91" s="227"/>
      <c r="E91" s="227"/>
      <c r="F91" s="227"/>
      <c r="W91" s="210"/>
      <c r="AF91" s="210"/>
      <c r="BC91" s="210"/>
      <c r="BD91" s="210"/>
      <c r="BJ91" s="210"/>
      <c r="BK91" s="210"/>
      <c r="BL91" s="210"/>
      <c r="BM91" s="210"/>
      <c r="BN91" s="210"/>
      <c r="BO91" s="210"/>
      <c r="BP91" s="210"/>
      <c r="BQ91" s="210"/>
      <c r="BR91" s="210"/>
      <c r="BS91" s="210"/>
      <c r="BT91" s="210"/>
      <c r="BU91" s="210"/>
      <c r="BV91" s="210"/>
      <c r="BW91" s="210"/>
      <c r="BX91" s="210"/>
      <c r="BY91" s="210"/>
      <c r="BZ91" s="210"/>
      <c r="CA91" s="210"/>
      <c r="CB91" s="210"/>
      <c r="CC91" s="210"/>
      <c r="CD91" s="210"/>
      <c r="CE91" s="210"/>
      <c r="CF91" s="210"/>
      <c r="CG91" s="210"/>
      <c r="CH91" s="210"/>
      <c r="CI91" s="210"/>
      <c r="CJ91" s="210"/>
      <c r="CK91" s="210"/>
      <c r="CL91" s="210"/>
      <c r="CM91" s="210"/>
      <c r="CN91" s="210"/>
      <c r="CO91" s="210"/>
      <c r="CP91" s="210"/>
      <c r="CQ91" s="210"/>
      <c r="CR91" s="210"/>
      <c r="CS91" s="210"/>
      <c r="CT91" s="210"/>
      <c r="CU91" s="210"/>
      <c r="CV91" s="210"/>
      <c r="CW91" s="210"/>
      <c r="CX91" s="210"/>
      <c r="CY91" s="210"/>
      <c r="CZ91" s="210"/>
      <c r="DA91" s="210"/>
      <c r="DB91" s="210"/>
      <c r="DC91" s="210"/>
      <c r="DD91" s="210"/>
      <c r="DE91" s="210"/>
      <c r="DF91" s="210"/>
      <c r="DG91" s="210"/>
      <c r="DH91" s="210"/>
      <c r="DI91" s="210"/>
      <c r="DJ91" s="210"/>
      <c r="DK91" s="210"/>
      <c r="DL91" s="210"/>
      <c r="DM91" s="210"/>
      <c r="DN91" s="210"/>
      <c r="DO91" s="210"/>
      <c r="DP91" s="210"/>
      <c r="DQ91" s="210"/>
    </row>
    <row r="92" spans="1:121" s="209" customFormat="1" x14ac:dyDescent="0.25">
      <c r="A92" s="370"/>
      <c r="B92" s="228"/>
      <c r="C92" s="228"/>
      <c r="D92" s="227"/>
      <c r="E92" s="227"/>
      <c r="F92" s="227"/>
      <c r="W92" s="210"/>
      <c r="AF92" s="210"/>
      <c r="BC92" s="210"/>
      <c r="BD92" s="210"/>
      <c r="BJ92" s="210"/>
      <c r="BK92" s="210"/>
      <c r="BL92" s="210"/>
      <c r="BM92" s="210"/>
      <c r="BN92" s="210"/>
      <c r="BO92" s="210"/>
      <c r="BP92" s="210"/>
      <c r="BQ92" s="210"/>
      <c r="BR92" s="210"/>
      <c r="BS92" s="210"/>
      <c r="BT92" s="210"/>
      <c r="BU92" s="210"/>
      <c r="BV92" s="210"/>
      <c r="BW92" s="210"/>
      <c r="BX92" s="210"/>
      <c r="BY92" s="210"/>
      <c r="BZ92" s="210"/>
      <c r="CA92" s="210"/>
      <c r="CB92" s="210"/>
      <c r="CC92" s="210"/>
      <c r="CD92" s="210"/>
      <c r="CE92" s="210"/>
      <c r="CF92" s="210"/>
      <c r="CG92" s="210"/>
      <c r="CH92" s="210"/>
      <c r="CI92" s="210"/>
      <c r="CJ92" s="210"/>
      <c r="CK92" s="210"/>
      <c r="CL92" s="210"/>
      <c r="CM92" s="210"/>
      <c r="CN92" s="210"/>
      <c r="CO92" s="210"/>
      <c r="CP92" s="210"/>
      <c r="CQ92" s="210"/>
      <c r="CR92" s="210"/>
      <c r="CS92" s="210"/>
      <c r="CT92" s="210"/>
      <c r="CU92" s="210"/>
      <c r="CV92" s="210"/>
      <c r="CW92" s="210"/>
      <c r="CX92" s="210"/>
      <c r="CY92" s="210"/>
      <c r="CZ92" s="210"/>
      <c r="DA92" s="210"/>
      <c r="DB92" s="210"/>
      <c r="DC92" s="210"/>
      <c r="DD92" s="210"/>
      <c r="DE92" s="210"/>
      <c r="DF92" s="210"/>
      <c r="DG92" s="210"/>
      <c r="DH92" s="210"/>
      <c r="DI92" s="210"/>
      <c r="DJ92" s="210"/>
      <c r="DK92" s="210"/>
      <c r="DL92" s="210"/>
      <c r="DM92" s="210"/>
      <c r="DN92" s="210"/>
      <c r="DO92" s="210"/>
      <c r="DP92" s="210"/>
      <c r="DQ92" s="210"/>
    </row>
    <row r="93" spans="1:121" s="209" customFormat="1" x14ac:dyDescent="0.25">
      <c r="A93" s="370"/>
      <c r="B93" s="228"/>
      <c r="C93" s="228"/>
      <c r="D93" s="227"/>
      <c r="E93" s="227"/>
      <c r="F93" s="227"/>
      <c r="W93" s="210"/>
      <c r="AF93" s="210"/>
      <c r="BC93" s="210"/>
      <c r="BD93" s="210"/>
      <c r="BJ93" s="210"/>
      <c r="BK93" s="210"/>
      <c r="BL93" s="210"/>
      <c r="BM93" s="210"/>
      <c r="BN93" s="210"/>
      <c r="BO93" s="210"/>
      <c r="BP93" s="210"/>
      <c r="BQ93" s="210"/>
      <c r="BR93" s="210"/>
      <c r="BS93" s="210"/>
      <c r="BT93" s="210"/>
      <c r="BU93" s="210"/>
      <c r="BV93" s="210"/>
      <c r="BW93" s="210"/>
      <c r="BX93" s="210"/>
      <c r="BY93" s="210"/>
      <c r="BZ93" s="210"/>
      <c r="CA93" s="210"/>
      <c r="CB93" s="210"/>
      <c r="CC93" s="210"/>
      <c r="CD93" s="210"/>
      <c r="CE93" s="210"/>
      <c r="CF93" s="210"/>
      <c r="CG93" s="210"/>
      <c r="CH93" s="210"/>
      <c r="CI93" s="210"/>
      <c r="CJ93" s="210"/>
      <c r="CK93" s="210"/>
      <c r="CL93" s="210"/>
      <c r="CM93" s="210"/>
      <c r="CN93" s="210"/>
      <c r="CO93" s="210"/>
      <c r="CP93" s="210"/>
      <c r="CQ93" s="210"/>
      <c r="CR93" s="210"/>
      <c r="CS93" s="210"/>
      <c r="CT93" s="210"/>
      <c r="CU93" s="210"/>
      <c r="CV93" s="210"/>
      <c r="CW93" s="210"/>
      <c r="CX93" s="210"/>
      <c r="CY93" s="210"/>
      <c r="CZ93" s="210"/>
      <c r="DA93" s="210"/>
      <c r="DB93" s="210"/>
      <c r="DC93" s="210"/>
      <c r="DD93" s="210"/>
      <c r="DE93" s="210"/>
      <c r="DF93" s="210"/>
      <c r="DG93" s="210"/>
      <c r="DH93" s="210"/>
      <c r="DI93" s="210"/>
      <c r="DJ93" s="210"/>
      <c r="DK93" s="210"/>
      <c r="DL93" s="210"/>
      <c r="DM93" s="210"/>
      <c r="DN93" s="210"/>
      <c r="DO93" s="210"/>
      <c r="DP93" s="210"/>
      <c r="DQ93" s="210"/>
    </row>
    <row r="94" spans="1:121" s="209" customFormat="1" x14ac:dyDescent="0.25">
      <c r="A94" s="370"/>
      <c r="B94" s="228"/>
      <c r="C94" s="228"/>
      <c r="D94" s="227"/>
      <c r="E94" s="227"/>
      <c r="F94" s="227"/>
      <c r="W94" s="210"/>
      <c r="AF94" s="210"/>
      <c r="BC94" s="210"/>
      <c r="BD94" s="210"/>
      <c r="BJ94" s="210"/>
      <c r="BK94" s="210"/>
      <c r="BL94" s="210"/>
      <c r="BM94" s="210"/>
      <c r="BN94" s="210"/>
      <c r="BO94" s="210"/>
      <c r="BP94" s="210"/>
      <c r="BQ94" s="210"/>
      <c r="BR94" s="210"/>
      <c r="BS94" s="210"/>
      <c r="BT94" s="210"/>
      <c r="BU94" s="210"/>
      <c r="BV94" s="210"/>
      <c r="BW94" s="210"/>
      <c r="BX94" s="210"/>
      <c r="BY94" s="210"/>
      <c r="BZ94" s="210"/>
      <c r="CA94" s="210"/>
      <c r="CB94" s="210"/>
      <c r="CC94" s="210"/>
      <c r="CD94" s="210"/>
      <c r="CE94" s="210"/>
      <c r="CF94" s="210"/>
      <c r="CG94" s="210"/>
      <c r="CH94" s="210"/>
      <c r="CI94" s="210"/>
      <c r="CJ94" s="210"/>
      <c r="CK94" s="210"/>
      <c r="CL94" s="210"/>
      <c r="CM94" s="210"/>
      <c r="CN94" s="210"/>
      <c r="CO94" s="210"/>
      <c r="CP94" s="210"/>
      <c r="CQ94" s="210"/>
      <c r="CR94" s="210"/>
      <c r="CS94" s="210"/>
      <c r="CT94" s="210"/>
      <c r="CU94" s="210"/>
      <c r="CV94" s="210"/>
      <c r="CW94" s="210"/>
      <c r="CX94" s="210"/>
      <c r="CY94" s="210"/>
      <c r="CZ94" s="210"/>
      <c r="DA94" s="210"/>
      <c r="DB94" s="210"/>
      <c r="DC94" s="210"/>
      <c r="DD94" s="210"/>
      <c r="DE94" s="210"/>
      <c r="DF94" s="210"/>
      <c r="DG94" s="210"/>
      <c r="DH94" s="210"/>
      <c r="DI94" s="210"/>
      <c r="DJ94" s="210"/>
      <c r="DK94" s="210"/>
      <c r="DL94" s="210"/>
      <c r="DM94" s="210"/>
      <c r="DN94" s="210"/>
      <c r="DO94" s="210"/>
      <c r="DP94" s="210"/>
      <c r="DQ94" s="210"/>
    </row>
    <row r="95" spans="1:121" s="209" customFormat="1" x14ac:dyDescent="0.25">
      <c r="A95" s="370"/>
      <c r="B95" s="228"/>
      <c r="C95" s="228"/>
      <c r="D95" s="227"/>
      <c r="E95" s="227"/>
      <c r="F95" s="227"/>
      <c r="W95" s="210"/>
      <c r="AF95" s="210"/>
      <c r="BC95" s="210"/>
      <c r="BD95" s="210"/>
      <c r="BJ95" s="210"/>
      <c r="BK95" s="210"/>
      <c r="BL95" s="210"/>
      <c r="BM95" s="210"/>
      <c r="BN95" s="210"/>
      <c r="BO95" s="210"/>
      <c r="BP95" s="210"/>
      <c r="BQ95" s="210"/>
      <c r="BR95" s="210"/>
      <c r="BS95" s="210"/>
      <c r="BT95" s="210"/>
      <c r="BU95" s="210"/>
      <c r="BV95" s="210"/>
      <c r="BW95" s="210"/>
      <c r="BX95" s="210"/>
      <c r="BY95" s="210"/>
      <c r="BZ95" s="210"/>
      <c r="CA95" s="210"/>
      <c r="CB95" s="210"/>
      <c r="CC95" s="210"/>
      <c r="CD95" s="210"/>
      <c r="CE95" s="210"/>
      <c r="CF95" s="210"/>
      <c r="CG95" s="210"/>
      <c r="CH95" s="210"/>
      <c r="CI95" s="210"/>
      <c r="CJ95" s="210"/>
      <c r="CK95" s="210"/>
      <c r="CL95" s="210"/>
      <c r="CM95" s="210"/>
      <c r="CN95" s="210"/>
      <c r="CO95" s="210"/>
      <c r="CP95" s="210"/>
      <c r="CQ95" s="210"/>
      <c r="CR95" s="210"/>
      <c r="CS95" s="210"/>
      <c r="CT95" s="210"/>
      <c r="CU95" s="210"/>
      <c r="CV95" s="210"/>
      <c r="CW95" s="210"/>
      <c r="CX95" s="210"/>
      <c r="CY95" s="210"/>
      <c r="CZ95" s="210"/>
      <c r="DA95" s="210"/>
      <c r="DB95" s="210"/>
      <c r="DC95" s="210"/>
      <c r="DD95" s="210"/>
      <c r="DE95" s="210"/>
      <c r="DF95" s="210"/>
      <c r="DG95" s="210"/>
      <c r="DH95" s="210"/>
      <c r="DI95" s="210"/>
      <c r="DJ95" s="210"/>
      <c r="DK95" s="210"/>
      <c r="DL95" s="210"/>
      <c r="DM95" s="210"/>
      <c r="DN95" s="210"/>
      <c r="DO95" s="210"/>
      <c r="DP95" s="210"/>
      <c r="DQ95" s="210"/>
    </row>
    <row r="96" spans="1:121" s="209" customFormat="1" x14ac:dyDescent="0.25">
      <c r="A96" s="370"/>
      <c r="B96" s="228"/>
      <c r="C96" s="228"/>
      <c r="D96" s="227"/>
      <c r="E96" s="227"/>
      <c r="F96" s="227"/>
      <c r="W96" s="210"/>
      <c r="AF96" s="210"/>
      <c r="BC96" s="210"/>
      <c r="BD96" s="210"/>
      <c r="BJ96" s="210"/>
      <c r="BK96" s="210"/>
      <c r="BL96" s="210"/>
      <c r="BM96" s="210"/>
      <c r="BN96" s="210"/>
      <c r="BO96" s="210"/>
      <c r="BP96" s="210"/>
      <c r="BQ96" s="210"/>
      <c r="BR96" s="210"/>
      <c r="BS96" s="210"/>
      <c r="BT96" s="210"/>
      <c r="BU96" s="210"/>
      <c r="BV96" s="210"/>
      <c r="BW96" s="210"/>
      <c r="BX96" s="210"/>
      <c r="BY96" s="210"/>
      <c r="BZ96" s="210"/>
      <c r="CA96" s="210"/>
      <c r="CB96" s="210"/>
      <c r="CC96" s="210"/>
      <c r="CD96" s="210"/>
      <c r="CE96" s="210"/>
      <c r="CF96" s="210"/>
      <c r="CG96" s="210"/>
      <c r="CH96" s="210"/>
      <c r="CI96" s="210"/>
      <c r="CJ96" s="210"/>
      <c r="CK96" s="210"/>
      <c r="CL96" s="210"/>
      <c r="CM96" s="210"/>
      <c r="CN96" s="210"/>
      <c r="CO96" s="210"/>
      <c r="CP96" s="210"/>
      <c r="CQ96" s="210"/>
      <c r="CR96" s="210"/>
      <c r="CS96" s="210"/>
      <c r="CT96" s="210"/>
      <c r="CU96" s="210"/>
      <c r="CV96" s="210"/>
      <c r="CW96" s="210"/>
      <c r="CX96" s="210"/>
      <c r="CY96" s="210"/>
      <c r="CZ96" s="210"/>
      <c r="DA96" s="210"/>
      <c r="DB96" s="210"/>
      <c r="DC96" s="210"/>
      <c r="DD96" s="210"/>
      <c r="DE96" s="210"/>
      <c r="DF96" s="210"/>
      <c r="DG96" s="210"/>
      <c r="DH96" s="210"/>
      <c r="DI96" s="210"/>
      <c r="DJ96" s="210"/>
      <c r="DK96" s="210"/>
      <c r="DL96" s="210"/>
      <c r="DM96" s="210"/>
      <c r="DN96" s="210"/>
      <c r="DO96" s="210"/>
      <c r="DP96" s="210"/>
      <c r="DQ96" s="210"/>
    </row>
    <row r="97" spans="1:121" s="209" customFormat="1" x14ac:dyDescent="0.25">
      <c r="A97" s="370"/>
      <c r="B97" s="228"/>
      <c r="C97" s="228"/>
      <c r="D97" s="227"/>
      <c r="E97" s="227"/>
      <c r="F97" s="227"/>
      <c r="W97" s="210"/>
      <c r="AF97" s="210"/>
      <c r="BC97" s="210"/>
      <c r="BD97" s="210"/>
      <c r="BJ97" s="210"/>
      <c r="BK97" s="210"/>
      <c r="BL97" s="210"/>
      <c r="BM97" s="210"/>
      <c r="BN97" s="210"/>
      <c r="BO97" s="210"/>
      <c r="BP97" s="210"/>
      <c r="BQ97" s="210"/>
      <c r="BR97" s="210"/>
      <c r="BS97" s="210"/>
      <c r="BT97" s="210"/>
      <c r="BU97" s="210"/>
      <c r="BV97" s="210"/>
      <c r="BW97" s="210"/>
      <c r="BX97" s="210"/>
      <c r="BY97" s="210"/>
      <c r="BZ97" s="210"/>
      <c r="CA97" s="210"/>
      <c r="CB97" s="210"/>
      <c r="CC97" s="210"/>
      <c r="CD97" s="210"/>
      <c r="CE97" s="210"/>
      <c r="CF97" s="210"/>
      <c r="CG97" s="210"/>
      <c r="CH97" s="210"/>
      <c r="CI97" s="210"/>
      <c r="CJ97" s="210"/>
      <c r="CK97" s="210"/>
      <c r="CL97" s="210"/>
      <c r="CM97" s="210"/>
      <c r="CN97" s="210"/>
      <c r="CO97" s="210"/>
      <c r="CP97" s="210"/>
      <c r="CQ97" s="210"/>
      <c r="CR97" s="210"/>
      <c r="CS97" s="210"/>
      <c r="CT97" s="210"/>
      <c r="CU97" s="210"/>
      <c r="CV97" s="210"/>
      <c r="CW97" s="210"/>
      <c r="CX97" s="210"/>
      <c r="CY97" s="210"/>
      <c r="CZ97" s="210"/>
      <c r="DA97" s="210"/>
      <c r="DB97" s="210"/>
      <c r="DC97" s="210"/>
      <c r="DD97" s="210"/>
      <c r="DE97" s="210"/>
      <c r="DF97" s="210"/>
      <c r="DG97" s="210"/>
      <c r="DH97" s="210"/>
      <c r="DI97" s="210"/>
      <c r="DJ97" s="210"/>
      <c r="DK97" s="210"/>
      <c r="DL97" s="210"/>
      <c r="DM97" s="210"/>
      <c r="DN97" s="210"/>
      <c r="DO97" s="210"/>
      <c r="DP97" s="210"/>
      <c r="DQ97" s="210"/>
    </row>
    <row r="98" spans="1:121" s="209" customFormat="1" x14ac:dyDescent="0.25">
      <c r="A98" s="370"/>
      <c r="B98" s="228"/>
      <c r="C98" s="228"/>
      <c r="D98" s="227"/>
      <c r="E98" s="227"/>
      <c r="F98" s="227"/>
      <c r="W98" s="210"/>
      <c r="AF98" s="210"/>
      <c r="BC98" s="210"/>
      <c r="BD98" s="210"/>
      <c r="BJ98" s="210"/>
      <c r="BK98" s="210"/>
      <c r="BL98" s="210"/>
      <c r="BM98" s="210"/>
      <c r="BN98" s="210"/>
      <c r="BO98" s="210"/>
      <c r="BP98" s="210"/>
      <c r="BQ98" s="210"/>
      <c r="BR98" s="210"/>
      <c r="BS98" s="210"/>
      <c r="BT98" s="210"/>
      <c r="BU98" s="210"/>
      <c r="BV98" s="210"/>
      <c r="BW98" s="210"/>
      <c r="BX98" s="210"/>
      <c r="BY98" s="210"/>
      <c r="BZ98" s="210"/>
      <c r="CA98" s="210"/>
      <c r="CB98" s="210"/>
      <c r="CC98" s="210"/>
      <c r="CD98" s="210"/>
      <c r="CE98" s="210"/>
      <c r="CF98" s="210"/>
      <c r="CG98" s="210"/>
      <c r="CH98" s="210"/>
      <c r="CI98" s="210"/>
      <c r="CJ98" s="210"/>
      <c r="CK98" s="210"/>
      <c r="CL98" s="210"/>
      <c r="CM98" s="210"/>
      <c r="CN98" s="210"/>
      <c r="CO98" s="210"/>
      <c r="CP98" s="210"/>
      <c r="CQ98" s="210"/>
      <c r="CR98" s="210"/>
      <c r="CS98" s="210"/>
      <c r="CT98" s="210"/>
      <c r="CU98" s="210"/>
      <c r="CV98" s="210"/>
      <c r="CW98" s="210"/>
      <c r="CX98" s="210"/>
      <c r="CY98" s="210"/>
      <c r="CZ98" s="210"/>
      <c r="DA98" s="210"/>
      <c r="DB98" s="210"/>
      <c r="DC98" s="210"/>
      <c r="DD98" s="210"/>
      <c r="DE98" s="210"/>
      <c r="DF98" s="210"/>
      <c r="DG98" s="210"/>
      <c r="DH98" s="210"/>
      <c r="DI98" s="210"/>
      <c r="DJ98" s="210"/>
      <c r="DK98" s="210"/>
      <c r="DL98" s="210"/>
      <c r="DM98" s="210"/>
      <c r="DN98" s="210"/>
      <c r="DO98" s="210"/>
      <c r="DP98" s="210"/>
      <c r="DQ98" s="210"/>
    </row>
    <row r="99" spans="1:121" s="209" customFormat="1" x14ac:dyDescent="0.25">
      <c r="A99" s="370"/>
      <c r="B99" s="228"/>
      <c r="C99" s="228"/>
      <c r="D99" s="227"/>
      <c r="E99" s="227"/>
      <c r="F99" s="227"/>
      <c r="W99" s="210"/>
      <c r="AF99" s="210"/>
      <c r="BC99" s="210"/>
      <c r="BD99" s="210"/>
      <c r="BJ99" s="210"/>
      <c r="BK99" s="210"/>
      <c r="BL99" s="210"/>
      <c r="BM99" s="210"/>
      <c r="BN99" s="210"/>
      <c r="BO99" s="210"/>
      <c r="BP99" s="210"/>
      <c r="BQ99" s="210"/>
      <c r="BR99" s="210"/>
      <c r="BS99" s="210"/>
      <c r="BT99" s="210"/>
      <c r="BU99" s="210"/>
      <c r="BV99" s="210"/>
      <c r="BW99" s="210"/>
      <c r="BX99" s="210"/>
      <c r="BY99" s="210"/>
      <c r="BZ99" s="210"/>
      <c r="CA99" s="210"/>
      <c r="CB99" s="210"/>
      <c r="CC99" s="210"/>
      <c r="CD99" s="210"/>
      <c r="CE99" s="210"/>
      <c r="CF99" s="210"/>
      <c r="CG99" s="210"/>
      <c r="CH99" s="210"/>
      <c r="CI99" s="210"/>
      <c r="CJ99" s="210"/>
      <c r="CK99" s="210"/>
      <c r="CL99" s="210"/>
      <c r="CM99" s="210"/>
      <c r="CN99" s="210"/>
      <c r="CO99" s="210"/>
      <c r="CP99" s="210"/>
      <c r="CQ99" s="210"/>
      <c r="CR99" s="210"/>
      <c r="CS99" s="210"/>
      <c r="CT99" s="210"/>
      <c r="CU99" s="210"/>
      <c r="CV99" s="210"/>
      <c r="CW99" s="210"/>
      <c r="CX99" s="210"/>
      <c r="CY99" s="210"/>
      <c r="CZ99" s="210"/>
      <c r="DA99" s="210"/>
      <c r="DB99" s="210"/>
      <c r="DC99" s="210"/>
      <c r="DD99" s="210"/>
      <c r="DE99" s="210"/>
      <c r="DF99" s="210"/>
      <c r="DG99" s="210"/>
      <c r="DH99" s="210"/>
      <c r="DI99" s="210"/>
      <c r="DJ99" s="210"/>
      <c r="DK99" s="210"/>
      <c r="DL99" s="210"/>
      <c r="DM99" s="210"/>
      <c r="DN99" s="210"/>
      <c r="DO99" s="210"/>
      <c r="DP99" s="210"/>
      <c r="DQ99" s="210"/>
    </row>
    <row r="100" spans="1:121" s="209" customFormat="1" x14ac:dyDescent="0.25">
      <c r="A100" s="370"/>
      <c r="B100" s="228"/>
      <c r="C100" s="228"/>
      <c r="D100" s="227"/>
      <c r="E100" s="227"/>
      <c r="F100" s="227"/>
      <c r="W100" s="210"/>
      <c r="AF100" s="210"/>
      <c r="BC100" s="210"/>
      <c r="BD100" s="210"/>
      <c r="BJ100" s="210"/>
      <c r="BK100" s="210"/>
      <c r="BL100" s="210"/>
      <c r="BM100" s="210"/>
      <c r="BN100" s="210"/>
      <c r="BO100" s="210"/>
      <c r="BP100" s="210"/>
      <c r="BQ100" s="210"/>
      <c r="BR100" s="210"/>
      <c r="BS100" s="210"/>
      <c r="BT100" s="210"/>
      <c r="BU100" s="210"/>
      <c r="BV100" s="210"/>
      <c r="BW100" s="210"/>
      <c r="BX100" s="210"/>
      <c r="BY100" s="210"/>
      <c r="BZ100" s="210"/>
      <c r="CA100" s="210"/>
      <c r="CB100" s="210"/>
      <c r="CC100" s="210"/>
      <c r="CD100" s="210"/>
      <c r="CE100" s="210"/>
      <c r="CF100" s="210"/>
      <c r="CG100" s="210"/>
      <c r="CH100" s="210"/>
      <c r="CI100" s="210"/>
      <c r="CJ100" s="210"/>
      <c r="CK100" s="210"/>
      <c r="CL100" s="210"/>
      <c r="CM100" s="210"/>
      <c r="CN100" s="210"/>
      <c r="CO100" s="210"/>
      <c r="CP100" s="210"/>
      <c r="CQ100" s="210"/>
      <c r="CR100" s="210"/>
      <c r="CS100" s="210"/>
      <c r="CT100" s="210"/>
      <c r="CU100" s="210"/>
      <c r="CV100" s="210"/>
      <c r="CW100" s="210"/>
      <c r="CX100" s="210"/>
      <c r="CY100" s="210"/>
      <c r="CZ100" s="210"/>
      <c r="DA100" s="210"/>
      <c r="DB100" s="210"/>
      <c r="DC100" s="210"/>
      <c r="DD100" s="210"/>
      <c r="DE100" s="210"/>
      <c r="DF100" s="210"/>
      <c r="DG100" s="210"/>
      <c r="DH100" s="210"/>
      <c r="DI100" s="210"/>
      <c r="DJ100" s="210"/>
      <c r="DK100" s="210"/>
      <c r="DL100" s="210"/>
      <c r="DM100" s="210"/>
      <c r="DN100" s="210"/>
      <c r="DO100" s="210"/>
      <c r="DP100" s="210"/>
      <c r="DQ100" s="210"/>
    </row>
    <row r="101" spans="1:121" s="209" customFormat="1" x14ac:dyDescent="0.25">
      <c r="A101" s="370"/>
      <c r="B101" s="228"/>
      <c r="C101" s="228"/>
      <c r="D101" s="227"/>
      <c r="E101" s="227"/>
      <c r="F101" s="227"/>
      <c r="W101" s="210"/>
      <c r="AF101" s="210"/>
      <c r="BC101" s="210"/>
      <c r="BD101" s="210"/>
      <c r="BJ101" s="210"/>
      <c r="BK101" s="210"/>
      <c r="BL101" s="210"/>
      <c r="BM101" s="210"/>
      <c r="BN101" s="210"/>
      <c r="BO101" s="210"/>
      <c r="BP101" s="210"/>
      <c r="BQ101" s="210"/>
      <c r="BR101" s="210"/>
      <c r="BS101" s="210"/>
      <c r="BT101" s="210"/>
      <c r="BU101" s="210"/>
      <c r="BV101" s="210"/>
      <c r="BW101" s="210"/>
      <c r="BX101" s="210"/>
      <c r="BY101" s="210"/>
      <c r="BZ101" s="210"/>
      <c r="CA101" s="210"/>
      <c r="CB101" s="210"/>
      <c r="CC101" s="210"/>
      <c r="CD101" s="210"/>
      <c r="CE101" s="210"/>
      <c r="CF101" s="210"/>
      <c r="CG101" s="210"/>
      <c r="CH101" s="210"/>
      <c r="CI101" s="210"/>
      <c r="CJ101" s="210"/>
      <c r="CK101" s="210"/>
      <c r="CL101" s="210"/>
      <c r="CM101" s="210"/>
      <c r="CN101" s="210"/>
      <c r="CO101" s="210"/>
      <c r="CP101" s="210"/>
      <c r="CQ101" s="210"/>
      <c r="CR101" s="210"/>
      <c r="CS101" s="210"/>
      <c r="CT101" s="210"/>
      <c r="CU101" s="210"/>
      <c r="CV101" s="210"/>
      <c r="CW101" s="210"/>
      <c r="CX101" s="210"/>
      <c r="CY101" s="210"/>
      <c r="CZ101" s="210"/>
      <c r="DA101" s="210"/>
      <c r="DB101" s="210"/>
      <c r="DC101" s="210"/>
      <c r="DD101" s="210"/>
      <c r="DE101" s="210"/>
      <c r="DF101" s="210"/>
      <c r="DG101" s="210"/>
      <c r="DH101" s="210"/>
      <c r="DI101" s="210"/>
      <c r="DJ101" s="210"/>
      <c r="DK101" s="210"/>
      <c r="DL101" s="210"/>
      <c r="DM101" s="210"/>
      <c r="DN101" s="210"/>
      <c r="DO101" s="210"/>
      <c r="DP101" s="210"/>
      <c r="DQ101" s="210"/>
    </row>
    <row r="102" spans="1:121" s="209" customFormat="1" x14ac:dyDescent="0.25">
      <c r="A102" s="370"/>
      <c r="B102" s="228"/>
      <c r="C102" s="228"/>
      <c r="D102" s="227"/>
      <c r="E102" s="227"/>
      <c r="F102" s="227"/>
      <c r="W102" s="210"/>
      <c r="AF102" s="210"/>
      <c r="BC102" s="210"/>
      <c r="BD102" s="210"/>
      <c r="BJ102" s="210"/>
      <c r="BK102" s="210"/>
      <c r="BL102" s="210"/>
      <c r="BM102" s="210"/>
      <c r="BN102" s="210"/>
      <c r="BO102" s="210"/>
      <c r="BP102" s="210"/>
      <c r="BQ102" s="210"/>
      <c r="BR102" s="210"/>
      <c r="BS102" s="210"/>
      <c r="BT102" s="210"/>
      <c r="BU102" s="210"/>
      <c r="BV102" s="210"/>
      <c r="BW102" s="210"/>
      <c r="BX102" s="210"/>
      <c r="BY102" s="210"/>
      <c r="BZ102" s="210"/>
      <c r="CA102" s="210"/>
      <c r="CB102" s="210"/>
      <c r="CC102" s="210"/>
      <c r="CD102" s="210"/>
      <c r="CE102" s="210"/>
      <c r="CF102" s="210"/>
      <c r="CG102" s="210"/>
      <c r="CH102" s="210"/>
      <c r="CI102" s="210"/>
      <c r="CJ102" s="210"/>
      <c r="CK102" s="210"/>
      <c r="CL102" s="210"/>
      <c r="CM102" s="210"/>
      <c r="CN102" s="210"/>
      <c r="CO102" s="210"/>
      <c r="CP102" s="210"/>
      <c r="CQ102" s="210"/>
      <c r="CR102" s="210"/>
      <c r="CS102" s="210"/>
      <c r="CT102" s="210"/>
      <c r="CU102" s="210"/>
      <c r="CV102" s="210"/>
      <c r="CW102" s="210"/>
      <c r="CX102" s="210"/>
      <c r="CY102" s="210"/>
      <c r="CZ102" s="210"/>
      <c r="DA102" s="210"/>
      <c r="DB102" s="210"/>
      <c r="DC102" s="210"/>
      <c r="DD102" s="210"/>
      <c r="DE102" s="210"/>
      <c r="DF102" s="210"/>
      <c r="DG102" s="210"/>
      <c r="DH102" s="210"/>
      <c r="DI102" s="210"/>
      <c r="DJ102" s="210"/>
      <c r="DK102" s="210"/>
      <c r="DL102" s="210"/>
      <c r="DM102" s="210"/>
      <c r="DN102" s="210"/>
      <c r="DO102" s="210"/>
      <c r="DP102" s="210"/>
      <c r="DQ102" s="210"/>
    </row>
    <row r="103" spans="1:121" s="209" customFormat="1" x14ac:dyDescent="0.25">
      <c r="A103" s="370"/>
      <c r="B103" s="228"/>
      <c r="C103" s="228"/>
      <c r="D103" s="227"/>
      <c r="E103" s="227"/>
      <c r="F103" s="227"/>
      <c r="W103" s="210"/>
      <c r="AF103" s="210"/>
      <c r="BC103" s="210"/>
      <c r="BD103" s="210"/>
      <c r="BJ103" s="210"/>
      <c r="BK103" s="210"/>
      <c r="BL103" s="210"/>
      <c r="BM103" s="210"/>
      <c r="BN103" s="210"/>
      <c r="BO103" s="210"/>
      <c r="BP103" s="210"/>
      <c r="BQ103" s="210"/>
      <c r="BR103" s="210"/>
      <c r="BS103" s="210"/>
      <c r="BT103" s="210"/>
      <c r="BU103" s="210"/>
      <c r="BV103" s="210"/>
      <c r="BW103" s="210"/>
      <c r="BX103" s="210"/>
      <c r="BY103" s="210"/>
      <c r="BZ103" s="210"/>
      <c r="CA103" s="210"/>
      <c r="CB103" s="210"/>
      <c r="CC103" s="210"/>
      <c r="CD103" s="210"/>
      <c r="CE103" s="210"/>
      <c r="CF103" s="210"/>
      <c r="CG103" s="210"/>
      <c r="CH103" s="210"/>
      <c r="CI103" s="210"/>
      <c r="CJ103" s="210"/>
      <c r="CK103" s="210"/>
      <c r="CL103" s="210"/>
      <c r="CM103" s="210"/>
      <c r="CN103" s="210"/>
      <c r="CO103" s="210"/>
      <c r="CP103" s="210"/>
      <c r="CQ103" s="210"/>
      <c r="CR103" s="210"/>
      <c r="CS103" s="210"/>
      <c r="CT103" s="210"/>
      <c r="CU103" s="210"/>
      <c r="CV103" s="210"/>
      <c r="CW103" s="210"/>
      <c r="CX103" s="210"/>
      <c r="CY103" s="210"/>
      <c r="CZ103" s="210"/>
      <c r="DA103" s="210"/>
      <c r="DB103" s="210"/>
      <c r="DC103" s="210"/>
      <c r="DD103" s="210"/>
      <c r="DE103" s="210"/>
      <c r="DF103" s="210"/>
      <c r="DG103" s="210"/>
      <c r="DH103" s="210"/>
      <c r="DI103" s="210"/>
      <c r="DJ103" s="210"/>
      <c r="DK103" s="210"/>
      <c r="DL103" s="210"/>
      <c r="DM103" s="210"/>
      <c r="DN103" s="210"/>
      <c r="DO103" s="210"/>
      <c r="DP103" s="210"/>
      <c r="DQ103" s="210"/>
    </row>
    <row r="104" spans="1:121" s="209" customFormat="1" x14ac:dyDescent="0.25">
      <c r="A104" s="370"/>
      <c r="B104" s="228"/>
      <c r="C104" s="228"/>
      <c r="D104" s="227"/>
      <c r="E104" s="227"/>
      <c r="F104" s="227"/>
      <c r="W104" s="210"/>
      <c r="AF104" s="210"/>
      <c r="BC104" s="210"/>
      <c r="BD104" s="210"/>
      <c r="BJ104" s="210"/>
      <c r="BK104" s="210"/>
      <c r="BL104" s="210"/>
      <c r="BM104" s="210"/>
      <c r="BN104" s="210"/>
      <c r="BO104" s="210"/>
      <c r="BP104" s="210"/>
      <c r="BQ104" s="210"/>
      <c r="BR104" s="210"/>
      <c r="BS104" s="210"/>
      <c r="BT104" s="210"/>
      <c r="BU104" s="210"/>
      <c r="BV104" s="210"/>
      <c r="BW104" s="210"/>
      <c r="BX104" s="210"/>
      <c r="BY104" s="210"/>
      <c r="BZ104" s="210"/>
      <c r="CA104" s="210"/>
      <c r="CB104" s="210"/>
      <c r="CC104" s="210"/>
      <c r="CD104" s="210"/>
      <c r="CE104" s="210"/>
      <c r="CF104" s="210"/>
      <c r="CG104" s="210"/>
      <c r="CH104" s="210"/>
      <c r="CI104" s="210"/>
      <c r="CJ104" s="210"/>
      <c r="CK104" s="210"/>
      <c r="CL104" s="210"/>
      <c r="CM104" s="210"/>
      <c r="CN104" s="210"/>
      <c r="CO104" s="210"/>
      <c r="CP104" s="210"/>
      <c r="CQ104" s="210"/>
      <c r="CR104" s="210"/>
      <c r="CS104" s="210"/>
      <c r="CT104" s="210"/>
      <c r="CU104" s="210"/>
      <c r="CV104" s="210"/>
      <c r="CW104" s="210"/>
      <c r="CX104" s="210"/>
      <c r="CY104" s="210"/>
      <c r="CZ104" s="210"/>
      <c r="DA104" s="210"/>
      <c r="DB104" s="210"/>
      <c r="DC104" s="210"/>
      <c r="DD104" s="210"/>
      <c r="DE104" s="210"/>
      <c r="DF104" s="210"/>
      <c r="DG104" s="210"/>
      <c r="DH104" s="210"/>
      <c r="DI104" s="210"/>
      <c r="DJ104" s="210"/>
      <c r="DK104" s="210"/>
      <c r="DL104" s="210"/>
      <c r="DM104" s="210"/>
      <c r="DN104" s="210"/>
      <c r="DO104" s="210"/>
      <c r="DP104" s="210"/>
      <c r="DQ104" s="210"/>
    </row>
    <row r="105" spans="1:121" s="209" customFormat="1" x14ac:dyDescent="0.25">
      <c r="A105" s="370"/>
      <c r="B105" s="228"/>
      <c r="C105" s="228"/>
      <c r="D105" s="227"/>
      <c r="E105" s="227"/>
      <c r="F105" s="227"/>
      <c r="W105" s="210"/>
      <c r="AF105" s="210"/>
      <c r="BC105" s="210"/>
      <c r="BD105" s="210"/>
      <c r="BJ105" s="210"/>
      <c r="BK105" s="210"/>
      <c r="BL105" s="210"/>
      <c r="BM105" s="210"/>
      <c r="BN105" s="210"/>
      <c r="BO105" s="210"/>
      <c r="BP105" s="210"/>
      <c r="BQ105" s="210"/>
      <c r="BR105" s="210"/>
      <c r="BS105" s="210"/>
      <c r="BT105" s="210"/>
      <c r="BU105" s="210"/>
      <c r="BV105" s="210"/>
      <c r="BW105" s="210"/>
      <c r="BX105" s="210"/>
      <c r="BY105" s="210"/>
      <c r="BZ105" s="210"/>
      <c r="CA105" s="210"/>
      <c r="CB105" s="210"/>
      <c r="CC105" s="210"/>
      <c r="CD105" s="210"/>
      <c r="CE105" s="210"/>
      <c r="CF105" s="210"/>
      <c r="CG105" s="210"/>
      <c r="CH105" s="210"/>
      <c r="CI105" s="210"/>
      <c r="CJ105" s="210"/>
      <c r="CK105" s="210"/>
      <c r="CL105" s="210"/>
      <c r="CM105" s="210"/>
      <c r="CN105" s="210"/>
      <c r="CO105" s="210"/>
      <c r="CP105" s="210"/>
      <c r="CQ105" s="210"/>
      <c r="CR105" s="210"/>
      <c r="CS105" s="210"/>
      <c r="CT105" s="210"/>
      <c r="CU105" s="210"/>
      <c r="CV105" s="210"/>
      <c r="CW105" s="210"/>
      <c r="CX105" s="210"/>
      <c r="CY105" s="210"/>
      <c r="CZ105" s="210"/>
      <c r="DA105" s="210"/>
      <c r="DB105" s="210"/>
      <c r="DC105" s="210"/>
      <c r="DD105" s="210"/>
      <c r="DE105" s="210"/>
      <c r="DF105" s="210"/>
      <c r="DG105" s="210"/>
      <c r="DH105" s="210"/>
      <c r="DI105" s="210"/>
      <c r="DJ105" s="210"/>
      <c r="DK105" s="210"/>
      <c r="DL105" s="210"/>
      <c r="DM105" s="210"/>
      <c r="DN105" s="210"/>
      <c r="DO105" s="210"/>
      <c r="DP105" s="210"/>
      <c r="DQ105" s="210"/>
    </row>
    <row r="106" spans="1:121" s="209" customFormat="1" x14ac:dyDescent="0.25">
      <c r="A106" s="370"/>
      <c r="B106" s="228"/>
      <c r="C106" s="228"/>
      <c r="D106" s="227"/>
      <c r="E106" s="227"/>
      <c r="F106" s="227"/>
      <c r="W106" s="210"/>
      <c r="AF106" s="210"/>
      <c r="BC106" s="210"/>
      <c r="BD106" s="210"/>
      <c r="BJ106" s="210"/>
      <c r="BK106" s="210"/>
      <c r="BL106" s="210"/>
      <c r="BM106" s="210"/>
      <c r="BN106" s="210"/>
      <c r="BO106" s="210"/>
      <c r="BP106" s="210"/>
      <c r="BQ106" s="210"/>
      <c r="BR106" s="210"/>
      <c r="BS106" s="210"/>
      <c r="BT106" s="210"/>
      <c r="BU106" s="210"/>
      <c r="BV106" s="210"/>
      <c r="BW106" s="210"/>
      <c r="BX106" s="210"/>
      <c r="BY106" s="210"/>
      <c r="BZ106" s="210"/>
      <c r="CA106" s="210"/>
      <c r="CB106" s="210"/>
      <c r="CC106" s="210"/>
      <c r="CD106" s="210"/>
      <c r="CE106" s="210"/>
      <c r="CF106" s="210"/>
      <c r="CG106" s="210"/>
      <c r="CH106" s="210"/>
      <c r="CI106" s="210"/>
      <c r="CJ106" s="210"/>
      <c r="CK106" s="210"/>
      <c r="CL106" s="210"/>
      <c r="CM106" s="210"/>
      <c r="CN106" s="210"/>
      <c r="CO106" s="210"/>
      <c r="CP106" s="210"/>
      <c r="CQ106" s="210"/>
      <c r="CR106" s="210"/>
      <c r="CS106" s="210"/>
      <c r="CT106" s="210"/>
      <c r="CU106" s="210"/>
      <c r="CV106" s="210"/>
      <c r="CW106" s="210"/>
      <c r="CX106" s="210"/>
      <c r="CY106" s="210"/>
      <c r="CZ106" s="210"/>
      <c r="DA106" s="210"/>
      <c r="DB106" s="210"/>
      <c r="DC106" s="210"/>
      <c r="DD106" s="210"/>
      <c r="DE106" s="210"/>
      <c r="DF106" s="210"/>
      <c r="DG106" s="210"/>
      <c r="DH106" s="210"/>
      <c r="DI106" s="210"/>
      <c r="DJ106" s="210"/>
      <c r="DK106" s="210"/>
      <c r="DL106" s="210"/>
      <c r="DM106" s="210"/>
      <c r="DN106" s="210"/>
      <c r="DO106" s="210"/>
      <c r="DP106" s="210"/>
      <c r="DQ106" s="210"/>
    </row>
    <row r="107" spans="1:121" s="209" customFormat="1" x14ac:dyDescent="0.25">
      <c r="A107" s="370"/>
      <c r="B107" s="228"/>
      <c r="C107" s="228"/>
      <c r="D107" s="227"/>
      <c r="E107" s="227"/>
      <c r="F107" s="227"/>
      <c r="W107" s="210"/>
      <c r="AF107" s="210"/>
      <c r="BC107" s="210"/>
      <c r="BD107" s="210"/>
      <c r="BJ107" s="210"/>
      <c r="BK107" s="210"/>
      <c r="BL107" s="210"/>
      <c r="BM107" s="210"/>
      <c r="BN107" s="210"/>
      <c r="BO107" s="210"/>
      <c r="BP107" s="210"/>
      <c r="BQ107" s="210"/>
      <c r="BR107" s="210"/>
      <c r="BS107" s="210"/>
      <c r="BT107" s="210"/>
      <c r="BU107" s="210"/>
      <c r="BV107" s="210"/>
      <c r="BW107" s="210"/>
      <c r="BX107" s="210"/>
      <c r="BY107" s="210"/>
      <c r="BZ107" s="210"/>
      <c r="CA107" s="210"/>
      <c r="CB107" s="210"/>
      <c r="CC107" s="210"/>
      <c r="CD107" s="210"/>
      <c r="CE107" s="210"/>
      <c r="CF107" s="210"/>
      <c r="CG107" s="210"/>
      <c r="CH107" s="210"/>
      <c r="CI107" s="210"/>
      <c r="CJ107" s="210"/>
      <c r="CK107" s="210"/>
      <c r="CL107" s="210"/>
      <c r="CM107" s="210"/>
      <c r="CN107" s="210"/>
      <c r="CO107" s="210"/>
      <c r="CP107" s="210"/>
      <c r="CQ107" s="210"/>
      <c r="CR107" s="210"/>
      <c r="CS107" s="210"/>
      <c r="CT107" s="210"/>
      <c r="CU107" s="210"/>
      <c r="CV107" s="210"/>
      <c r="CW107" s="210"/>
      <c r="CX107" s="210"/>
      <c r="CY107" s="210"/>
      <c r="CZ107" s="210"/>
      <c r="DA107" s="210"/>
      <c r="DB107" s="210"/>
      <c r="DC107" s="210"/>
      <c r="DD107" s="210"/>
      <c r="DE107" s="210"/>
      <c r="DF107" s="210"/>
      <c r="DG107" s="210"/>
      <c r="DH107" s="210"/>
      <c r="DI107" s="210"/>
      <c r="DJ107" s="210"/>
      <c r="DK107" s="210"/>
      <c r="DL107" s="210"/>
      <c r="DM107" s="210"/>
      <c r="DN107" s="210"/>
      <c r="DO107" s="210"/>
      <c r="DP107" s="210"/>
      <c r="DQ107" s="210"/>
    </row>
    <row r="108" spans="1:121" s="209" customFormat="1" x14ac:dyDescent="0.25">
      <c r="A108" s="370"/>
      <c r="B108" s="228"/>
      <c r="C108" s="228"/>
      <c r="D108" s="227"/>
      <c r="E108" s="227"/>
      <c r="F108" s="227"/>
      <c r="W108" s="210"/>
      <c r="AF108" s="210"/>
      <c r="BC108" s="210"/>
      <c r="BD108" s="210"/>
      <c r="BJ108" s="210"/>
      <c r="BK108" s="210"/>
      <c r="BL108" s="210"/>
      <c r="BM108" s="210"/>
      <c r="BN108" s="210"/>
      <c r="BO108" s="210"/>
      <c r="BP108" s="210"/>
      <c r="BQ108" s="210"/>
      <c r="BR108" s="210"/>
      <c r="BS108" s="210"/>
      <c r="BT108" s="210"/>
      <c r="BU108" s="210"/>
      <c r="BV108" s="210"/>
      <c r="BW108" s="210"/>
      <c r="BX108" s="210"/>
      <c r="BY108" s="210"/>
      <c r="BZ108" s="210"/>
      <c r="CA108" s="210"/>
      <c r="CB108" s="210"/>
      <c r="CC108" s="210"/>
      <c r="CD108" s="210"/>
      <c r="CE108" s="210"/>
      <c r="CF108" s="210"/>
      <c r="CG108" s="210"/>
      <c r="CH108" s="210"/>
      <c r="CI108" s="210"/>
      <c r="CJ108" s="210"/>
      <c r="CK108" s="210"/>
      <c r="CL108" s="210"/>
      <c r="CM108" s="210"/>
      <c r="CN108" s="210"/>
      <c r="CO108" s="210"/>
      <c r="CP108" s="210"/>
      <c r="CQ108" s="210"/>
      <c r="CR108" s="210"/>
      <c r="CS108" s="210"/>
      <c r="CT108" s="210"/>
      <c r="CU108" s="210"/>
      <c r="CV108" s="210"/>
      <c r="CW108" s="210"/>
      <c r="CX108" s="210"/>
      <c r="CY108" s="210"/>
      <c r="CZ108" s="210"/>
      <c r="DA108" s="210"/>
      <c r="DB108" s="210"/>
      <c r="DC108" s="210"/>
      <c r="DD108" s="210"/>
      <c r="DE108" s="210"/>
      <c r="DF108" s="210"/>
      <c r="DG108" s="210"/>
      <c r="DH108" s="210"/>
      <c r="DI108" s="210"/>
      <c r="DJ108" s="210"/>
      <c r="DK108" s="210"/>
      <c r="DL108" s="210"/>
      <c r="DM108" s="210"/>
      <c r="DN108" s="210"/>
      <c r="DO108" s="210"/>
      <c r="DP108" s="210"/>
      <c r="DQ108" s="210"/>
    </row>
    <row r="109" spans="1:121" s="209" customFormat="1" x14ac:dyDescent="0.25">
      <c r="A109" s="370"/>
      <c r="B109" s="228"/>
      <c r="C109" s="228"/>
      <c r="D109" s="227"/>
      <c r="E109" s="227"/>
      <c r="F109" s="227"/>
      <c r="W109" s="210"/>
      <c r="AF109" s="210"/>
      <c r="BC109" s="210"/>
      <c r="BD109" s="210"/>
      <c r="BJ109" s="210"/>
      <c r="BK109" s="210"/>
      <c r="BL109" s="210"/>
      <c r="BM109" s="210"/>
      <c r="BN109" s="210"/>
      <c r="BO109" s="210"/>
      <c r="BP109" s="210"/>
      <c r="BQ109" s="210"/>
      <c r="BR109" s="210"/>
      <c r="BS109" s="210"/>
      <c r="BT109" s="210"/>
      <c r="BU109" s="210"/>
      <c r="BV109" s="210"/>
      <c r="BW109" s="210"/>
      <c r="BX109" s="210"/>
      <c r="BY109" s="210"/>
      <c r="BZ109" s="210"/>
      <c r="CA109" s="210"/>
      <c r="CB109" s="210"/>
      <c r="CC109" s="210"/>
      <c r="CD109" s="210"/>
      <c r="CE109" s="210"/>
      <c r="CF109" s="210"/>
      <c r="CG109" s="210"/>
      <c r="CH109" s="210"/>
      <c r="CI109" s="210"/>
      <c r="CJ109" s="210"/>
      <c r="CK109" s="210"/>
      <c r="CL109" s="210"/>
      <c r="CM109" s="210"/>
      <c r="CN109" s="210"/>
      <c r="CO109" s="210"/>
      <c r="CP109" s="210"/>
      <c r="CQ109" s="210"/>
      <c r="CR109" s="210"/>
      <c r="CS109" s="210"/>
      <c r="CT109" s="210"/>
      <c r="CU109" s="210"/>
      <c r="CV109" s="210"/>
      <c r="CW109" s="210"/>
      <c r="CX109" s="210"/>
      <c r="CY109" s="210"/>
      <c r="CZ109" s="210"/>
      <c r="DA109" s="210"/>
      <c r="DB109" s="210"/>
      <c r="DC109" s="210"/>
      <c r="DD109" s="210"/>
      <c r="DE109" s="210"/>
      <c r="DF109" s="210"/>
      <c r="DG109" s="210"/>
      <c r="DH109" s="210"/>
      <c r="DI109" s="210"/>
      <c r="DJ109" s="210"/>
      <c r="DK109" s="210"/>
      <c r="DL109" s="210"/>
      <c r="DM109" s="210"/>
      <c r="DN109" s="210"/>
      <c r="DO109" s="210"/>
      <c r="DP109" s="210"/>
      <c r="DQ109" s="210"/>
    </row>
    <row r="110" spans="1:121" s="209" customFormat="1" x14ac:dyDescent="0.25">
      <c r="A110" s="370"/>
      <c r="B110" s="228"/>
      <c r="C110" s="228"/>
      <c r="D110" s="227"/>
      <c r="E110" s="227"/>
      <c r="F110" s="227"/>
      <c r="W110" s="210"/>
      <c r="AF110" s="210"/>
      <c r="BC110" s="210"/>
      <c r="BD110" s="210"/>
      <c r="BJ110" s="210"/>
      <c r="BK110" s="210"/>
      <c r="BL110" s="210"/>
      <c r="BM110" s="210"/>
      <c r="BN110" s="210"/>
      <c r="BO110" s="210"/>
      <c r="BP110" s="210"/>
      <c r="BQ110" s="210"/>
      <c r="BR110" s="210"/>
      <c r="BS110" s="210"/>
      <c r="BT110" s="210"/>
      <c r="BU110" s="210"/>
      <c r="BV110" s="210"/>
      <c r="BW110" s="210"/>
      <c r="BX110" s="210"/>
      <c r="BY110" s="210"/>
      <c r="BZ110" s="210"/>
      <c r="CA110" s="210"/>
      <c r="CB110" s="210"/>
      <c r="CC110" s="210"/>
      <c r="CD110" s="210"/>
      <c r="CE110" s="210"/>
      <c r="CF110" s="210"/>
      <c r="CG110" s="210"/>
      <c r="CH110" s="210"/>
      <c r="CI110" s="210"/>
      <c r="CJ110" s="210"/>
      <c r="CK110" s="210"/>
      <c r="CL110" s="210"/>
      <c r="CM110" s="210"/>
      <c r="CN110" s="210"/>
      <c r="CO110" s="210"/>
      <c r="CP110" s="210"/>
      <c r="CQ110" s="210"/>
      <c r="CR110" s="210"/>
      <c r="CS110" s="210"/>
      <c r="CT110" s="210"/>
      <c r="CU110" s="210"/>
      <c r="CV110" s="210"/>
      <c r="CW110" s="210"/>
      <c r="CX110" s="210"/>
      <c r="CY110" s="210"/>
      <c r="CZ110" s="210"/>
      <c r="DA110" s="210"/>
      <c r="DB110" s="210"/>
      <c r="DC110" s="210"/>
      <c r="DD110" s="210"/>
      <c r="DE110" s="210"/>
      <c r="DF110" s="210"/>
      <c r="DG110" s="210"/>
      <c r="DH110" s="210"/>
      <c r="DI110" s="210"/>
      <c r="DJ110" s="210"/>
      <c r="DK110" s="210"/>
      <c r="DL110" s="210"/>
      <c r="DM110" s="210"/>
      <c r="DN110" s="210"/>
      <c r="DO110" s="210"/>
      <c r="DP110" s="210"/>
      <c r="DQ110" s="210"/>
    </row>
    <row r="111" spans="1:121" s="209" customFormat="1" x14ac:dyDescent="0.25">
      <c r="A111" s="370"/>
      <c r="B111" s="228"/>
      <c r="C111" s="228"/>
      <c r="D111" s="227"/>
      <c r="E111" s="227"/>
      <c r="F111" s="227"/>
      <c r="W111" s="210"/>
      <c r="AF111" s="210"/>
      <c r="BC111" s="210"/>
      <c r="BD111" s="210"/>
      <c r="BJ111" s="210"/>
      <c r="BK111" s="210"/>
      <c r="BL111" s="210"/>
      <c r="BM111" s="210"/>
      <c r="BN111" s="210"/>
      <c r="BO111" s="210"/>
      <c r="BP111" s="210"/>
      <c r="BQ111" s="210"/>
      <c r="BR111" s="210"/>
      <c r="BS111" s="210"/>
      <c r="BT111" s="210"/>
      <c r="BU111" s="210"/>
      <c r="BV111" s="210"/>
      <c r="BW111" s="210"/>
      <c r="BX111" s="210"/>
      <c r="BY111" s="210"/>
      <c r="BZ111" s="210"/>
      <c r="CA111" s="210"/>
      <c r="CB111" s="210"/>
      <c r="CC111" s="210"/>
      <c r="CD111" s="210"/>
      <c r="CE111" s="210"/>
      <c r="CF111" s="210"/>
      <c r="CG111" s="210"/>
      <c r="CH111" s="210"/>
      <c r="CI111" s="210"/>
      <c r="CJ111" s="210"/>
      <c r="CK111" s="210"/>
      <c r="CL111" s="210"/>
      <c r="CM111" s="210"/>
      <c r="CN111" s="210"/>
      <c r="CO111" s="210"/>
      <c r="CP111" s="210"/>
      <c r="CQ111" s="210"/>
      <c r="CR111" s="210"/>
      <c r="CS111" s="210"/>
      <c r="CT111" s="210"/>
      <c r="CU111" s="210"/>
      <c r="CV111" s="210"/>
      <c r="CW111" s="210"/>
      <c r="CX111" s="210"/>
      <c r="CY111" s="210"/>
      <c r="CZ111" s="210"/>
      <c r="DA111" s="210"/>
      <c r="DB111" s="210"/>
      <c r="DC111" s="210"/>
      <c r="DD111" s="210"/>
      <c r="DE111" s="210"/>
      <c r="DF111" s="210"/>
      <c r="DG111" s="210"/>
      <c r="DH111" s="210"/>
      <c r="DI111" s="210"/>
      <c r="DJ111" s="210"/>
      <c r="DK111" s="210"/>
      <c r="DL111" s="210"/>
      <c r="DM111" s="210"/>
      <c r="DN111" s="210"/>
      <c r="DO111" s="210"/>
      <c r="DP111" s="210"/>
      <c r="DQ111" s="210"/>
    </row>
    <row r="112" spans="1:121" s="209" customFormat="1" x14ac:dyDescent="0.25">
      <c r="A112" s="370"/>
      <c r="B112" s="228"/>
      <c r="C112" s="228"/>
      <c r="D112" s="227"/>
      <c r="E112" s="227"/>
      <c r="F112" s="227"/>
      <c r="W112" s="210"/>
      <c r="AF112" s="210"/>
      <c r="BC112" s="210"/>
      <c r="BD112" s="210"/>
      <c r="BJ112" s="210"/>
      <c r="BK112" s="210"/>
      <c r="BL112" s="210"/>
      <c r="BM112" s="210"/>
      <c r="BN112" s="210"/>
      <c r="BO112" s="210"/>
      <c r="BP112" s="210"/>
      <c r="BQ112" s="210"/>
      <c r="BR112" s="210"/>
      <c r="BS112" s="210"/>
      <c r="BT112" s="210"/>
      <c r="BU112" s="210"/>
      <c r="BV112" s="210"/>
      <c r="BW112" s="210"/>
      <c r="BX112" s="210"/>
      <c r="BY112" s="210"/>
      <c r="BZ112" s="210"/>
      <c r="CA112" s="210"/>
      <c r="CB112" s="210"/>
      <c r="CC112" s="210"/>
      <c r="CD112" s="210"/>
      <c r="CE112" s="210"/>
      <c r="CF112" s="210"/>
      <c r="CG112" s="210"/>
      <c r="CH112" s="210"/>
      <c r="CI112" s="210"/>
      <c r="CJ112" s="210"/>
      <c r="CK112" s="210"/>
      <c r="CL112" s="210"/>
      <c r="CM112" s="210"/>
      <c r="CN112" s="210"/>
      <c r="CO112" s="210"/>
      <c r="CP112" s="210"/>
      <c r="CQ112" s="210"/>
      <c r="CR112" s="210"/>
      <c r="CS112" s="210"/>
      <c r="CT112" s="210"/>
      <c r="CU112" s="210"/>
      <c r="CV112" s="210"/>
      <c r="CW112" s="210"/>
      <c r="CX112" s="210"/>
      <c r="CY112" s="210"/>
      <c r="CZ112" s="210"/>
      <c r="DA112" s="210"/>
      <c r="DB112" s="210"/>
      <c r="DC112" s="210"/>
      <c r="DD112" s="210"/>
      <c r="DE112" s="210"/>
      <c r="DF112" s="210"/>
      <c r="DG112" s="210"/>
      <c r="DH112" s="210"/>
      <c r="DI112" s="210"/>
      <c r="DJ112" s="210"/>
      <c r="DK112" s="210"/>
      <c r="DL112" s="210"/>
      <c r="DM112" s="210"/>
      <c r="DN112" s="210"/>
      <c r="DO112" s="210"/>
      <c r="DP112" s="210"/>
      <c r="DQ112" s="210"/>
    </row>
    <row r="113" spans="1:121" s="209" customFormat="1" x14ac:dyDescent="0.25">
      <c r="A113" s="370"/>
      <c r="B113" s="228"/>
      <c r="C113" s="228"/>
      <c r="D113" s="227"/>
      <c r="E113" s="227"/>
      <c r="F113" s="227"/>
      <c r="W113" s="210"/>
      <c r="AF113" s="210"/>
      <c r="BC113" s="210"/>
      <c r="BD113" s="210"/>
      <c r="BJ113" s="210"/>
      <c r="BK113" s="210"/>
      <c r="BL113" s="210"/>
      <c r="BM113" s="210"/>
      <c r="BN113" s="210"/>
      <c r="BO113" s="210"/>
      <c r="BP113" s="210"/>
      <c r="BQ113" s="210"/>
      <c r="BR113" s="210"/>
      <c r="BS113" s="210"/>
      <c r="BT113" s="210"/>
      <c r="BU113" s="210"/>
      <c r="BV113" s="210"/>
      <c r="BW113" s="210"/>
      <c r="BX113" s="210"/>
      <c r="BY113" s="210"/>
      <c r="BZ113" s="210"/>
      <c r="CA113" s="210"/>
      <c r="CB113" s="210"/>
      <c r="CC113" s="210"/>
      <c r="CD113" s="210"/>
      <c r="CE113" s="210"/>
      <c r="CF113" s="210"/>
      <c r="CG113" s="210"/>
      <c r="CH113" s="210"/>
      <c r="CI113" s="210"/>
      <c r="CJ113" s="210"/>
      <c r="CK113" s="210"/>
      <c r="CL113" s="210"/>
      <c r="CM113" s="210"/>
      <c r="CN113" s="210"/>
      <c r="CO113" s="210"/>
      <c r="CP113" s="210"/>
      <c r="CQ113" s="210"/>
      <c r="CR113" s="210"/>
      <c r="CS113" s="210"/>
      <c r="CT113" s="210"/>
      <c r="CU113" s="210"/>
      <c r="CV113" s="210"/>
      <c r="CW113" s="210"/>
      <c r="CX113" s="210"/>
      <c r="CY113" s="210"/>
      <c r="CZ113" s="210"/>
      <c r="DA113" s="210"/>
      <c r="DB113" s="210"/>
      <c r="DC113" s="210"/>
      <c r="DD113" s="210"/>
      <c r="DE113" s="210"/>
      <c r="DF113" s="210"/>
      <c r="DG113" s="210"/>
      <c r="DH113" s="210"/>
      <c r="DI113" s="210"/>
      <c r="DJ113" s="210"/>
      <c r="DK113" s="210"/>
      <c r="DL113" s="210"/>
      <c r="DM113" s="210"/>
      <c r="DN113" s="210"/>
      <c r="DO113" s="210"/>
      <c r="DP113" s="210"/>
      <c r="DQ113" s="210"/>
    </row>
    <row r="114" spans="1:121" s="209" customFormat="1" x14ac:dyDescent="0.25">
      <c r="A114" s="370"/>
      <c r="B114" s="228"/>
      <c r="C114" s="228"/>
      <c r="D114" s="227"/>
      <c r="E114" s="227"/>
      <c r="F114" s="227"/>
      <c r="W114" s="210"/>
      <c r="AF114" s="210"/>
      <c r="BC114" s="210"/>
      <c r="BD114" s="210"/>
      <c r="BJ114" s="210"/>
      <c r="BK114" s="210"/>
      <c r="BL114" s="210"/>
      <c r="BM114" s="210"/>
      <c r="BN114" s="210"/>
      <c r="BO114" s="210"/>
      <c r="BP114" s="210"/>
      <c r="BQ114" s="210"/>
      <c r="BR114" s="210"/>
      <c r="BS114" s="210"/>
      <c r="BT114" s="210"/>
      <c r="BU114" s="210"/>
      <c r="BV114" s="210"/>
      <c r="BW114" s="210"/>
      <c r="BX114" s="210"/>
      <c r="BY114" s="210"/>
      <c r="BZ114" s="210"/>
      <c r="CA114" s="210"/>
      <c r="CB114" s="210"/>
      <c r="CC114" s="210"/>
      <c r="CD114" s="210"/>
      <c r="CE114" s="210"/>
      <c r="CF114" s="210"/>
      <c r="CG114" s="210"/>
      <c r="CH114" s="210"/>
      <c r="CI114" s="210"/>
      <c r="CJ114" s="210"/>
      <c r="CK114" s="210"/>
      <c r="CL114" s="210"/>
      <c r="CM114" s="210"/>
      <c r="CN114" s="210"/>
      <c r="CO114" s="210"/>
      <c r="CP114" s="210"/>
      <c r="CQ114" s="210"/>
      <c r="CR114" s="210"/>
      <c r="CS114" s="210"/>
      <c r="CT114" s="210"/>
      <c r="CU114" s="210"/>
      <c r="CV114" s="210"/>
      <c r="CW114" s="210"/>
      <c r="CX114" s="210"/>
      <c r="CY114" s="210"/>
      <c r="CZ114" s="210"/>
      <c r="DA114" s="210"/>
      <c r="DB114" s="210"/>
      <c r="DC114" s="210"/>
      <c r="DD114" s="210"/>
      <c r="DE114" s="210"/>
      <c r="DF114" s="210"/>
      <c r="DG114" s="210"/>
      <c r="DH114" s="210"/>
      <c r="DI114" s="210"/>
      <c r="DJ114" s="210"/>
      <c r="DK114" s="210"/>
      <c r="DL114" s="210"/>
      <c r="DM114" s="210"/>
      <c r="DN114" s="210"/>
      <c r="DO114" s="210"/>
      <c r="DP114" s="210"/>
      <c r="DQ114" s="210"/>
    </row>
    <row r="115" spans="1:121" s="209" customFormat="1" x14ac:dyDescent="0.25">
      <c r="A115" s="370"/>
      <c r="B115" s="228"/>
      <c r="C115" s="228"/>
      <c r="D115" s="227"/>
      <c r="E115" s="227"/>
      <c r="F115" s="227"/>
      <c r="W115" s="210"/>
      <c r="AF115" s="210"/>
      <c r="BC115" s="210"/>
      <c r="BD115" s="210"/>
      <c r="BJ115" s="210"/>
      <c r="BK115" s="210"/>
      <c r="BL115" s="210"/>
      <c r="BM115" s="210"/>
      <c r="BN115" s="210"/>
      <c r="BO115" s="210"/>
      <c r="BP115" s="210"/>
      <c r="BQ115" s="210"/>
      <c r="BR115" s="210"/>
      <c r="BS115" s="210"/>
      <c r="BT115" s="210"/>
      <c r="BU115" s="210"/>
      <c r="BV115" s="210"/>
      <c r="BW115" s="210"/>
      <c r="BX115" s="210"/>
      <c r="BY115" s="210"/>
      <c r="BZ115" s="210"/>
      <c r="CA115" s="210"/>
      <c r="CB115" s="210"/>
      <c r="CC115" s="210"/>
      <c r="CD115" s="210"/>
      <c r="CE115" s="210"/>
      <c r="CF115" s="210"/>
      <c r="CG115" s="210"/>
      <c r="CH115" s="210"/>
      <c r="CI115" s="210"/>
      <c r="CJ115" s="210"/>
      <c r="CK115" s="210"/>
      <c r="CL115" s="210"/>
      <c r="CM115" s="210"/>
      <c r="CN115" s="210"/>
      <c r="CO115" s="210"/>
      <c r="CP115" s="210"/>
      <c r="CQ115" s="210"/>
      <c r="CR115" s="210"/>
      <c r="CS115" s="210"/>
      <c r="CT115" s="210"/>
      <c r="CU115" s="210"/>
      <c r="CV115" s="210"/>
      <c r="CW115" s="210"/>
      <c r="CX115" s="210"/>
      <c r="CY115" s="210"/>
      <c r="CZ115" s="210"/>
      <c r="DA115" s="210"/>
      <c r="DB115" s="210"/>
      <c r="DC115" s="210"/>
      <c r="DD115" s="210"/>
      <c r="DE115" s="210"/>
      <c r="DF115" s="210"/>
      <c r="DG115" s="210"/>
      <c r="DH115" s="210"/>
      <c r="DI115" s="210"/>
      <c r="DJ115" s="210"/>
      <c r="DK115" s="210"/>
      <c r="DL115" s="210"/>
      <c r="DM115" s="210"/>
      <c r="DN115" s="210"/>
      <c r="DO115" s="210"/>
      <c r="DP115" s="210"/>
      <c r="DQ115" s="210"/>
    </row>
    <row r="116" spans="1:121" s="209" customFormat="1" x14ac:dyDescent="0.25">
      <c r="A116" s="370"/>
      <c r="B116" s="228"/>
      <c r="C116" s="228"/>
      <c r="D116" s="227"/>
      <c r="E116" s="227"/>
      <c r="F116" s="227"/>
      <c r="W116" s="210"/>
      <c r="AF116" s="210"/>
      <c r="BC116" s="210"/>
      <c r="BD116" s="210"/>
      <c r="BJ116" s="210"/>
      <c r="BK116" s="210"/>
      <c r="BL116" s="210"/>
      <c r="BM116" s="210"/>
      <c r="BN116" s="210"/>
      <c r="BO116" s="210"/>
      <c r="BP116" s="210"/>
      <c r="BQ116" s="210"/>
      <c r="BR116" s="210"/>
      <c r="BS116" s="210"/>
      <c r="BT116" s="210"/>
      <c r="BU116" s="210"/>
      <c r="BV116" s="210"/>
      <c r="BW116" s="210"/>
      <c r="BX116" s="210"/>
      <c r="BY116" s="210"/>
      <c r="BZ116" s="210"/>
      <c r="CA116" s="210"/>
      <c r="CB116" s="210"/>
      <c r="CC116" s="210"/>
      <c r="CD116" s="210"/>
      <c r="CE116" s="210"/>
      <c r="CF116" s="210"/>
      <c r="CG116" s="210"/>
      <c r="CH116" s="210"/>
      <c r="CI116" s="210"/>
      <c r="CJ116" s="210"/>
      <c r="CK116" s="210"/>
      <c r="CL116" s="210"/>
      <c r="CM116" s="210"/>
      <c r="CN116" s="210"/>
      <c r="CO116" s="210"/>
      <c r="CP116" s="210"/>
      <c r="CQ116" s="210"/>
      <c r="CR116" s="210"/>
      <c r="CS116" s="210"/>
      <c r="CT116" s="210"/>
      <c r="CU116" s="210"/>
      <c r="CV116" s="210"/>
      <c r="CW116" s="210"/>
      <c r="CX116" s="210"/>
      <c r="CY116" s="210"/>
      <c r="CZ116" s="210"/>
      <c r="DA116" s="210"/>
      <c r="DB116" s="210"/>
      <c r="DC116" s="210"/>
      <c r="DD116" s="210"/>
      <c r="DE116" s="210"/>
      <c r="DF116" s="210"/>
      <c r="DG116" s="210"/>
      <c r="DH116" s="210"/>
      <c r="DI116" s="210"/>
      <c r="DJ116" s="210"/>
      <c r="DK116" s="210"/>
      <c r="DL116" s="210"/>
      <c r="DM116" s="210"/>
      <c r="DN116" s="210"/>
      <c r="DO116" s="210"/>
      <c r="DP116" s="210"/>
      <c r="DQ116" s="210"/>
    </row>
    <row r="117" spans="1:121" s="209" customFormat="1" x14ac:dyDescent="0.25">
      <c r="A117" s="370"/>
      <c r="B117" s="228"/>
      <c r="C117" s="228"/>
      <c r="D117" s="227"/>
      <c r="E117" s="227"/>
      <c r="F117" s="227"/>
      <c r="W117" s="210"/>
      <c r="AF117" s="210"/>
      <c r="BC117" s="210"/>
      <c r="BD117" s="210"/>
      <c r="BJ117" s="210"/>
      <c r="BK117" s="210"/>
      <c r="BL117" s="210"/>
      <c r="BM117" s="210"/>
      <c r="BN117" s="210"/>
      <c r="BO117" s="210"/>
      <c r="BP117" s="210"/>
      <c r="BQ117" s="210"/>
      <c r="BR117" s="210"/>
      <c r="BS117" s="210"/>
      <c r="BT117" s="210"/>
      <c r="BU117" s="210"/>
      <c r="BV117" s="210"/>
      <c r="BW117" s="210"/>
      <c r="BX117" s="210"/>
      <c r="BY117" s="210"/>
      <c r="BZ117" s="210"/>
      <c r="CA117" s="210"/>
      <c r="CB117" s="210"/>
      <c r="CC117" s="210"/>
      <c r="CD117" s="210"/>
      <c r="CE117" s="210"/>
      <c r="CF117" s="210"/>
      <c r="CG117" s="210"/>
      <c r="CH117" s="210"/>
      <c r="CI117" s="210"/>
      <c r="CJ117" s="210"/>
      <c r="CK117" s="210"/>
      <c r="CL117" s="210"/>
      <c r="CM117" s="210"/>
      <c r="CN117" s="210"/>
      <c r="CO117" s="210"/>
      <c r="CP117" s="210"/>
      <c r="CQ117" s="210"/>
      <c r="CR117" s="210"/>
      <c r="CS117" s="210"/>
      <c r="CT117" s="210"/>
      <c r="CU117" s="210"/>
      <c r="CV117" s="210"/>
      <c r="CW117" s="210"/>
      <c r="CX117" s="210"/>
      <c r="CY117" s="210"/>
      <c r="CZ117" s="210"/>
      <c r="DA117" s="210"/>
      <c r="DB117" s="210"/>
      <c r="DC117" s="210"/>
      <c r="DD117" s="210"/>
      <c r="DE117" s="210"/>
      <c r="DF117" s="210"/>
      <c r="DG117" s="210"/>
      <c r="DH117" s="210"/>
      <c r="DI117" s="210"/>
      <c r="DJ117" s="210"/>
      <c r="DK117" s="210"/>
      <c r="DL117" s="210"/>
      <c r="DM117" s="210"/>
      <c r="DN117" s="210"/>
      <c r="DO117" s="210"/>
      <c r="DP117" s="210"/>
      <c r="DQ117" s="210"/>
    </row>
    <row r="118" spans="1:121" s="209" customFormat="1" x14ac:dyDescent="0.25">
      <c r="A118" s="370"/>
      <c r="B118" s="228"/>
      <c r="C118" s="228"/>
      <c r="D118" s="227"/>
      <c r="E118" s="227"/>
      <c r="F118" s="227"/>
      <c r="W118" s="210"/>
      <c r="AF118" s="210"/>
      <c r="BC118" s="210"/>
      <c r="BD118" s="210"/>
      <c r="BJ118" s="210"/>
      <c r="BK118" s="210"/>
      <c r="BL118" s="210"/>
      <c r="BM118" s="210"/>
      <c r="BN118" s="210"/>
      <c r="BO118" s="210"/>
      <c r="BP118" s="210"/>
      <c r="BQ118" s="210"/>
      <c r="BR118" s="210"/>
      <c r="BS118" s="210"/>
      <c r="BT118" s="210"/>
      <c r="BU118" s="210"/>
      <c r="BV118" s="210"/>
      <c r="BW118" s="210"/>
      <c r="BX118" s="210"/>
      <c r="BY118" s="210"/>
      <c r="BZ118" s="210"/>
      <c r="CA118" s="210"/>
      <c r="CB118" s="210"/>
      <c r="CC118" s="210"/>
      <c r="CD118" s="210"/>
      <c r="CE118" s="210"/>
      <c r="CF118" s="210"/>
      <c r="CG118" s="210"/>
      <c r="CH118" s="210"/>
      <c r="CI118" s="210"/>
      <c r="CJ118" s="210"/>
      <c r="CK118" s="210"/>
      <c r="CL118" s="210"/>
      <c r="CM118" s="210"/>
      <c r="CN118" s="210"/>
      <c r="CO118" s="210"/>
      <c r="CP118" s="210"/>
      <c r="CQ118" s="210"/>
      <c r="CR118" s="210"/>
      <c r="CS118" s="210"/>
      <c r="CT118" s="210"/>
      <c r="CU118" s="210"/>
      <c r="CV118" s="210"/>
      <c r="CW118" s="210"/>
      <c r="CX118" s="210"/>
      <c r="CY118" s="210"/>
      <c r="CZ118" s="210"/>
      <c r="DA118" s="210"/>
      <c r="DB118" s="210"/>
      <c r="DC118" s="210"/>
      <c r="DD118" s="210"/>
      <c r="DE118" s="210"/>
      <c r="DF118" s="210"/>
      <c r="DG118" s="210"/>
      <c r="DH118" s="210"/>
      <c r="DI118" s="210"/>
      <c r="DJ118" s="210"/>
      <c r="DK118" s="210"/>
      <c r="DL118" s="210"/>
      <c r="DM118" s="210"/>
      <c r="DN118" s="210"/>
      <c r="DO118" s="210"/>
      <c r="DP118" s="210"/>
      <c r="DQ118" s="210"/>
    </row>
    <row r="119" spans="1:121" s="209" customFormat="1" x14ac:dyDescent="0.25">
      <c r="A119" s="370"/>
      <c r="B119" s="228"/>
      <c r="C119" s="228"/>
      <c r="D119" s="227"/>
      <c r="E119" s="227"/>
      <c r="F119" s="227"/>
      <c r="W119" s="210"/>
      <c r="AF119" s="210"/>
      <c r="BC119" s="210"/>
      <c r="BD119" s="210"/>
      <c r="BJ119" s="210"/>
      <c r="BK119" s="210"/>
      <c r="BL119" s="210"/>
      <c r="BM119" s="210"/>
      <c r="BN119" s="210"/>
      <c r="BO119" s="210"/>
      <c r="BP119" s="210"/>
      <c r="BQ119" s="210"/>
      <c r="BR119" s="210"/>
      <c r="BS119" s="210"/>
      <c r="BT119" s="210"/>
      <c r="BU119" s="210"/>
      <c r="BV119" s="210"/>
      <c r="BW119" s="210"/>
      <c r="BX119" s="210"/>
      <c r="BY119" s="210"/>
      <c r="BZ119" s="210"/>
      <c r="CA119" s="210"/>
      <c r="CB119" s="210"/>
      <c r="CC119" s="210"/>
      <c r="CD119" s="210"/>
      <c r="CE119" s="210"/>
      <c r="CF119" s="210"/>
      <c r="CG119" s="210"/>
      <c r="CH119" s="210"/>
      <c r="CI119" s="210"/>
      <c r="CJ119" s="210"/>
      <c r="CK119" s="210"/>
      <c r="CL119" s="210"/>
      <c r="CM119" s="210"/>
      <c r="CN119" s="210"/>
      <c r="CO119" s="210"/>
      <c r="CP119" s="210"/>
      <c r="CQ119" s="210"/>
      <c r="CR119" s="210"/>
      <c r="CS119" s="210"/>
      <c r="CT119" s="210"/>
      <c r="CU119" s="210"/>
      <c r="CV119" s="210"/>
      <c r="CW119" s="210"/>
      <c r="CX119" s="210"/>
      <c r="CY119" s="210"/>
      <c r="CZ119" s="210"/>
      <c r="DA119" s="210"/>
      <c r="DB119" s="210"/>
      <c r="DC119" s="210"/>
      <c r="DD119" s="210"/>
      <c r="DE119" s="210"/>
      <c r="DF119" s="210"/>
      <c r="DG119" s="210"/>
      <c r="DH119" s="210"/>
      <c r="DI119" s="210"/>
      <c r="DJ119" s="210"/>
      <c r="DK119" s="210"/>
      <c r="DL119" s="210"/>
      <c r="DM119" s="210"/>
      <c r="DN119" s="210"/>
      <c r="DO119" s="210"/>
      <c r="DP119" s="210"/>
      <c r="DQ119" s="210"/>
    </row>
    <row r="120" spans="1:121" s="209" customFormat="1" x14ac:dyDescent="0.25">
      <c r="A120" s="370"/>
      <c r="B120" s="228"/>
      <c r="C120" s="228"/>
      <c r="D120" s="227"/>
      <c r="E120" s="227"/>
      <c r="F120" s="227"/>
      <c r="W120" s="210"/>
      <c r="AF120" s="210"/>
      <c r="BC120" s="210"/>
      <c r="BD120" s="210"/>
      <c r="BJ120" s="210"/>
      <c r="BK120" s="210"/>
      <c r="BL120" s="210"/>
      <c r="BM120" s="210"/>
      <c r="BN120" s="210"/>
      <c r="BO120" s="210"/>
      <c r="BP120" s="210"/>
      <c r="BQ120" s="210"/>
      <c r="BR120" s="210"/>
      <c r="BS120" s="210"/>
      <c r="BT120" s="210"/>
      <c r="BU120" s="210"/>
      <c r="BV120" s="210"/>
      <c r="BW120" s="210"/>
      <c r="BX120" s="210"/>
      <c r="BY120" s="210"/>
      <c r="BZ120" s="210"/>
      <c r="CA120" s="210"/>
      <c r="CB120" s="210"/>
      <c r="CC120" s="210"/>
      <c r="CD120" s="210"/>
      <c r="CE120" s="210"/>
      <c r="CF120" s="210"/>
      <c r="CG120" s="210"/>
      <c r="CH120" s="210"/>
      <c r="CI120" s="210"/>
      <c r="CJ120" s="210"/>
      <c r="CK120" s="210"/>
      <c r="CL120" s="210"/>
      <c r="CM120" s="210"/>
      <c r="CN120" s="210"/>
      <c r="CO120" s="210"/>
      <c r="CP120" s="210"/>
      <c r="CQ120" s="210"/>
      <c r="CR120" s="210"/>
      <c r="CS120" s="210"/>
      <c r="CT120" s="210"/>
      <c r="CU120" s="210"/>
      <c r="CV120" s="210"/>
      <c r="CW120" s="210"/>
      <c r="CX120" s="210"/>
      <c r="CY120" s="210"/>
      <c r="CZ120" s="210"/>
      <c r="DA120" s="210"/>
      <c r="DB120" s="210"/>
      <c r="DC120" s="210"/>
      <c r="DD120" s="210"/>
      <c r="DE120" s="210"/>
      <c r="DF120" s="210"/>
      <c r="DG120" s="210"/>
      <c r="DH120" s="210"/>
      <c r="DI120" s="210"/>
      <c r="DJ120" s="210"/>
      <c r="DK120" s="210"/>
      <c r="DL120" s="210"/>
      <c r="DM120" s="210"/>
      <c r="DN120" s="210"/>
      <c r="DO120" s="210"/>
      <c r="DP120" s="210"/>
      <c r="DQ120" s="210"/>
    </row>
    <row r="121" spans="1:121" s="209" customFormat="1" x14ac:dyDescent="0.25">
      <c r="A121" s="370"/>
      <c r="B121" s="228"/>
      <c r="C121" s="228"/>
      <c r="D121" s="227"/>
      <c r="E121" s="227"/>
      <c r="F121" s="227"/>
      <c r="W121" s="210"/>
      <c r="AF121" s="210"/>
      <c r="BC121" s="210"/>
      <c r="BD121" s="210"/>
      <c r="BJ121" s="210"/>
      <c r="BK121" s="210"/>
      <c r="BL121" s="210"/>
      <c r="BM121" s="210"/>
      <c r="BN121" s="210"/>
      <c r="BO121" s="210"/>
      <c r="BP121" s="210"/>
      <c r="BQ121" s="210"/>
      <c r="BR121" s="210"/>
      <c r="BS121" s="210"/>
      <c r="BT121" s="210"/>
      <c r="BU121" s="210"/>
      <c r="BV121" s="210"/>
      <c r="BW121" s="210"/>
      <c r="BX121" s="210"/>
      <c r="BY121" s="210"/>
      <c r="BZ121" s="210"/>
      <c r="CA121" s="210"/>
      <c r="CB121" s="210"/>
      <c r="CC121" s="210"/>
      <c r="CD121" s="210"/>
      <c r="CE121" s="210"/>
      <c r="CF121" s="210"/>
      <c r="CG121" s="210"/>
      <c r="CH121" s="210"/>
      <c r="CI121" s="210"/>
      <c r="CJ121" s="210"/>
      <c r="CK121" s="210"/>
      <c r="CL121" s="210"/>
      <c r="CM121" s="210"/>
      <c r="CN121" s="210"/>
      <c r="CO121" s="210"/>
      <c r="CP121" s="210"/>
      <c r="CQ121" s="210"/>
      <c r="CR121" s="210"/>
      <c r="CS121" s="210"/>
      <c r="CT121" s="210"/>
      <c r="CU121" s="210"/>
      <c r="CV121" s="210"/>
      <c r="CW121" s="210"/>
      <c r="CX121" s="210"/>
      <c r="CY121" s="210"/>
      <c r="CZ121" s="210"/>
      <c r="DA121" s="210"/>
      <c r="DB121" s="210"/>
      <c r="DC121" s="210"/>
      <c r="DD121" s="210"/>
      <c r="DE121" s="210"/>
      <c r="DF121" s="210"/>
      <c r="DG121" s="210"/>
      <c r="DH121" s="210"/>
      <c r="DI121" s="210"/>
      <c r="DJ121" s="210"/>
      <c r="DK121" s="210"/>
      <c r="DL121" s="210"/>
      <c r="DM121" s="210"/>
      <c r="DN121" s="210"/>
      <c r="DO121" s="210"/>
      <c r="DP121" s="210"/>
      <c r="DQ121" s="210"/>
    </row>
    <row r="122" spans="1:121" s="209" customFormat="1" x14ac:dyDescent="0.25">
      <c r="A122" s="370"/>
      <c r="B122" s="228"/>
      <c r="C122" s="228"/>
      <c r="D122" s="227"/>
      <c r="E122" s="227"/>
      <c r="F122" s="227"/>
      <c r="W122" s="210"/>
      <c r="AF122" s="210"/>
      <c r="BC122" s="210"/>
      <c r="BD122" s="210"/>
      <c r="BJ122" s="210"/>
      <c r="BK122" s="210"/>
      <c r="BL122" s="210"/>
      <c r="BM122" s="210"/>
      <c r="BN122" s="210"/>
      <c r="BO122" s="210"/>
      <c r="BP122" s="210"/>
      <c r="BQ122" s="210"/>
      <c r="BR122" s="210"/>
      <c r="BS122" s="210"/>
      <c r="BT122" s="210"/>
      <c r="BU122" s="210"/>
      <c r="BV122" s="210"/>
      <c r="BW122" s="210"/>
      <c r="BX122" s="210"/>
      <c r="BY122" s="210"/>
      <c r="BZ122" s="210"/>
      <c r="CA122" s="210"/>
      <c r="CB122" s="210"/>
      <c r="CC122" s="210"/>
      <c r="CD122" s="210"/>
      <c r="CE122" s="210"/>
      <c r="CF122" s="210"/>
      <c r="CG122" s="210"/>
      <c r="CH122" s="210"/>
      <c r="CI122" s="210"/>
      <c r="CJ122" s="210"/>
      <c r="CK122" s="210"/>
      <c r="CL122" s="210"/>
      <c r="CM122" s="210"/>
      <c r="CN122" s="210"/>
      <c r="CO122" s="210"/>
      <c r="CP122" s="210"/>
      <c r="CQ122" s="210"/>
      <c r="CR122" s="210"/>
      <c r="CS122" s="210"/>
      <c r="CT122" s="210"/>
      <c r="CU122" s="210"/>
      <c r="CV122" s="210"/>
      <c r="CW122" s="210"/>
      <c r="CX122" s="210"/>
      <c r="CY122" s="210"/>
      <c r="CZ122" s="210"/>
      <c r="DA122" s="210"/>
      <c r="DB122" s="210"/>
      <c r="DC122" s="210"/>
      <c r="DD122" s="210"/>
      <c r="DE122" s="210"/>
      <c r="DF122" s="210"/>
      <c r="DG122" s="210"/>
      <c r="DH122" s="210"/>
      <c r="DI122" s="210"/>
      <c r="DJ122" s="210"/>
      <c r="DK122" s="210"/>
      <c r="DL122" s="210"/>
      <c r="DM122" s="210"/>
      <c r="DN122" s="210"/>
      <c r="DO122" s="210"/>
      <c r="DP122" s="210"/>
      <c r="DQ122" s="210"/>
    </row>
    <row r="123" spans="1:121" s="209" customFormat="1" x14ac:dyDescent="0.25">
      <c r="A123" s="370"/>
      <c r="B123" s="228"/>
      <c r="C123" s="228"/>
      <c r="D123" s="227"/>
      <c r="E123" s="227"/>
      <c r="F123" s="227"/>
      <c r="W123" s="210"/>
      <c r="AF123" s="210"/>
      <c r="BC123" s="210"/>
      <c r="BD123" s="210"/>
      <c r="BJ123" s="210"/>
      <c r="BK123" s="210"/>
      <c r="BL123" s="210"/>
      <c r="BM123" s="210"/>
      <c r="BN123" s="210"/>
      <c r="BO123" s="210"/>
      <c r="BP123" s="210"/>
      <c r="BQ123" s="210"/>
      <c r="BR123" s="210"/>
      <c r="BS123" s="210"/>
      <c r="BT123" s="210"/>
      <c r="BU123" s="210"/>
      <c r="BV123" s="210"/>
      <c r="BW123" s="210"/>
      <c r="BX123" s="210"/>
      <c r="BY123" s="210"/>
      <c r="BZ123" s="210"/>
      <c r="CA123" s="210"/>
      <c r="CB123" s="210"/>
      <c r="CC123" s="210"/>
      <c r="CD123" s="210"/>
      <c r="CE123" s="210"/>
      <c r="CF123" s="210"/>
      <c r="CG123" s="210"/>
      <c r="CH123" s="210"/>
      <c r="CI123" s="210"/>
      <c r="CJ123" s="210"/>
      <c r="CK123" s="210"/>
      <c r="CL123" s="210"/>
      <c r="CM123" s="210"/>
      <c r="CN123" s="210"/>
      <c r="CO123" s="210"/>
      <c r="CP123" s="210"/>
      <c r="CQ123" s="210"/>
      <c r="CR123" s="210"/>
      <c r="CS123" s="210"/>
      <c r="CT123" s="210"/>
      <c r="CU123" s="210"/>
      <c r="CV123" s="210"/>
      <c r="CW123" s="210"/>
      <c r="CX123" s="210"/>
      <c r="CY123" s="210"/>
      <c r="CZ123" s="210"/>
      <c r="DA123" s="210"/>
      <c r="DB123" s="210"/>
      <c r="DC123" s="210"/>
      <c r="DD123" s="210"/>
      <c r="DE123" s="210"/>
      <c r="DF123" s="210"/>
      <c r="DG123" s="210"/>
      <c r="DH123" s="210"/>
      <c r="DI123" s="210"/>
      <c r="DJ123" s="210"/>
      <c r="DK123" s="210"/>
      <c r="DL123" s="210"/>
      <c r="DM123" s="210"/>
      <c r="DN123" s="210"/>
      <c r="DO123" s="210"/>
      <c r="DP123" s="210"/>
      <c r="DQ123" s="210"/>
    </row>
    <row r="124" spans="1:121" s="209" customFormat="1" x14ac:dyDescent="0.25">
      <c r="A124" s="370"/>
      <c r="B124" s="228"/>
      <c r="C124" s="228"/>
      <c r="D124" s="227"/>
      <c r="E124" s="227"/>
      <c r="F124" s="227"/>
      <c r="W124" s="210"/>
      <c r="AF124" s="210"/>
      <c r="BC124" s="210"/>
      <c r="BD124" s="210"/>
      <c r="BJ124" s="210"/>
      <c r="BK124" s="210"/>
      <c r="BL124" s="210"/>
      <c r="BM124" s="210"/>
      <c r="BN124" s="210"/>
      <c r="BO124" s="210"/>
      <c r="BP124" s="210"/>
      <c r="BQ124" s="210"/>
      <c r="BR124" s="210"/>
      <c r="BS124" s="210"/>
      <c r="BT124" s="210"/>
      <c r="BU124" s="210"/>
      <c r="BV124" s="210"/>
      <c r="BW124" s="210"/>
      <c r="BX124" s="210"/>
      <c r="BY124" s="210"/>
      <c r="BZ124" s="210"/>
      <c r="CA124" s="210"/>
      <c r="CB124" s="210"/>
      <c r="CC124" s="210"/>
      <c r="CD124" s="210"/>
      <c r="CE124" s="210"/>
      <c r="CF124" s="210"/>
      <c r="CG124" s="210"/>
      <c r="CH124" s="210"/>
      <c r="CI124" s="210"/>
      <c r="CJ124" s="210"/>
      <c r="CK124" s="210"/>
      <c r="CL124" s="210"/>
      <c r="CM124" s="210"/>
      <c r="CN124" s="210"/>
      <c r="CO124" s="210"/>
      <c r="CP124" s="210"/>
      <c r="CQ124" s="210"/>
      <c r="CR124" s="210"/>
      <c r="CS124" s="210"/>
      <c r="CT124" s="210"/>
      <c r="CU124" s="210"/>
      <c r="CV124" s="210"/>
      <c r="CW124" s="210"/>
      <c r="CX124" s="210"/>
      <c r="CY124" s="210"/>
      <c r="CZ124" s="210"/>
      <c r="DA124" s="210"/>
      <c r="DB124" s="210"/>
      <c r="DC124" s="210"/>
      <c r="DD124" s="210"/>
      <c r="DE124" s="210"/>
      <c r="DF124" s="210"/>
      <c r="DG124" s="210"/>
      <c r="DH124" s="210"/>
      <c r="DI124" s="210"/>
      <c r="DJ124" s="210"/>
      <c r="DK124" s="210"/>
      <c r="DL124" s="210"/>
      <c r="DM124" s="210"/>
      <c r="DN124" s="210"/>
      <c r="DO124" s="210"/>
      <c r="DP124" s="210"/>
      <c r="DQ124" s="210"/>
    </row>
    <row r="125" spans="1:121" s="209" customFormat="1" x14ac:dyDescent="0.25">
      <c r="A125" s="370"/>
      <c r="B125" s="228"/>
      <c r="C125" s="228"/>
      <c r="D125" s="227"/>
      <c r="E125" s="227"/>
      <c r="F125" s="227"/>
      <c r="W125" s="210"/>
      <c r="AF125" s="210"/>
      <c r="BC125" s="210"/>
      <c r="BD125" s="210"/>
      <c r="BJ125" s="210"/>
      <c r="BK125" s="210"/>
      <c r="BL125" s="210"/>
      <c r="BM125" s="210"/>
      <c r="BN125" s="210"/>
      <c r="BO125" s="210"/>
      <c r="BP125" s="210"/>
      <c r="BQ125" s="210"/>
      <c r="BR125" s="210"/>
      <c r="BS125" s="210"/>
      <c r="BT125" s="210"/>
      <c r="BU125" s="210"/>
      <c r="BV125" s="210"/>
      <c r="BW125" s="210"/>
      <c r="BX125" s="210"/>
      <c r="BY125" s="210"/>
      <c r="BZ125" s="210"/>
      <c r="CA125" s="210"/>
      <c r="CB125" s="210"/>
      <c r="CC125" s="210"/>
      <c r="CD125" s="210"/>
      <c r="CE125" s="210"/>
      <c r="CF125" s="210"/>
      <c r="CG125" s="210"/>
      <c r="CH125" s="210"/>
      <c r="CI125" s="210"/>
      <c r="CJ125" s="210"/>
      <c r="CK125" s="210"/>
      <c r="CL125" s="210"/>
      <c r="CM125" s="210"/>
      <c r="CN125" s="210"/>
      <c r="CO125" s="210"/>
      <c r="CP125" s="210"/>
      <c r="CQ125" s="210"/>
      <c r="CR125" s="210"/>
      <c r="CS125" s="210"/>
      <c r="CT125" s="210"/>
      <c r="CU125" s="210"/>
      <c r="CV125" s="210"/>
      <c r="CW125" s="210"/>
      <c r="CX125" s="210"/>
      <c r="CY125" s="210"/>
      <c r="CZ125" s="210"/>
      <c r="DA125" s="210"/>
      <c r="DB125" s="210"/>
      <c r="DC125" s="210"/>
      <c r="DD125" s="210"/>
      <c r="DE125" s="210"/>
      <c r="DF125" s="210"/>
      <c r="DG125" s="210"/>
      <c r="DH125" s="210"/>
      <c r="DI125" s="210"/>
      <c r="DJ125" s="210"/>
      <c r="DK125" s="210"/>
      <c r="DL125" s="210"/>
      <c r="DM125" s="210"/>
      <c r="DN125" s="210"/>
      <c r="DO125" s="210"/>
      <c r="DP125" s="210"/>
      <c r="DQ125" s="210"/>
    </row>
    <row r="126" spans="1:121" s="209" customFormat="1" x14ac:dyDescent="0.25">
      <c r="A126" s="370"/>
      <c r="B126" s="228"/>
      <c r="C126" s="228"/>
      <c r="D126" s="227"/>
      <c r="E126" s="227"/>
      <c r="F126" s="227"/>
      <c r="W126" s="210"/>
      <c r="AF126" s="210"/>
      <c r="BC126" s="210"/>
      <c r="BD126" s="210"/>
      <c r="BJ126" s="210"/>
      <c r="BK126" s="210"/>
      <c r="BL126" s="210"/>
      <c r="BM126" s="210"/>
      <c r="BN126" s="210"/>
      <c r="BO126" s="210"/>
      <c r="BP126" s="210"/>
      <c r="BQ126" s="210"/>
      <c r="BR126" s="210"/>
      <c r="BS126" s="210"/>
      <c r="BT126" s="210"/>
      <c r="BU126" s="210"/>
      <c r="BV126" s="210"/>
      <c r="BW126" s="210"/>
      <c r="BX126" s="210"/>
      <c r="BY126" s="210"/>
      <c r="BZ126" s="210"/>
      <c r="CA126" s="210"/>
      <c r="CB126" s="210"/>
      <c r="CC126" s="210"/>
      <c r="CD126" s="210"/>
      <c r="CE126" s="210"/>
      <c r="CF126" s="210"/>
      <c r="CG126" s="210"/>
      <c r="CH126" s="210"/>
      <c r="CI126" s="210"/>
      <c r="CJ126" s="210"/>
      <c r="CK126" s="210"/>
      <c r="CL126" s="210"/>
      <c r="CM126" s="210"/>
      <c r="CN126" s="210"/>
      <c r="CO126" s="210"/>
      <c r="CP126" s="210"/>
      <c r="CQ126" s="210"/>
      <c r="CR126" s="210"/>
      <c r="CS126" s="210"/>
      <c r="CT126" s="210"/>
      <c r="CU126" s="210"/>
      <c r="CV126" s="210"/>
      <c r="CW126" s="210"/>
      <c r="CX126" s="210"/>
      <c r="CY126" s="210"/>
      <c r="CZ126" s="210"/>
      <c r="DA126" s="210"/>
      <c r="DB126" s="210"/>
      <c r="DC126" s="210"/>
      <c r="DD126" s="210"/>
      <c r="DE126" s="210"/>
      <c r="DF126" s="210"/>
      <c r="DG126" s="210"/>
      <c r="DH126" s="210"/>
      <c r="DI126" s="210"/>
      <c r="DJ126" s="210"/>
      <c r="DK126" s="210"/>
      <c r="DL126" s="210"/>
      <c r="DM126" s="210"/>
      <c r="DN126" s="210"/>
      <c r="DO126" s="210"/>
      <c r="DP126" s="210"/>
      <c r="DQ126" s="210"/>
    </row>
    <row r="127" spans="1:121" s="209" customFormat="1" x14ac:dyDescent="0.25">
      <c r="A127" s="370"/>
      <c r="B127" s="228"/>
      <c r="C127" s="228"/>
      <c r="D127" s="227"/>
      <c r="E127" s="227"/>
      <c r="F127" s="227"/>
      <c r="W127" s="210"/>
      <c r="AF127" s="210"/>
      <c r="BC127" s="210"/>
      <c r="BD127" s="210"/>
      <c r="BJ127" s="210"/>
      <c r="BK127" s="210"/>
      <c r="BL127" s="210"/>
      <c r="BM127" s="210"/>
      <c r="BN127" s="210"/>
      <c r="BO127" s="210"/>
      <c r="BP127" s="210"/>
      <c r="BQ127" s="210"/>
      <c r="BR127" s="210"/>
      <c r="BS127" s="210"/>
      <c r="BT127" s="210"/>
      <c r="BU127" s="210"/>
      <c r="BV127" s="210"/>
      <c r="BW127" s="210"/>
      <c r="BX127" s="210"/>
      <c r="BY127" s="210"/>
      <c r="BZ127" s="210"/>
      <c r="CA127" s="210"/>
      <c r="CB127" s="210"/>
      <c r="CC127" s="210"/>
      <c r="CD127" s="210"/>
      <c r="CE127" s="210"/>
      <c r="CF127" s="210"/>
      <c r="CG127" s="210"/>
      <c r="CH127" s="210"/>
      <c r="CI127" s="210"/>
      <c r="CJ127" s="210"/>
      <c r="CK127" s="210"/>
      <c r="CL127" s="210"/>
      <c r="CM127" s="210"/>
      <c r="CN127" s="210"/>
      <c r="CO127" s="210"/>
      <c r="CP127" s="210"/>
      <c r="CQ127" s="210"/>
      <c r="CR127" s="210"/>
      <c r="CS127" s="210"/>
      <c r="CT127" s="210"/>
      <c r="CU127" s="210"/>
      <c r="CV127" s="210"/>
      <c r="CW127" s="210"/>
      <c r="CX127" s="210"/>
      <c r="CY127" s="210"/>
      <c r="CZ127" s="210"/>
      <c r="DA127" s="210"/>
      <c r="DB127" s="210"/>
      <c r="DC127" s="210"/>
      <c r="DD127" s="210"/>
      <c r="DE127" s="210"/>
      <c r="DF127" s="210"/>
      <c r="DG127" s="210"/>
      <c r="DH127" s="210"/>
      <c r="DI127" s="210"/>
      <c r="DJ127" s="210"/>
      <c r="DK127" s="210"/>
      <c r="DL127" s="210"/>
      <c r="DM127" s="210"/>
      <c r="DN127" s="210"/>
      <c r="DO127" s="210"/>
      <c r="DP127" s="210"/>
      <c r="DQ127" s="210"/>
    </row>
    <row r="128" spans="1:121" s="209" customFormat="1" x14ac:dyDescent="0.25">
      <c r="A128" s="370"/>
      <c r="B128" s="228"/>
      <c r="C128" s="228"/>
      <c r="D128" s="227"/>
      <c r="E128" s="227"/>
      <c r="F128" s="227"/>
      <c r="W128" s="210"/>
      <c r="AF128" s="210"/>
      <c r="BC128" s="210"/>
      <c r="BD128" s="210"/>
      <c r="BJ128" s="210"/>
      <c r="BK128" s="210"/>
      <c r="BL128" s="210"/>
      <c r="BM128" s="210"/>
      <c r="BN128" s="210"/>
      <c r="BO128" s="210"/>
      <c r="BP128" s="210"/>
      <c r="BQ128" s="210"/>
      <c r="BR128" s="210"/>
      <c r="BS128" s="210"/>
      <c r="BT128" s="210"/>
      <c r="BU128" s="210"/>
      <c r="BV128" s="210"/>
      <c r="BW128" s="210"/>
      <c r="BX128" s="210"/>
      <c r="BY128" s="210"/>
      <c r="BZ128" s="210"/>
      <c r="CA128" s="210"/>
      <c r="CB128" s="210"/>
      <c r="CC128" s="210"/>
      <c r="CD128" s="210"/>
      <c r="CE128" s="210"/>
      <c r="CF128" s="210"/>
      <c r="CG128" s="210"/>
      <c r="CH128" s="210"/>
      <c r="CI128" s="210"/>
      <c r="CJ128" s="210"/>
      <c r="CK128" s="210"/>
      <c r="CL128" s="210"/>
      <c r="CM128" s="210"/>
      <c r="CN128" s="210"/>
      <c r="CO128" s="210"/>
      <c r="CP128" s="210"/>
      <c r="CQ128" s="210"/>
      <c r="CR128" s="210"/>
      <c r="CS128" s="210"/>
      <c r="CT128" s="210"/>
      <c r="CU128" s="210"/>
      <c r="CV128" s="210"/>
      <c r="CW128" s="210"/>
      <c r="CX128" s="210"/>
      <c r="CY128" s="210"/>
      <c r="CZ128" s="210"/>
      <c r="DA128" s="210"/>
      <c r="DB128" s="210"/>
      <c r="DC128" s="210"/>
      <c r="DD128" s="210"/>
      <c r="DE128" s="210"/>
      <c r="DF128" s="210"/>
      <c r="DG128" s="210"/>
      <c r="DH128" s="210"/>
      <c r="DI128" s="210"/>
      <c r="DJ128" s="210"/>
      <c r="DK128" s="210"/>
      <c r="DL128" s="210"/>
      <c r="DM128" s="210"/>
      <c r="DN128" s="210"/>
      <c r="DO128" s="210"/>
      <c r="DP128" s="210"/>
      <c r="DQ128" s="210"/>
    </row>
    <row r="129" spans="1:121" s="209" customFormat="1" x14ac:dyDescent="0.25">
      <c r="A129" s="370"/>
      <c r="B129" s="228"/>
      <c r="C129" s="228"/>
      <c r="D129" s="227"/>
      <c r="E129" s="227"/>
      <c r="F129" s="227"/>
      <c r="W129" s="210"/>
      <c r="AF129" s="210"/>
      <c r="BC129" s="210"/>
      <c r="BD129" s="210"/>
      <c r="BJ129" s="210"/>
      <c r="BK129" s="210"/>
      <c r="BL129" s="210"/>
      <c r="BM129" s="210"/>
      <c r="BN129" s="210"/>
      <c r="BO129" s="210"/>
      <c r="BP129" s="210"/>
      <c r="BQ129" s="210"/>
      <c r="BR129" s="210"/>
      <c r="BS129" s="210"/>
      <c r="BT129" s="210"/>
      <c r="BU129" s="210"/>
      <c r="BV129" s="210"/>
      <c r="BW129" s="210"/>
      <c r="BX129" s="210"/>
      <c r="BY129" s="210"/>
      <c r="BZ129" s="210"/>
      <c r="CA129" s="210"/>
      <c r="CB129" s="210"/>
      <c r="CC129" s="210"/>
      <c r="CD129" s="210"/>
      <c r="CE129" s="210"/>
      <c r="CF129" s="210"/>
      <c r="CG129" s="210"/>
      <c r="CH129" s="210"/>
      <c r="CI129" s="210"/>
      <c r="CJ129" s="210"/>
      <c r="CK129" s="210"/>
      <c r="CL129" s="210"/>
      <c r="CM129" s="210"/>
      <c r="CN129" s="210"/>
      <c r="CO129" s="210"/>
      <c r="CP129" s="210"/>
      <c r="CQ129" s="210"/>
      <c r="CR129" s="210"/>
      <c r="CS129" s="210"/>
      <c r="CT129" s="210"/>
      <c r="CU129" s="210"/>
      <c r="CV129" s="210"/>
      <c r="CW129" s="210"/>
      <c r="CX129" s="210"/>
      <c r="CY129" s="210"/>
      <c r="CZ129" s="210"/>
      <c r="DA129" s="210"/>
      <c r="DB129" s="210"/>
      <c r="DC129" s="210"/>
      <c r="DD129" s="210"/>
      <c r="DE129" s="210"/>
      <c r="DF129" s="210"/>
      <c r="DG129" s="210"/>
      <c r="DH129" s="210"/>
      <c r="DI129" s="210"/>
      <c r="DJ129" s="210"/>
      <c r="DK129" s="210"/>
      <c r="DL129" s="210"/>
      <c r="DM129" s="210"/>
      <c r="DN129" s="210"/>
      <c r="DO129" s="210"/>
      <c r="DP129" s="210"/>
      <c r="DQ129" s="210"/>
    </row>
    <row r="130" spans="1:121" s="209" customFormat="1" x14ac:dyDescent="0.25">
      <c r="A130" s="370"/>
      <c r="B130" s="228"/>
      <c r="C130" s="228"/>
      <c r="D130" s="227"/>
      <c r="E130" s="227"/>
      <c r="F130" s="227"/>
      <c r="W130" s="210"/>
      <c r="AF130" s="210"/>
      <c r="BC130" s="210"/>
      <c r="BD130" s="210"/>
      <c r="BJ130" s="210"/>
      <c r="BK130" s="210"/>
      <c r="BL130" s="210"/>
      <c r="BM130" s="210"/>
      <c r="BN130" s="210"/>
      <c r="BO130" s="210"/>
      <c r="BP130" s="210"/>
      <c r="BQ130" s="210"/>
      <c r="BR130" s="210"/>
      <c r="BS130" s="210"/>
      <c r="BT130" s="210"/>
      <c r="BU130" s="210"/>
      <c r="BV130" s="210"/>
      <c r="BW130" s="210"/>
      <c r="BX130" s="210"/>
      <c r="BY130" s="210"/>
      <c r="BZ130" s="210"/>
      <c r="CA130" s="210"/>
      <c r="CB130" s="210"/>
      <c r="CC130" s="210"/>
      <c r="CD130" s="210"/>
      <c r="CE130" s="210"/>
      <c r="CF130" s="210"/>
      <c r="CG130" s="210"/>
      <c r="CH130" s="210"/>
      <c r="CI130" s="210"/>
      <c r="CJ130" s="210"/>
      <c r="CK130" s="210"/>
      <c r="CL130" s="210"/>
      <c r="CM130" s="210"/>
      <c r="CN130" s="210"/>
      <c r="CO130" s="210"/>
      <c r="CP130" s="210"/>
      <c r="CQ130" s="210"/>
      <c r="CR130" s="210"/>
      <c r="CS130" s="210"/>
      <c r="CT130" s="210"/>
      <c r="CU130" s="210"/>
      <c r="CV130" s="210"/>
      <c r="CW130" s="210"/>
      <c r="CX130" s="210"/>
      <c r="CY130" s="210"/>
      <c r="CZ130" s="210"/>
      <c r="DA130" s="210"/>
      <c r="DB130" s="210"/>
      <c r="DC130" s="210"/>
      <c r="DD130" s="210"/>
      <c r="DE130" s="210"/>
      <c r="DF130" s="210"/>
      <c r="DG130" s="210"/>
      <c r="DH130" s="210"/>
      <c r="DI130" s="210"/>
      <c r="DJ130" s="210"/>
      <c r="DK130" s="210"/>
      <c r="DL130" s="210"/>
      <c r="DM130" s="210"/>
      <c r="DN130" s="210"/>
      <c r="DO130" s="210"/>
      <c r="DP130" s="210"/>
      <c r="DQ130" s="210"/>
    </row>
    <row r="131" spans="1:121" s="209" customFormat="1" x14ac:dyDescent="0.25">
      <c r="A131" s="370"/>
      <c r="B131" s="228"/>
      <c r="C131" s="228"/>
      <c r="D131" s="227"/>
      <c r="E131" s="227"/>
      <c r="F131" s="227"/>
      <c r="W131" s="210"/>
      <c r="AF131" s="210"/>
      <c r="BC131" s="210"/>
      <c r="BD131" s="210"/>
      <c r="BJ131" s="210"/>
      <c r="BK131" s="210"/>
      <c r="BL131" s="210"/>
      <c r="BM131" s="210"/>
      <c r="BN131" s="210"/>
      <c r="BO131" s="210"/>
      <c r="BP131" s="210"/>
      <c r="BQ131" s="210"/>
      <c r="BR131" s="210"/>
      <c r="BS131" s="210"/>
      <c r="BT131" s="210"/>
      <c r="BU131" s="210"/>
      <c r="BV131" s="210"/>
      <c r="BW131" s="210"/>
      <c r="BX131" s="210"/>
      <c r="BY131" s="210"/>
      <c r="BZ131" s="210"/>
      <c r="CA131" s="210"/>
      <c r="CB131" s="210"/>
      <c r="CC131" s="210"/>
      <c r="CD131" s="210"/>
      <c r="CE131" s="210"/>
      <c r="CF131" s="210"/>
      <c r="CG131" s="210"/>
      <c r="CH131" s="210"/>
      <c r="CI131" s="210"/>
      <c r="CJ131" s="210"/>
      <c r="CK131" s="210"/>
      <c r="CL131" s="210"/>
      <c r="CM131" s="210"/>
      <c r="CN131" s="210"/>
      <c r="CO131" s="210"/>
      <c r="CP131" s="210"/>
      <c r="CQ131" s="210"/>
      <c r="CR131" s="210"/>
      <c r="CS131" s="210"/>
      <c r="CT131" s="210"/>
      <c r="CU131" s="210"/>
      <c r="CV131" s="210"/>
      <c r="CW131" s="210"/>
      <c r="CX131" s="210"/>
      <c r="CY131" s="210"/>
      <c r="CZ131" s="210"/>
      <c r="DA131" s="210"/>
      <c r="DB131" s="210"/>
      <c r="DC131" s="210"/>
      <c r="DD131" s="210"/>
      <c r="DE131" s="210"/>
      <c r="DF131" s="210"/>
      <c r="DG131" s="210"/>
      <c r="DH131" s="210"/>
      <c r="DI131" s="210"/>
      <c r="DJ131" s="210"/>
      <c r="DK131" s="210"/>
      <c r="DL131" s="210"/>
      <c r="DM131" s="210"/>
      <c r="DN131" s="210"/>
      <c r="DO131" s="210"/>
      <c r="DP131" s="210"/>
      <c r="DQ131" s="210"/>
    </row>
    <row r="132" spans="1:121" s="209" customFormat="1" x14ac:dyDescent="0.25">
      <c r="A132" s="370"/>
      <c r="B132" s="228"/>
      <c r="C132" s="228"/>
      <c r="D132" s="227"/>
      <c r="E132" s="227"/>
      <c r="F132" s="227"/>
      <c r="W132" s="210"/>
      <c r="AF132" s="210"/>
      <c r="BC132" s="210"/>
      <c r="BD132" s="210"/>
      <c r="BJ132" s="210"/>
      <c r="BK132" s="210"/>
      <c r="BL132" s="210"/>
      <c r="BM132" s="210"/>
      <c r="BN132" s="210"/>
      <c r="BO132" s="210"/>
      <c r="BP132" s="210"/>
      <c r="BQ132" s="210"/>
      <c r="BR132" s="210"/>
      <c r="BS132" s="210"/>
      <c r="BT132" s="210"/>
      <c r="BU132" s="210"/>
      <c r="BV132" s="210"/>
      <c r="BW132" s="210"/>
      <c r="BX132" s="210"/>
      <c r="BY132" s="210"/>
      <c r="BZ132" s="210"/>
      <c r="CA132" s="210"/>
      <c r="CB132" s="210"/>
      <c r="CC132" s="210"/>
      <c r="CD132" s="210"/>
      <c r="CE132" s="210"/>
      <c r="CF132" s="210"/>
      <c r="CG132" s="210"/>
      <c r="CH132" s="210"/>
      <c r="CI132" s="210"/>
      <c r="CJ132" s="210"/>
      <c r="CK132" s="210"/>
      <c r="CL132" s="210"/>
      <c r="CM132" s="210"/>
      <c r="CN132" s="210"/>
      <c r="CO132" s="210"/>
      <c r="CP132" s="210"/>
      <c r="CQ132" s="210"/>
      <c r="CR132" s="210"/>
      <c r="CS132" s="210"/>
      <c r="CT132" s="210"/>
      <c r="CU132" s="210"/>
      <c r="CV132" s="210"/>
      <c r="CW132" s="210"/>
      <c r="CX132" s="210"/>
      <c r="CY132" s="210"/>
      <c r="CZ132" s="210"/>
      <c r="DA132" s="210"/>
      <c r="DB132" s="210"/>
      <c r="DC132" s="210"/>
      <c r="DD132" s="210"/>
      <c r="DE132" s="210"/>
      <c r="DF132" s="210"/>
      <c r="DG132" s="210"/>
      <c r="DH132" s="210"/>
      <c r="DI132" s="210"/>
      <c r="DJ132" s="210"/>
      <c r="DK132" s="210"/>
      <c r="DL132" s="210"/>
      <c r="DM132" s="210"/>
      <c r="DN132" s="210"/>
      <c r="DO132" s="210"/>
      <c r="DP132" s="210"/>
      <c r="DQ132" s="210"/>
    </row>
    <row r="133" spans="1:121" s="209" customFormat="1" x14ac:dyDescent="0.25">
      <c r="A133" s="370"/>
      <c r="B133" s="228"/>
      <c r="C133" s="228"/>
      <c r="D133" s="227"/>
      <c r="E133" s="227"/>
      <c r="F133" s="227"/>
      <c r="W133" s="210"/>
      <c r="AF133" s="210"/>
      <c r="BC133" s="210"/>
      <c r="BD133" s="210"/>
      <c r="BJ133" s="210"/>
      <c r="BK133" s="210"/>
      <c r="BL133" s="210"/>
      <c r="BM133" s="210"/>
      <c r="BN133" s="210"/>
      <c r="BO133" s="210"/>
      <c r="BP133" s="210"/>
      <c r="BQ133" s="210"/>
      <c r="BR133" s="210"/>
      <c r="BS133" s="210"/>
      <c r="BT133" s="210"/>
      <c r="BU133" s="210"/>
      <c r="BV133" s="210"/>
      <c r="BW133" s="210"/>
      <c r="BX133" s="210"/>
      <c r="BY133" s="210"/>
      <c r="BZ133" s="210"/>
      <c r="CA133" s="210"/>
      <c r="CB133" s="210"/>
      <c r="CC133" s="210"/>
      <c r="CD133" s="210"/>
      <c r="CE133" s="210"/>
      <c r="CF133" s="210"/>
      <c r="CG133" s="210"/>
      <c r="CH133" s="210"/>
      <c r="CI133" s="210"/>
      <c r="CJ133" s="210"/>
      <c r="CK133" s="210"/>
      <c r="CL133" s="210"/>
      <c r="CM133" s="210"/>
      <c r="CN133" s="210"/>
      <c r="CO133" s="210"/>
      <c r="CP133" s="210"/>
      <c r="CQ133" s="210"/>
      <c r="CR133" s="210"/>
      <c r="CS133" s="210"/>
      <c r="CT133" s="210"/>
      <c r="CU133" s="210"/>
      <c r="CV133" s="210"/>
      <c r="CW133" s="210"/>
      <c r="CX133" s="210"/>
      <c r="CY133" s="210"/>
      <c r="CZ133" s="210"/>
      <c r="DA133" s="210"/>
      <c r="DB133" s="210"/>
      <c r="DC133" s="210"/>
      <c r="DD133" s="210"/>
      <c r="DE133" s="210"/>
      <c r="DF133" s="210"/>
      <c r="DG133" s="210"/>
      <c r="DH133" s="210"/>
      <c r="DI133" s="210"/>
      <c r="DJ133" s="210"/>
      <c r="DK133" s="210"/>
      <c r="DL133" s="210"/>
      <c r="DM133" s="210"/>
      <c r="DN133" s="210"/>
      <c r="DO133" s="210"/>
      <c r="DP133" s="210"/>
      <c r="DQ133" s="210"/>
    </row>
    <row r="134" spans="1:121" s="209" customFormat="1" x14ac:dyDescent="0.25">
      <c r="A134" s="370"/>
      <c r="B134" s="228"/>
      <c r="C134" s="228"/>
      <c r="D134" s="227"/>
      <c r="E134" s="227"/>
      <c r="F134" s="227"/>
      <c r="W134" s="210"/>
      <c r="AF134" s="210"/>
      <c r="BC134" s="210"/>
      <c r="BD134" s="210"/>
      <c r="BJ134" s="210"/>
      <c r="BK134" s="210"/>
      <c r="BL134" s="210"/>
      <c r="BM134" s="210"/>
      <c r="BN134" s="210"/>
      <c r="BO134" s="210"/>
      <c r="BP134" s="210"/>
      <c r="BQ134" s="210"/>
      <c r="BR134" s="210"/>
      <c r="BS134" s="210"/>
      <c r="BT134" s="210"/>
      <c r="BU134" s="210"/>
      <c r="BV134" s="210"/>
      <c r="BW134" s="210"/>
      <c r="BX134" s="210"/>
      <c r="BY134" s="210"/>
      <c r="BZ134" s="210"/>
      <c r="CA134" s="210"/>
      <c r="CB134" s="210"/>
      <c r="CC134" s="210"/>
      <c r="CD134" s="210"/>
      <c r="CE134" s="210"/>
      <c r="CF134" s="210"/>
      <c r="CG134" s="210"/>
      <c r="CH134" s="210"/>
      <c r="CI134" s="210"/>
      <c r="CJ134" s="210"/>
      <c r="CK134" s="210"/>
      <c r="CL134" s="210"/>
      <c r="CM134" s="210"/>
      <c r="CN134" s="210"/>
      <c r="CO134" s="210"/>
      <c r="CP134" s="210"/>
      <c r="CQ134" s="210"/>
      <c r="CR134" s="210"/>
      <c r="CS134" s="210"/>
      <c r="CT134" s="210"/>
      <c r="CU134" s="210"/>
      <c r="CV134" s="210"/>
      <c r="CW134" s="210"/>
      <c r="CX134" s="210"/>
      <c r="CY134" s="210"/>
      <c r="CZ134" s="210"/>
      <c r="DA134" s="210"/>
      <c r="DB134" s="210"/>
      <c r="DC134" s="210"/>
      <c r="DD134" s="210"/>
      <c r="DE134" s="210"/>
      <c r="DF134" s="210"/>
      <c r="DG134" s="210"/>
      <c r="DH134" s="210"/>
      <c r="DI134" s="210"/>
      <c r="DJ134" s="210"/>
      <c r="DK134" s="210"/>
      <c r="DL134" s="210"/>
      <c r="DM134" s="210"/>
      <c r="DN134" s="210"/>
      <c r="DO134" s="210"/>
      <c r="DP134" s="210"/>
      <c r="DQ134" s="210"/>
    </row>
    <row r="135" spans="1:121" s="209" customFormat="1" x14ac:dyDescent="0.25">
      <c r="A135" s="370"/>
      <c r="B135" s="228"/>
      <c r="C135" s="228"/>
      <c r="D135" s="227"/>
      <c r="E135" s="227"/>
      <c r="F135" s="227"/>
      <c r="W135" s="210"/>
      <c r="AF135" s="210"/>
      <c r="BC135" s="210"/>
      <c r="BD135" s="210"/>
      <c r="BJ135" s="210"/>
      <c r="BK135" s="210"/>
      <c r="BL135" s="210"/>
      <c r="BM135" s="210"/>
      <c r="BN135" s="210"/>
      <c r="BO135" s="210"/>
      <c r="BP135" s="210"/>
      <c r="BQ135" s="210"/>
      <c r="BR135" s="210"/>
      <c r="BS135" s="210"/>
      <c r="BT135" s="210"/>
      <c r="BU135" s="210"/>
      <c r="BV135" s="210"/>
      <c r="BW135" s="210"/>
      <c r="BX135" s="210"/>
      <c r="BY135" s="210"/>
      <c r="BZ135" s="210"/>
      <c r="CA135" s="210"/>
      <c r="CB135" s="210"/>
      <c r="CC135" s="210"/>
      <c r="CD135" s="210"/>
      <c r="CE135" s="210"/>
      <c r="CF135" s="210"/>
      <c r="CG135" s="210"/>
      <c r="CH135" s="210"/>
      <c r="CI135" s="210"/>
      <c r="CJ135" s="210"/>
      <c r="CK135" s="210"/>
      <c r="CL135" s="210"/>
      <c r="CM135" s="210"/>
      <c r="CN135" s="210"/>
      <c r="CO135" s="210"/>
      <c r="CP135" s="210"/>
      <c r="CQ135" s="210"/>
      <c r="CR135" s="210"/>
      <c r="CS135" s="210"/>
      <c r="CT135" s="210"/>
      <c r="CU135" s="210"/>
      <c r="CV135" s="210"/>
      <c r="CW135" s="210"/>
      <c r="CX135" s="210"/>
      <c r="CY135" s="210"/>
      <c r="CZ135" s="210"/>
      <c r="DA135" s="210"/>
      <c r="DB135" s="210"/>
      <c r="DC135" s="210"/>
      <c r="DD135" s="210"/>
      <c r="DE135" s="210"/>
      <c r="DF135" s="210"/>
      <c r="DG135" s="210"/>
      <c r="DH135" s="210"/>
      <c r="DI135" s="210"/>
      <c r="DJ135" s="210"/>
      <c r="DK135" s="210"/>
      <c r="DL135" s="210"/>
      <c r="DM135" s="210"/>
      <c r="DN135" s="210"/>
      <c r="DO135" s="210"/>
      <c r="DP135" s="210"/>
      <c r="DQ135" s="210"/>
    </row>
    <row r="136" spans="1:121" s="209" customFormat="1" x14ac:dyDescent="0.25">
      <c r="A136" s="370"/>
      <c r="B136" s="228"/>
      <c r="C136" s="228"/>
      <c r="D136" s="227"/>
      <c r="E136" s="227"/>
      <c r="F136" s="227"/>
      <c r="W136" s="210"/>
      <c r="AF136" s="210"/>
      <c r="BC136" s="210"/>
      <c r="BD136" s="210"/>
      <c r="BJ136" s="210"/>
      <c r="BK136" s="210"/>
      <c r="BL136" s="210"/>
      <c r="BM136" s="210"/>
      <c r="BN136" s="210"/>
      <c r="BO136" s="210"/>
      <c r="BP136" s="210"/>
      <c r="BQ136" s="210"/>
      <c r="BR136" s="210"/>
      <c r="BS136" s="210"/>
      <c r="BT136" s="210"/>
      <c r="BU136" s="210"/>
      <c r="BV136" s="210"/>
      <c r="BW136" s="210"/>
      <c r="BX136" s="210"/>
      <c r="BY136" s="210"/>
      <c r="BZ136" s="210"/>
      <c r="CA136" s="210"/>
      <c r="CB136" s="210"/>
      <c r="CC136" s="210"/>
      <c r="CD136" s="210"/>
      <c r="CE136" s="210"/>
      <c r="CF136" s="210"/>
      <c r="CG136" s="210"/>
      <c r="CH136" s="210"/>
      <c r="CI136" s="210"/>
      <c r="CJ136" s="210"/>
      <c r="CK136" s="210"/>
      <c r="CL136" s="210"/>
      <c r="CM136" s="210"/>
      <c r="CN136" s="210"/>
      <c r="CO136" s="210"/>
      <c r="CP136" s="210"/>
      <c r="CQ136" s="210"/>
      <c r="CR136" s="210"/>
      <c r="CS136" s="210"/>
      <c r="CT136" s="210"/>
      <c r="CU136" s="210"/>
      <c r="CV136" s="210"/>
      <c r="CW136" s="210"/>
      <c r="CX136" s="210"/>
      <c r="CY136" s="210"/>
      <c r="CZ136" s="210"/>
      <c r="DA136" s="210"/>
      <c r="DB136" s="210"/>
      <c r="DC136" s="210"/>
      <c r="DD136" s="210"/>
      <c r="DE136" s="210"/>
      <c r="DF136" s="210"/>
      <c r="DG136" s="210"/>
      <c r="DH136" s="210"/>
      <c r="DI136" s="210"/>
      <c r="DJ136" s="210"/>
      <c r="DK136" s="210"/>
      <c r="DL136" s="210"/>
      <c r="DM136" s="210"/>
      <c r="DN136" s="210"/>
      <c r="DO136" s="210"/>
      <c r="DP136" s="210"/>
      <c r="DQ136" s="210"/>
    </row>
    <row r="137" spans="1:121" s="209" customFormat="1" x14ac:dyDescent="0.25">
      <c r="A137" s="370"/>
      <c r="B137" s="228"/>
      <c r="C137" s="228"/>
      <c r="D137" s="227"/>
      <c r="E137" s="227"/>
      <c r="F137" s="227"/>
      <c r="W137" s="210"/>
      <c r="AF137" s="210"/>
      <c r="BC137" s="210"/>
      <c r="BD137" s="210"/>
      <c r="BJ137" s="210"/>
      <c r="BK137" s="210"/>
      <c r="BL137" s="210"/>
      <c r="BM137" s="210"/>
      <c r="BN137" s="210"/>
      <c r="BO137" s="210"/>
      <c r="BP137" s="210"/>
      <c r="BQ137" s="210"/>
      <c r="BR137" s="210"/>
      <c r="BS137" s="210"/>
      <c r="BT137" s="210"/>
      <c r="BU137" s="210"/>
      <c r="BV137" s="210"/>
      <c r="BW137" s="210"/>
      <c r="BX137" s="210"/>
      <c r="BY137" s="210"/>
      <c r="BZ137" s="210"/>
      <c r="CA137" s="210"/>
      <c r="CB137" s="210"/>
      <c r="CC137" s="210"/>
      <c r="CD137" s="210"/>
      <c r="CE137" s="210"/>
      <c r="CF137" s="210"/>
      <c r="CG137" s="210"/>
      <c r="CH137" s="210"/>
      <c r="CI137" s="210"/>
      <c r="CJ137" s="210"/>
      <c r="CK137" s="210"/>
      <c r="CL137" s="210"/>
      <c r="CM137" s="210"/>
      <c r="CN137" s="210"/>
      <c r="CO137" s="210"/>
      <c r="CP137" s="210"/>
      <c r="CQ137" s="210"/>
      <c r="CR137" s="210"/>
      <c r="CS137" s="210"/>
      <c r="CT137" s="210"/>
      <c r="CU137" s="210"/>
      <c r="CV137" s="210"/>
      <c r="CW137" s="210"/>
      <c r="CX137" s="210"/>
      <c r="CY137" s="210"/>
      <c r="CZ137" s="210"/>
      <c r="DA137" s="210"/>
      <c r="DB137" s="210"/>
      <c r="DC137" s="210"/>
      <c r="DD137" s="210"/>
      <c r="DE137" s="210"/>
      <c r="DF137" s="210"/>
      <c r="DG137" s="210"/>
      <c r="DH137" s="210"/>
      <c r="DI137" s="210"/>
      <c r="DJ137" s="210"/>
      <c r="DK137" s="210"/>
      <c r="DL137" s="210"/>
      <c r="DM137" s="210"/>
      <c r="DN137" s="210"/>
      <c r="DO137" s="210"/>
      <c r="DP137" s="210"/>
      <c r="DQ137" s="210"/>
    </row>
    <row r="138" spans="1:121" s="209" customFormat="1" x14ac:dyDescent="0.25">
      <c r="A138" s="370"/>
      <c r="B138" s="228"/>
      <c r="C138" s="228"/>
      <c r="D138" s="227"/>
      <c r="E138" s="227"/>
      <c r="F138" s="227"/>
      <c r="W138" s="210"/>
      <c r="AF138" s="210"/>
      <c r="BC138" s="210"/>
      <c r="BD138" s="210"/>
      <c r="BJ138" s="210"/>
      <c r="BK138" s="210"/>
      <c r="BL138" s="210"/>
      <c r="BM138" s="210"/>
      <c r="BN138" s="210"/>
      <c r="BO138" s="210"/>
      <c r="BP138" s="210"/>
      <c r="BQ138" s="210"/>
      <c r="BR138" s="210"/>
      <c r="BS138" s="210"/>
      <c r="BT138" s="210"/>
      <c r="BU138" s="210"/>
      <c r="BV138" s="210"/>
      <c r="BW138" s="210"/>
      <c r="BX138" s="210"/>
      <c r="BY138" s="210"/>
      <c r="BZ138" s="210"/>
      <c r="CA138" s="210"/>
      <c r="CB138" s="210"/>
      <c r="CC138" s="210"/>
      <c r="CD138" s="210"/>
      <c r="CE138" s="210"/>
      <c r="CF138" s="210"/>
      <c r="CG138" s="210"/>
      <c r="CH138" s="210"/>
      <c r="CI138" s="210"/>
      <c r="CJ138" s="210"/>
      <c r="CK138" s="210"/>
      <c r="CL138" s="210"/>
      <c r="CM138" s="210"/>
      <c r="CN138" s="210"/>
      <c r="CO138" s="210"/>
      <c r="CP138" s="210"/>
      <c r="CQ138" s="210"/>
      <c r="CR138" s="210"/>
      <c r="CS138" s="210"/>
      <c r="CT138" s="210"/>
      <c r="CU138" s="210"/>
      <c r="CV138" s="210"/>
      <c r="CW138" s="210"/>
      <c r="CX138" s="210"/>
      <c r="CY138" s="210"/>
      <c r="CZ138" s="210"/>
      <c r="DA138" s="210"/>
      <c r="DB138" s="210"/>
      <c r="DC138" s="210"/>
      <c r="DD138" s="210"/>
      <c r="DE138" s="210"/>
      <c r="DF138" s="210"/>
      <c r="DG138" s="210"/>
      <c r="DH138" s="210"/>
      <c r="DI138" s="210"/>
      <c r="DJ138" s="210"/>
      <c r="DK138" s="210"/>
      <c r="DL138" s="210"/>
      <c r="DM138" s="210"/>
      <c r="DN138" s="210"/>
      <c r="DO138" s="210"/>
      <c r="DP138" s="210"/>
      <c r="DQ138" s="210"/>
    </row>
    <row r="139" spans="1:121" s="209" customFormat="1" x14ac:dyDescent="0.25">
      <c r="A139" s="370"/>
      <c r="B139" s="228"/>
      <c r="C139" s="228"/>
      <c r="D139" s="227"/>
      <c r="E139" s="227"/>
      <c r="F139" s="227"/>
      <c r="W139" s="210"/>
      <c r="AF139" s="210"/>
      <c r="BC139" s="210"/>
      <c r="BD139" s="210"/>
      <c r="BJ139" s="210"/>
      <c r="BK139" s="210"/>
      <c r="BL139" s="210"/>
      <c r="BM139" s="210"/>
      <c r="BN139" s="210"/>
      <c r="BO139" s="210"/>
      <c r="BP139" s="210"/>
      <c r="BQ139" s="210"/>
      <c r="BR139" s="210"/>
      <c r="BS139" s="210"/>
      <c r="BT139" s="210"/>
      <c r="BU139" s="210"/>
      <c r="BV139" s="210"/>
      <c r="BW139" s="210"/>
      <c r="BX139" s="210"/>
      <c r="BY139" s="210"/>
      <c r="BZ139" s="210"/>
      <c r="CA139" s="210"/>
      <c r="CB139" s="210"/>
      <c r="CC139" s="210"/>
      <c r="CD139" s="210"/>
      <c r="CE139" s="210"/>
      <c r="CF139" s="210"/>
      <c r="CG139" s="210"/>
      <c r="CH139" s="210"/>
      <c r="CI139" s="210"/>
      <c r="CJ139" s="210"/>
      <c r="CK139" s="210"/>
      <c r="CL139" s="210"/>
      <c r="CM139" s="210"/>
      <c r="CN139" s="210"/>
      <c r="CO139" s="210"/>
      <c r="CP139" s="210"/>
      <c r="CQ139" s="210"/>
      <c r="CR139" s="210"/>
      <c r="CS139" s="210"/>
      <c r="CT139" s="210"/>
      <c r="CU139" s="210"/>
      <c r="CV139" s="210"/>
      <c r="CW139" s="210"/>
      <c r="CX139" s="210"/>
      <c r="CY139" s="210"/>
      <c r="CZ139" s="210"/>
      <c r="DA139" s="210"/>
      <c r="DB139" s="210"/>
      <c r="DC139" s="210"/>
      <c r="DD139" s="210"/>
      <c r="DE139" s="210"/>
      <c r="DF139" s="210"/>
      <c r="DG139" s="210"/>
      <c r="DH139" s="210"/>
      <c r="DI139" s="210"/>
      <c r="DJ139" s="210"/>
      <c r="DK139" s="210"/>
      <c r="DL139" s="210"/>
      <c r="DM139" s="210"/>
      <c r="DN139" s="210"/>
      <c r="DO139" s="210"/>
      <c r="DP139" s="210"/>
      <c r="DQ139" s="210"/>
    </row>
    <row r="140" spans="1:121" s="209" customFormat="1" x14ac:dyDescent="0.25">
      <c r="A140" s="370"/>
      <c r="B140" s="228"/>
      <c r="C140" s="228"/>
      <c r="D140" s="227"/>
      <c r="E140" s="227"/>
      <c r="F140" s="227"/>
      <c r="W140" s="210"/>
      <c r="AF140" s="210"/>
      <c r="BC140" s="210"/>
      <c r="BD140" s="210"/>
      <c r="BJ140" s="210"/>
      <c r="BK140" s="210"/>
      <c r="BL140" s="210"/>
      <c r="BM140" s="210"/>
      <c r="BN140" s="210"/>
      <c r="BO140" s="210"/>
      <c r="BP140" s="210"/>
      <c r="BQ140" s="210"/>
      <c r="BR140" s="210"/>
      <c r="BS140" s="210"/>
      <c r="BT140" s="210"/>
      <c r="BU140" s="210"/>
      <c r="BV140" s="210"/>
      <c r="BW140" s="210"/>
      <c r="BX140" s="210"/>
      <c r="BY140" s="210"/>
      <c r="BZ140" s="210"/>
      <c r="CA140" s="210"/>
      <c r="CB140" s="210"/>
      <c r="CC140" s="210"/>
      <c r="CD140" s="210"/>
      <c r="CE140" s="210"/>
      <c r="CF140" s="210"/>
      <c r="CG140" s="210"/>
      <c r="CH140" s="210"/>
      <c r="CI140" s="210"/>
      <c r="CJ140" s="210"/>
      <c r="CK140" s="210"/>
      <c r="CL140" s="210"/>
      <c r="CM140" s="210"/>
      <c r="CN140" s="210"/>
      <c r="CO140" s="210"/>
      <c r="CP140" s="210"/>
      <c r="CQ140" s="210"/>
      <c r="CR140" s="210"/>
      <c r="CS140" s="210"/>
      <c r="CT140" s="210"/>
      <c r="CU140" s="210"/>
      <c r="CV140" s="210"/>
      <c r="CW140" s="210"/>
      <c r="CX140" s="210"/>
      <c r="CY140" s="210"/>
      <c r="CZ140" s="210"/>
      <c r="DA140" s="210"/>
      <c r="DB140" s="210"/>
      <c r="DC140" s="210"/>
      <c r="DD140" s="210"/>
      <c r="DE140" s="210"/>
      <c r="DF140" s="210"/>
      <c r="DG140" s="210"/>
      <c r="DH140" s="210"/>
      <c r="DI140" s="210"/>
      <c r="DJ140" s="210"/>
      <c r="DK140" s="210"/>
      <c r="DL140" s="210"/>
      <c r="DM140" s="210"/>
      <c r="DN140" s="210"/>
      <c r="DO140" s="210"/>
      <c r="DP140" s="210"/>
      <c r="DQ140" s="210"/>
    </row>
    <row r="141" spans="1:121" s="209" customFormat="1" x14ac:dyDescent="0.25">
      <c r="A141" s="370"/>
      <c r="B141" s="228"/>
      <c r="C141" s="228"/>
      <c r="D141" s="227"/>
      <c r="E141" s="227"/>
      <c r="F141" s="227"/>
      <c r="W141" s="210"/>
      <c r="AF141" s="210"/>
      <c r="BC141" s="210"/>
      <c r="BD141" s="210"/>
      <c r="BJ141" s="210"/>
      <c r="BK141" s="210"/>
      <c r="BL141" s="210"/>
      <c r="BM141" s="210"/>
      <c r="BN141" s="210"/>
      <c r="BO141" s="210"/>
      <c r="BP141" s="210"/>
      <c r="BQ141" s="210"/>
      <c r="BR141" s="210"/>
      <c r="BS141" s="210"/>
      <c r="BT141" s="210"/>
      <c r="BU141" s="210"/>
      <c r="BV141" s="210"/>
      <c r="BW141" s="210"/>
      <c r="BX141" s="210"/>
      <c r="BY141" s="210"/>
      <c r="BZ141" s="210"/>
      <c r="CA141" s="210"/>
      <c r="CB141" s="210"/>
      <c r="CC141" s="210"/>
      <c r="CD141" s="210"/>
      <c r="CE141" s="210"/>
      <c r="CF141" s="210"/>
      <c r="CG141" s="210"/>
      <c r="CH141" s="210"/>
      <c r="CI141" s="210"/>
      <c r="CJ141" s="210"/>
      <c r="CK141" s="210"/>
      <c r="CL141" s="210"/>
      <c r="CM141" s="210"/>
      <c r="CN141" s="210"/>
      <c r="CO141" s="210"/>
      <c r="CP141" s="210"/>
      <c r="CQ141" s="210"/>
      <c r="CR141" s="210"/>
      <c r="CS141" s="210"/>
      <c r="CT141" s="210"/>
      <c r="CU141" s="210"/>
      <c r="CV141" s="210"/>
      <c r="CW141" s="210"/>
      <c r="CX141" s="210"/>
      <c r="CY141" s="210"/>
      <c r="CZ141" s="210"/>
      <c r="DA141" s="210"/>
      <c r="DB141" s="210"/>
      <c r="DC141" s="210"/>
      <c r="DD141" s="210"/>
      <c r="DE141" s="210"/>
      <c r="DF141" s="210"/>
      <c r="DG141" s="210"/>
      <c r="DH141" s="210"/>
      <c r="DI141" s="210"/>
      <c r="DJ141" s="210"/>
      <c r="DK141" s="210"/>
      <c r="DL141" s="210"/>
      <c r="DM141" s="210"/>
      <c r="DN141" s="210"/>
      <c r="DO141" s="210"/>
      <c r="DP141" s="210"/>
      <c r="DQ141" s="210"/>
    </row>
    <row r="142" spans="1:121" s="209" customFormat="1" x14ac:dyDescent="0.25">
      <c r="A142" s="370"/>
      <c r="B142" s="228"/>
      <c r="C142" s="228"/>
      <c r="D142" s="227"/>
      <c r="E142" s="227"/>
      <c r="F142" s="227"/>
      <c r="W142" s="210"/>
      <c r="AF142" s="210"/>
      <c r="BC142" s="210"/>
      <c r="BD142" s="210"/>
      <c r="BJ142" s="210"/>
      <c r="BK142" s="210"/>
      <c r="BL142" s="210"/>
      <c r="BM142" s="210"/>
      <c r="BN142" s="210"/>
      <c r="BO142" s="210"/>
      <c r="BP142" s="210"/>
      <c r="BQ142" s="210"/>
      <c r="BR142" s="210"/>
      <c r="BS142" s="210"/>
      <c r="BT142" s="210"/>
      <c r="BU142" s="210"/>
      <c r="BV142" s="210"/>
      <c r="BW142" s="210"/>
      <c r="BX142" s="210"/>
      <c r="BY142" s="210"/>
      <c r="BZ142" s="210"/>
      <c r="CA142" s="210"/>
      <c r="CB142" s="210"/>
      <c r="CC142" s="210"/>
      <c r="CD142" s="210"/>
      <c r="CE142" s="210"/>
      <c r="CF142" s="210"/>
      <c r="CG142" s="210"/>
      <c r="CH142" s="210"/>
      <c r="CI142" s="210"/>
      <c r="CJ142" s="210"/>
      <c r="CK142" s="210"/>
      <c r="CL142" s="210"/>
      <c r="CM142" s="210"/>
      <c r="CN142" s="210"/>
      <c r="CO142" s="210"/>
      <c r="CP142" s="210"/>
      <c r="CQ142" s="210"/>
      <c r="CR142" s="210"/>
      <c r="CS142" s="210"/>
      <c r="CT142" s="210"/>
      <c r="CU142" s="210"/>
      <c r="CV142" s="210"/>
      <c r="CW142" s="210"/>
      <c r="CX142" s="210"/>
      <c r="CY142" s="210"/>
      <c r="CZ142" s="210"/>
      <c r="DA142" s="210"/>
      <c r="DB142" s="210"/>
      <c r="DC142" s="210"/>
      <c r="DD142" s="210"/>
      <c r="DE142" s="210"/>
      <c r="DF142" s="210"/>
      <c r="DG142" s="210"/>
      <c r="DH142" s="210"/>
      <c r="DI142" s="210"/>
      <c r="DJ142" s="210"/>
      <c r="DK142" s="210"/>
      <c r="DL142" s="210"/>
      <c r="DM142" s="210"/>
      <c r="DN142" s="210"/>
      <c r="DO142" s="210"/>
      <c r="DP142" s="210"/>
      <c r="DQ142" s="210"/>
    </row>
    <row r="143" spans="1:121" s="209" customFormat="1" x14ac:dyDescent="0.25">
      <c r="A143" s="370"/>
      <c r="B143" s="228"/>
      <c r="C143" s="228"/>
      <c r="D143" s="227"/>
      <c r="E143" s="227"/>
      <c r="F143" s="227"/>
      <c r="W143" s="210"/>
      <c r="AF143" s="210"/>
      <c r="BC143" s="210"/>
      <c r="BD143" s="210"/>
      <c r="BJ143" s="210"/>
      <c r="BK143" s="210"/>
      <c r="BL143" s="210"/>
      <c r="BM143" s="210"/>
      <c r="BN143" s="210"/>
      <c r="BO143" s="210"/>
      <c r="BP143" s="210"/>
      <c r="BQ143" s="210"/>
      <c r="BR143" s="210"/>
      <c r="BS143" s="210"/>
      <c r="BT143" s="210"/>
      <c r="BU143" s="210"/>
      <c r="BV143" s="210"/>
      <c r="BW143" s="210"/>
      <c r="BX143" s="210"/>
      <c r="BY143" s="210"/>
      <c r="BZ143" s="210"/>
      <c r="CA143" s="210"/>
      <c r="CB143" s="210"/>
      <c r="CC143" s="210"/>
      <c r="CD143" s="210"/>
      <c r="CE143" s="210"/>
      <c r="CF143" s="210"/>
      <c r="CG143" s="210"/>
      <c r="CH143" s="210"/>
      <c r="CI143" s="210"/>
      <c r="CJ143" s="210"/>
      <c r="CK143" s="210"/>
      <c r="CL143" s="210"/>
      <c r="CM143" s="210"/>
      <c r="CN143" s="210"/>
      <c r="CO143" s="210"/>
      <c r="CP143" s="210"/>
      <c r="CQ143" s="210"/>
      <c r="CR143" s="210"/>
      <c r="CS143" s="210"/>
      <c r="CT143" s="210"/>
      <c r="CU143" s="210"/>
      <c r="CV143" s="210"/>
      <c r="CW143" s="210"/>
      <c r="CX143" s="210"/>
      <c r="CY143" s="210"/>
      <c r="CZ143" s="210"/>
      <c r="DA143" s="210"/>
      <c r="DB143" s="210"/>
      <c r="DC143" s="210"/>
      <c r="DD143" s="210"/>
      <c r="DE143" s="210"/>
      <c r="DF143" s="210"/>
      <c r="DG143" s="210"/>
      <c r="DH143" s="210"/>
      <c r="DI143" s="210"/>
      <c r="DJ143" s="210"/>
      <c r="DK143" s="210"/>
      <c r="DL143" s="210"/>
      <c r="DM143" s="210"/>
      <c r="DN143" s="210"/>
      <c r="DO143" s="210"/>
      <c r="DP143" s="210"/>
      <c r="DQ143" s="210"/>
    </row>
    <row r="144" spans="1:121" s="209" customFormat="1" x14ac:dyDescent="0.25">
      <c r="A144" s="370"/>
      <c r="B144" s="228"/>
      <c r="C144" s="228"/>
      <c r="D144" s="227"/>
      <c r="E144" s="227"/>
      <c r="F144" s="227"/>
      <c r="W144" s="210"/>
      <c r="AF144" s="210"/>
      <c r="BC144" s="210"/>
      <c r="BD144" s="210"/>
      <c r="BJ144" s="210"/>
      <c r="BK144" s="210"/>
      <c r="BL144" s="210"/>
      <c r="BM144" s="210"/>
      <c r="BN144" s="210"/>
      <c r="BO144" s="210"/>
      <c r="BP144" s="210"/>
      <c r="BQ144" s="210"/>
      <c r="BR144" s="210"/>
      <c r="BS144" s="210"/>
      <c r="BT144" s="210"/>
      <c r="BU144" s="210"/>
      <c r="BV144" s="210"/>
      <c r="BW144" s="210"/>
      <c r="BX144" s="210"/>
      <c r="BY144" s="210"/>
      <c r="BZ144" s="210"/>
      <c r="CA144" s="210"/>
      <c r="CB144" s="210"/>
      <c r="CC144" s="210"/>
      <c r="CD144" s="210"/>
      <c r="CE144" s="210"/>
      <c r="CF144" s="210"/>
      <c r="CG144" s="210"/>
      <c r="CH144" s="210"/>
      <c r="CI144" s="210"/>
      <c r="CJ144" s="210"/>
      <c r="CK144" s="210"/>
      <c r="CL144" s="210"/>
      <c r="CM144" s="210"/>
      <c r="CN144" s="210"/>
      <c r="CO144" s="210"/>
      <c r="CP144" s="210"/>
      <c r="CQ144" s="210"/>
      <c r="CR144" s="210"/>
      <c r="CS144" s="210"/>
      <c r="CT144" s="210"/>
      <c r="CU144" s="210"/>
      <c r="CV144" s="210"/>
      <c r="CW144" s="210"/>
      <c r="CX144" s="210"/>
      <c r="CY144" s="210"/>
      <c r="CZ144" s="210"/>
      <c r="DA144" s="210"/>
      <c r="DB144" s="210"/>
      <c r="DC144" s="210"/>
      <c r="DD144" s="210"/>
      <c r="DE144" s="210"/>
      <c r="DF144" s="210"/>
      <c r="DG144" s="210"/>
      <c r="DH144" s="210"/>
      <c r="DI144" s="210"/>
      <c r="DJ144" s="210"/>
      <c r="DK144" s="210"/>
      <c r="DL144" s="210"/>
      <c r="DM144" s="210"/>
      <c r="DN144" s="210"/>
      <c r="DO144" s="210"/>
      <c r="DP144" s="210"/>
      <c r="DQ144" s="210"/>
    </row>
    <row r="145" spans="1:121" s="209" customFormat="1" x14ac:dyDescent="0.25">
      <c r="A145" s="370"/>
      <c r="B145" s="228"/>
      <c r="C145" s="228"/>
      <c r="D145" s="227"/>
      <c r="E145" s="227"/>
      <c r="F145" s="227"/>
      <c r="W145" s="210"/>
      <c r="AF145" s="210"/>
      <c r="BC145" s="210"/>
      <c r="BD145" s="210"/>
      <c r="BJ145" s="210"/>
      <c r="BK145" s="210"/>
      <c r="BL145" s="210"/>
      <c r="BM145" s="210"/>
      <c r="BN145" s="210"/>
      <c r="BO145" s="210"/>
      <c r="BP145" s="210"/>
      <c r="BQ145" s="210"/>
      <c r="BR145" s="210"/>
      <c r="BS145" s="210"/>
      <c r="BT145" s="210"/>
      <c r="BU145" s="210"/>
      <c r="BV145" s="210"/>
      <c r="BW145" s="210"/>
      <c r="BX145" s="210"/>
      <c r="BY145" s="210"/>
      <c r="BZ145" s="210"/>
      <c r="CA145" s="210"/>
      <c r="CB145" s="210"/>
      <c r="CC145" s="210"/>
      <c r="CD145" s="210"/>
      <c r="CE145" s="210"/>
      <c r="CF145" s="210"/>
      <c r="CG145" s="210"/>
      <c r="CH145" s="210"/>
      <c r="CI145" s="210"/>
      <c r="CJ145" s="210"/>
      <c r="CK145" s="210"/>
      <c r="CL145" s="210"/>
      <c r="CM145" s="210"/>
      <c r="CN145" s="210"/>
      <c r="CO145" s="210"/>
      <c r="CP145" s="210"/>
      <c r="CQ145" s="210"/>
      <c r="CR145" s="210"/>
      <c r="CS145" s="210"/>
      <c r="CT145" s="210"/>
      <c r="CU145" s="210"/>
      <c r="CV145" s="210"/>
      <c r="CW145" s="210"/>
      <c r="CX145" s="210"/>
      <c r="CY145" s="210"/>
      <c r="CZ145" s="210"/>
      <c r="DA145" s="210"/>
      <c r="DB145" s="210"/>
      <c r="DC145" s="210"/>
      <c r="DD145" s="210"/>
      <c r="DE145" s="210"/>
      <c r="DF145" s="210"/>
      <c r="DG145" s="210"/>
      <c r="DH145" s="210"/>
      <c r="DI145" s="210"/>
      <c r="DJ145" s="210"/>
      <c r="DK145" s="210"/>
      <c r="DL145" s="210"/>
      <c r="DM145" s="210"/>
      <c r="DN145" s="210"/>
      <c r="DO145" s="210"/>
      <c r="DP145" s="210"/>
      <c r="DQ145" s="210"/>
    </row>
    <row r="146" spans="1:121" s="209" customFormat="1" x14ac:dyDescent="0.25">
      <c r="A146" s="370"/>
      <c r="B146" s="228"/>
      <c r="C146" s="228"/>
      <c r="D146" s="227"/>
      <c r="E146" s="227"/>
      <c r="F146" s="227"/>
      <c r="W146" s="210"/>
      <c r="AF146" s="210"/>
      <c r="BC146" s="210"/>
      <c r="BD146" s="210"/>
      <c r="BJ146" s="210"/>
      <c r="BK146" s="210"/>
      <c r="BL146" s="210"/>
      <c r="BM146" s="210"/>
      <c r="BN146" s="210"/>
      <c r="BO146" s="210"/>
      <c r="BP146" s="210"/>
      <c r="BQ146" s="210"/>
      <c r="BR146" s="210"/>
      <c r="BS146" s="210"/>
      <c r="BT146" s="210"/>
      <c r="BU146" s="210"/>
      <c r="BV146" s="210"/>
      <c r="BW146" s="210"/>
      <c r="BX146" s="210"/>
      <c r="BY146" s="210"/>
      <c r="BZ146" s="210"/>
      <c r="CA146" s="210"/>
      <c r="CB146" s="210"/>
      <c r="CC146" s="210"/>
      <c r="CD146" s="210"/>
      <c r="CE146" s="210"/>
      <c r="CF146" s="210"/>
      <c r="CG146" s="210"/>
      <c r="CH146" s="210"/>
      <c r="CI146" s="210"/>
      <c r="CJ146" s="210"/>
      <c r="CK146" s="210"/>
      <c r="CL146" s="210"/>
      <c r="CM146" s="210"/>
      <c r="CN146" s="210"/>
      <c r="CO146" s="210"/>
      <c r="CP146" s="210"/>
      <c r="CQ146" s="210"/>
      <c r="CR146" s="210"/>
      <c r="CS146" s="210"/>
      <c r="CT146" s="210"/>
      <c r="CU146" s="210"/>
      <c r="CV146" s="210"/>
      <c r="CW146" s="210"/>
      <c r="CX146" s="210"/>
      <c r="CY146" s="210"/>
      <c r="CZ146" s="210"/>
      <c r="DA146" s="210"/>
      <c r="DB146" s="210"/>
      <c r="DC146" s="210"/>
      <c r="DD146" s="210"/>
      <c r="DE146" s="210"/>
      <c r="DF146" s="210"/>
      <c r="DG146" s="210"/>
      <c r="DH146" s="210"/>
      <c r="DI146" s="210"/>
      <c r="DJ146" s="210"/>
      <c r="DK146" s="210"/>
      <c r="DL146" s="210"/>
      <c r="DM146" s="210"/>
      <c r="DN146" s="210"/>
      <c r="DO146" s="210"/>
      <c r="DP146" s="210"/>
      <c r="DQ146" s="210"/>
    </row>
    <row r="147" spans="1:121" s="209" customFormat="1" x14ac:dyDescent="0.25">
      <c r="A147" s="370"/>
      <c r="B147" s="228"/>
      <c r="C147" s="228"/>
      <c r="D147" s="227"/>
      <c r="E147" s="227"/>
      <c r="F147" s="227"/>
      <c r="W147" s="210"/>
      <c r="AF147" s="210"/>
      <c r="BC147" s="210"/>
      <c r="BD147" s="210"/>
      <c r="BJ147" s="210"/>
      <c r="BK147" s="210"/>
      <c r="BL147" s="210"/>
      <c r="BM147" s="210"/>
      <c r="BN147" s="210"/>
      <c r="BO147" s="210"/>
      <c r="BP147" s="210"/>
      <c r="BQ147" s="210"/>
      <c r="BR147" s="210"/>
      <c r="BS147" s="210"/>
      <c r="BT147" s="210"/>
      <c r="BU147" s="210"/>
      <c r="BV147" s="210"/>
      <c r="BW147" s="210"/>
      <c r="BX147" s="210"/>
      <c r="BY147" s="210"/>
      <c r="BZ147" s="210"/>
      <c r="CA147" s="210"/>
      <c r="CB147" s="210"/>
      <c r="CC147" s="210"/>
      <c r="CD147" s="210"/>
      <c r="CE147" s="210"/>
      <c r="CF147" s="210"/>
      <c r="CG147" s="210"/>
      <c r="CH147" s="210"/>
      <c r="CI147" s="210"/>
      <c r="CJ147" s="210"/>
      <c r="CK147" s="210"/>
      <c r="CL147" s="210"/>
      <c r="CM147" s="210"/>
      <c r="CN147" s="210"/>
      <c r="CO147" s="210"/>
      <c r="CP147" s="210"/>
      <c r="CQ147" s="210"/>
      <c r="CR147" s="210"/>
      <c r="CS147" s="210"/>
      <c r="CT147" s="210"/>
      <c r="CU147" s="210"/>
      <c r="CV147" s="210"/>
      <c r="CW147" s="210"/>
      <c r="CX147" s="210"/>
      <c r="CY147" s="210"/>
      <c r="CZ147" s="210"/>
      <c r="DA147" s="210"/>
      <c r="DB147" s="210"/>
      <c r="DC147" s="210"/>
      <c r="DD147" s="210"/>
      <c r="DE147" s="210"/>
      <c r="DF147" s="210"/>
      <c r="DG147" s="210"/>
      <c r="DH147" s="210"/>
      <c r="DI147" s="210"/>
      <c r="DJ147" s="210"/>
      <c r="DK147" s="210"/>
      <c r="DL147" s="210"/>
      <c r="DM147" s="210"/>
      <c r="DN147" s="210"/>
      <c r="DO147" s="210"/>
      <c r="DP147" s="210"/>
      <c r="DQ147" s="210"/>
    </row>
    <row r="148" spans="1:121" s="209" customFormat="1" x14ac:dyDescent="0.25">
      <c r="A148" s="370"/>
      <c r="B148" s="228"/>
      <c r="C148" s="228"/>
      <c r="D148" s="227"/>
      <c r="E148" s="227"/>
      <c r="F148" s="227"/>
      <c r="W148" s="210"/>
      <c r="AF148" s="210"/>
      <c r="BC148" s="210"/>
      <c r="BD148" s="210"/>
      <c r="BJ148" s="210"/>
      <c r="BK148" s="210"/>
      <c r="BL148" s="210"/>
      <c r="BM148" s="210"/>
      <c r="BN148" s="210"/>
      <c r="BO148" s="210"/>
      <c r="BP148" s="210"/>
      <c r="BQ148" s="210"/>
      <c r="BR148" s="210"/>
      <c r="BS148" s="210"/>
      <c r="BT148" s="210"/>
      <c r="BU148" s="210"/>
      <c r="BV148" s="210"/>
      <c r="BW148" s="210"/>
      <c r="BX148" s="210"/>
      <c r="BY148" s="210"/>
      <c r="BZ148" s="210"/>
      <c r="CA148" s="210"/>
      <c r="CB148" s="210"/>
      <c r="CC148" s="210"/>
      <c r="CD148" s="210"/>
      <c r="CE148" s="210"/>
      <c r="CF148" s="210"/>
      <c r="CG148" s="210"/>
      <c r="CH148" s="210"/>
      <c r="CI148" s="210"/>
      <c r="CJ148" s="210"/>
      <c r="CK148" s="210"/>
      <c r="CL148" s="210"/>
      <c r="CM148" s="210"/>
      <c r="CN148" s="210"/>
      <c r="CO148" s="210"/>
      <c r="CP148" s="210"/>
      <c r="CQ148" s="210"/>
      <c r="CR148" s="210"/>
      <c r="CS148" s="210"/>
      <c r="CT148" s="210"/>
      <c r="CU148" s="210"/>
      <c r="CV148" s="210"/>
      <c r="CW148" s="210"/>
      <c r="CX148" s="210"/>
      <c r="CY148" s="210"/>
      <c r="CZ148" s="210"/>
      <c r="DA148" s="210"/>
      <c r="DB148" s="210"/>
      <c r="DC148" s="210"/>
      <c r="DD148" s="210"/>
      <c r="DE148" s="210"/>
      <c r="DF148" s="210"/>
      <c r="DG148" s="210"/>
      <c r="DH148" s="210"/>
      <c r="DI148" s="210"/>
      <c r="DJ148" s="210"/>
      <c r="DK148" s="210"/>
      <c r="DL148" s="210"/>
      <c r="DM148" s="210"/>
      <c r="DN148" s="210"/>
      <c r="DO148" s="210"/>
      <c r="DP148" s="210"/>
      <c r="DQ148" s="210"/>
    </row>
    <row r="149" spans="1:121" s="209" customFormat="1" x14ac:dyDescent="0.25">
      <c r="A149" s="370"/>
      <c r="B149" s="228"/>
      <c r="C149" s="228"/>
      <c r="D149" s="227"/>
      <c r="E149" s="227"/>
      <c r="F149" s="227"/>
      <c r="W149" s="210"/>
      <c r="AF149" s="210"/>
      <c r="BC149" s="210"/>
      <c r="BD149" s="210"/>
      <c r="BJ149" s="210"/>
      <c r="BK149" s="210"/>
      <c r="BL149" s="210"/>
      <c r="BM149" s="210"/>
      <c r="BN149" s="210"/>
      <c r="BO149" s="210"/>
      <c r="BP149" s="210"/>
      <c r="BQ149" s="210"/>
      <c r="BR149" s="210"/>
      <c r="BS149" s="210"/>
      <c r="BT149" s="210"/>
      <c r="BU149" s="210"/>
      <c r="BV149" s="210"/>
      <c r="BW149" s="210"/>
      <c r="BX149" s="210"/>
      <c r="BY149" s="210"/>
      <c r="BZ149" s="210"/>
      <c r="CA149" s="210"/>
      <c r="CB149" s="210"/>
      <c r="CC149" s="210"/>
      <c r="CD149" s="210"/>
      <c r="CE149" s="210"/>
      <c r="CF149" s="210"/>
      <c r="CG149" s="210"/>
      <c r="CH149" s="210"/>
      <c r="CI149" s="210"/>
      <c r="CJ149" s="210"/>
      <c r="CK149" s="210"/>
      <c r="CL149" s="210"/>
      <c r="CM149" s="210"/>
      <c r="CN149" s="210"/>
      <c r="CO149" s="210"/>
      <c r="CP149" s="210"/>
      <c r="CQ149" s="210"/>
      <c r="CR149" s="210"/>
      <c r="CS149" s="210"/>
      <c r="CT149" s="210"/>
      <c r="CU149" s="210"/>
      <c r="CV149" s="210"/>
      <c r="CW149" s="210"/>
      <c r="CX149" s="210"/>
      <c r="CY149" s="210"/>
      <c r="CZ149" s="210"/>
      <c r="DA149" s="210"/>
      <c r="DB149" s="210"/>
      <c r="DC149" s="210"/>
      <c r="DD149" s="210"/>
      <c r="DE149" s="210"/>
      <c r="DF149" s="210"/>
      <c r="DG149" s="210"/>
      <c r="DH149" s="210"/>
      <c r="DI149" s="210"/>
      <c r="DJ149" s="210"/>
      <c r="DK149" s="210"/>
      <c r="DL149" s="210"/>
      <c r="DM149" s="210"/>
      <c r="DN149" s="210"/>
      <c r="DO149" s="210"/>
      <c r="DP149" s="210"/>
      <c r="DQ149" s="210"/>
    </row>
    <row r="150" spans="1:121" s="209" customFormat="1" x14ac:dyDescent="0.25">
      <c r="A150" s="370"/>
      <c r="B150" s="228"/>
      <c r="C150" s="228"/>
      <c r="D150" s="227"/>
      <c r="E150" s="227"/>
      <c r="F150" s="227"/>
      <c r="W150" s="210"/>
      <c r="AF150" s="210"/>
      <c r="BC150" s="210"/>
      <c r="BD150" s="210"/>
      <c r="BJ150" s="210"/>
      <c r="BK150" s="210"/>
      <c r="BL150" s="210"/>
      <c r="BM150" s="210"/>
      <c r="BN150" s="210"/>
      <c r="BO150" s="210"/>
      <c r="BP150" s="210"/>
      <c r="BQ150" s="210"/>
      <c r="BR150" s="210"/>
      <c r="BS150" s="210"/>
      <c r="BT150" s="210"/>
      <c r="BU150" s="210"/>
      <c r="BV150" s="210"/>
      <c r="BW150" s="210"/>
      <c r="BX150" s="210"/>
      <c r="BY150" s="210"/>
      <c r="BZ150" s="210"/>
      <c r="CA150" s="210"/>
      <c r="CB150" s="210"/>
      <c r="CC150" s="210"/>
      <c r="CD150" s="210"/>
      <c r="CE150" s="210"/>
      <c r="CF150" s="210"/>
      <c r="CG150" s="210"/>
      <c r="CH150" s="210"/>
      <c r="CI150" s="210"/>
      <c r="CJ150" s="210"/>
      <c r="CK150" s="210"/>
      <c r="CL150" s="210"/>
      <c r="CM150" s="210"/>
      <c r="CN150" s="210"/>
      <c r="CO150" s="210"/>
      <c r="CP150" s="210"/>
      <c r="CQ150" s="210"/>
      <c r="CR150" s="210"/>
      <c r="CS150" s="210"/>
      <c r="CT150" s="210"/>
      <c r="CU150" s="210"/>
      <c r="CV150" s="210"/>
      <c r="CW150" s="210"/>
      <c r="CX150" s="210"/>
      <c r="CY150" s="210"/>
      <c r="CZ150" s="210"/>
      <c r="DA150" s="210"/>
      <c r="DB150" s="210"/>
      <c r="DC150" s="210"/>
      <c r="DD150" s="210"/>
      <c r="DE150" s="210"/>
      <c r="DF150" s="210"/>
      <c r="DG150" s="210"/>
      <c r="DH150" s="210"/>
      <c r="DI150" s="210"/>
      <c r="DJ150" s="210"/>
      <c r="DK150" s="210"/>
      <c r="DL150" s="210"/>
      <c r="DM150" s="210"/>
      <c r="DN150" s="210"/>
      <c r="DO150" s="210"/>
      <c r="DP150" s="210"/>
      <c r="DQ150" s="210"/>
    </row>
    <row r="151" spans="1:121" s="209" customFormat="1" x14ac:dyDescent="0.25">
      <c r="A151" s="370"/>
      <c r="B151" s="228"/>
      <c r="C151" s="228"/>
      <c r="D151" s="227"/>
      <c r="E151" s="227"/>
      <c r="F151" s="227"/>
      <c r="W151" s="210"/>
      <c r="AF151" s="210"/>
      <c r="BC151" s="210"/>
      <c r="BD151" s="210"/>
      <c r="BJ151" s="210"/>
      <c r="BK151" s="210"/>
      <c r="BL151" s="210"/>
      <c r="BM151" s="210"/>
      <c r="BN151" s="210"/>
      <c r="BO151" s="210"/>
      <c r="BP151" s="210"/>
      <c r="BQ151" s="210"/>
      <c r="BR151" s="210"/>
      <c r="BS151" s="210"/>
      <c r="BT151" s="210"/>
      <c r="BU151" s="210"/>
      <c r="BV151" s="210"/>
      <c r="BW151" s="210"/>
      <c r="BX151" s="210"/>
      <c r="BY151" s="210"/>
      <c r="BZ151" s="210"/>
      <c r="CA151" s="210"/>
      <c r="CB151" s="210"/>
      <c r="CC151" s="210"/>
      <c r="CD151" s="210"/>
      <c r="CE151" s="210"/>
      <c r="CF151" s="210"/>
      <c r="CG151" s="210"/>
      <c r="CH151" s="210"/>
      <c r="CI151" s="210"/>
      <c r="CJ151" s="210"/>
      <c r="CK151" s="210"/>
      <c r="CL151" s="210"/>
      <c r="CM151" s="210"/>
      <c r="CN151" s="210"/>
      <c r="CO151" s="210"/>
      <c r="CP151" s="210"/>
      <c r="CQ151" s="210"/>
      <c r="CR151" s="210"/>
      <c r="CS151" s="210"/>
      <c r="CT151" s="210"/>
      <c r="CU151" s="210"/>
      <c r="CV151" s="210"/>
      <c r="CW151" s="210"/>
      <c r="CX151" s="210"/>
      <c r="CY151" s="210"/>
      <c r="CZ151" s="210"/>
      <c r="DA151" s="210"/>
      <c r="DB151" s="210"/>
      <c r="DC151" s="210"/>
      <c r="DD151" s="210"/>
      <c r="DE151" s="210"/>
      <c r="DF151" s="210"/>
      <c r="DG151" s="210"/>
      <c r="DH151" s="210"/>
      <c r="DI151" s="210"/>
      <c r="DJ151" s="210"/>
      <c r="DK151" s="210"/>
      <c r="DL151" s="210"/>
      <c r="DM151" s="210"/>
      <c r="DN151" s="210"/>
      <c r="DO151" s="210"/>
      <c r="DP151" s="210"/>
      <c r="DQ151" s="210"/>
    </row>
    <row r="152" spans="1:121" s="209" customFormat="1" x14ac:dyDescent="0.25">
      <c r="A152" s="370"/>
      <c r="B152" s="228"/>
      <c r="C152" s="228"/>
      <c r="D152" s="227"/>
      <c r="E152" s="227"/>
      <c r="F152" s="227"/>
      <c r="W152" s="210"/>
      <c r="AF152" s="210"/>
      <c r="BC152" s="210"/>
      <c r="BD152" s="210"/>
      <c r="BJ152" s="210"/>
      <c r="BK152" s="210"/>
      <c r="BL152" s="210"/>
      <c r="BM152" s="210"/>
      <c r="BN152" s="210"/>
      <c r="BO152" s="210"/>
      <c r="BP152" s="210"/>
      <c r="BQ152" s="210"/>
      <c r="BR152" s="210"/>
      <c r="BS152" s="210"/>
      <c r="BT152" s="210"/>
      <c r="BU152" s="210"/>
      <c r="BV152" s="210"/>
      <c r="BW152" s="210"/>
      <c r="BX152" s="210"/>
      <c r="BY152" s="210"/>
      <c r="BZ152" s="210"/>
      <c r="CA152" s="210"/>
      <c r="CB152" s="210"/>
      <c r="CC152" s="210"/>
      <c r="CD152" s="210"/>
      <c r="CE152" s="210"/>
      <c r="CF152" s="210"/>
      <c r="CG152" s="210"/>
      <c r="CH152" s="210"/>
      <c r="CI152" s="210"/>
      <c r="CJ152" s="210"/>
      <c r="CK152" s="210"/>
      <c r="CL152" s="210"/>
      <c r="CM152" s="210"/>
      <c r="CN152" s="210"/>
      <c r="CO152" s="210"/>
      <c r="CP152" s="210"/>
      <c r="CQ152" s="210"/>
      <c r="CR152" s="210"/>
      <c r="CS152" s="210"/>
      <c r="CT152" s="210"/>
      <c r="CU152" s="210"/>
      <c r="CV152" s="210"/>
      <c r="CW152" s="210"/>
      <c r="CX152" s="210"/>
      <c r="CY152" s="210"/>
      <c r="CZ152" s="210"/>
      <c r="DA152" s="210"/>
      <c r="DB152" s="210"/>
      <c r="DC152" s="210"/>
      <c r="DD152" s="210"/>
      <c r="DE152" s="210"/>
      <c r="DF152" s="210"/>
      <c r="DG152" s="210"/>
      <c r="DH152" s="210"/>
      <c r="DI152" s="210"/>
      <c r="DJ152" s="210"/>
      <c r="DK152" s="210"/>
      <c r="DL152" s="210"/>
      <c r="DM152" s="210"/>
      <c r="DN152" s="210"/>
      <c r="DO152" s="210"/>
      <c r="DP152" s="210"/>
      <c r="DQ152" s="210"/>
    </row>
    <row r="153" spans="1:121" s="209" customFormat="1" x14ac:dyDescent="0.25">
      <c r="A153" s="370"/>
      <c r="B153" s="228"/>
      <c r="C153" s="228"/>
      <c r="D153" s="227"/>
      <c r="E153" s="227"/>
      <c r="F153" s="227"/>
      <c r="W153" s="210"/>
      <c r="AF153" s="210"/>
      <c r="BC153" s="210"/>
      <c r="BD153" s="210"/>
      <c r="BJ153" s="210"/>
      <c r="BK153" s="210"/>
      <c r="BL153" s="210"/>
      <c r="BM153" s="210"/>
      <c r="BN153" s="210"/>
      <c r="BO153" s="210"/>
      <c r="BP153" s="210"/>
      <c r="BQ153" s="210"/>
      <c r="BR153" s="210"/>
      <c r="BS153" s="210"/>
      <c r="BT153" s="210"/>
      <c r="BU153" s="210"/>
      <c r="BV153" s="210"/>
      <c r="BW153" s="210"/>
      <c r="BX153" s="210"/>
      <c r="BY153" s="210"/>
      <c r="BZ153" s="210"/>
      <c r="CA153" s="210"/>
      <c r="CB153" s="210"/>
      <c r="CC153" s="210"/>
      <c r="CD153" s="210"/>
      <c r="CE153" s="210"/>
      <c r="CF153" s="210"/>
      <c r="CG153" s="210"/>
      <c r="CH153" s="210"/>
      <c r="CI153" s="210"/>
      <c r="CJ153" s="210"/>
      <c r="CK153" s="210"/>
      <c r="CL153" s="210"/>
      <c r="CM153" s="210"/>
      <c r="CN153" s="210"/>
      <c r="CO153" s="210"/>
      <c r="CP153" s="210"/>
      <c r="CQ153" s="210"/>
      <c r="CR153" s="210"/>
      <c r="CS153" s="210"/>
      <c r="CT153" s="210"/>
      <c r="CU153" s="210"/>
      <c r="CV153" s="210"/>
      <c r="CW153" s="210"/>
      <c r="CX153" s="210"/>
      <c r="CY153" s="210"/>
      <c r="CZ153" s="210"/>
      <c r="DA153" s="210"/>
      <c r="DB153" s="210"/>
      <c r="DC153" s="210"/>
      <c r="DD153" s="210"/>
      <c r="DE153" s="210"/>
      <c r="DF153" s="210"/>
      <c r="DG153" s="210"/>
      <c r="DH153" s="210"/>
      <c r="DI153" s="210"/>
      <c r="DJ153" s="210"/>
      <c r="DK153" s="210"/>
      <c r="DL153" s="210"/>
      <c r="DM153" s="210"/>
      <c r="DN153" s="210"/>
      <c r="DO153" s="210"/>
      <c r="DP153" s="210"/>
      <c r="DQ153" s="210"/>
    </row>
    <row r="154" spans="1:121" s="209" customFormat="1" x14ac:dyDescent="0.25">
      <c r="A154" s="370"/>
      <c r="B154" s="228"/>
      <c r="C154" s="228"/>
      <c r="D154" s="227"/>
      <c r="E154" s="227"/>
      <c r="F154" s="227"/>
      <c r="W154" s="210"/>
      <c r="AF154" s="210"/>
      <c r="BC154" s="210"/>
      <c r="BD154" s="210"/>
      <c r="BJ154" s="210"/>
      <c r="BK154" s="210"/>
      <c r="BL154" s="210"/>
      <c r="BM154" s="210"/>
      <c r="BN154" s="210"/>
      <c r="BO154" s="210"/>
      <c r="BP154" s="210"/>
      <c r="BQ154" s="210"/>
      <c r="BR154" s="210"/>
      <c r="BS154" s="210"/>
      <c r="BT154" s="210"/>
      <c r="BU154" s="210"/>
      <c r="BV154" s="210"/>
      <c r="BW154" s="210"/>
      <c r="BX154" s="210"/>
      <c r="BY154" s="210"/>
      <c r="BZ154" s="210"/>
      <c r="CA154" s="210"/>
      <c r="CB154" s="210"/>
      <c r="CC154" s="210"/>
      <c r="CD154" s="210"/>
      <c r="CE154" s="210"/>
      <c r="CF154" s="210"/>
      <c r="CG154" s="210"/>
      <c r="CH154" s="210"/>
      <c r="CI154" s="210"/>
      <c r="CJ154" s="210"/>
      <c r="CK154" s="210"/>
      <c r="CL154" s="210"/>
      <c r="CM154" s="210"/>
      <c r="CN154" s="210"/>
      <c r="CO154" s="210"/>
      <c r="CP154" s="210"/>
      <c r="CQ154" s="210"/>
      <c r="CR154" s="210"/>
      <c r="CS154" s="210"/>
      <c r="CT154" s="210"/>
      <c r="CU154" s="210"/>
      <c r="CV154" s="210"/>
      <c r="CW154" s="210"/>
      <c r="CX154" s="210"/>
      <c r="CY154" s="210"/>
      <c r="CZ154" s="210"/>
      <c r="DA154" s="210"/>
      <c r="DB154" s="210"/>
      <c r="DC154" s="210"/>
      <c r="DD154" s="210"/>
      <c r="DE154" s="210"/>
      <c r="DF154" s="210"/>
      <c r="DG154" s="210"/>
      <c r="DH154" s="210"/>
      <c r="DI154" s="210"/>
      <c r="DJ154" s="210"/>
      <c r="DK154" s="210"/>
      <c r="DL154" s="210"/>
      <c r="DM154" s="210"/>
      <c r="DN154" s="210"/>
      <c r="DO154" s="210"/>
      <c r="DP154" s="210"/>
      <c r="DQ154" s="210"/>
    </row>
    <row r="155" spans="1:121" s="209" customFormat="1" x14ac:dyDescent="0.25">
      <c r="A155" s="370"/>
      <c r="B155" s="228"/>
      <c r="C155" s="228"/>
      <c r="D155" s="227"/>
      <c r="E155" s="227"/>
      <c r="F155" s="227"/>
      <c r="W155" s="210"/>
      <c r="AF155" s="210"/>
      <c r="BC155" s="210"/>
      <c r="BD155" s="210"/>
      <c r="BJ155" s="210"/>
      <c r="BK155" s="210"/>
      <c r="BL155" s="210"/>
      <c r="BM155" s="210"/>
      <c r="BN155" s="210"/>
      <c r="BO155" s="210"/>
      <c r="BP155" s="210"/>
      <c r="BQ155" s="210"/>
      <c r="BR155" s="210"/>
      <c r="BS155" s="210"/>
      <c r="BT155" s="210"/>
      <c r="BU155" s="210"/>
      <c r="BV155" s="210"/>
      <c r="BW155" s="210"/>
      <c r="BX155" s="210"/>
      <c r="BY155" s="210"/>
      <c r="BZ155" s="210"/>
      <c r="CA155" s="210"/>
      <c r="CB155" s="210"/>
      <c r="CC155" s="210"/>
      <c r="CD155" s="210"/>
      <c r="CE155" s="210"/>
      <c r="CF155" s="210"/>
      <c r="CG155" s="210"/>
      <c r="CH155" s="210"/>
      <c r="CI155" s="210"/>
      <c r="CJ155" s="210"/>
      <c r="CK155" s="210"/>
      <c r="CL155" s="210"/>
      <c r="CM155" s="210"/>
      <c r="CN155" s="210"/>
      <c r="CO155" s="210"/>
      <c r="CP155" s="210"/>
      <c r="CQ155" s="210"/>
      <c r="CR155" s="210"/>
      <c r="CS155" s="210"/>
      <c r="CT155" s="210"/>
      <c r="CU155" s="210"/>
      <c r="CV155" s="210"/>
      <c r="CW155" s="210"/>
      <c r="CX155" s="210"/>
      <c r="CY155" s="210"/>
      <c r="CZ155" s="210"/>
      <c r="DA155" s="210"/>
      <c r="DB155" s="210"/>
      <c r="DC155" s="210"/>
      <c r="DD155" s="210"/>
      <c r="DE155" s="210"/>
      <c r="DF155" s="210"/>
      <c r="DG155" s="210"/>
      <c r="DH155" s="210"/>
      <c r="DI155" s="210"/>
      <c r="DJ155" s="210"/>
      <c r="DK155" s="210"/>
      <c r="DL155" s="210"/>
      <c r="DM155" s="210"/>
      <c r="DN155" s="210"/>
      <c r="DO155" s="210"/>
      <c r="DP155" s="210"/>
      <c r="DQ155" s="210"/>
    </row>
    <row r="156" spans="1:121" s="209" customFormat="1" x14ac:dyDescent="0.25">
      <c r="A156" s="370"/>
      <c r="B156" s="228"/>
      <c r="C156" s="228"/>
      <c r="D156" s="227"/>
      <c r="E156" s="227"/>
      <c r="F156" s="227"/>
      <c r="W156" s="210"/>
      <c r="AF156" s="210"/>
      <c r="BC156" s="210"/>
      <c r="BD156" s="210"/>
      <c r="BJ156" s="210"/>
      <c r="BK156" s="210"/>
      <c r="BL156" s="210"/>
      <c r="BM156" s="210"/>
      <c r="BN156" s="210"/>
      <c r="BO156" s="210"/>
      <c r="BP156" s="210"/>
      <c r="BQ156" s="210"/>
      <c r="BR156" s="210"/>
      <c r="BS156" s="210"/>
      <c r="BT156" s="210"/>
      <c r="BU156" s="210"/>
      <c r="BV156" s="210"/>
      <c r="BW156" s="210"/>
      <c r="BX156" s="210"/>
      <c r="BY156" s="210"/>
      <c r="BZ156" s="210"/>
      <c r="CA156" s="210"/>
      <c r="CB156" s="210"/>
      <c r="CC156" s="210"/>
      <c r="CD156" s="210"/>
      <c r="CE156" s="210"/>
      <c r="CF156" s="210"/>
      <c r="CG156" s="210"/>
      <c r="CH156" s="210"/>
      <c r="CI156" s="210"/>
      <c r="CJ156" s="210"/>
      <c r="CK156" s="210"/>
      <c r="CL156" s="210"/>
      <c r="CM156" s="210"/>
      <c r="CN156" s="210"/>
      <c r="CO156" s="210"/>
      <c r="CP156" s="210"/>
      <c r="CQ156" s="210"/>
      <c r="CR156" s="210"/>
      <c r="CS156" s="210"/>
      <c r="CT156" s="210"/>
      <c r="CU156" s="210"/>
      <c r="CV156" s="210"/>
      <c r="CW156" s="210"/>
      <c r="CX156" s="210"/>
      <c r="CY156" s="210"/>
      <c r="CZ156" s="210"/>
      <c r="DA156" s="210"/>
      <c r="DB156" s="210"/>
      <c r="DC156" s="210"/>
      <c r="DD156" s="210"/>
      <c r="DE156" s="210"/>
      <c r="DF156" s="210"/>
      <c r="DG156" s="210"/>
      <c r="DH156" s="210"/>
      <c r="DI156" s="210"/>
      <c r="DJ156" s="210"/>
      <c r="DK156" s="210"/>
      <c r="DL156" s="210"/>
      <c r="DM156" s="210"/>
      <c r="DN156" s="210"/>
      <c r="DO156" s="210"/>
      <c r="DP156" s="210"/>
      <c r="DQ156" s="210"/>
    </row>
    <row r="157" spans="1:121" s="209" customFormat="1" x14ac:dyDescent="0.25">
      <c r="A157" s="370"/>
      <c r="B157" s="228"/>
      <c r="C157" s="228"/>
      <c r="D157" s="227"/>
      <c r="E157" s="227"/>
      <c r="F157" s="227"/>
      <c r="W157" s="210"/>
      <c r="AF157" s="210"/>
      <c r="BC157" s="210"/>
      <c r="BD157" s="210"/>
      <c r="BJ157" s="210"/>
      <c r="BK157" s="210"/>
      <c r="BL157" s="210"/>
      <c r="BM157" s="210"/>
      <c r="BN157" s="210"/>
      <c r="BO157" s="210"/>
      <c r="BP157" s="210"/>
      <c r="BQ157" s="210"/>
      <c r="BR157" s="210"/>
      <c r="BS157" s="210"/>
      <c r="BT157" s="210"/>
      <c r="BU157" s="210"/>
      <c r="BV157" s="210"/>
      <c r="BW157" s="210"/>
      <c r="BX157" s="210"/>
      <c r="BY157" s="210"/>
      <c r="BZ157" s="210"/>
      <c r="CA157" s="210"/>
      <c r="CB157" s="210"/>
      <c r="CC157" s="210"/>
      <c r="CD157" s="210"/>
      <c r="CE157" s="210"/>
      <c r="CF157" s="210"/>
      <c r="CG157" s="210"/>
      <c r="CH157" s="210"/>
      <c r="CI157" s="210"/>
      <c r="CJ157" s="210"/>
      <c r="CK157" s="210"/>
      <c r="CL157" s="210"/>
      <c r="CM157" s="210"/>
      <c r="CN157" s="210"/>
      <c r="CO157" s="210"/>
      <c r="CP157" s="210"/>
      <c r="CQ157" s="210"/>
      <c r="CR157" s="210"/>
      <c r="CS157" s="210"/>
      <c r="CT157" s="210"/>
      <c r="CU157" s="210"/>
      <c r="CV157" s="210"/>
      <c r="CW157" s="210"/>
      <c r="CX157" s="210"/>
      <c r="CY157" s="210"/>
      <c r="CZ157" s="210"/>
      <c r="DA157" s="210"/>
      <c r="DB157" s="210"/>
      <c r="DC157" s="210"/>
      <c r="DD157" s="210"/>
      <c r="DE157" s="210"/>
      <c r="DF157" s="210"/>
      <c r="DG157" s="210"/>
      <c r="DH157" s="210"/>
      <c r="DI157" s="210"/>
      <c r="DJ157" s="210"/>
      <c r="DK157" s="210"/>
      <c r="DL157" s="210"/>
      <c r="DM157" s="210"/>
      <c r="DN157" s="210"/>
      <c r="DO157" s="210"/>
      <c r="DP157" s="210"/>
      <c r="DQ157" s="210"/>
    </row>
    <row r="158" spans="1:121" s="209" customFormat="1" x14ac:dyDescent="0.25">
      <c r="A158" s="370"/>
      <c r="B158" s="228"/>
      <c r="C158" s="228"/>
      <c r="D158" s="227"/>
      <c r="E158" s="227"/>
      <c r="F158" s="227"/>
      <c r="W158" s="210"/>
      <c r="AF158" s="210"/>
      <c r="BC158" s="210"/>
      <c r="BD158" s="210"/>
      <c r="BJ158" s="210"/>
      <c r="BK158" s="210"/>
      <c r="BL158" s="210"/>
      <c r="BM158" s="210"/>
      <c r="BN158" s="210"/>
      <c r="BO158" s="210"/>
      <c r="BP158" s="210"/>
      <c r="BQ158" s="210"/>
      <c r="BR158" s="210"/>
      <c r="BS158" s="210"/>
      <c r="BT158" s="210"/>
      <c r="BU158" s="210"/>
      <c r="BV158" s="210"/>
      <c r="BW158" s="210"/>
      <c r="BX158" s="210"/>
      <c r="BY158" s="210"/>
      <c r="BZ158" s="210"/>
      <c r="CA158" s="210"/>
      <c r="CB158" s="210"/>
      <c r="CC158" s="210"/>
      <c r="CD158" s="210"/>
      <c r="CE158" s="210"/>
      <c r="CF158" s="210"/>
      <c r="CG158" s="210"/>
      <c r="CH158" s="210"/>
      <c r="CI158" s="210"/>
      <c r="CJ158" s="210"/>
      <c r="CK158" s="210"/>
      <c r="CL158" s="210"/>
      <c r="CM158" s="210"/>
      <c r="CN158" s="210"/>
      <c r="CO158" s="210"/>
      <c r="CP158" s="210"/>
      <c r="CQ158" s="210"/>
      <c r="CR158" s="210"/>
      <c r="CS158" s="210"/>
      <c r="CT158" s="210"/>
      <c r="CU158" s="210"/>
      <c r="CV158" s="210"/>
      <c r="CW158" s="210"/>
      <c r="CX158" s="210"/>
      <c r="CY158" s="210"/>
      <c r="CZ158" s="210"/>
      <c r="DA158" s="210"/>
      <c r="DB158" s="210"/>
      <c r="DC158" s="210"/>
      <c r="DD158" s="210"/>
      <c r="DE158" s="210"/>
      <c r="DF158" s="210"/>
      <c r="DG158" s="210"/>
      <c r="DH158" s="210"/>
      <c r="DI158" s="210"/>
      <c r="DJ158" s="210"/>
      <c r="DK158" s="210"/>
      <c r="DL158" s="210"/>
      <c r="DM158" s="210"/>
      <c r="DN158" s="210"/>
      <c r="DO158" s="210"/>
      <c r="DP158" s="210"/>
      <c r="DQ158" s="210"/>
    </row>
    <row r="159" spans="1:121" s="209" customFormat="1" x14ac:dyDescent="0.25">
      <c r="A159" s="370"/>
      <c r="B159" s="228"/>
      <c r="C159" s="228"/>
      <c r="D159" s="227"/>
      <c r="E159" s="227"/>
      <c r="F159" s="227"/>
      <c r="W159" s="210"/>
      <c r="AF159" s="210"/>
      <c r="BC159" s="210"/>
      <c r="BD159" s="210"/>
      <c r="BJ159" s="210"/>
      <c r="BK159" s="210"/>
      <c r="BL159" s="210"/>
      <c r="BM159" s="210"/>
      <c r="BN159" s="210"/>
      <c r="BO159" s="210"/>
      <c r="BP159" s="210"/>
      <c r="BQ159" s="210"/>
      <c r="BR159" s="210"/>
      <c r="BS159" s="210"/>
      <c r="BT159" s="210"/>
      <c r="BU159" s="210"/>
      <c r="BV159" s="210"/>
      <c r="BW159" s="210"/>
      <c r="BX159" s="210"/>
      <c r="BY159" s="210"/>
      <c r="BZ159" s="210"/>
      <c r="CA159" s="210"/>
      <c r="CB159" s="210"/>
      <c r="CC159" s="210"/>
      <c r="CD159" s="210"/>
      <c r="CE159" s="210"/>
      <c r="CF159" s="210"/>
      <c r="CG159" s="210"/>
      <c r="CH159" s="210"/>
      <c r="CI159" s="210"/>
      <c r="CJ159" s="210"/>
      <c r="CK159" s="210"/>
      <c r="CL159" s="210"/>
      <c r="CM159" s="210"/>
      <c r="CN159" s="210"/>
      <c r="CO159" s="210"/>
      <c r="CP159" s="210"/>
      <c r="CQ159" s="210"/>
      <c r="CR159" s="210"/>
      <c r="CS159" s="210"/>
      <c r="CT159" s="210"/>
      <c r="CU159" s="210"/>
      <c r="CV159" s="210"/>
      <c r="CW159" s="210"/>
      <c r="CX159" s="210"/>
      <c r="CY159" s="210"/>
      <c r="CZ159" s="210"/>
      <c r="DA159" s="210"/>
      <c r="DB159" s="210"/>
      <c r="DC159" s="210"/>
      <c r="DD159" s="210"/>
      <c r="DE159" s="210"/>
      <c r="DF159" s="210"/>
      <c r="DG159" s="210"/>
      <c r="DH159" s="210"/>
      <c r="DI159" s="210"/>
      <c r="DJ159" s="210"/>
      <c r="DK159" s="210"/>
      <c r="DL159" s="210"/>
      <c r="DM159" s="210"/>
      <c r="DN159" s="210"/>
      <c r="DO159" s="210"/>
      <c r="DP159" s="210"/>
      <c r="DQ159" s="210"/>
    </row>
    <row r="160" spans="1:121" s="209" customFormat="1" x14ac:dyDescent="0.25">
      <c r="A160" s="370"/>
      <c r="B160" s="228"/>
      <c r="C160" s="228"/>
      <c r="D160" s="227"/>
      <c r="E160" s="227"/>
      <c r="F160" s="227"/>
      <c r="W160" s="210"/>
      <c r="AF160" s="210"/>
      <c r="BC160" s="210"/>
      <c r="BD160" s="210"/>
      <c r="BJ160" s="210"/>
      <c r="BK160" s="210"/>
      <c r="BL160" s="210"/>
      <c r="BM160" s="210"/>
      <c r="BN160" s="210"/>
      <c r="BO160" s="210"/>
      <c r="BP160" s="210"/>
      <c r="BQ160" s="210"/>
      <c r="BR160" s="210"/>
      <c r="BS160" s="210"/>
      <c r="BT160" s="210"/>
      <c r="BU160" s="210"/>
      <c r="BV160" s="210"/>
      <c r="BW160" s="210"/>
      <c r="BX160" s="210"/>
      <c r="BY160" s="210"/>
      <c r="BZ160" s="210"/>
      <c r="CA160" s="210"/>
      <c r="CB160" s="210"/>
      <c r="CC160" s="210"/>
      <c r="CD160" s="210"/>
      <c r="CE160" s="210"/>
      <c r="CF160" s="210"/>
      <c r="CG160" s="210"/>
      <c r="CH160" s="210"/>
      <c r="CI160" s="210"/>
      <c r="CJ160" s="210"/>
      <c r="CK160" s="210"/>
      <c r="CL160" s="210"/>
      <c r="CM160" s="210"/>
      <c r="CN160" s="210"/>
      <c r="CO160" s="210"/>
      <c r="CP160" s="210"/>
      <c r="CQ160" s="210"/>
      <c r="CR160" s="210"/>
      <c r="CS160" s="210"/>
      <c r="CT160" s="210"/>
      <c r="CU160" s="210"/>
      <c r="CV160" s="210"/>
      <c r="CW160" s="210"/>
      <c r="CX160" s="210"/>
      <c r="CY160" s="210"/>
      <c r="CZ160" s="210"/>
      <c r="DA160" s="210"/>
      <c r="DB160" s="210"/>
      <c r="DC160" s="210"/>
      <c r="DD160" s="210"/>
      <c r="DE160" s="210"/>
      <c r="DF160" s="210"/>
      <c r="DG160" s="210"/>
      <c r="DH160" s="210"/>
      <c r="DI160" s="210"/>
      <c r="DJ160" s="210"/>
      <c r="DK160" s="210"/>
      <c r="DL160" s="210"/>
      <c r="DM160" s="210"/>
      <c r="DN160" s="210"/>
      <c r="DO160" s="210"/>
      <c r="DP160" s="210"/>
      <c r="DQ160" s="210"/>
    </row>
    <row r="161" spans="1:121" s="209" customFormat="1" x14ac:dyDescent="0.25">
      <c r="A161" s="370"/>
      <c r="B161" s="228"/>
      <c r="C161" s="228"/>
      <c r="D161" s="227"/>
      <c r="E161" s="227"/>
      <c r="F161" s="227"/>
      <c r="W161" s="210"/>
      <c r="AF161" s="210"/>
      <c r="BC161" s="210"/>
      <c r="BD161" s="210"/>
      <c r="BJ161" s="210"/>
      <c r="BK161" s="210"/>
      <c r="BL161" s="210"/>
      <c r="BM161" s="210"/>
      <c r="BN161" s="210"/>
      <c r="BO161" s="210"/>
      <c r="BP161" s="210"/>
      <c r="BQ161" s="210"/>
      <c r="BR161" s="210"/>
      <c r="BS161" s="210"/>
      <c r="BT161" s="210"/>
      <c r="BU161" s="210"/>
      <c r="BV161" s="210"/>
      <c r="BW161" s="210"/>
      <c r="BX161" s="210"/>
      <c r="BY161" s="210"/>
      <c r="BZ161" s="210"/>
      <c r="CA161" s="210"/>
      <c r="CB161" s="210"/>
      <c r="CC161" s="210"/>
      <c r="CD161" s="210"/>
      <c r="CE161" s="210"/>
      <c r="CF161" s="210"/>
      <c r="CG161" s="210"/>
      <c r="CH161" s="210"/>
      <c r="CI161" s="210"/>
      <c r="CJ161" s="210"/>
      <c r="CK161" s="210"/>
      <c r="CL161" s="210"/>
      <c r="CM161" s="210"/>
      <c r="CN161" s="210"/>
      <c r="CO161" s="210"/>
      <c r="CP161" s="210"/>
      <c r="CQ161" s="210"/>
      <c r="CR161" s="210"/>
      <c r="CS161" s="210"/>
      <c r="CT161" s="210"/>
      <c r="CU161" s="210"/>
      <c r="CV161" s="210"/>
      <c r="CW161" s="210"/>
      <c r="CX161" s="210"/>
      <c r="CY161" s="210"/>
      <c r="CZ161" s="210"/>
      <c r="DA161" s="210"/>
      <c r="DB161" s="210"/>
      <c r="DC161" s="210"/>
      <c r="DD161" s="210"/>
      <c r="DE161" s="210"/>
      <c r="DF161" s="210"/>
      <c r="DG161" s="210"/>
      <c r="DH161" s="210"/>
      <c r="DI161" s="210"/>
      <c r="DJ161" s="210"/>
      <c r="DK161" s="210"/>
      <c r="DL161" s="210"/>
      <c r="DM161" s="210"/>
      <c r="DN161" s="210"/>
      <c r="DO161" s="210"/>
      <c r="DP161" s="210"/>
      <c r="DQ161" s="210"/>
    </row>
    <row r="162" spans="1:121" s="209" customFormat="1" x14ac:dyDescent="0.25">
      <c r="A162" s="370"/>
      <c r="B162" s="228"/>
      <c r="C162" s="228"/>
      <c r="D162" s="227"/>
      <c r="E162" s="227"/>
      <c r="F162" s="227"/>
      <c r="W162" s="210"/>
      <c r="AF162" s="210"/>
      <c r="BC162" s="210"/>
      <c r="BD162" s="210"/>
      <c r="BJ162" s="210"/>
      <c r="BK162" s="210"/>
      <c r="BL162" s="210"/>
      <c r="BM162" s="210"/>
      <c r="BN162" s="210"/>
      <c r="BO162" s="210"/>
      <c r="BP162" s="210"/>
      <c r="BQ162" s="210"/>
      <c r="BR162" s="210"/>
      <c r="BS162" s="210"/>
      <c r="BT162" s="210"/>
      <c r="BU162" s="210"/>
      <c r="BV162" s="210"/>
      <c r="BW162" s="210"/>
      <c r="BX162" s="210"/>
      <c r="BY162" s="210"/>
      <c r="BZ162" s="210"/>
      <c r="CA162" s="210"/>
      <c r="CB162" s="210"/>
      <c r="CC162" s="210"/>
      <c r="CD162" s="210"/>
      <c r="CE162" s="210"/>
      <c r="CF162" s="210"/>
      <c r="CG162" s="210"/>
      <c r="CH162" s="210"/>
      <c r="CI162" s="210"/>
      <c r="CJ162" s="210"/>
      <c r="CK162" s="210"/>
      <c r="CL162" s="210"/>
      <c r="CM162" s="210"/>
      <c r="CN162" s="210"/>
      <c r="CO162" s="210"/>
      <c r="CP162" s="210"/>
      <c r="CQ162" s="210"/>
      <c r="CR162" s="210"/>
      <c r="CS162" s="210"/>
      <c r="CT162" s="210"/>
      <c r="CU162" s="210"/>
      <c r="CV162" s="210"/>
      <c r="CW162" s="210"/>
      <c r="CX162" s="210"/>
      <c r="CY162" s="210"/>
      <c r="CZ162" s="210"/>
      <c r="DA162" s="210"/>
      <c r="DB162" s="210"/>
      <c r="DC162" s="210"/>
      <c r="DD162" s="210"/>
      <c r="DE162" s="210"/>
      <c r="DF162" s="210"/>
      <c r="DG162" s="210"/>
      <c r="DH162" s="210"/>
      <c r="DI162" s="210"/>
      <c r="DJ162" s="210"/>
      <c r="DK162" s="210"/>
      <c r="DL162" s="210"/>
      <c r="DM162" s="210"/>
      <c r="DN162" s="210"/>
      <c r="DO162" s="210"/>
      <c r="DP162" s="210"/>
      <c r="DQ162" s="210"/>
    </row>
    <row r="163" spans="1:121" s="209" customFormat="1" x14ac:dyDescent="0.25">
      <c r="A163" s="370"/>
      <c r="B163" s="228"/>
      <c r="C163" s="228"/>
      <c r="D163" s="227"/>
      <c r="E163" s="227"/>
      <c r="F163" s="227"/>
      <c r="W163" s="210"/>
      <c r="AF163" s="210"/>
      <c r="BC163" s="210"/>
      <c r="BD163" s="210"/>
      <c r="BJ163" s="210"/>
      <c r="BK163" s="210"/>
      <c r="BL163" s="210"/>
      <c r="BM163" s="210"/>
      <c r="BN163" s="210"/>
      <c r="BO163" s="210"/>
      <c r="BP163" s="210"/>
      <c r="BQ163" s="210"/>
      <c r="BR163" s="210"/>
      <c r="BS163" s="210"/>
      <c r="BT163" s="210"/>
      <c r="BU163" s="210"/>
      <c r="BV163" s="210"/>
      <c r="BW163" s="210"/>
      <c r="BX163" s="210"/>
      <c r="BY163" s="210"/>
      <c r="BZ163" s="210"/>
      <c r="CA163" s="210"/>
      <c r="CB163" s="210"/>
      <c r="CC163" s="210"/>
      <c r="CD163" s="210"/>
      <c r="CE163" s="210"/>
      <c r="CF163" s="210"/>
      <c r="CG163" s="210"/>
      <c r="CH163" s="210"/>
      <c r="CI163" s="210"/>
      <c r="CJ163" s="210"/>
      <c r="CK163" s="210"/>
      <c r="CL163" s="210"/>
      <c r="CM163" s="210"/>
      <c r="CN163" s="210"/>
      <c r="CO163" s="210"/>
      <c r="CP163" s="210"/>
      <c r="CQ163" s="210"/>
      <c r="CR163" s="210"/>
      <c r="CS163" s="210"/>
      <c r="CT163" s="210"/>
      <c r="CU163" s="210"/>
      <c r="CV163" s="210"/>
      <c r="CW163" s="210"/>
      <c r="CX163" s="210"/>
      <c r="CY163" s="210"/>
      <c r="CZ163" s="210"/>
      <c r="DA163" s="210"/>
      <c r="DB163" s="210"/>
      <c r="DC163" s="210"/>
      <c r="DD163" s="210"/>
      <c r="DE163" s="210"/>
      <c r="DF163" s="210"/>
      <c r="DG163" s="210"/>
      <c r="DH163" s="210"/>
      <c r="DI163" s="210"/>
      <c r="DJ163" s="210"/>
      <c r="DK163" s="210"/>
      <c r="DL163" s="210"/>
      <c r="DM163" s="210"/>
      <c r="DN163" s="210"/>
      <c r="DO163" s="210"/>
      <c r="DP163" s="210"/>
      <c r="DQ163" s="210"/>
    </row>
    <row r="164" spans="1:121" s="209" customFormat="1" x14ac:dyDescent="0.25">
      <c r="A164" s="370"/>
      <c r="B164" s="228"/>
      <c r="C164" s="228"/>
      <c r="D164" s="227"/>
      <c r="E164" s="227"/>
      <c r="F164" s="227"/>
      <c r="W164" s="210"/>
      <c r="AF164" s="210"/>
      <c r="BC164" s="210"/>
      <c r="BD164" s="210"/>
      <c r="BJ164" s="210"/>
      <c r="BK164" s="210"/>
      <c r="BL164" s="210"/>
      <c r="BM164" s="210"/>
      <c r="BN164" s="210"/>
      <c r="BO164" s="210"/>
      <c r="BP164" s="210"/>
      <c r="BQ164" s="210"/>
      <c r="BR164" s="210"/>
      <c r="BS164" s="210"/>
      <c r="BT164" s="210"/>
      <c r="BU164" s="210"/>
      <c r="BV164" s="210"/>
      <c r="BW164" s="210"/>
      <c r="BX164" s="210"/>
      <c r="BY164" s="210"/>
      <c r="BZ164" s="210"/>
      <c r="CA164" s="210"/>
      <c r="CB164" s="210"/>
      <c r="CC164" s="210"/>
      <c r="CD164" s="210"/>
      <c r="CE164" s="210"/>
      <c r="CF164" s="210"/>
      <c r="CG164" s="210"/>
      <c r="CH164" s="210"/>
      <c r="CI164" s="210"/>
      <c r="CJ164" s="210"/>
      <c r="CK164" s="210"/>
      <c r="CL164" s="210"/>
      <c r="CM164" s="210"/>
      <c r="CN164" s="210"/>
      <c r="CO164" s="210"/>
      <c r="CP164" s="210"/>
      <c r="CQ164" s="210"/>
      <c r="CR164" s="210"/>
      <c r="CS164" s="210"/>
      <c r="CT164" s="210"/>
      <c r="CU164" s="210"/>
      <c r="CV164" s="210"/>
      <c r="CW164" s="210"/>
      <c r="CX164" s="210"/>
      <c r="CY164" s="210"/>
      <c r="CZ164" s="210"/>
      <c r="DA164" s="210"/>
      <c r="DB164" s="210"/>
      <c r="DC164" s="210"/>
      <c r="DD164" s="210"/>
      <c r="DE164" s="210"/>
      <c r="DF164" s="210"/>
      <c r="DG164" s="210"/>
      <c r="DH164" s="210"/>
      <c r="DI164" s="210"/>
      <c r="DJ164" s="210"/>
      <c r="DK164" s="210"/>
      <c r="DL164" s="210"/>
      <c r="DM164" s="210"/>
      <c r="DN164" s="210"/>
      <c r="DO164" s="210"/>
      <c r="DP164" s="210"/>
      <c r="DQ164" s="210"/>
    </row>
    <row r="165" spans="1:121" s="209" customFormat="1" x14ac:dyDescent="0.25">
      <c r="A165" s="370"/>
      <c r="B165" s="228"/>
      <c r="C165" s="228"/>
      <c r="D165" s="227"/>
      <c r="E165" s="227"/>
      <c r="F165" s="227"/>
      <c r="W165" s="210"/>
      <c r="AF165" s="210"/>
      <c r="BC165" s="210"/>
      <c r="BD165" s="210"/>
      <c r="BJ165" s="210"/>
      <c r="BK165" s="210"/>
      <c r="BL165" s="210"/>
      <c r="BM165" s="210"/>
      <c r="BN165" s="210"/>
      <c r="BO165" s="210"/>
      <c r="BP165" s="210"/>
      <c r="BQ165" s="210"/>
      <c r="BR165" s="210"/>
      <c r="BS165" s="210"/>
      <c r="BT165" s="210"/>
      <c r="BU165" s="210"/>
      <c r="BV165" s="210"/>
      <c r="BW165" s="210"/>
      <c r="BX165" s="210"/>
      <c r="BY165" s="210"/>
      <c r="BZ165" s="210"/>
      <c r="CA165" s="210"/>
      <c r="CB165" s="210"/>
      <c r="CC165" s="210"/>
      <c r="CD165" s="210"/>
      <c r="CE165" s="210"/>
      <c r="CF165" s="210"/>
      <c r="CG165" s="210"/>
      <c r="CH165" s="210"/>
      <c r="CI165" s="210"/>
      <c r="CJ165" s="210"/>
      <c r="CK165" s="210"/>
      <c r="CL165" s="210"/>
      <c r="CM165" s="210"/>
      <c r="CN165" s="210"/>
      <c r="CO165" s="210"/>
      <c r="CP165" s="210"/>
      <c r="CQ165" s="210"/>
      <c r="CR165" s="210"/>
      <c r="CS165" s="210"/>
      <c r="CT165" s="210"/>
      <c r="CU165" s="210"/>
      <c r="CV165" s="210"/>
      <c r="CW165" s="210"/>
      <c r="CX165" s="210"/>
      <c r="CY165" s="210"/>
      <c r="CZ165" s="210"/>
      <c r="DA165" s="210"/>
      <c r="DB165" s="210"/>
      <c r="DC165" s="210"/>
      <c r="DD165" s="210"/>
      <c r="DE165" s="210"/>
      <c r="DF165" s="210"/>
      <c r="DG165" s="210"/>
      <c r="DH165" s="210"/>
      <c r="DI165" s="210"/>
      <c r="DJ165" s="210"/>
      <c r="DK165" s="210"/>
      <c r="DL165" s="210"/>
      <c r="DM165" s="210"/>
      <c r="DN165" s="210"/>
      <c r="DO165" s="210"/>
      <c r="DP165" s="210"/>
      <c r="DQ165" s="210"/>
    </row>
    <row r="166" spans="1:121" s="209" customFormat="1" x14ac:dyDescent="0.25">
      <c r="A166" s="370"/>
      <c r="B166" s="228"/>
      <c r="C166" s="228"/>
      <c r="D166" s="227"/>
      <c r="E166" s="227"/>
      <c r="F166" s="227"/>
      <c r="W166" s="210"/>
      <c r="AF166" s="210"/>
      <c r="BC166" s="210"/>
      <c r="BD166" s="210"/>
      <c r="BJ166" s="210"/>
      <c r="BK166" s="210"/>
      <c r="BL166" s="210"/>
      <c r="BM166" s="210"/>
      <c r="BN166" s="210"/>
      <c r="BO166" s="210"/>
      <c r="BP166" s="210"/>
      <c r="BQ166" s="210"/>
      <c r="BR166" s="210"/>
      <c r="BS166" s="210"/>
      <c r="BT166" s="210"/>
      <c r="BU166" s="210"/>
      <c r="BV166" s="210"/>
      <c r="BW166" s="210"/>
      <c r="BX166" s="210"/>
      <c r="BY166" s="210"/>
      <c r="BZ166" s="210"/>
      <c r="CA166" s="210"/>
      <c r="CB166" s="210"/>
      <c r="CC166" s="210"/>
      <c r="CD166" s="210"/>
      <c r="CE166" s="210"/>
      <c r="CF166" s="210"/>
      <c r="CG166" s="210"/>
      <c r="CH166" s="210"/>
      <c r="CI166" s="210"/>
      <c r="CJ166" s="210"/>
      <c r="CK166" s="210"/>
      <c r="CL166" s="210"/>
      <c r="CM166" s="210"/>
      <c r="CN166" s="210"/>
      <c r="CO166" s="210"/>
      <c r="CP166" s="210"/>
      <c r="CQ166" s="210"/>
      <c r="CR166" s="210"/>
      <c r="CS166" s="210"/>
      <c r="CT166" s="210"/>
      <c r="CU166" s="210"/>
      <c r="CV166" s="210"/>
      <c r="CW166" s="210"/>
      <c r="CX166" s="210"/>
      <c r="CY166" s="210"/>
      <c r="CZ166" s="210"/>
      <c r="DA166" s="210"/>
      <c r="DB166" s="210"/>
      <c r="DC166" s="210"/>
      <c r="DD166" s="210"/>
      <c r="DE166" s="210"/>
      <c r="DF166" s="210"/>
      <c r="DG166" s="210"/>
      <c r="DH166" s="210"/>
      <c r="DI166" s="210"/>
      <c r="DJ166" s="210"/>
      <c r="DK166" s="210"/>
      <c r="DL166" s="210"/>
      <c r="DM166" s="210"/>
      <c r="DN166" s="210"/>
      <c r="DO166" s="210"/>
      <c r="DP166" s="210"/>
      <c r="DQ166" s="210"/>
    </row>
    <row r="167" spans="1:121" s="209" customFormat="1" x14ac:dyDescent="0.25">
      <c r="A167" s="370"/>
      <c r="B167" s="228"/>
      <c r="C167" s="228"/>
      <c r="D167" s="227"/>
      <c r="E167" s="227"/>
      <c r="F167" s="227"/>
      <c r="W167" s="210"/>
      <c r="AF167" s="210"/>
      <c r="BC167" s="210"/>
      <c r="BD167" s="210"/>
      <c r="BJ167" s="210"/>
      <c r="BK167" s="210"/>
      <c r="BL167" s="210"/>
      <c r="BM167" s="210"/>
      <c r="BN167" s="210"/>
      <c r="BO167" s="210"/>
      <c r="BP167" s="210"/>
      <c r="BQ167" s="210"/>
      <c r="BR167" s="210"/>
      <c r="BS167" s="210"/>
      <c r="BT167" s="210"/>
      <c r="BU167" s="210"/>
      <c r="BV167" s="210"/>
      <c r="BW167" s="210"/>
      <c r="BX167" s="210"/>
      <c r="BY167" s="210"/>
      <c r="BZ167" s="210"/>
      <c r="CA167" s="210"/>
      <c r="CB167" s="210"/>
      <c r="CC167" s="210"/>
      <c r="CD167" s="210"/>
      <c r="CE167" s="210"/>
      <c r="CF167" s="210"/>
      <c r="CG167" s="210"/>
      <c r="CH167" s="210"/>
      <c r="CI167" s="210"/>
      <c r="CJ167" s="210"/>
      <c r="CK167" s="210"/>
      <c r="CL167" s="210"/>
      <c r="CM167" s="210"/>
      <c r="CN167" s="210"/>
      <c r="CO167" s="210"/>
      <c r="CP167" s="210"/>
      <c r="CQ167" s="210"/>
      <c r="CR167" s="210"/>
      <c r="CS167" s="210"/>
      <c r="CT167" s="210"/>
      <c r="CU167" s="210"/>
      <c r="CV167" s="210"/>
      <c r="CW167" s="210"/>
      <c r="CX167" s="210"/>
      <c r="CY167" s="210"/>
      <c r="CZ167" s="210"/>
      <c r="DA167" s="210"/>
      <c r="DB167" s="210"/>
      <c r="DC167" s="210"/>
      <c r="DD167" s="210"/>
      <c r="DE167" s="210"/>
      <c r="DF167" s="210"/>
      <c r="DG167" s="210"/>
      <c r="DH167" s="210"/>
      <c r="DI167" s="210"/>
      <c r="DJ167" s="210"/>
      <c r="DK167" s="210"/>
      <c r="DL167" s="210"/>
      <c r="DM167" s="210"/>
      <c r="DN167" s="210"/>
      <c r="DO167" s="210"/>
      <c r="DP167" s="210"/>
      <c r="DQ167" s="210"/>
    </row>
    <row r="168" spans="1:121" s="209" customFormat="1" x14ac:dyDescent="0.25">
      <c r="A168" s="370"/>
      <c r="B168" s="228"/>
      <c r="C168" s="228"/>
      <c r="D168" s="227"/>
      <c r="E168" s="227"/>
      <c r="F168" s="227"/>
      <c r="W168" s="210"/>
      <c r="AF168" s="210"/>
      <c r="BC168" s="210"/>
      <c r="BD168" s="210"/>
      <c r="BJ168" s="210"/>
      <c r="BK168" s="210"/>
      <c r="BL168" s="210"/>
      <c r="BM168" s="210"/>
      <c r="BN168" s="210"/>
      <c r="BO168" s="210"/>
      <c r="BP168" s="210"/>
      <c r="BQ168" s="210"/>
      <c r="BR168" s="210"/>
      <c r="BS168" s="210"/>
      <c r="BT168" s="210"/>
      <c r="BU168" s="210"/>
      <c r="BV168" s="210"/>
      <c r="BW168" s="210"/>
      <c r="BX168" s="210"/>
      <c r="BY168" s="210"/>
      <c r="BZ168" s="210"/>
      <c r="CA168" s="210"/>
      <c r="CB168" s="210"/>
      <c r="CC168" s="210"/>
      <c r="CD168" s="210"/>
      <c r="CE168" s="210"/>
      <c r="CF168" s="210"/>
      <c r="CG168" s="210"/>
      <c r="CH168" s="210"/>
      <c r="CI168" s="210"/>
      <c r="CJ168" s="210"/>
      <c r="CK168" s="210"/>
      <c r="CL168" s="210"/>
      <c r="CM168" s="210"/>
      <c r="CN168" s="210"/>
      <c r="CO168" s="210"/>
      <c r="CP168" s="210"/>
      <c r="CQ168" s="210"/>
      <c r="CR168" s="210"/>
      <c r="CS168" s="210"/>
      <c r="CT168" s="210"/>
      <c r="CU168" s="210"/>
      <c r="CV168" s="210"/>
      <c r="CW168" s="210"/>
      <c r="CX168" s="210"/>
      <c r="CY168" s="210"/>
      <c r="CZ168" s="210"/>
      <c r="DA168" s="210"/>
      <c r="DB168" s="210"/>
      <c r="DC168" s="210"/>
      <c r="DD168" s="210"/>
      <c r="DE168" s="210"/>
      <c r="DF168" s="210"/>
      <c r="DG168" s="210"/>
      <c r="DH168" s="210"/>
      <c r="DI168" s="210"/>
      <c r="DJ168" s="210"/>
      <c r="DK168" s="210"/>
      <c r="DL168" s="210"/>
      <c r="DM168" s="210"/>
      <c r="DN168" s="210"/>
      <c r="DO168" s="210"/>
      <c r="DP168" s="210"/>
      <c r="DQ168" s="210"/>
    </row>
    <row r="169" spans="1:121" s="209" customFormat="1" x14ac:dyDescent="0.25">
      <c r="A169" s="370"/>
      <c r="B169" s="228"/>
      <c r="C169" s="228"/>
      <c r="D169" s="227"/>
      <c r="E169" s="227"/>
      <c r="F169" s="227"/>
      <c r="W169" s="210"/>
      <c r="AF169" s="210"/>
      <c r="BC169" s="210"/>
      <c r="BD169" s="210"/>
      <c r="BJ169" s="210"/>
      <c r="BK169" s="210"/>
      <c r="BL169" s="210"/>
      <c r="BM169" s="210"/>
      <c r="BN169" s="210"/>
      <c r="BO169" s="210"/>
      <c r="BP169" s="210"/>
      <c r="BQ169" s="210"/>
      <c r="BR169" s="210"/>
      <c r="BS169" s="210"/>
      <c r="BT169" s="210"/>
      <c r="BU169" s="210"/>
      <c r="BV169" s="210"/>
      <c r="BW169" s="210"/>
      <c r="BX169" s="210"/>
      <c r="BY169" s="210"/>
      <c r="BZ169" s="210"/>
      <c r="CA169" s="210"/>
      <c r="CB169" s="210"/>
      <c r="CC169" s="210"/>
      <c r="CD169" s="210"/>
      <c r="CE169" s="210"/>
      <c r="CF169" s="210"/>
      <c r="CG169" s="210"/>
      <c r="CH169" s="210"/>
      <c r="CI169" s="210"/>
      <c r="CJ169" s="210"/>
      <c r="CK169" s="210"/>
      <c r="CL169" s="210"/>
      <c r="CM169" s="210"/>
      <c r="CN169" s="210"/>
      <c r="CO169" s="210"/>
      <c r="CP169" s="210"/>
      <c r="CQ169" s="210"/>
      <c r="CR169" s="210"/>
      <c r="CS169" s="210"/>
      <c r="CT169" s="210"/>
      <c r="CU169" s="210"/>
      <c r="CV169" s="210"/>
      <c r="CW169" s="210"/>
      <c r="CX169" s="210"/>
      <c r="CY169" s="210"/>
      <c r="CZ169" s="210"/>
      <c r="DA169" s="210"/>
      <c r="DB169" s="210"/>
      <c r="DC169" s="210"/>
      <c r="DD169" s="210"/>
      <c r="DE169" s="210"/>
      <c r="DF169" s="210"/>
      <c r="DG169" s="210"/>
      <c r="DH169" s="210"/>
      <c r="DI169" s="210"/>
      <c r="DJ169" s="210"/>
      <c r="DK169" s="210"/>
      <c r="DL169" s="210"/>
      <c r="DM169" s="210"/>
      <c r="DN169" s="210"/>
      <c r="DO169" s="210"/>
      <c r="DP169" s="210"/>
      <c r="DQ169" s="210"/>
    </row>
    <row r="170" spans="1:121" s="209" customFormat="1" x14ac:dyDescent="0.25">
      <c r="A170" s="370"/>
      <c r="B170" s="228"/>
      <c r="C170" s="228"/>
      <c r="D170" s="227"/>
      <c r="E170" s="227"/>
      <c r="F170" s="227"/>
      <c r="W170" s="210"/>
      <c r="AF170" s="210"/>
      <c r="BC170" s="210"/>
      <c r="BD170" s="210"/>
      <c r="BJ170" s="210"/>
      <c r="BK170" s="210"/>
      <c r="BL170" s="210"/>
      <c r="BM170" s="210"/>
      <c r="BN170" s="210"/>
      <c r="BO170" s="210"/>
      <c r="BP170" s="210"/>
      <c r="BQ170" s="210"/>
      <c r="BR170" s="210"/>
      <c r="BS170" s="210"/>
      <c r="BT170" s="210"/>
      <c r="BU170" s="210"/>
      <c r="BV170" s="210"/>
      <c r="BW170" s="210"/>
      <c r="BX170" s="210"/>
      <c r="BY170" s="210"/>
      <c r="BZ170" s="210"/>
      <c r="CA170" s="210"/>
      <c r="CB170" s="210"/>
      <c r="CC170" s="210"/>
      <c r="CD170" s="210"/>
      <c r="CE170" s="210"/>
      <c r="CF170" s="210"/>
      <c r="CG170" s="210"/>
      <c r="CH170" s="210"/>
      <c r="CI170" s="210"/>
      <c r="CJ170" s="210"/>
      <c r="CK170" s="210"/>
      <c r="CL170" s="210"/>
      <c r="CM170" s="210"/>
      <c r="CN170" s="210"/>
      <c r="CO170" s="210"/>
      <c r="CP170" s="210"/>
      <c r="CQ170" s="210"/>
      <c r="CR170" s="210"/>
      <c r="CS170" s="210"/>
      <c r="CT170" s="210"/>
      <c r="CU170" s="210"/>
      <c r="CV170" s="210"/>
      <c r="CW170" s="210"/>
      <c r="CX170" s="210"/>
      <c r="CY170" s="210"/>
      <c r="CZ170" s="210"/>
      <c r="DA170" s="210"/>
      <c r="DB170" s="210"/>
      <c r="DC170" s="210"/>
      <c r="DD170" s="210"/>
      <c r="DE170" s="210"/>
      <c r="DF170" s="210"/>
      <c r="DG170" s="210"/>
      <c r="DH170" s="210"/>
      <c r="DI170" s="210"/>
      <c r="DJ170" s="210"/>
      <c r="DK170" s="210"/>
      <c r="DL170" s="210"/>
      <c r="DM170" s="210"/>
      <c r="DN170" s="210"/>
      <c r="DO170" s="210"/>
      <c r="DP170" s="210"/>
      <c r="DQ170" s="210"/>
    </row>
    <row r="171" spans="1:121" s="209" customFormat="1" x14ac:dyDescent="0.25">
      <c r="A171" s="370"/>
      <c r="B171" s="228"/>
      <c r="C171" s="228"/>
      <c r="D171" s="227"/>
      <c r="E171" s="227"/>
      <c r="F171" s="227"/>
      <c r="W171" s="210"/>
      <c r="AF171" s="210"/>
      <c r="BC171" s="210"/>
      <c r="BD171" s="210"/>
      <c r="BJ171" s="210"/>
      <c r="BK171" s="210"/>
      <c r="BL171" s="210"/>
      <c r="BM171" s="210"/>
      <c r="BN171" s="210"/>
      <c r="BO171" s="210"/>
      <c r="BP171" s="210"/>
      <c r="BQ171" s="210"/>
      <c r="BR171" s="210"/>
      <c r="BS171" s="210"/>
      <c r="BT171" s="210"/>
      <c r="BU171" s="210"/>
      <c r="BV171" s="210"/>
      <c r="BW171" s="210"/>
      <c r="BX171" s="210"/>
      <c r="BY171" s="210"/>
      <c r="BZ171" s="210"/>
      <c r="CA171" s="210"/>
      <c r="CB171" s="210"/>
      <c r="CC171" s="210"/>
      <c r="CD171" s="210"/>
      <c r="CE171" s="210"/>
      <c r="CF171" s="210"/>
      <c r="CG171" s="210"/>
      <c r="CH171" s="210"/>
      <c r="CI171" s="210"/>
      <c r="CJ171" s="210"/>
      <c r="CK171" s="210"/>
      <c r="CL171" s="210"/>
      <c r="CM171" s="210"/>
      <c r="CN171" s="210"/>
      <c r="CO171" s="210"/>
      <c r="CP171" s="210"/>
      <c r="CQ171" s="210"/>
      <c r="CR171" s="210"/>
      <c r="CS171" s="210"/>
      <c r="CT171" s="210"/>
      <c r="CU171" s="210"/>
      <c r="CV171" s="210"/>
      <c r="CW171" s="210"/>
      <c r="CX171" s="210"/>
      <c r="CY171" s="210"/>
      <c r="CZ171" s="210"/>
      <c r="DA171" s="210"/>
      <c r="DB171" s="210"/>
      <c r="DC171" s="210"/>
      <c r="DD171" s="210"/>
      <c r="DE171" s="210"/>
      <c r="DF171" s="210"/>
      <c r="DG171" s="210"/>
      <c r="DH171" s="210"/>
      <c r="DI171" s="210"/>
      <c r="DJ171" s="210"/>
      <c r="DK171" s="210"/>
      <c r="DL171" s="210"/>
      <c r="DM171" s="210"/>
      <c r="DN171" s="210"/>
      <c r="DO171" s="210"/>
      <c r="DP171" s="210"/>
      <c r="DQ171" s="210"/>
    </row>
    <row r="172" spans="1:121" s="209" customFormat="1" x14ac:dyDescent="0.25">
      <c r="A172" s="370"/>
      <c r="B172" s="228"/>
      <c r="C172" s="228"/>
      <c r="D172" s="227"/>
      <c r="E172" s="227"/>
      <c r="F172" s="227"/>
      <c r="W172" s="210"/>
      <c r="AF172" s="210"/>
      <c r="BC172" s="210"/>
      <c r="BD172" s="210"/>
      <c r="BJ172" s="210"/>
      <c r="BK172" s="210"/>
      <c r="BL172" s="210"/>
      <c r="BM172" s="210"/>
      <c r="BN172" s="210"/>
      <c r="BO172" s="210"/>
      <c r="BP172" s="210"/>
      <c r="BQ172" s="210"/>
      <c r="BR172" s="210"/>
      <c r="BS172" s="210"/>
      <c r="BT172" s="210"/>
      <c r="BU172" s="210"/>
      <c r="BV172" s="210"/>
      <c r="BW172" s="210"/>
      <c r="BX172" s="210"/>
      <c r="BY172" s="210"/>
      <c r="BZ172" s="210"/>
      <c r="CA172" s="210"/>
      <c r="CB172" s="210"/>
      <c r="CC172" s="210"/>
      <c r="CD172" s="210"/>
      <c r="CE172" s="210"/>
      <c r="CF172" s="210"/>
      <c r="CG172" s="210"/>
      <c r="CH172" s="210"/>
      <c r="CI172" s="210"/>
      <c r="CJ172" s="210"/>
      <c r="CK172" s="210"/>
      <c r="CL172" s="210"/>
      <c r="CM172" s="210"/>
      <c r="CN172" s="210"/>
      <c r="CO172" s="210"/>
      <c r="CP172" s="210"/>
      <c r="CQ172" s="210"/>
      <c r="CR172" s="210"/>
      <c r="CS172" s="210"/>
      <c r="CT172" s="210"/>
      <c r="CU172" s="210"/>
      <c r="CV172" s="210"/>
      <c r="CW172" s="210"/>
      <c r="CX172" s="210"/>
      <c r="CY172" s="210"/>
      <c r="CZ172" s="210"/>
      <c r="DA172" s="210"/>
      <c r="DB172" s="210"/>
      <c r="DC172" s="210"/>
      <c r="DD172" s="210"/>
      <c r="DE172" s="210"/>
      <c r="DF172" s="210"/>
      <c r="DG172" s="210"/>
      <c r="DH172" s="210"/>
      <c r="DI172" s="210"/>
      <c r="DJ172" s="210"/>
      <c r="DK172" s="210"/>
      <c r="DL172" s="210"/>
      <c r="DM172" s="210"/>
      <c r="DN172" s="210"/>
      <c r="DO172" s="210"/>
      <c r="DP172" s="210"/>
      <c r="DQ172" s="210"/>
    </row>
    <row r="173" spans="1:121" s="209" customFormat="1" x14ac:dyDescent="0.25">
      <c r="A173" s="370"/>
      <c r="B173" s="228"/>
      <c r="C173" s="228"/>
      <c r="D173" s="227"/>
      <c r="E173" s="227"/>
      <c r="F173" s="227"/>
      <c r="W173" s="210"/>
      <c r="AF173" s="210"/>
      <c r="BC173" s="210"/>
      <c r="BD173" s="210"/>
      <c r="BJ173" s="210"/>
      <c r="BK173" s="210"/>
      <c r="BL173" s="210"/>
      <c r="BM173" s="210"/>
      <c r="BN173" s="210"/>
      <c r="BO173" s="210"/>
      <c r="BP173" s="210"/>
      <c r="BQ173" s="210"/>
      <c r="BR173" s="210"/>
      <c r="BS173" s="210"/>
      <c r="BT173" s="210"/>
      <c r="BU173" s="210"/>
      <c r="BV173" s="210"/>
      <c r="BW173" s="210"/>
      <c r="BX173" s="210"/>
      <c r="BY173" s="210"/>
      <c r="BZ173" s="210"/>
      <c r="CA173" s="210"/>
      <c r="CB173" s="210"/>
      <c r="CC173" s="210"/>
      <c r="CD173" s="210"/>
      <c r="CE173" s="210"/>
      <c r="CF173" s="210"/>
      <c r="CG173" s="210"/>
      <c r="CH173" s="210"/>
      <c r="CI173" s="210"/>
      <c r="CJ173" s="210"/>
      <c r="CK173" s="210"/>
      <c r="CL173" s="210"/>
      <c r="CM173" s="210"/>
      <c r="CN173" s="210"/>
      <c r="CO173" s="210"/>
      <c r="CP173" s="210"/>
      <c r="CQ173" s="210"/>
      <c r="CR173" s="210"/>
      <c r="CS173" s="210"/>
      <c r="CT173" s="210"/>
      <c r="CU173" s="210"/>
      <c r="CV173" s="210"/>
      <c r="CW173" s="210"/>
      <c r="CX173" s="210"/>
      <c r="CY173" s="210"/>
      <c r="CZ173" s="210"/>
      <c r="DA173" s="210"/>
      <c r="DB173" s="210"/>
      <c r="DC173" s="210"/>
      <c r="DD173" s="210"/>
      <c r="DE173" s="210"/>
      <c r="DF173" s="210"/>
      <c r="DG173" s="210"/>
      <c r="DH173" s="210"/>
      <c r="DI173" s="210"/>
      <c r="DJ173" s="210"/>
      <c r="DK173" s="210"/>
      <c r="DL173" s="210"/>
      <c r="DM173" s="210"/>
      <c r="DN173" s="210"/>
      <c r="DO173" s="210"/>
      <c r="DP173" s="210"/>
      <c r="DQ173" s="210"/>
    </row>
    <row r="174" spans="1:121" s="209" customFormat="1" x14ac:dyDescent="0.25">
      <c r="A174" s="370"/>
      <c r="B174" s="228"/>
      <c r="C174" s="228"/>
      <c r="D174" s="227"/>
      <c r="E174" s="227"/>
      <c r="F174" s="227"/>
      <c r="W174" s="210"/>
      <c r="AF174" s="210"/>
      <c r="BC174" s="210"/>
      <c r="BD174" s="210"/>
      <c r="BJ174" s="210"/>
      <c r="BK174" s="210"/>
      <c r="BL174" s="210"/>
      <c r="BM174" s="210"/>
      <c r="BN174" s="210"/>
      <c r="BO174" s="210"/>
      <c r="BP174" s="210"/>
      <c r="BQ174" s="210"/>
      <c r="BR174" s="210"/>
      <c r="BS174" s="210"/>
      <c r="BT174" s="210"/>
      <c r="BU174" s="210"/>
      <c r="BV174" s="210"/>
      <c r="BW174" s="210"/>
      <c r="BX174" s="210"/>
      <c r="BY174" s="210"/>
      <c r="BZ174" s="210"/>
      <c r="CA174" s="210"/>
      <c r="CB174" s="210"/>
      <c r="CC174" s="210"/>
      <c r="CD174" s="210"/>
      <c r="CE174" s="210"/>
      <c r="CF174" s="210"/>
      <c r="CG174" s="210"/>
      <c r="CH174" s="210"/>
      <c r="CI174" s="210"/>
      <c r="CJ174" s="210"/>
      <c r="CK174" s="210"/>
      <c r="CL174" s="210"/>
      <c r="CM174" s="210"/>
      <c r="CN174" s="210"/>
      <c r="CO174" s="210"/>
      <c r="CP174" s="210"/>
      <c r="CQ174" s="210"/>
      <c r="CR174" s="210"/>
      <c r="CS174" s="210"/>
      <c r="CT174" s="210"/>
      <c r="CU174" s="210"/>
      <c r="CV174" s="210"/>
      <c r="CW174" s="210"/>
      <c r="CX174" s="210"/>
      <c r="CY174" s="210"/>
      <c r="CZ174" s="210"/>
      <c r="DA174" s="210"/>
      <c r="DB174" s="210"/>
      <c r="DC174" s="210"/>
      <c r="DD174" s="210"/>
      <c r="DE174" s="210"/>
      <c r="DF174" s="210"/>
      <c r="DG174" s="210"/>
      <c r="DH174" s="210"/>
      <c r="DI174" s="210"/>
      <c r="DJ174" s="210"/>
      <c r="DK174" s="210"/>
      <c r="DL174" s="210"/>
      <c r="DM174" s="210"/>
      <c r="DN174" s="210"/>
      <c r="DO174" s="210"/>
      <c r="DP174" s="210"/>
      <c r="DQ174" s="210"/>
    </row>
    <row r="175" spans="1:121" s="209" customFormat="1" x14ac:dyDescent="0.25">
      <c r="A175" s="370"/>
      <c r="B175" s="228"/>
      <c r="C175" s="228"/>
      <c r="D175" s="227"/>
      <c r="E175" s="227"/>
      <c r="F175" s="227"/>
      <c r="W175" s="210"/>
      <c r="AF175" s="210"/>
      <c r="BC175" s="210"/>
      <c r="BD175" s="210"/>
      <c r="BJ175" s="210"/>
      <c r="BK175" s="210"/>
      <c r="BL175" s="210"/>
      <c r="BM175" s="210"/>
      <c r="BN175" s="210"/>
      <c r="BO175" s="210"/>
      <c r="BP175" s="210"/>
      <c r="BQ175" s="210"/>
      <c r="BR175" s="210"/>
      <c r="BS175" s="210"/>
      <c r="BT175" s="210"/>
      <c r="BU175" s="210"/>
      <c r="BV175" s="210"/>
      <c r="BW175" s="210"/>
      <c r="BX175" s="210"/>
      <c r="BY175" s="210"/>
      <c r="BZ175" s="210"/>
      <c r="CA175" s="210"/>
      <c r="CB175" s="210"/>
      <c r="CC175" s="210"/>
      <c r="CD175" s="210"/>
      <c r="CE175" s="210"/>
      <c r="CF175" s="210"/>
      <c r="CG175" s="210"/>
      <c r="CH175" s="210"/>
      <c r="CI175" s="210"/>
      <c r="CJ175" s="210"/>
      <c r="CK175" s="210"/>
      <c r="CL175" s="210"/>
      <c r="CM175" s="210"/>
      <c r="CN175" s="210"/>
      <c r="CO175" s="210"/>
      <c r="CP175" s="210"/>
      <c r="CQ175" s="210"/>
      <c r="CR175" s="210"/>
      <c r="CS175" s="210"/>
      <c r="CT175" s="210"/>
      <c r="CU175" s="210"/>
      <c r="CV175" s="210"/>
      <c r="CW175" s="210"/>
      <c r="CX175" s="210"/>
      <c r="CY175" s="210"/>
      <c r="CZ175" s="210"/>
      <c r="DA175" s="210"/>
      <c r="DB175" s="210"/>
      <c r="DC175" s="210"/>
      <c r="DD175" s="210"/>
      <c r="DE175" s="210"/>
      <c r="DF175" s="210"/>
      <c r="DG175" s="210"/>
      <c r="DH175" s="210"/>
      <c r="DI175" s="210"/>
      <c r="DJ175" s="210"/>
      <c r="DK175" s="210"/>
      <c r="DL175" s="210"/>
      <c r="DM175" s="210"/>
      <c r="DN175" s="210"/>
      <c r="DO175" s="210"/>
      <c r="DP175" s="210"/>
      <c r="DQ175" s="210"/>
    </row>
    <row r="176" spans="1:121" s="209" customFormat="1" x14ac:dyDescent="0.25">
      <c r="A176" s="370"/>
      <c r="B176" s="228"/>
      <c r="C176" s="228"/>
      <c r="D176" s="227"/>
      <c r="E176" s="227"/>
      <c r="F176" s="227"/>
      <c r="W176" s="210"/>
      <c r="AF176" s="210"/>
      <c r="BC176" s="210"/>
      <c r="BD176" s="210"/>
      <c r="BJ176" s="210"/>
      <c r="BK176" s="210"/>
      <c r="BL176" s="210"/>
      <c r="BM176" s="210"/>
      <c r="BN176" s="210"/>
      <c r="BO176" s="210"/>
      <c r="BP176" s="210"/>
      <c r="BQ176" s="210"/>
      <c r="BR176" s="210"/>
      <c r="BS176" s="210"/>
      <c r="BT176" s="210"/>
      <c r="BU176" s="210"/>
      <c r="BV176" s="210"/>
      <c r="BW176" s="210"/>
      <c r="BX176" s="210"/>
      <c r="BY176" s="210"/>
      <c r="BZ176" s="210"/>
      <c r="CA176" s="210"/>
      <c r="CB176" s="210"/>
      <c r="CC176" s="210"/>
      <c r="CD176" s="210"/>
      <c r="CE176" s="210"/>
      <c r="CF176" s="210"/>
      <c r="CG176" s="210"/>
      <c r="CH176" s="210"/>
      <c r="CI176" s="210"/>
      <c r="CJ176" s="210"/>
      <c r="CK176" s="210"/>
      <c r="CL176" s="210"/>
      <c r="CM176" s="210"/>
      <c r="CN176" s="210"/>
      <c r="CO176" s="210"/>
      <c r="CP176" s="210"/>
      <c r="CQ176" s="210"/>
      <c r="CR176" s="210"/>
      <c r="CS176" s="210"/>
      <c r="CT176" s="210"/>
      <c r="CU176" s="210"/>
      <c r="CV176" s="210"/>
      <c r="CW176" s="210"/>
      <c r="CX176" s="210"/>
      <c r="CY176" s="210"/>
      <c r="CZ176" s="210"/>
      <c r="DA176" s="210"/>
      <c r="DB176" s="210"/>
      <c r="DC176" s="210"/>
      <c r="DD176" s="210"/>
      <c r="DE176" s="210"/>
      <c r="DF176" s="210"/>
      <c r="DG176" s="210"/>
      <c r="DH176" s="210"/>
      <c r="DI176" s="210"/>
      <c r="DJ176" s="210"/>
      <c r="DK176" s="210"/>
      <c r="DL176" s="210"/>
      <c r="DM176" s="210"/>
      <c r="DN176" s="210"/>
      <c r="DO176" s="210"/>
      <c r="DP176" s="210"/>
      <c r="DQ176" s="210"/>
    </row>
    <row r="177" spans="1:121" s="209" customFormat="1" x14ac:dyDescent="0.25">
      <c r="A177" s="370"/>
      <c r="B177" s="228"/>
      <c r="C177" s="228"/>
      <c r="D177" s="227"/>
      <c r="E177" s="227"/>
      <c r="F177" s="227"/>
      <c r="W177" s="210"/>
      <c r="AF177" s="210"/>
      <c r="BC177" s="210"/>
      <c r="BD177" s="210"/>
      <c r="BJ177" s="210"/>
      <c r="BK177" s="210"/>
      <c r="BL177" s="210"/>
      <c r="BM177" s="210"/>
      <c r="BN177" s="210"/>
      <c r="BO177" s="210"/>
      <c r="BP177" s="210"/>
      <c r="BQ177" s="210"/>
      <c r="BR177" s="210"/>
      <c r="BS177" s="210"/>
      <c r="BT177" s="210"/>
      <c r="BU177" s="210"/>
      <c r="BV177" s="210"/>
      <c r="BW177" s="210"/>
      <c r="BX177" s="210"/>
      <c r="BY177" s="210"/>
      <c r="BZ177" s="210"/>
      <c r="CA177" s="210"/>
      <c r="CB177" s="210"/>
      <c r="CC177" s="210"/>
      <c r="CD177" s="210"/>
      <c r="CE177" s="210"/>
      <c r="CF177" s="210"/>
      <c r="CG177" s="210"/>
      <c r="CH177" s="210"/>
      <c r="CI177" s="210"/>
      <c r="CJ177" s="210"/>
      <c r="CK177" s="210"/>
      <c r="CL177" s="210"/>
      <c r="CM177" s="210"/>
      <c r="CN177" s="210"/>
      <c r="CO177" s="210"/>
      <c r="CP177" s="210"/>
      <c r="CQ177" s="210"/>
      <c r="CR177" s="210"/>
      <c r="CS177" s="210"/>
      <c r="CT177" s="210"/>
      <c r="CU177" s="210"/>
      <c r="CV177" s="210"/>
      <c r="CW177" s="210"/>
      <c r="CX177" s="210"/>
      <c r="CY177" s="210"/>
      <c r="CZ177" s="210"/>
      <c r="DA177" s="210"/>
      <c r="DB177" s="210"/>
      <c r="DC177" s="210"/>
      <c r="DD177" s="210"/>
      <c r="DE177" s="210"/>
      <c r="DF177" s="210"/>
      <c r="DG177" s="210"/>
      <c r="DH177" s="210"/>
      <c r="DI177" s="210"/>
      <c r="DJ177" s="210"/>
      <c r="DK177" s="210"/>
      <c r="DL177" s="210"/>
      <c r="DM177" s="210"/>
      <c r="DN177" s="210"/>
      <c r="DO177" s="210"/>
      <c r="DP177" s="210"/>
      <c r="DQ177" s="210"/>
    </row>
    <row r="178" spans="1:121" s="209" customFormat="1" x14ac:dyDescent="0.25">
      <c r="A178" s="370"/>
      <c r="B178" s="228"/>
      <c r="C178" s="228"/>
      <c r="D178" s="227"/>
      <c r="E178" s="227"/>
      <c r="F178" s="227"/>
      <c r="W178" s="210"/>
      <c r="AF178" s="210"/>
      <c r="BC178" s="210"/>
      <c r="BD178" s="210"/>
      <c r="BJ178" s="210"/>
      <c r="BK178" s="210"/>
      <c r="BL178" s="210"/>
      <c r="BM178" s="210"/>
      <c r="BN178" s="210"/>
      <c r="BO178" s="210"/>
      <c r="BP178" s="210"/>
      <c r="BQ178" s="210"/>
      <c r="BR178" s="210"/>
      <c r="BS178" s="210"/>
      <c r="BT178" s="210"/>
      <c r="BU178" s="210"/>
      <c r="BV178" s="210"/>
      <c r="BW178" s="210"/>
      <c r="BX178" s="210"/>
      <c r="BY178" s="210"/>
      <c r="BZ178" s="210"/>
      <c r="CA178" s="210"/>
      <c r="CB178" s="210"/>
      <c r="CC178" s="210"/>
      <c r="CD178" s="210"/>
      <c r="CE178" s="210"/>
      <c r="CF178" s="210"/>
      <c r="CG178" s="210"/>
      <c r="CH178" s="210"/>
      <c r="CI178" s="210"/>
      <c r="CJ178" s="210"/>
      <c r="CK178" s="210"/>
      <c r="CL178" s="210"/>
      <c r="CM178" s="210"/>
      <c r="CN178" s="210"/>
      <c r="CO178" s="210"/>
      <c r="CP178" s="210"/>
      <c r="CQ178" s="210"/>
      <c r="CR178" s="210"/>
      <c r="CS178" s="210"/>
      <c r="CT178" s="210"/>
      <c r="CU178" s="210"/>
      <c r="CV178" s="210"/>
      <c r="CW178" s="210"/>
      <c r="CX178" s="210"/>
      <c r="CY178" s="210"/>
      <c r="CZ178" s="210"/>
      <c r="DA178" s="210"/>
      <c r="DB178" s="210"/>
      <c r="DC178" s="210"/>
      <c r="DD178" s="210"/>
      <c r="DE178" s="210"/>
      <c r="DF178" s="210"/>
      <c r="DG178" s="210"/>
      <c r="DH178" s="210"/>
      <c r="DI178" s="210"/>
      <c r="DJ178" s="210"/>
      <c r="DK178" s="210"/>
      <c r="DL178" s="210"/>
      <c r="DM178" s="210"/>
      <c r="DN178" s="210"/>
      <c r="DO178" s="210"/>
      <c r="DP178" s="210"/>
      <c r="DQ178" s="210"/>
    </row>
    <row r="179" spans="1:121" s="209" customFormat="1" x14ac:dyDescent="0.25">
      <c r="A179" s="370"/>
      <c r="B179" s="228"/>
      <c r="C179" s="228"/>
      <c r="D179" s="227"/>
      <c r="E179" s="227"/>
      <c r="F179" s="227"/>
      <c r="W179" s="210"/>
      <c r="AF179" s="210"/>
      <c r="BC179" s="210"/>
      <c r="BD179" s="210"/>
      <c r="BJ179" s="210"/>
      <c r="BK179" s="210"/>
      <c r="BL179" s="210"/>
      <c r="BM179" s="210"/>
      <c r="BN179" s="210"/>
      <c r="BO179" s="210"/>
      <c r="BP179" s="210"/>
      <c r="BQ179" s="210"/>
      <c r="BR179" s="210"/>
      <c r="BS179" s="210"/>
      <c r="BT179" s="210"/>
      <c r="BU179" s="210"/>
      <c r="BV179" s="210"/>
      <c r="BW179" s="210"/>
      <c r="BX179" s="210"/>
      <c r="BY179" s="210"/>
      <c r="BZ179" s="210"/>
      <c r="CA179" s="210"/>
      <c r="CB179" s="210"/>
      <c r="CC179" s="210"/>
      <c r="CD179" s="210"/>
      <c r="CE179" s="210"/>
      <c r="CF179" s="210"/>
      <c r="CG179" s="210"/>
      <c r="CH179" s="210"/>
      <c r="CI179" s="210"/>
      <c r="CJ179" s="210"/>
      <c r="CK179" s="210"/>
      <c r="CL179" s="210"/>
      <c r="CM179" s="210"/>
      <c r="CN179" s="210"/>
      <c r="CO179" s="210"/>
      <c r="CP179" s="210"/>
      <c r="CQ179" s="210"/>
      <c r="CR179" s="210"/>
      <c r="CS179" s="210"/>
      <c r="CT179" s="210"/>
      <c r="CU179" s="210"/>
      <c r="CV179" s="210"/>
      <c r="CW179" s="210"/>
      <c r="CX179" s="210"/>
      <c r="CY179" s="210"/>
      <c r="CZ179" s="210"/>
      <c r="DA179" s="210"/>
      <c r="DB179" s="210"/>
      <c r="DC179" s="210"/>
      <c r="DD179" s="210"/>
      <c r="DE179" s="210"/>
      <c r="DF179" s="210"/>
      <c r="DG179" s="210"/>
      <c r="DH179" s="210"/>
      <c r="DI179" s="210"/>
      <c r="DJ179" s="210"/>
      <c r="DK179" s="210"/>
      <c r="DL179" s="210"/>
      <c r="DM179" s="210"/>
      <c r="DN179" s="210"/>
      <c r="DO179" s="210"/>
      <c r="DP179" s="210"/>
      <c r="DQ179" s="210"/>
    </row>
    <row r="180" spans="1:121" s="209" customFormat="1" x14ac:dyDescent="0.25">
      <c r="A180" s="370"/>
      <c r="B180" s="228"/>
      <c r="C180" s="228"/>
      <c r="D180" s="227"/>
      <c r="E180" s="227"/>
      <c r="F180" s="227"/>
      <c r="W180" s="210"/>
      <c r="AF180" s="210"/>
      <c r="BC180" s="210"/>
      <c r="BD180" s="210"/>
      <c r="BJ180" s="210"/>
      <c r="BK180" s="210"/>
      <c r="BL180" s="210"/>
      <c r="BM180" s="210"/>
      <c r="BN180" s="210"/>
      <c r="BO180" s="210"/>
      <c r="BP180" s="210"/>
      <c r="BQ180" s="210"/>
      <c r="BR180" s="210"/>
      <c r="BS180" s="210"/>
      <c r="BT180" s="210"/>
      <c r="BU180" s="210"/>
      <c r="BV180" s="210"/>
      <c r="BW180" s="210"/>
      <c r="BX180" s="210"/>
      <c r="BY180" s="210"/>
      <c r="BZ180" s="210"/>
      <c r="CA180" s="210"/>
      <c r="CB180" s="210"/>
      <c r="CC180" s="210"/>
      <c r="CD180" s="210"/>
      <c r="CE180" s="210"/>
      <c r="CF180" s="210"/>
      <c r="CG180" s="210"/>
      <c r="CH180" s="210"/>
      <c r="CI180" s="210"/>
      <c r="CJ180" s="210"/>
      <c r="CK180" s="210"/>
      <c r="CL180" s="210"/>
      <c r="CM180" s="210"/>
      <c r="CN180" s="210"/>
      <c r="CO180" s="210"/>
      <c r="CP180" s="210"/>
      <c r="CQ180" s="210"/>
      <c r="CR180" s="210"/>
      <c r="CS180" s="210"/>
      <c r="CT180" s="210"/>
      <c r="CU180" s="210"/>
      <c r="CV180" s="210"/>
      <c r="CW180" s="210"/>
      <c r="CX180" s="210"/>
      <c r="CY180" s="210"/>
      <c r="CZ180" s="210"/>
      <c r="DA180" s="210"/>
      <c r="DB180" s="210"/>
      <c r="DC180" s="210"/>
      <c r="DD180" s="210"/>
      <c r="DE180" s="210"/>
      <c r="DF180" s="210"/>
      <c r="DG180" s="210"/>
      <c r="DH180" s="210"/>
      <c r="DI180" s="210"/>
      <c r="DJ180" s="210"/>
      <c r="DK180" s="210"/>
      <c r="DL180" s="210"/>
      <c r="DM180" s="210"/>
      <c r="DN180" s="210"/>
      <c r="DO180" s="210"/>
      <c r="DP180" s="210"/>
      <c r="DQ180" s="210"/>
    </row>
    <row r="181" spans="1:121" s="209" customFormat="1" x14ac:dyDescent="0.25">
      <c r="A181" s="370"/>
      <c r="B181" s="228"/>
      <c r="C181" s="228"/>
      <c r="D181" s="227"/>
      <c r="E181" s="227"/>
      <c r="F181" s="227"/>
      <c r="W181" s="210"/>
      <c r="AF181" s="210"/>
      <c r="BC181" s="210"/>
      <c r="BD181" s="210"/>
      <c r="BJ181" s="210"/>
      <c r="BK181" s="210"/>
      <c r="BL181" s="210"/>
      <c r="BM181" s="210"/>
      <c r="BN181" s="210"/>
      <c r="BO181" s="210"/>
      <c r="BP181" s="210"/>
      <c r="BQ181" s="210"/>
      <c r="BR181" s="210"/>
      <c r="BS181" s="210"/>
      <c r="BT181" s="210"/>
      <c r="BU181" s="210"/>
      <c r="BV181" s="210"/>
      <c r="BW181" s="210"/>
      <c r="BX181" s="210"/>
      <c r="BY181" s="210"/>
      <c r="BZ181" s="210"/>
      <c r="CA181" s="210"/>
      <c r="CB181" s="210"/>
      <c r="CC181" s="210"/>
      <c r="CD181" s="210"/>
      <c r="CE181" s="210"/>
      <c r="CF181" s="210"/>
      <c r="CG181" s="210"/>
      <c r="CH181" s="210"/>
      <c r="CI181" s="210"/>
      <c r="CJ181" s="210"/>
      <c r="CK181" s="210"/>
      <c r="CL181" s="210"/>
      <c r="CM181" s="210"/>
      <c r="CN181" s="210"/>
      <c r="CO181" s="210"/>
      <c r="CP181" s="210"/>
      <c r="CQ181" s="210"/>
      <c r="CR181" s="210"/>
      <c r="CS181" s="210"/>
      <c r="CT181" s="210"/>
      <c r="CU181" s="210"/>
      <c r="CV181" s="210"/>
      <c r="CW181" s="210"/>
      <c r="CX181" s="210"/>
      <c r="CY181" s="210"/>
      <c r="CZ181" s="210"/>
      <c r="DA181" s="210"/>
      <c r="DB181" s="210"/>
      <c r="DC181" s="210"/>
      <c r="DD181" s="210"/>
      <c r="DE181" s="210"/>
      <c r="DF181" s="210"/>
      <c r="DG181" s="210"/>
      <c r="DH181" s="210"/>
      <c r="DI181" s="210"/>
      <c r="DJ181" s="210"/>
      <c r="DK181" s="210"/>
      <c r="DL181" s="210"/>
      <c r="DM181" s="210"/>
      <c r="DN181" s="210"/>
      <c r="DO181" s="210"/>
      <c r="DP181" s="210"/>
      <c r="DQ181" s="210"/>
    </row>
    <row r="182" spans="1:121" s="209" customFormat="1" x14ac:dyDescent="0.25">
      <c r="A182" s="370"/>
      <c r="B182" s="228"/>
      <c r="C182" s="228"/>
      <c r="D182" s="227"/>
      <c r="E182" s="227"/>
      <c r="F182" s="227"/>
      <c r="W182" s="210"/>
      <c r="AF182" s="210"/>
      <c r="BC182" s="210"/>
      <c r="BD182" s="210"/>
      <c r="BJ182" s="210"/>
      <c r="BK182" s="210"/>
      <c r="BL182" s="210"/>
      <c r="BM182" s="210"/>
      <c r="BN182" s="210"/>
      <c r="BO182" s="210"/>
      <c r="BP182" s="210"/>
      <c r="BQ182" s="210"/>
      <c r="BR182" s="210"/>
      <c r="BS182" s="210"/>
      <c r="BT182" s="210"/>
      <c r="BU182" s="210"/>
      <c r="BV182" s="210"/>
      <c r="BW182" s="210"/>
      <c r="BX182" s="210"/>
      <c r="BY182" s="210"/>
      <c r="BZ182" s="210"/>
      <c r="CA182" s="210"/>
      <c r="CB182" s="210"/>
      <c r="CC182" s="210"/>
      <c r="CD182" s="210"/>
      <c r="CE182" s="210"/>
      <c r="CF182" s="210"/>
      <c r="CG182" s="210"/>
      <c r="CH182" s="210"/>
      <c r="CI182" s="210"/>
      <c r="CJ182" s="210"/>
      <c r="CK182" s="210"/>
      <c r="CL182" s="210"/>
      <c r="CM182" s="210"/>
      <c r="CN182" s="210"/>
      <c r="CO182" s="210"/>
      <c r="CP182" s="210"/>
      <c r="CQ182" s="210"/>
      <c r="CR182" s="210"/>
      <c r="CS182" s="210"/>
      <c r="CT182" s="210"/>
      <c r="CU182" s="210"/>
      <c r="CV182" s="210"/>
      <c r="CW182" s="210"/>
      <c r="CX182" s="210"/>
      <c r="CY182" s="210"/>
      <c r="CZ182" s="210"/>
      <c r="DA182" s="210"/>
      <c r="DB182" s="210"/>
      <c r="DC182" s="210"/>
      <c r="DD182" s="210"/>
      <c r="DE182" s="210"/>
      <c r="DF182" s="210"/>
      <c r="DG182" s="210"/>
      <c r="DH182" s="210"/>
      <c r="DI182" s="210"/>
      <c r="DJ182" s="210"/>
      <c r="DK182" s="210"/>
      <c r="DL182" s="210"/>
      <c r="DM182" s="210"/>
      <c r="DN182" s="210"/>
      <c r="DO182" s="210"/>
      <c r="DP182" s="210"/>
      <c r="DQ182" s="210"/>
    </row>
    <row r="183" spans="1:121" s="209" customFormat="1" x14ac:dyDescent="0.25">
      <c r="A183" s="370"/>
      <c r="B183" s="228"/>
      <c r="C183" s="228"/>
      <c r="D183" s="227"/>
      <c r="E183" s="227"/>
      <c r="F183" s="227"/>
      <c r="W183" s="210"/>
      <c r="AF183" s="210"/>
      <c r="BC183" s="210"/>
      <c r="BD183" s="210"/>
      <c r="BJ183" s="210"/>
      <c r="BK183" s="210"/>
      <c r="BL183" s="210"/>
      <c r="BM183" s="210"/>
      <c r="BN183" s="210"/>
      <c r="BO183" s="210"/>
      <c r="BP183" s="210"/>
      <c r="BQ183" s="210"/>
      <c r="BR183" s="210"/>
      <c r="BS183" s="210"/>
      <c r="BT183" s="210"/>
      <c r="BU183" s="210"/>
      <c r="BV183" s="210"/>
      <c r="BW183" s="210"/>
      <c r="BX183" s="210"/>
      <c r="BY183" s="210"/>
      <c r="BZ183" s="210"/>
      <c r="CA183" s="210"/>
      <c r="CB183" s="210"/>
      <c r="CC183" s="210"/>
      <c r="CD183" s="210"/>
      <c r="CE183" s="210"/>
      <c r="CF183" s="210"/>
      <c r="CG183" s="210"/>
      <c r="CH183" s="210"/>
      <c r="CI183" s="210"/>
      <c r="CJ183" s="210"/>
      <c r="CK183" s="210"/>
      <c r="CL183" s="210"/>
      <c r="CM183" s="210"/>
      <c r="CN183" s="210"/>
      <c r="CO183" s="210"/>
      <c r="CP183" s="210"/>
      <c r="CQ183" s="210"/>
      <c r="CR183" s="210"/>
      <c r="CS183" s="210"/>
      <c r="CT183" s="210"/>
      <c r="CU183" s="210"/>
      <c r="CV183" s="210"/>
      <c r="CW183" s="210"/>
      <c r="CX183" s="210"/>
      <c r="CY183" s="210"/>
      <c r="CZ183" s="210"/>
      <c r="DA183" s="210"/>
      <c r="DB183" s="210"/>
      <c r="DC183" s="210"/>
      <c r="DD183" s="210"/>
      <c r="DE183" s="210"/>
      <c r="DF183" s="210"/>
      <c r="DG183" s="210"/>
      <c r="DH183" s="210"/>
      <c r="DI183" s="210"/>
      <c r="DJ183" s="210"/>
      <c r="DK183" s="210"/>
      <c r="DL183" s="210"/>
      <c r="DM183" s="210"/>
      <c r="DN183" s="210"/>
      <c r="DO183" s="210"/>
      <c r="DP183" s="210"/>
      <c r="DQ183" s="210"/>
    </row>
    <row r="184" spans="1:121" s="209" customFormat="1" x14ac:dyDescent="0.25">
      <c r="A184" s="370"/>
      <c r="B184" s="228"/>
      <c r="C184" s="228"/>
      <c r="D184" s="227"/>
      <c r="E184" s="227"/>
      <c r="F184" s="227"/>
      <c r="W184" s="210"/>
      <c r="AF184" s="210"/>
      <c r="BC184" s="210"/>
      <c r="BD184" s="210"/>
      <c r="BJ184" s="210"/>
      <c r="BK184" s="210"/>
      <c r="BL184" s="210"/>
      <c r="BM184" s="210"/>
      <c r="BN184" s="210"/>
      <c r="BO184" s="210"/>
      <c r="BP184" s="210"/>
      <c r="BQ184" s="210"/>
      <c r="BR184" s="210"/>
      <c r="BS184" s="210"/>
      <c r="BT184" s="210"/>
      <c r="BU184" s="210"/>
      <c r="BV184" s="210"/>
      <c r="BW184" s="210"/>
      <c r="BX184" s="210"/>
      <c r="BY184" s="210"/>
      <c r="BZ184" s="210"/>
      <c r="CA184" s="210"/>
      <c r="CB184" s="210"/>
      <c r="CC184" s="210"/>
      <c r="CD184" s="210"/>
      <c r="CE184" s="210"/>
      <c r="CF184" s="210"/>
      <c r="CG184" s="210"/>
      <c r="CH184" s="210"/>
      <c r="CI184" s="210"/>
      <c r="CJ184" s="210"/>
      <c r="CK184" s="210"/>
      <c r="CL184" s="210"/>
      <c r="CM184" s="210"/>
      <c r="CN184" s="210"/>
      <c r="CO184" s="210"/>
      <c r="CP184" s="210"/>
      <c r="CQ184" s="210"/>
      <c r="CR184" s="210"/>
      <c r="CS184" s="210"/>
      <c r="CT184" s="210"/>
      <c r="CU184" s="210"/>
      <c r="CV184" s="210"/>
      <c r="CW184" s="210"/>
      <c r="CX184" s="210"/>
      <c r="CY184" s="210"/>
      <c r="CZ184" s="210"/>
      <c r="DA184" s="210"/>
      <c r="DB184" s="210"/>
      <c r="DC184" s="210"/>
      <c r="DD184" s="210"/>
      <c r="DE184" s="210"/>
      <c r="DF184" s="210"/>
      <c r="DG184" s="210"/>
      <c r="DH184" s="210"/>
      <c r="DI184" s="210"/>
      <c r="DJ184" s="210"/>
      <c r="DK184" s="210"/>
      <c r="DL184" s="210"/>
      <c r="DM184" s="210"/>
      <c r="DN184" s="210"/>
      <c r="DO184" s="210"/>
      <c r="DP184" s="210"/>
      <c r="DQ184" s="210"/>
    </row>
    <row r="185" spans="1:121" s="209" customFormat="1" x14ac:dyDescent="0.25">
      <c r="A185" s="370"/>
      <c r="B185" s="228"/>
      <c r="C185" s="228"/>
      <c r="D185" s="227"/>
      <c r="E185" s="227"/>
      <c r="F185" s="227"/>
      <c r="W185" s="210"/>
      <c r="AF185" s="210"/>
      <c r="BC185" s="210"/>
      <c r="BD185" s="210"/>
      <c r="BJ185" s="210"/>
      <c r="BK185" s="210"/>
      <c r="BL185" s="210"/>
      <c r="BM185" s="210"/>
      <c r="BN185" s="210"/>
      <c r="BO185" s="210"/>
      <c r="BP185" s="210"/>
      <c r="BQ185" s="210"/>
      <c r="BR185" s="210"/>
      <c r="BS185" s="210"/>
      <c r="BT185" s="210"/>
      <c r="BU185" s="210"/>
      <c r="BV185" s="210"/>
      <c r="BW185" s="210"/>
      <c r="BX185" s="210"/>
      <c r="BY185" s="210"/>
      <c r="BZ185" s="210"/>
      <c r="CA185" s="210"/>
      <c r="CB185" s="210"/>
      <c r="CC185" s="210"/>
      <c r="CD185" s="210"/>
      <c r="CE185" s="210"/>
      <c r="CF185" s="210"/>
      <c r="CG185" s="210"/>
      <c r="CH185" s="210"/>
      <c r="CI185" s="210"/>
      <c r="CJ185" s="210"/>
      <c r="CK185" s="210"/>
      <c r="CL185" s="210"/>
      <c r="CM185" s="210"/>
      <c r="CN185" s="210"/>
      <c r="CO185" s="210"/>
      <c r="CP185" s="210"/>
      <c r="CQ185" s="210"/>
      <c r="CR185" s="210"/>
      <c r="CS185" s="210"/>
      <c r="CT185" s="210"/>
      <c r="CU185" s="210"/>
      <c r="CV185" s="210"/>
      <c r="CW185" s="210"/>
      <c r="CX185" s="210"/>
      <c r="CY185" s="210"/>
      <c r="CZ185" s="210"/>
      <c r="DA185" s="210"/>
      <c r="DB185" s="210"/>
      <c r="DC185" s="210"/>
      <c r="DD185" s="210"/>
      <c r="DE185" s="210"/>
      <c r="DF185" s="210"/>
      <c r="DG185" s="210"/>
      <c r="DH185" s="210"/>
      <c r="DI185" s="210"/>
      <c r="DJ185" s="210"/>
      <c r="DK185" s="210"/>
      <c r="DL185" s="210"/>
      <c r="DM185" s="210"/>
      <c r="DN185" s="210"/>
      <c r="DO185" s="210"/>
      <c r="DP185" s="210"/>
      <c r="DQ185" s="210"/>
    </row>
    <row r="186" spans="1:121" s="209" customFormat="1" x14ac:dyDescent="0.25">
      <c r="A186" s="370"/>
      <c r="B186" s="228"/>
      <c r="C186" s="228"/>
      <c r="D186" s="227"/>
      <c r="E186" s="227"/>
      <c r="F186" s="227"/>
      <c r="W186" s="210"/>
      <c r="AF186" s="210"/>
      <c r="BC186" s="210"/>
      <c r="BD186" s="210"/>
      <c r="BJ186" s="210"/>
      <c r="BK186" s="210"/>
      <c r="BL186" s="210"/>
      <c r="BM186" s="210"/>
      <c r="BN186" s="210"/>
      <c r="BO186" s="210"/>
      <c r="BP186" s="210"/>
      <c r="BQ186" s="210"/>
      <c r="BR186" s="210"/>
      <c r="BS186" s="210"/>
      <c r="BT186" s="210"/>
      <c r="BU186" s="210"/>
      <c r="BV186" s="210"/>
      <c r="BW186" s="210"/>
      <c r="BX186" s="210"/>
      <c r="BY186" s="210"/>
      <c r="BZ186" s="210"/>
      <c r="CA186" s="210"/>
      <c r="CB186" s="210"/>
      <c r="CC186" s="210"/>
      <c r="CD186" s="210"/>
      <c r="CE186" s="210"/>
      <c r="CF186" s="210"/>
      <c r="CG186" s="210"/>
      <c r="CH186" s="210"/>
      <c r="CI186" s="210"/>
      <c r="CJ186" s="210"/>
      <c r="CK186" s="210"/>
      <c r="CL186" s="210"/>
      <c r="CM186" s="210"/>
      <c r="CN186" s="210"/>
      <c r="CO186" s="210"/>
      <c r="CP186" s="210"/>
      <c r="CQ186" s="210"/>
      <c r="CR186" s="210"/>
      <c r="CS186" s="210"/>
      <c r="CT186" s="210"/>
      <c r="CU186" s="210"/>
      <c r="CV186" s="210"/>
      <c r="CW186" s="210"/>
      <c r="CX186" s="210"/>
      <c r="CY186" s="210"/>
      <c r="CZ186" s="210"/>
      <c r="DA186" s="210"/>
      <c r="DB186" s="210"/>
      <c r="DC186" s="210"/>
      <c r="DD186" s="210"/>
      <c r="DE186" s="210"/>
      <c r="DF186" s="210"/>
      <c r="DG186" s="210"/>
      <c r="DH186" s="210"/>
      <c r="DI186" s="210"/>
      <c r="DJ186" s="210"/>
      <c r="DK186" s="210"/>
      <c r="DL186" s="210"/>
      <c r="DM186" s="210"/>
      <c r="DN186" s="210"/>
      <c r="DO186" s="210"/>
      <c r="DP186" s="210"/>
      <c r="DQ186" s="210"/>
    </row>
    <row r="187" spans="1:121" s="209" customFormat="1" x14ac:dyDescent="0.25">
      <c r="A187" s="370"/>
      <c r="B187" s="228"/>
      <c r="C187" s="228"/>
      <c r="D187" s="227"/>
      <c r="E187" s="227"/>
      <c r="F187" s="227"/>
      <c r="W187" s="210"/>
      <c r="AF187" s="210"/>
      <c r="BC187" s="210"/>
      <c r="BD187" s="210"/>
      <c r="BJ187" s="210"/>
      <c r="BK187" s="210"/>
      <c r="BL187" s="210"/>
      <c r="BM187" s="210"/>
      <c r="BN187" s="210"/>
      <c r="BO187" s="210"/>
      <c r="BP187" s="210"/>
      <c r="BQ187" s="210"/>
      <c r="BR187" s="210"/>
      <c r="BS187" s="210"/>
      <c r="BT187" s="210"/>
      <c r="BU187" s="210"/>
      <c r="BV187" s="210"/>
      <c r="BW187" s="210"/>
      <c r="BX187" s="210"/>
      <c r="BY187" s="210"/>
      <c r="BZ187" s="210"/>
      <c r="CA187" s="210"/>
      <c r="CB187" s="210"/>
      <c r="CC187" s="210"/>
      <c r="CD187" s="210"/>
      <c r="CE187" s="210"/>
      <c r="CF187" s="210"/>
      <c r="CG187" s="210"/>
      <c r="CH187" s="210"/>
      <c r="CI187" s="210"/>
      <c r="CJ187" s="210"/>
      <c r="CK187" s="210"/>
      <c r="CL187" s="210"/>
      <c r="CM187" s="210"/>
      <c r="CN187" s="210"/>
      <c r="CO187" s="210"/>
      <c r="CP187" s="210"/>
      <c r="CQ187" s="210"/>
      <c r="CR187" s="210"/>
      <c r="CS187" s="210"/>
      <c r="CT187" s="210"/>
      <c r="CU187" s="210"/>
      <c r="CV187" s="210"/>
      <c r="CW187" s="210"/>
      <c r="CX187" s="210"/>
      <c r="CY187" s="210"/>
      <c r="CZ187" s="210"/>
      <c r="DA187" s="210"/>
      <c r="DB187" s="210"/>
      <c r="DC187" s="210"/>
      <c r="DD187" s="210"/>
      <c r="DE187" s="210"/>
      <c r="DF187" s="210"/>
      <c r="DG187" s="210"/>
      <c r="DH187" s="210"/>
      <c r="DI187" s="210"/>
      <c r="DJ187" s="210"/>
      <c r="DK187" s="210"/>
      <c r="DL187" s="210"/>
      <c r="DM187" s="210"/>
      <c r="DN187" s="210"/>
      <c r="DO187" s="210"/>
      <c r="DP187" s="210"/>
      <c r="DQ187" s="210"/>
    </row>
    <row r="188" spans="1:121" s="209" customFormat="1" x14ac:dyDescent="0.25">
      <c r="A188" s="370"/>
      <c r="B188" s="228"/>
      <c r="C188" s="228"/>
      <c r="D188" s="227"/>
      <c r="E188" s="227"/>
      <c r="F188" s="227"/>
      <c r="W188" s="210"/>
      <c r="AF188" s="210"/>
      <c r="BC188" s="210"/>
      <c r="BD188" s="210"/>
      <c r="BJ188" s="210"/>
      <c r="BK188" s="210"/>
      <c r="BL188" s="210"/>
      <c r="BM188" s="210"/>
      <c r="BN188" s="210"/>
      <c r="BO188" s="210"/>
      <c r="BP188" s="210"/>
      <c r="BQ188" s="210"/>
      <c r="BR188" s="210"/>
      <c r="BS188" s="210"/>
      <c r="BT188" s="210"/>
      <c r="BU188" s="210"/>
      <c r="BV188" s="210"/>
      <c r="BW188" s="210"/>
      <c r="BX188" s="210"/>
      <c r="BY188" s="210"/>
      <c r="BZ188" s="210"/>
      <c r="CA188" s="210"/>
      <c r="CB188" s="210"/>
      <c r="CC188" s="210"/>
      <c r="CD188" s="210"/>
      <c r="CE188" s="210"/>
      <c r="CF188" s="210"/>
      <c r="CG188" s="210"/>
      <c r="CH188" s="210"/>
      <c r="CI188" s="210"/>
      <c r="CJ188" s="210"/>
      <c r="CK188" s="210"/>
      <c r="CL188" s="210"/>
      <c r="CM188" s="210"/>
      <c r="CN188" s="210"/>
      <c r="CO188" s="210"/>
      <c r="CP188" s="210"/>
      <c r="CQ188" s="210"/>
      <c r="CR188" s="210"/>
      <c r="CS188" s="210"/>
      <c r="CT188" s="210"/>
      <c r="CU188" s="210"/>
      <c r="CV188" s="210"/>
      <c r="CW188" s="210"/>
      <c r="CX188" s="210"/>
      <c r="CY188" s="210"/>
      <c r="CZ188" s="210"/>
      <c r="DA188" s="210"/>
      <c r="DB188" s="210"/>
      <c r="DC188" s="210"/>
      <c r="DD188" s="210"/>
      <c r="DE188" s="210"/>
      <c r="DF188" s="210"/>
      <c r="DG188" s="210"/>
      <c r="DH188" s="210"/>
      <c r="DI188" s="210"/>
      <c r="DJ188" s="210"/>
      <c r="DK188" s="210"/>
      <c r="DL188" s="210"/>
      <c r="DM188" s="210"/>
      <c r="DN188" s="210"/>
      <c r="DO188" s="210"/>
      <c r="DP188" s="210"/>
      <c r="DQ188" s="210"/>
    </row>
    <row r="189" spans="1:121" s="209" customFormat="1" x14ac:dyDescent="0.25">
      <c r="A189" s="370"/>
      <c r="B189" s="228"/>
      <c r="C189" s="228"/>
      <c r="D189" s="227"/>
      <c r="E189" s="227"/>
      <c r="F189" s="227"/>
      <c r="W189" s="210"/>
      <c r="AF189" s="210"/>
      <c r="BC189" s="210"/>
      <c r="BD189" s="210"/>
      <c r="BJ189" s="210"/>
      <c r="BK189" s="210"/>
      <c r="BL189" s="210"/>
      <c r="BM189" s="210"/>
      <c r="BN189" s="210"/>
      <c r="BO189" s="210"/>
      <c r="BP189" s="210"/>
      <c r="BQ189" s="210"/>
      <c r="BR189" s="210"/>
      <c r="BS189" s="210"/>
      <c r="BT189" s="210"/>
      <c r="BU189" s="210"/>
      <c r="BV189" s="210"/>
      <c r="BW189" s="210"/>
      <c r="BX189" s="210"/>
      <c r="BY189" s="210"/>
      <c r="BZ189" s="210"/>
      <c r="CA189" s="210"/>
      <c r="CB189" s="210"/>
      <c r="CC189" s="210"/>
      <c r="CD189" s="210"/>
      <c r="CE189" s="210"/>
      <c r="CF189" s="210"/>
      <c r="CG189" s="210"/>
      <c r="CH189" s="210"/>
      <c r="CI189" s="210"/>
      <c r="CJ189" s="210"/>
      <c r="CK189" s="210"/>
      <c r="CL189" s="210"/>
      <c r="CM189" s="210"/>
      <c r="CN189" s="210"/>
      <c r="CO189" s="210"/>
      <c r="CP189" s="210"/>
      <c r="CQ189" s="210"/>
      <c r="CR189" s="210"/>
      <c r="CS189" s="210"/>
      <c r="CT189" s="210"/>
      <c r="CU189" s="210"/>
      <c r="CV189" s="210"/>
      <c r="CW189" s="210"/>
      <c r="CX189" s="210"/>
      <c r="CY189" s="210"/>
      <c r="CZ189" s="210"/>
      <c r="DA189" s="210"/>
      <c r="DB189" s="210"/>
      <c r="DC189" s="210"/>
      <c r="DD189" s="210"/>
      <c r="DE189" s="210"/>
      <c r="DF189" s="210"/>
      <c r="DG189" s="210"/>
      <c r="DH189" s="210"/>
      <c r="DI189" s="210"/>
      <c r="DJ189" s="210"/>
      <c r="DK189" s="210"/>
      <c r="DL189" s="210"/>
      <c r="DM189" s="210"/>
      <c r="DN189" s="210"/>
      <c r="DO189" s="210"/>
      <c r="DP189" s="210"/>
      <c r="DQ189" s="210"/>
    </row>
    <row r="190" spans="1:121" s="209" customFormat="1" x14ac:dyDescent="0.25">
      <c r="A190" s="370"/>
      <c r="B190" s="228"/>
      <c r="C190" s="228"/>
      <c r="D190" s="227"/>
      <c r="E190" s="227"/>
      <c r="F190" s="227"/>
      <c r="W190" s="210"/>
      <c r="AF190" s="210"/>
      <c r="BC190" s="210"/>
      <c r="BD190" s="210"/>
      <c r="BJ190" s="210"/>
      <c r="BK190" s="210"/>
      <c r="BL190" s="210"/>
      <c r="BM190" s="210"/>
      <c r="BN190" s="210"/>
      <c r="BO190" s="210"/>
      <c r="BP190" s="210"/>
      <c r="BQ190" s="210"/>
      <c r="BR190" s="210"/>
      <c r="BS190" s="210"/>
      <c r="BT190" s="210"/>
      <c r="BU190" s="210"/>
      <c r="BV190" s="210"/>
      <c r="BW190" s="210"/>
      <c r="BX190" s="210"/>
      <c r="BY190" s="210"/>
      <c r="BZ190" s="210"/>
      <c r="CA190" s="210"/>
      <c r="CB190" s="210"/>
      <c r="CC190" s="210"/>
      <c r="CD190" s="210"/>
      <c r="CE190" s="210"/>
      <c r="CF190" s="210"/>
      <c r="CG190" s="210"/>
      <c r="CH190" s="210"/>
      <c r="CI190" s="210"/>
      <c r="CJ190" s="210"/>
      <c r="CK190" s="210"/>
      <c r="CL190" s="210"/>
      <c r="CM190" s="210"/>
      <c r="CN190" s="210"/>
      <c r="CO190" s="210"/>
      <c r="CP190" s="210"/>
      <c r="CQ190" s="210"/>
      <c r="CR190" s="210"/>
      <c r="CS190" s="210"/>
      <c r="CT190" s="210"/>
      <c r="CU190" s="210"/>
      <c r="CV190" s="210"/>
      <c r="CW190" s="210"/>
      <c r="CX190" s="210"/>
      <c r="CY190" s="210"/>
      <c r="CZ190" s="210"/>
      <c r="DA190" s="210"/>
      <c r="DB190" s="210"/>
      <c r="DC190" s="210"/>
      <c r="DD190" s="210"/>
      <c r="DE190" s="210"/>
      <c r="DF190" s="210"/>
      <c r="DG190" s="210"/>
      <c r="DH190" s="210"/>
      <c r="DI190" s="210"/>
      <c r="DJ190" s="210"/>
      <c r="DK190" s="210"/>
      <c r="DL190" s="210"/>
      <c r="DM190" s="210"/>
      <c r="DN190" s="210"/>
      <c r="DO190" s="210"/>
      <c r="DP190" s="210"/>
      <c r="DQ190" s="210"/>
    </row>
    <row r="191" spans="1:121" s="209" customFormat="1" x14ac:dyDescent="0.25">
      <c r="A191" s="370"/>
      <c r="B191" s="228"/>
      <c r="C191" s="228"/>
      <c r="D191" s="227"/>
      <c r="E191" s="227"/>
      <c r="F191" s="227"/>
      <c r="W191" s="210"/>
      <c r="AF191" s="210"/>
      <c r="BC191" s="210"/>
      <c r="BD191" s="210"/>
      <c r="BJ191" s="210"/>
      <c r="BK191" s="210"/>
      <c r="BL191" s="210"/>
      <c r="BM191" s="210"/>
      <c r="BN191" s="210"/>
      <c r="BO191" s="210"/>
      <c r="BP191" s="210"/>
      <c r="BQ191" s="210"/>
      <c r="BR191" s="210"/>
      <c r="BS191" s="210"/>
      <c r="BT191" s="210"/>
      <c r="BU191" s="210"/>
      <c r="BV191" s="210"/>
      <c r="BW191" s="210"/>
      <c r="BX191" s="210"/>
      <c r="BY191" s="210"/>
      <c r="BZ191" s="210"/>
      <c r="CA191" s="210"/>
      <c r="CB191" s="210"/>
      <c r="CC191" s="210"/>
      <c r="CD191" s="210"/>
      <c r="CE191" s="210"/>
      <c r="CF191" s="210"/>
      <c r="CG191" s="210"/>
      <c r="CH191" s="210"/>
      <c r="CI191" s="210"/>
      <c r="CJ191" s="210"/>
      <c r="CK191" s="210"/>
      <c r="CL191" s="210"/>
      <c r="CM191" s="210"/>
      <c r="CN191" s="210"/>
      <c r="CO191" s="210"/>
      <c r="CP191" s="210"/>
      <c r="CQ191" s="210"/>
      <c r="CR191" s="210"/>
      <c r="CS191" s="210"/>
      <c r="CT191" s="210"/>
      <c r="CU191" s="210"/>
      <c r="CV191" s="210"/>
      <c r="CW191" s="210"/>
      <c r="CX191" s="210"/>
      <c r="CY191" s="210"/>
      <c r="CZ191" s="210"/>
      <c r="DA191" s="210"/>
      <c r="DB191" s="210"/>
      <c r="DC191" s="210"/>
      <c r="DD191" s="210"/>
      <c r="DE191" s="210"/>
      <c r="DF191" s="210"/>
      <c r="DG191" s="210"/>
      <c r="DH191" s="210"/>
      <c r="DI191" s="210"/>
      <c r="DJ191" s="210"/>
      <c r="DK191" s="210"/>
      <c r="DL191" s="210"/>
      <c r="DM191" s="210"/>
      <c r="DN191" s="210"/>
      <c r="DO191" s="210"/>
      <c r="DP191" s="210"/>
      <c r="DQ191" s="210"/>
    </row>
    <row r="192" spans="1:121" s="209" customFormat="1" x14ac:dyDescent="0.25">
      <c r="A192" s="370"/>
      <c r="B192" s="228"/>
      <c r="C192" s="228"/>
      <c r="D192" s="227"/>
      <c r="E192" s="227"/>
      <c r="F192" s="227"/>
      <c r="W192" s="210"/>
      <c r="AF192" s="210"/>
      <c r="BC192" s="210"/>
      <c r="BD192" s="210"/>
      <c r="BJ192" s="210"/>
      <c r="BK192" s="210"/>
      <c r="BL192" s="210"/>
      <c r="BM192" s="210"/>
      <c r="BN192" s="210"/>
      <c r="BO192" s="210"/>
      <c r="BP192" s="210"/>
      <c r="BQ192" s="210"/>
      <c r="BR192" s="210"/>
      <c r="BS192" s="210"/>
      <c r="BT192" s="210"/>
      <c r="BU192" s="210"/>
      <c r="BV192" s="210"/>
      <c r="BW192" s="210"/>
      <c r="BX192" s="210"/>
      <c r="BY192" s="210"/>
      <c r="BZ192" s="210"/>
      <c r="CA192" s="210"/>
      <c r="CB192" s="210"/>
      <c r="CC192" s="210"/>
      <c r="CD192" s="210"/>
      <c r="CE192" s="210"/>
      <c r="CF192" s="210"/>
      <c r="CG192" s="210"/>
      <c r="CH192" s="210"/>
      <c r="CI192" s="210"/>
      <c r="CJ192" s="210"/>
      <c r="CK192" s="210"/>
      <c r="CL192" s="210"/>
      <c r="CM192" s="210"/>
      <c r="CN192" s="210"/>
      <c r="CO192" s="210"/>
      <c r="CP192" s="210"/>
      <c r="CQ192" s="210"/>
      <c r="CR192" s="210"/>
      <c r="CS192" s="210"/>
      <c r="CT192" s="210"/>
      <c r="CU192" s="210"/>
      <c r="CV192" s="210"/>
      <c r="CW192" s="210"/>
      <c r="CX192" s="210"/>
      <c r="CY192" s="210"/>
      <c r="CZ192" s="210"/>
      <c r="DA192" s="210"/>
      <c r="DB192" s="210"/>
      <c r="DC192" s="210"/>
      <c r="DD192" s="210"/>
      <c r="DE192" s="210"/>
      <c r="DF192" s="210"/>
      <c r="DG192" s="210"/>
      <c r="DH192" s="210"/>
      <c r="DI192" s="210"/>
      <c r="DJ192" s="210"/>
      <c r="DK192" s="210"/>
      <c r="DL192" s="210"/>
      <c r="DM192" s="210"/>
      <c r="DN192" s="210"/>
      <c r="DO192" s="210"/>
      <c r="DP192" s="210"/>
      <c r="DQ192" s="210"/>
    </row>
    <row r="193" spans="1:121" s="209" customFormat="1" x14ac:dyDescent="0.25">
      <c r="A193" s="370"/>
      <c r="B193" s="228"/>
      <c r="C193" s="228"/>
      <c r="D193" s="227"/>
      <c r="E193" s="227"/>
      <c r="F193" s="227"/>
      <c r="W193" s="210"/>
      <c r="AF193" s="210"/>
      <c r="BC193" s="210"/>
      <c r="BD193" s="210"/>
      <c r="BJ193" s="210"/>
      <c r="BK193" s="210"/>
      <c r="BL193" s="210"/>
      <c r="BM193" s="210"/>
      <c r="BN193" s="210"/>
      <c r="BO193" s="210"/>
      <c r="BP193" s="210"/>
      <c r="BQ193" s="210"/>
      <c r="BR193" s="210"/>
      <c r="BS193" s="210"/>
      <c r="BT193" s="210"/>
      <c r="BU193" s="210"/>
      <c r="BV193" s="210"/>
      <c r="BW193" s="210"/>
      <c r="BX193" s="210"/>
      <c r="BY193" s="210"/>
      <c r="BZ193" s="210"/>
      <c r="CA193" s="210"/>
      <c r="CB193" s="210"/>
      <c r="CC193" s="210"/>
      <c r="CD193" s="210"/>
      <c r="CE193" s="210"/>
      <c r="CF193" s="210"/>
      <c r="CG193" s="210"/>
      <c r="CH193" s="210"/>
      <c r="CI193" s="210"/>
      <c r="CJ193" s="210"/>
      <c r="CK193" s="210"/>
      <c r="CL193" s="210"/>
      <c r="CM193" s="210"/>
      <c r="CN193" s="210"/>
      <c r="CO193" s="210"/>
      <c r="CP193" s="210"/>
      <c r="CQ193" s="210"/>
      <c r="CR193" s="210"/>
      <c r="CS193" s="210"/>
      <c r="CT193" s="210"/>
      <c r="CU193" s="210"/>
      <c r="CV193" s="210"/>
      <c r="CW193" s="210"/>
      <c r="CX193" s="210"/>
      <c r="CY193" s="210"/>
      <c r="CZ193" s="210"/>
      <c r="DA193" s="210"/>
      <c r="DB193" s="210"/>
      <c r="DC193" s="210"/>
      <c r="DD193" s="210"/>
      <c r="DE193" s="210"/>
      <c r="DF193" s="210"/>
      <c r="DG193" s="210"/>
      <c r="DH193" s="210"/>
      <c r="DI193" s="210"/>
      <c r="DJ193" s="210"/>
      <c r="DK193" s="210"/>
      <c r="DL193" s="210"/>
      <c r="DM193" s="210"/>
      <c r="DN193" s="210"/>
      <c r="DO193" s="210"/>
      <c r="DP193" s="210"/>
      <c r="DQ193" s="210"/>
    </row>
    <row r="194" spans="1:121" s="209" customFormat="1" x14ac:dyDescent="0.25">
      <c r="A194" s="370"/>
      <c r="B194" s="228"/>
      <c r="C194" s="228"/>
      <c r="D194" s="227"/>
      <c r="E194" s="227"/>
      <c r="F194" s="227"/>
      <c r="W194" s="210"/>
      <c r="AF194" s="210"/>
      <c r="BC194" s="210"/>
      <c r="BD194" s="210"/>
      <c r="BJ194" s="210"/>
      <c r="BK194" s="210"/>
      <c r="BL194" s="210"/>
      <c r="BM194" s="210"/>
      <c r="BN194" s="210"/>
      <c r="BO194" s="210"/>
      <c r="BP194" s="210"/>
      <c r="BQ194" s="210"/>
      <c r="BR194" s="210"/>
      <c r="BS194" s="210"/>
      <c r="BT194" s="210"/>
      <c r="BU194" s="210"/>
      <c r="BV194" s="210"/>
      <c r="BW194" s="210"/>
      <c r="BX194" s="210"/>
      <c r="BY194" s="210"/>
      <c r="BZ194" s="210"/>
      <c r="CA194" s="210"/>
      <c r="CB194" s="210"/>
      <c r="CC194" s="210"/>
      <c r="CD194" s="210"/>
      <c r="CE194" s="210"/>
      <c r="CF194" s="210"/>
      <c r="CG194" s="210"/>
      <c r="CH194" s="210"/>
      <c r="CI194" s="210"/>
      <c r="CJ194" s="210"/>
      <c r="CK194" s="210"/>
      <c r="CL194" s="210"/>
      <c r="CM194" s="210"/>
      <c r="CN194" s="210"/>
      <c r="CO194" s="210"/>
      <c r="CP194" s="210"/>
      <c r="CQ194" s="210"/>
      <c r="CR194" s="210"/>
      <c r="CS194" s="210"/>
      <c r="CT194" s="210"/>
      <c r="CU194" s="210"/>
      <c r="CV194" s="210"/>
      <c r="CW194" s="210"/>
      <c r="CX194" s="210"/>
      <c r="CY194" s="210"/>
      <c r="CZ194" s="210"/>
      <c r="DA194" s="210"/>
      <c r="DB194" s="210"/>
      <c r="DC194" s="210"/>
      <c r="DD194" s="210"/>
      <c r="DE194" s="210"/>
      <c r="DF194" s="210"/>
      <c r="DG194" s="210"/>
      <c r="DH194" s="210"/>
      <c r="DI194" s="210"/>
      <c r="DJ194" s="210"/>
      <c r="DK194" s="210"/>
      <c r="DL194" s="210"/>
      <c r="DM194" s="210"/>
      <c r="DN194" s="210"/>
      <c r="DO194" s="210"/>
      <c r="DP194" s="210"/>
      <c r="DQ194" s="210"/>
    </row>
    <row r="195" spans="1:121" s="209" customFormat="1" x14ac:dyDescent="0.25">
      <c r="A195" s="370"/>
      <c r="B195" s="228"/>
      <c r="C195" s="228"/>
      <c r="D195" s="227"/>
      <c r="E195" s="227"/>
      <c r="F195" s="227"/>
      <c r="W195" s="210"/>
      <c r="AF195" s="210"/>
      <c r="BC195" s="210"/>
      <c r="BD195" s="210"/>
      <c r="BJ195" s="210"/>
      <c r="BK195" s="210"/>
      <c r="BL195" s="210"/>
      <c r="BM195" s="210"/>
      <c r="BN195" s="210"/>
      <c r="BO195" s="210"/>
      <c r="BP195" s="210"/>
      <c r="BQ195" s="210"/>
      <c r="BR195" s="210"/>
      <c r="BS195" s="210"/>
      <c r="BT195" s="210"/>
      <c r="BU195" s="210"/>
      <c r="BV195" s="210"/>
      <c r="BW195" s="210"/>
      <c r="BX195" s="210"/>
      <c r="BY195" s="210"/>
      <c r="BZ195" s="210"/>
      <c r="CA195" s="210"/>
      <c r="CB195" s="210"/>
      <c r="CC195" s="210"/>
      <c r="CD195" s="210"/>
      <c r="CE195" s="210"/>
      <c r="CF195" s="210"/>
      <c r="CG195" s="210"/>
      <c r="CH195" s="210"/>
      <c r="CI195" s="210"/>
      <c r="CJ195" s="210"/>
      <c r="CK195" s="210"/>
      <c r="CL195" s="210"/>
      <c r="CM195" s="210"/>
      <c r="CN195" s="210"/>
      <c r="CO195" s="210"/>
      <c r="CP195" s="210"/>
      <c r="CQ195" s="210"/>
      <c r="CR195" s="210"/>
      <c r="CS195" s="210"/>
      <c r="CT195" s="210"/>
      <c r="CU195" s="210"/>
      <c r="CV195" s="210"/>
      <c r="CW195" s="210"/>
      <c r="CX195" s="210"/>
      <c r="CY195" s="210"/>
      <c r="CZ195" s="210"/>
      <c r="DA195" s="210"/>
      <c r="DB195" s="210"/>
      <c r="DC195" s="210"/>
      <c r="DD195" s="210"/>
      <c r="DE195" s="210"/>
      <c r="DF195" s="210"/>
      <c r="DG195" s="210"/>
      <c r="DH195" s="210"/>
      <c r="DI195" s="210"/>
      <c r="DJ195" s="210"/>
      <c r="DK195" s="210"/>
      <c r="DL195" s="210"/>
      <c r="DM195" s="210"/>
      <c r="DN195" s="210"/>
      <c r="DO195" s="210"/>
      <c r="DP195" s="210"/>
      <c r="DQ195" s="210"/>
    </row>
    <row r="196" spans="1:121" s="209" customFormat="1" x14ac:dyDescent="0.25">
      <c r="A196" s="370"/>
      <c r="B196" s="228"/>
      <c r="C196" s="228"/>
      <c r="D196" s="227"/>
      <c r="E196" s="227"/>
      <c r="F196" s="227"/>
      <c r="W196" s="210"/>
      <c r="AF196" s="210"/>
      <c r="BC196" s="210"/>
      <c r="BD196" s="210"/>
      <c r="BJ196" s="210"/>
      <c r="BK196" s="210"/>
      <c r="BL196" s="210"/>
      <c r="BM196" s="210"/>
      <c r="BN196" s="210"/>
      <c r="BO196" s="210"/>
      <c r="BP196" s="210"/>
      <c r="BQ196" s="210"/>
      <c r="BR196" s="210"/>
      <c r="BS196" s="210"/>
      <c r="BT196" s="210"/>
      <c r="BU196" s="210"/>
      <c r="BV196" s="210"/>
      <c r="BW196" s="210"/>
      <c r="BX196" s="210"/>
      <c r="BY196" s="210"/>
      <c r="BZ196" s="210"/>
      <c r="CA196" s="210"/>
      <c r="CB196" s="210"/>
      <c r="CC196" s="210"/>
      <c r="CD196" s="210"/>
      <c r="CE196" s="210"/>
      <c r="CF196" s="210"/>
      <c r="CG196" s="210"/>
      <c r="CH196" s="210"/>
      <c r="CI196" s="210"/>
      <c r="CJ196" s="210"/>
      <c r="CK196" s="210"/>
      <c r="CL196" s="210"/>
      <c r="CM196" s="210"/>
      <c r="CN196" s="210"/>
      <c r="CO196" s="210"/>
      <c r="CP196" s="210"/>
      <c r="CQ196" s="210"/>
      <c r="CR196" s="210"/>
      <c r="CS196" s="210"/>
      <c r="CT196" s="210"/>
      <c r="CU196" s="210"/>
      <c r="CV196" s="210"/>
      <c r="CW196" s="210"/>
      <c r="CX196" s="210"/>
      <c r="CY196" s="210"/>
      <c r="CZ196" s="210"/>
      <c r="DA196" s="210"/>
      <c r="DB196" s="210"/>
      <c r="DC196" s="210"/>
      <c r="DD196" s="210"/>
      <c r="DE196" s="210"/>
      <c r="DF196" s="210"/>
      <c r="DG196" s="210"/>
      <c r="DH196" s="210"/>
      <c r="DI196" s="210"/>
      <c r="DJ196" s="210"/>
      <c r="DK196" s="210"/>
      <c r="DL196" s="210"/>
      <c r="DM196" s="210"/>
      <c r="DN196" s="210"/>
      <c r="DO196" s="210"/>
      <c r="DP196" s="210"/>
      <c r="DQ196" s="210"/>
    </row>
    <row r="197" spans="1:121" s="209" customFormat="1" x14ac:dyDescent="0.25">
      <c r="A197" s="370"/>
      <c r="B197" s="228"/>
      <c r="C197" s="228"/>
      <c r="D197" s="227"/>
      <c r="E197" s="227"/>
      <c r="F197" s="227"/>
      <c r="W197" s="210"/>
      <c r="AF197" s="210"/>
      <c r="BC197" s="210"/>
      <c r="BD197" s="210"/>
      <c r="BJ197" s="210"/>
      <c r="BK197" s="210"/>
      <c r="BL197" s="210"/>
      <c r="BM197" s="210"/>
      <c r="BN197" s="210"/>
      <c r="BO197" s="210"/>
      <c r="BP197" s="210"/>
      <c r="BQ197" s="210"/>
      <c r="BR197" s="210"/>
      <c r="BS197" s="210"/>
      <c r="BT197" s="210"/>
      <c r="BU197" s="210"/>
      <c r="BV197" s="210"/>
      <c r="BW197" s="210"/>
      <c r="BX197" s="210"/>
      <c r="BY197" s="210"/>
      <c r="BZ197" s="210"/>
      <c r="CA197" s="210"/>
      <c r="CB197" s="210"/>
      <c r="CC197" s="210"/>
      <c r="CD197" s="210"/>
      <c r="CE197" s="210"/>
      <c r="CF197" s="210"/>
      <c r="CG197" s="210"/>
      <c r="CH197" s="210"/>
      <c r="CI197" s="210"/>
      <c r="CJ197" s="210"/>
      <c r="CK197" s="210"/>
      <c r="CL197" s="210"/>
      <c r="CM197" s="210"/>
      <c r="CN197" s="210"/>
      <c r="CO197" s="210"/>
      <c r="CP197" s="210"/>
      <c r="CQ197" s="210"/>
      <c r="CR197" s="210"/>
      <c r="CS197" s="210"/>
      <c r="CT197" s="210"/>
      <c r="CU197" s="210"/>
      <c r="CV197" s="210"/>
      <c r="CW197" s="210"/>
      <c r="CX197" s="210"/>
      <c r="CY197" s="210"/>
      <c r="CZ197" s="210"/>
      <c r="DA197" s="210"/>
      <c r="DB197" s="210"/>
      <c r="DC197" s="210"/>
      <c r="DD197" s="210"/>
      <c r="DE197" s="210"/>
      <c r="DF197" s="210"/>
      <c r="DG197" s="210"/>
      <c r="DH197" s="210"/>
      <c r="DI197" s="210"/>
      <c r="DJ197" s="210"/>
      <c r="DK197" s="210"/>
      <c r="DL197" s="210"/>
      <c r="DM197" s="210"/>
      <c r="DN197" s="210"/>
      <c r="DO197" s="210"/>
      <c r="DP197" s="210"/>
      <c r="DQ197" s="210"/>
    </row>
    <row r="198" spans="1:121" s="209" customFormat="1" x14ac:dyDescent="0.25">
      <c r="A198" s="370"/>
      <c r="B198" s="228"/>
      <c r="C198" s="228"/>
      <c r="D198" s="227"/>
      <c r="E198" s="227"/>
      <c r="F198" s="227"/>
      <c r="W198" s="210"/>
      <c r="AF198" s="210"/>
      <c r="BC198" s="210"/>
      <c r="BD198" s="210"/>
      <c r="BJ198" s="210"/>
      <c r="BK198" s="210"/>
      <c r="BL198" s="210"/>
      <c r="BM198" s="210"/>
      <c r="BN198" s="210"/>
      <c r="BO198" s="210"/>
      <c r="BP198" s="210"/>
      <c r="BQ198" s="210"/>
      <c r="BR198" s="210"/>
      <c r="BS198" s="210"/>
      <c r="BT198" s="210"/>
      <c r="BU198" s="210"/>
      <c r="BV198" s="210"/>
      <c r="BW198" s="210"/>
      <c r="BX198" s="210"/>
      <c r="BY198" s="210"/>
      <c r="BZ198" s="210"/>
      <c r="CA198" s="210"/>
      <c r="CB198" s="210"/>
      <c r="CC198" s="210"/>
      <c r="CD198" s="210"/>
      <c r="CE198" s="210"/>
      <c r="CF198" s="210"/>
      <c r="CG198" s="210"/>
      <c r="CH198" s="210"/>
      <c r="CI198" s="210"/>
      <c r="CJ198" s="210"/>
      <c r="CK198" s="210"/>
      <c r="CL198" s="210"/>
      <c r="CM198" s="210"/>
      <c r="CN198" s="210"/>
      <c r="CO198" s="210"/>
      <c r="CP198" s="210"/>
      <c r="CQ198" s="210"/>
      <c r="CR198" s="210"/>
      <c r="CS198" s="210"/>
      <c r="CT198" s="210"/>
      <c r="CU198" s="210"/>
      <c r="CV198" s="210"/>
      <c r="CW198" s="210"/>
      <c r="CX198" s="210"/>
      <c r="CY198" s="210"/>
      <c r="CZ198" s="210"/>
      <c r="DA198" s="210"/>
      <c r="DB198" s="210"/>
      <c r="DC198" s="210"/>
      <c r="DD198" s="210"/>
      <c r="DE198" s="210"/>
      <c r="DF198" s="210"/>
      <c r="DG198" s="210"/>
      <c r="DH198" s="210"/>
      <c r="DI198" s="210"/>
      <c r="DJ198" s="210"/>
      <c r="DK198" s="210"/>
      <c r="DL198" s="210"/>
      <c r="DM198" s="210"/>
      <c r="DN198" s="210"/>
      <c r="DO198" s="210"/>
      <c r="DP198" s="210"/>
      <c r="DQ198" s="210"/>
    </row>
    <row r="199" spans="1:121" s="209" customFormat="1" x14ac:dyDescent="0.25">
      <c r="A199" s="370"/>
      <c r="B199" s="228"/>
      <c r="C199" s="228"/>
      <c r="D199" s="227"/>
      <c r="E199" s="227"/>
      <c r="F199" s="227"/>
      <c r="W199" s="210"/>
      <c r="AF199" s="210"/>
      <c r="BC199" s="210"/>
      <c r="BD199" s="210"/>
      <c r="BJ199" s="210"/>
      <c r="BK199" s="210"/>
      <c r="BL199" s="210"/>
      <c r="BM199" s="210"/>
      <c r="BN199" s="210"/>
      <c r="BO199" s="210"/>
      <c r="BP199" s="210"/>
      <c r="BQ199" s="210"/>
      <c r="BR199" s="210"/>
      <c r="BS199" s="210"/>
      <c r="BT199" s="210"/>
      <c r="BU199" s="210"/>
      <c r="BV199" s="210"/>
      <c r="BW199" s="210"/>
      <c r="BX199" s="210"/>
      <c r="BY199" s="210"/>
      <c r="BZ199" s="210"/>
      <c r="CA199" s="210"/>
      <c r="CB199" s="210"/>
      <c r="CC199" s="210"/>
      <c r="CD199" s="210"/>
      <c r="CE199" s="210"/>
      <c r="CF199" s="210"/>
      <c r="CG199" s="210"/>
      <c r="CH199" s="210"/>
      <c r="CI199" s="210"/>
      <c r="CJ199" s="210"/>
      <c r="CK199" s="210"/>
      <c r="CL199" s="210"/>
      <c r="CM199" s="210"/>
      <c r="CN199" s="210"/>
      <c r="CO199" s="210"/>
      <c r="CP199" s="210"/>
      <c r="CQ199" s="210"/>
      <c r="CR199" s="210"/>
      <c r="CS199" s="210"/>
      <c r="CT199" s="210"/>
      <c r="CU199" s="210"/>
      <c r="CV199" s="210"/>
      <c r="CW199" s="210"/>
      <c r="CX199" s="210"/>
      <c r="CY199" s="210"/>
      <c r="CZ199" s="210"/>
      <c r="DA199" s="210"/>
      <c r="DB199" s="210"/>
      <c r="DC199" s="210"/>
      <c r="DD199" s="210"/>
      <c r="DE199" s="210"/>
      <c r="DF199" s="210"/>
      <c r="DG199" s="210"/>
      <c r="DH199" s="210"/>
      <c r="DI199" s="210"/>
      <c r="DJ199" s="210"/>
      <c r="DK199" s="210"/>
      <c r="DL199" s="210"/>
      <c r="DM199" s="210"/>
      <c r="DN199" s="210"/>
      <c r="DO199" s="210"/>
      <c r="DP199" s="210"/>
      <c r="DQ199" s="210"/>
    </row>
    <row r="200" spans="1:121" s="209" customFormat="1" x14ac:dyDescent="0.25">
      <c r="A200" s="370"/>
      <c r="B200" s="228"/>
      <c r="C200" s="228"/>
      <c r="D200" s="227"/>
      <c r="E200" s="227"/>
      <c r="F200" s="227"/>
      <c r="W200" s="210"/>
      <c r="AF200" s="210"/>
      <c r="BC200" s="210"/>
      <c r="BD200" s="210"/>
      <c r="BJ200" s="210"/>
      <c r="BK200" s="210"/>
      <c r="BL200" s="210"/>
      <c r="BM200" s="210"/>
      <c r="BN200" s="210"/>
      <c r="BO200" s="210"/>
      <c r="BP200" s="210"/>
      <c r="BQ200" s="210"/>
      <c r="BR200" s="210"/>
      <c r="BS200" s="210"/>
      <c r="BT200" s="210"/>
      <c r="BU200" s="210"/>
      <c r="BV200" s="210"/>
      <c r="BW200" s="210"/>
      <c r="BX200" s="210"/>
      <c r="BY200" s="210"/>
      <c r="BZ200" s="210"/>
      <c r="CA200" s="210"/>
      <c r="CB200" s="210"/>
      <c r="CC200" s="210"/>
      <c r="CD200" s="210"/>
      <c r="CE200" s="210"/>
      <c r="CF200" s="210"/>
      <c r="CG200" s="210"/>
      <c r="CH200" s="210"/>
      <c r="CI200" s="210"/>
      <c r="CJ200" s="210"/>
      <c r="CK200" s="210"/>
      <c r="CL200" s="210"/>
      <c r="CM200" s="210"/>
      <c r="CN200" s="210"/>
      <c r="CO200" s="210"/>
      <c r="CP200" s="210"/>
      <c r="CQ200" s="210"/>
      <c r="CR200" s="210"/>
      <c r="CS200" s="210"/>
      <c r="CT200" s="210"/>
      <c r="CU200" s="210"/>
      <c r="CV200" s="210"/>
      <c r="CW200" s="210"/>
      <c r="CX200" s="210"/>
      <c r="CY200" s="210"/>
      <c r="CZ200" s="210"/>
      <c r="DA200" s="210"/>
      <c r="DB200" s="210"/>
      <c r="DC200" s="210"/>
      <c r="DD200" s="210"/>
      <c r="DE200" s="210"/>
      <c r="DF200" s="210"/>
      <c r="DG200" s="210"/>
      <c r="DH200" s="210"/>
      <c r="DI200" s="210"/>
      <c r="DJ200" s="210"/>
      <c r="DK200" s="210"/>
      <c r="DL200" s="210"/>
      <c r="DM200" s="210"/>
      <c r="DN200" s="210"/>
      <c r="DO200" s="210"/>
      <c r="DP200" s="210"/>
      <c r="DQ200" s="210"/>
    </row>
    <row r="201" spans="1:121" s="209" customFormat="1" x14ac:dyDescent="0.25">
      <c r="A201" s="370"/>
      <c r="B201" s="228"/>
      <c r="C201" s="228"/>
      <c r="D201" s="227"/>
      <c r="E201" s="227"/>
      <c r="F201" s="227"/>
      <c r="W201" s="210"/>
      <c r="AF201" s="210"/>
      <c r="BC201" s="210"/>
      <c r="BD201" s="210"/>
      <c r="BJ201" s="210"/>
      <c r="BK201" s="210"/>
      <c r="BL201" s="210"/>
      <c r="BM201" s="210"/>
      <c r="BN201" s="210"/>
      <c r="BO201" s="210"/>
      <c r="BP201" s="210"/>
      <c r="BQ201" s="210"/>
      <c r="BR201" s="210"/>
      <c r="BS201" s="210"/>
      <c r="BT201" s="210"/>
      <c r="BU201" s="210"/>
      <c r="BV201" s="210"/>
      <c r="BW201" s="210"/>
      <c r="BX201" s="210"/>
      <c r="BY201" s="210"/>
      <c r="BZ201" s="210"/>
      <c r="CA201" s="210"/>
      <c r="CB201" s="210"/>
      <c r="CC201" s="210"/>
      <c r="CD201" s="210"/>
      <c r="CE201" s="210"/>
      <c r="CF201" s="210"/>
      <c r="CG201" s="210"/>
      <c r="CH201" s="210"/>
      <c r="CI201" s="210"/>
      <c r="CJ201" s="210"/>
      <c r="CK201" s="210"/>
      <c r="CL201" s="210"/>
      <c r="CM201" s="210"/>
      <c r="CN201" s="210"/>
      <c r="CO201" s="210"/>
      <c r="CP201" s="210"/>
      <c r="CQ201" s="210"/>
      <c r="CR201" s="210"/>
      <c r="CS201" s="210"/>
      <c r="CT201" s="210"/>
      <c r="CU201" s="210"/>
      <c r="CV201" s="210"/>
      <c r="CW201" s="210"/>
      <c r="CX201" s="210"/>
      <c r="CY201" s="210"/>
      <c r="CZ201" s="210"/>
      <c r="DA201" s="210"/>
      <c r="DB201" s="210"/>
      <c r="DC201" s="210"/>
      <c r="DD201" s="210"/>
      <c r="DE201" s="210"/>
      <c r="DF201" s="210"/>
      <c r="DG201" s="210"/>
      <c r="DH201" s="210"/>
      <c r="DI201" s="210"/>
      <c r="DJ201" s="210"/>
      <c r="DK201" s="210"/>
      <c r="DL201" s="210"/>
      <c r="DM201" s="210"/>
      <c r="DN201" s="210"/>
      <c r="DO201" s="210"/>
      <c r="DP201" s="210"/>
      <c r="DQ201" s="210"/>
    </row>
    <row r="202" spans="1:121" s="209" customFormat="1" x14ac:dyDescent="0.25">
      <c r="A202" s="370"/>
      <c r="B202" s="228"/>
      <c r="C202" s="228"/>
      <c r="D202" s="227"/>
      <c r="E202" s="227"/>
      <c r="F202" s="227"/>
      <c r="W202" s="210"/>
      <c r="AF202" s="210"/>
      <c r="BC202" s="210"/>
      <c r="BD202" s="210"/>
      <c r="BJ202" s="210"/>
      <c r="BK202" s="210"/>
      <c r="BL202" s="210"/>
      <c r="BM202" s="210"/>
      <c r="BN202" s="210"/>
      <c r="BO202" s="210"/>
      <c r="BP202" s="210"/>
      <c r="BQ202" s="210"/>
      <c r="BR202" s="210"/>
      <c r="BS202" s="210"/>
      <c r="BT202" s="210"/>
      <c r="BU202" s="210"/>
      <c r="BV202" s="210"/>
      <c r="BW202" s="210"/>
      <c r="BX202" s="210"/>
      <c r="BY202" s="210"/>
      <c r="BZ202" s="210"/>
      <c r="CA202" s="210"/>
      <c r="CB202" s="210"/>
      <c r="CC202" s="210"/>
      <c r="CD202" s="210"/>
      <c r="CE202" s="210"/>
      <c r="CF202" s="210"/>
      <c r="CG202" s="210"/>
      <c r="CH202" s="210"/>
      <c r="CI202" s="210"/>
      <c r="CJ202" s="210"/>
      <c r="CK202" s="210"/>
      <c r="CL202" s="210"/>
      <c r="CM202" s="210"/>
      <c r="CN202" s="210"/>
      <c r="CO202" s="210"/>
      <c r="CP202" s="210"/>
      <c r="CQ202" s="210"/>
      <c r="CR202" s="210"/>
      <c r="CS202" s="210"/>
      <c r="CT202" s="210"/>
      <c r="CU202" s="210"/>
      <c r="CV202" s="210"/>
      <c r="CW202" s="210"/>
      <c r="CX202" s="210"/>
      <c r="CY202" s="210"/>
      <c r="CZ202" s="210"/>
      <c r="DA202" s="210"/>
      <c r="DB202" s="210"/>
      <c r="DC202" s="210"/>
      <c r="DD202" s="210"/>
      <c r="DE202" s="210"/>
      <c r="DF202" s="210"/>
      <c r="DG202" s="210"/>
      <c r="DH202" s="210"/>
      <c r="DI202" s="210"/>
      <c r="DJ202" s="210"/>
      <c r="DK202" s="210"/>
      <c r="DL202" s="210"/>
      <c r="DM202" s="210"/>
      <c r="DN202" s="210"/>
      <c r="DO202" s="210"/>
      <c r="DP202" s="210"/>
      <c r="DQ202" s="210"/>
    </row>
    <row r="203" spans="1:121" s="209" customFormat="1" x14ac:dyDescent="0.25">
      <c r="A203" s="370"/>
      <c r="B203" s="228"/>
      <c r="C203" s="228"/>
      <c r="D203" s="227"/>
      <c r="E203" s="227"/>
      <c r="F203" s="227"/>
      <c r="W203" s="210"/>
      <c r="AF203" s="210"/>
      <c r="BC203" s="210"/>
      <c r="BD203" s="210"/>
      <c r="BJ203" s="210"/>
      <c r="BK203" s="210"/>
      <c r="BL203" s="210"/>
      <c r="BM203" s="210"/>
      <c r="BN203" s="210"/>
      <c r="BO203" s="210"/>
      <c r="BP203" s="210"/>
      <c r="BQ203" s="210"/>
      <c r="BR203" s="210"/>
      <c r="BS203" s="210"/>
      <c r="BT203" s="210"/>
      <c r="BU203" s="210"/>
      <c r="BV203" s="210"/>
      <c r="BW203" s="210"/>
      <c r="BX203" s="210"/>
      <c r="BY203" s="210"/>
      <c r="BZ203" s="210"/>
      <c r="CA203" s="210"/>
      <c r="CB203" s="210"/>
      <c r="CC203" s="210"/>
      <c r="CD203" s="210"/>
      <c r="CE203" s="210"/>
      <c r="CF203" s="210"/>
      <c r="CG203" s="210"/>
      <c r="CH203" s="210"/>
      <c r="CI203" s="210"/>
      <c r="CJ203" s="210"/>
      <c r="CK203" s="210"/>
      <c r="CL203" s="210"/>
      <c r="CM203" s="210"/>
      <c r="CN203" s="210"/>
      <c r="CO203" s="210"/>
      <c r="CP203" s="210"/>
      <c r="CQ203" s="210"/>
      <c r="CR203" s="210"/>
      <c r="CS203" s="210"/>
      <c r="CT203" s="210"/>
      <c r="CU203" s="210"/>
      <c r="CV203" s="210"/>
      <c r="CW203" s="210"/>
      <c r="CX203" s="210"/>
      <c r="CY203" s="210"/>
      <c r="CZ203" s="210"/>
      <c r="DA203" s="210"/>
      <c r="DB203" s="210"/>
      <c r="DC203" s="210"/>
      <c r="DD203" s="210"/>
      <c r="DE203" s="210"/>
      <c r="DF203" s="210"/>
      <c r="DG203" s="210"/>
      <c r="DH203" s="210"/>
      <c r="DI203" s="210"/>
      <c r="DJ203" s="210"/>
      <c r="DK203" s="210"/>
      <c r="DL203" s="210"/>
      <c r="DM203" s="210"/>
      <c r="DN203" s="210"/>
      <c r="DO203" s="210"/>
      <c r="DP203" s="210"/>
      <c r="DQ203" s="210"/>
    </row>
    <row r="204" spans="1:121" s="209" customFormat="1" x14ac:dyDescent="0.25">
      <c r="A204" s="370"/>
      <c r="B204" s="228"/>
      <c r="C204" s="228"/>
      <c r="D204" s="227"/>
      <c r="E204" s="227"/>
      <c r="F204" s="227"/>
      <c r="W204" s="210"/>
      <c r="AF204" s="210"/>
      <c r="BC204" s="210"/>
      <c r="BD204" s="210"/>
      <c r="BJ204" s="210"/>
      <c r="BK204" s="210"/>
      <c r="BL204" s="210"/>
      <c r="BM204" s="210"/>
      <c r="BN204" s="210"/>
      <c r="BO204" s="210"/>
      <c r="BP204" s="210"/>
      <c r="BQ204" s="210"/>
      <c r="BR204" s="210"/>
      <c r="BS204" s="210"/>
      <c r="BT204" s="210"/>
      <c r="BU204" s="210"/>
      <c r="BV204" s="210"/>
      <c r="BW204" s="210"/>
      <c r="BX204" s="210"/>
      <c r="BY204" s="210"/>
      <c r="BZ204" s="210"/>
      <c r="CA204" s="210"/>
      <c r="CB204" s="210"/>
      <c r="CC204" s="210"/>
      <c r="CD204" s="210"/>
      <c r="CE204" s="210"/>
      <c r="CF204" s="210"/>
      <c r="CG204" s="210"/>
      <c r="CH204" s="210"/>
      <c r="CI204" s="210"/>
      <c r="CJ204" s="210"/>
      <c r="CK204" s="210"/>
      <c r="CL204" s="210"/>
      <c r="CM204" s="210"/>
      <c r="CN204" s="210"/>
      <c r="CO204" s="210"/>
      <c r="CP204" s="210"/>
      <c r="CQ204" s="210"/>
      <c r="CR204" s="210"/>
      <c r="CS204" s="210"/>
      <c r="CT204" s="210"/>
      <c r="CU204" s="210"/>
      <c r="CV204" s="210"/>
      <c r="CW204" s="210"/>
      <c r="CX204" s="210"/>
      <c r="CY204" s="210"/>
      <c r="CZ204" s="210"/>
      <c r="DA204" s="210"/>
      <c r="DB204" s="210"/>
      <c r="DC204" s="210"/>
      <c r="DD204" s="210"/>
      <c r="DE204" s="210"/>
      <c r="DF204" s="210"/>
      <c r="DG204" s="210"/>
      <c r="DH204" s="210"/>
      <c r="DI204" s="210"/>
      <c r="DJ204" s="210"/>
      <c r="DK204" s="210"/>
      <c r="DL204" s="210"/>
      <c r="DM204" s="210"/>
      <c r="DN204" s="210"/>
      <c r="DO204" s="210"/>
      <c r="DP204" s="210"/>
      <c r="DQ204" s="210"/>
    </row>
    <row r="205" spans="1:121" s="209" customFormat="1" x14ac:dyDescent="0.25">
      <c r="A205" s="370"/>
      <c r="B205" s="228"/>
      <c r="C205" s="228"/>
      <c r="D205" s="227"/>
      <c r="E205" s="227"/>
      <c r="F205" s="227"/>
      <c r="W205" s="210"/>
      <c r="AF205" s="210"/>
      <c r="BC205" s="210"/>
      <c r="BD205" s="210"/>
      <c r="BJ205" s="210"/>
      <c r="BK205" s="210"/>
      <c r="BL205" s="210"/>
      <c r="BM205" s="210"/>
      <c r="BN205" s="210"/>
      <c r="BO205" s="210"/>
      <c r="BP205" s="210"/>
      <c r="BQ205" s="210"/>
      <c r="BR205" s="210"/>
      <c r="BS205" s="210"/>
      <c r="BT205" s="210"/>
      <c r="BU205" s="210"/>
      <c r="BV205" s="210"/>
      <c r="BW205" s="210"/>
      <c r="BX205" s="210"/>
      <c r="BY205" s="210"/>
      <c r="BZ205" s="210"/>
      <c r="CA205" s="210"/>
      <c r="CB205" s="210"/>
      <c r="CC205" s="210"/>
      <c r="CD205" s="210"/>
      <c r="CE205" s="210"/>
      <c r="CF205" s="210"/>
      <c r="CG205" s="210"/>
      <c r="CH205" s="210"/>
      <c r="CI205" s="210"/>
      <c r="CJ205" s="210"/>
      <c r="CK205" s="210"/>
      <c r="CL205" s="210"/>
      <c r="CM205" s="210"/>
      <c r="CN205" s="210"/>
      <c r="CO205" s="210"/>
      <c r="CP205" s="210"/>
      <c r="CQ205" s="210"/>
      <c r="CR205" s="210"/>
      <c r="CS205" s="210"/>
      <c r="CT205" s="210"/>
      <c r="CU205" s="210"/>
      <c r="CV205" s="210"/>
      <c r="CW205" s="210"/>
      <c r="CX205" s="210"/>
      <c r="CY205" s="210"/>
      <c r="CZ205" s="210"/>
      <c r="DA205" s="210"/>
      <c r="DB205" s="210"/>
      <c r="DC205" s="210"/>
      <c r="DD205" s="210"/>
      <c r="DE205" s="210"/>
      <c r="DF205" s="210"/>
      <c r="DG205" s="210"/>
      <c r="DH205" s="210"/>
      <c r="DI205" s="210"/>
      <c r="DJ205" s="210"/>
      <c r="DK205" s="210"/>
      <c r="DL205" s="210"/>
      <c r="DM205" s="210"/>
      <c r="DN205" s="210"/>
      <c r="DO205" s="210"/>
      <c r="DP205" s="210"/>
      <c r="DQ205" s="210"/>
    </row>
    <row r="206" spans="1:121" s="209" customFormat="1" x14ac:dyDescent="0.25">
      <c r="A206" s="370"/>
      <c r="B206" s="228"/>
      <c r="C206" s="228"/>
      <c r="D206" s="227"/>
      <c r="E206" s="227"/>
      <c r="F206" s="227"/>
      <c r="W206" s="210"/>
      <c r="AF206" s="210"/>
      <c r="BC206" s="210"/>
      <c r="BD206" s="210"/>
      <c r="BJ206" s="210"/>
      <c r="BK206" s="210"/>
      <c r="BL206" s="210"/>
      <c r="BM206" s="210"/>
      <c r="BN206" s="210"/>
      <c r="BO206" s="210"/>
      <c r="BP206" s="210"/>
      <c r="BQ206" s="210"/>
      <c r="BR206" s="210"/>
      <c r="BS206" s="210"/>
      <c r="BT206" s="210"/>
      <c r="BU206" s="210"/>
      <c r="BV206" s="210"/>
      <c r="BW206" s="210"/>
      <c r="BX206" s="210"/>
      <c r="BY206" s="210"/>
      <c r="BZ206" s="210"/>
      <c r="CA206" s="210"/>
      <c r="CB206" s="210"/>
      <c r="CC206" s="210"/>
      <c r="CD206" s="210"/>
      <c r="CE206" s="210"/>
      <c r="CF206" s="210"/>
      <c r="CG206" s="210"/>
      <c r="CH206" s="210"/>
      <c r="CI206" s="210"/>
      <c r="CJ206" s="210"/>
      <c r="CK206" s="210"/>
      <c r="CL206" s="210"/>
      <c r="CM206" s="210"/>
      <c r="CN206" s="210"/>
      <c r="CO206" s="210"/>
      <c r="CP206" s="210"/>
      <c r="CQ206" s="210"/>
      <c r="CR206" s="210"/>
      <c r="CS206" s="210"/>
      <c r="CT206" s="210"/>
      <c r="CU206" s="210"/>
      <c r="CV206" s="210"/>
      <c r="CW206" s="210"/>
      <c r="CX206" s="210"/>
      <c r="CY206" s="210"/>
      <c r="CZ206" s="210"/>
      <c r="DA206" s="210"/>
      <c r="DB206" s="210"/>
      <c r="DC206" s="210"/>
      <c r="DD206" s="210"/>
      <c r="DE206" s="210"/>
      <c r="DF206" s="210"/>
      <c r="DG206" s="210"/>
      <c r="DH206" s="210"/>
      <c r="DI206" s="210"/>
      <c r="DJ206" s="210"/>
      <c r="DK206" s="210"/>
      <c r="DL206" s="210"/>
      <c r="DM206" s="210"/>
      <c r="DN206" s="210"/>
      <c r="DO206" s="210"/>
      <c r="DP206" s="210"/>
      <c r="DQ206" s="210"/>
    </row>
    <row r="207" spans="1:121" s="209" customFormat="1" x14ac:dyDescent="0.25">
      <c r="A207" s="370"/>
      <c r="B207" s="228"/>
      <c r="C207" s="228"/>
      <c r="D207" s="227"/>
      <c r="E207" s="227"/>
      <c r="F207" s="227"/>
      <c r="W207" s="210"/>
      <c r="AF207" s="210"/>
      <c r="BC207" s="210"/>
      <c r="BD207" s="210"/>
      <c r="BJ207" s="210"/>
      <c r="BK207" s="210"/>
      <c r="BL207" s="210"/>
      <c r="BM207" s="210"/>
      <c r="BN207" s="210"/>
      <c r="BO207" s="210"/>
      <c r="BP207" s="210"/>
      <c r="BQ207" s="210"/>
      <c r="BR207" s="210"/>
      <c r="BS207" s="210"/>
      <c r="BT207" s="210"/>
      <c r="BU207" s="210"/>
      <c r="BV207" s="210"/>
      <c r="BW207" s="210"/>
      <c r="BX207" s="210"/>
      <c r="BY207" s="210"/>
      <c r="BZ207" s="210"/>
      <c r="CA207" s="210"/>
      <c r="CB207" s="210"/>
      <c r="CC207" s="210"/>
      <c r="CD207" s="210"/>
      <c r="CE207" s="210"/>
      <c r="CF207" s="210"/>
      <c r="CG207" s="210"/>
      <c r="CH207" s="210"/>
      <c r="CI207" s="210"/>
      <c r="CJ207" s="210"/>
      <c r="CK207" s="210"/>
      <c r="CL207" s="210"/>
      <c r="CM207" s="210"/>
      <c r="CN207" s="210"/>
      <c r="CO207" s="210"/>
      <c r="CP207" s="210"/>
      <c r="CQ207" s="210"/>
      <c r="CR207" s="210"/>
      <c r="CS207" s="210"/>
      <c r="CT207" s="210"/>
      <c r="CU207" s="210"/>
      <c r="CV207" s="210"/>
      <c r="CW207" s="210"/>
      <c r="CX207" s="210"/>
      <c r="CY207" s="210"/>
      <c r="CZ207" s="210"/>
      <c r="DA207" s="210"/>
      <c r="DB207" s="210"/>
      <c r="DC207" s="210"/>
      <c r="DD207" s="210"/>
      <c r="DE207" s="210"/>
      <c r="DF207" s="210"/>
      <c r="DG207" s="210"/>
      <c r="DH207" s="210"/>
      <c r="DI207" s="210"/>
      <c r="DJ207" s="210"/>
      <c r="DK207" s="210"/>
      <c r="DL207" s="210"/>
      <c r="DM207" s="210"/>
      <c r="DN207" s="210"/>
      <c r="DO207" s="210"/>
      <c r="DP207" s="210"/>
      <c r="DQ207" s="210"/>
    </row>
    <row r="208" spans="1:121" s="209" customFormat="1" x14ac:dyDescent="0.25">
      <c r="A208" s="370"/>
      <c r="B208" s="228"/>
      <c r="C208" s="228"/>
      <c r="D208" s="227"/>
      <c r="E208" s="227"/>
      <c r="F208" s="227"/>
      <c r="W208" s="210"/>
      <c r="AF208" s="210"/>
      <c r="BC208" s="210"/>
      <c r="BD208" s="210"/>
      <c r="BJ208" s="210"/>
      <c r="BK208" s="210"/>
      <c r="BL208" s="210"/>
      <c r="BM208" s="210"/>
      <c r="BN208" s="210"/>
      <c r="BO208" s="210"/>
      <c r="BP208" s="210"/>
      <c r="BQ208" s="210"/>
      <c r="BR208" s="210"/>
      <c r="BS208" s="210"/>
      <c r="BT208" s="210"/>
      <c r="BU208" s="210"/>
      <c r="BV208" s="210"/>
      <c r="BW208" s="210"/>
      <c r="BX208" s="210"/>
      <c r="BY208" s="210"/>
      <c r="BZ208" s="210"/>
      <c r="CA208" s="210"/>
      <c r="CB208" s="210"/>
      <c r="CC208" s="210"/>
      <c r="CD208" s="210"/>
      <c r="CE208" s="210"/>
      <c r="CF208" s="210"/>
      <c r="CG208" s="210"/>
      <c r="CH208" s="210"/>
      <c r="CI208" s="210"/>
      <c r="CJ208" s="210"/>
      <c r="CK208" s="210"/>
      <c r="CL208" s="210"/>
      <c r="CM208" s="210"/>
      <c r="CN208" s="210"/>
      <c r="CO208" s="210"/>
      <c r="CP208" s="210"/>
      <c r="CQ208" s="210"/>
      <c r="CR208" s="210"/>
      <c r="CS208" s="210"/>
      <c r="CT208" s="210"/>
      <c r="CU208" s="210"/>
      <c r="CV208" s="210"/>
      <c r="CW208" s="210"/>
      <c r="CX208" s="210"/>
      <c r="CY208" s="210"/>
      <c r="CZ208" s="210"/>
      <c r="DA208" s="210"/>
      <c r="DB208" s="210"/>
      <c r="DC208" s="210"/>
      <c r="DD208" s="210"/>
      <c r="DE208" s="210"/>
      <c r="DF208" s="210"/>
      <c r="DG208" s="210"/>
      <c r="DH208" s="210"/>
      <c r="DI208" s="210"/>
      <c r="DJ208" s="210"/>
      <c r="DK208" s="210"/>
      <c r="DL208" s="210"/>
      <c r="DM208" s="210"/>
      <c r="DN208" s="210"/>
      <c r="DO208" s="210"/>
      <c r="DP208" s="210"/>
      <c r="DQ208" s="210"/>
    </row>
    <row r="209" spans="1:121" s="209" customFormat="1" x14ac:dyDescent="0.25">
      <c r="A209" s="370"/>
      <c r="B209" s="228"/>
      <c r="C209" s="228"/>
      <c r="D209" s="227"/>
      <c r="E209" s="227"/>
      <c r="F209" s="227"/>
      <c r="W209" s="210"/>
      <c r="AF209" s="210"/>
      <c r="BC209" s="210"/>
      <c r="BD209" s="210"/>
      <c r="BJ209" s="210"/>
      <c r="BK209" s="210"/>
      <c r="BL209" s="210"/>
      <c r="BM209" s="210"/>
      <c r="BN209" s="210"/>
      <c r="BO209" s="210"/>
      <c r="BP209" s="210"/>
      <c r="BQ209" s="210"/>
      <c r="BR209" s="210"/>
      <c r="BS209" s="210"/>
      <c r="BT209" s="210"/>
      <c r="BU209" s="210"/>
      <c r="BV209" s="210"/>
      <c r="BW209" s="210"/>
      <c r="BX209" s="210"/>
      <c r="BY209" s="210"/>
      <c r="BZ209" s="210"/>
      <c r="CA209" s="210"/>
      <c r="CB209" s="210"/>
      <c r="CC209" s="210"/>
      <c r="CD209" s="210"/>
      <c r="CE209" s="210"/>
      <c r="CF209" s="210"/>
      <c r="CG209" s="210"/>
      <c r="CH209" s="210"/>
      <c r="CI209" s="210"/>
      <c r="CJ209" s="210"/>
      <c r="CK209" s="210"/>
      <c r="CL209" s="210"/>
      <c r="CM209" s="210"/>
      <c r="CN209" s="210"/>
      <c r="CO209" s="210"/>
      <c r="CP209" s="210"/>
      <c r="CQ209" s="210"/>
      <c r="CR209" s="210"/>
      <c r="CS209" s="210"/>
      <c r="CT209" s="210"/>
      <c r="CU209" s="210"/>
      <c r="CV209" s="210"/>
      <c r="CW209" s="210"/>
      <c r="CX209" s="210"/>
      <c r="CY209" s="210"/>
      <c r="CZ209" s="210"/>
      <c r="DA209" s="210"/>
      <c r="DB209" s="210"/>
      <c r="DC209" s="210"/>
      <c r="DD209" s="210"/>
      <c r="DE209" s="210"/>
      <c r="DF209" s="210"/>
      <c r="DG209" s="210"/>
      <c r="DH209" s="210"/>
      <c r="DI209" s="210"/>
      <c r="DJ209" s="210"/>
      <c r="DK209" s="210"/>
      <c r="DL209" s="210"/>
      <c r="DM209" s="210"/>
      <c r="DN209" s="210"/>
      <c r="DO209" s="210"/>
      <c r="DP209" s="210"/>
      <c r="DQ209" s="210"/>
    </row>
    <row r="210" spans="1:121" s="209" customFormat="1" x14ac:dyDescent="0.25">
      <c r="A210" s="370"/>
      <c r="B210" s="228"/>
      <c r="C210" s="228"/>
      <c r="D210" s="227"/>
      <c r="E210" s="227"/>
      <c r="F210" s="227"/>
      <c r="W210" s="210"/>
      <c r="AF210" s="210"/>
      <c r="BC210" s="210"/>
      <c r="BD210" s="210"/>
      <c r="BJ210" s="210"/>
      <c r="BK210" s="210"/>
      <c r="BL210" s="210"/>
      <c r="BM210" s="210"/>
      <c r="BN210" s="210"/>
      <c r="BO210" s="210"/>
      <c r="BP210" s="210"/>
      <c r="BQ210" s="210"/>
      <c r="BR210" s="210"/>
      <c r="BS210" s="210"/>
      <c r="BT210" s="210"/>
      <c r="BU210" s="210"/>
      <c r="BV210" s="210"/>
      <c r="BW210" s="210"/>
      <c r="BX210" s="210"/>
      <c r="BY210" s="210"/>
      <c r="BZ210" s="210"/>
      <c r="CA210" s="210"/>
      <c r="CB210" s="210"/>
      <c r="CC210" s="210"/>
      <c r="CD210" s="210"/>
      <c r="CE210" s="210"/>
      <c r="CF210" s="210"/>
      <c r="CG210" s="210"/>
      <c r="CH210" s="210"/>
      <c r="CI210" s="210"/>
      <c r="CJ210" s="210"/>
      <c r="CK210" s="210"/>
      <c r="CL210" s="210"/>
      <c r="CM210" s="210"/>
      <c r="CN210" s="210"/>
      <c r="CO210" s="210"/>
      <c r="CP210" s="210"/>
      <c r="CQ210" s="210"/>
      <c r="CR210" s="210"/>
      <c r="CS210" s="210"/>
      <c r="CT210" s="210"/>
      <c r="CU210" s="210"/>
      <c r="CV210" s="210"/>
      <c r="CW210" s="210"/>
      <c r="CX210" s="210"/>
      <c r="CY210" s="210"/>
      <c r="CZ210" s="210"/>
      <c r="DA210" s="210"/>
      <c r="DB210" s="210"/>
      <c r="DC210" s="210"/>
      <c r="DD210" s="210"/>
      <c r="DE210" s="210"/>
      <c r="DF210" s="210"/>
      <c r="DG210" s="210"/>
      <c r="DH210" s="210"/>
      <c r="DI210" s="210"/>
      <c r="DJ210" s="210"/>
      <c r="DK210" s="210"/>
      <c r="DL210" s="210"/>
      <c r="DM210" s="210"/>
      <c r="DN210" s="210"/>
      <c r="DO210" s="210"/>
      <c r="DP210" s="210"/>
      <c r="DQ210" s="210"/>
    </row>
    <row r="211" spans="1:121" s="209" customFormat="1" x14ac:dyDescent="0.25">
      <c r="A211" s="370"/>
      <c r="B211" s="228"/>
      <c r="C211" s="228"/>
      <c r="D211" s="227"/>
      <c r="E211" s="227"/>
      <c r="F211" s="227"/>
      <c r="W211" s="210"/>
      <c r="AF211" s="210"/>
      <c r="BC211" s="210"/>
      <c r="BD211" s="210"/>
      <c r="BJ211" s="210"/>
      <c r="BK211" s="210"/>
      <c r="BL211" s="210"/>
      <c r="BM211" s="210"/>
      <c r="BN211" s="210"/>
      <c r="BO211" s="210"/>
      <c r="BP211" s="210"/>
      <c r="BQ211" s="210"/>
      <c r="BR211" s="210"/>
      <c r="BS211" s="210"/>
      <c r="BT211" s="210"/>
      <c r="BU211" s="210"/>
      <c r="BV211" s="210"/>
      <c r="BW211" s="210"/>
      <c r="BX211" s="210"/>
      <c r="BY211" s="210"/>
      <c r="BZ211" s="210"/>
      <c r="CA211" s="210"/>
      <c r="CB211" s="210"/>
      <c r="CC211" s="210"/>
      <c r="CD211" s="210"/>
      <c r="CE211" s="210"/>
      <c r="CF211" s="210"/>
      <c r="CG211" s="210"/>
      <c r="CH211" s="210"/>
      <c r="CI211" s="210"/>
      <c r="CJ211" s="210"/>
      <c r="CK211" s="210"/>
      <c r="CL211" s="210"/>
      <c r="CM211" s="210"/>
      <c r="CN211" s="210"/>
      <c r="CO211" s="210"/>
      <c r="CP211" s="210"/>
      <c r="CQ211" s="210"/>
      <c r="CR211" s="210"/>
      <c r="CS211" s="210"/>
      <c r="CT211" s="210"/>
      <c r="CU211" s="210"/>
      <c r="CV211" s="210"/>
      <c r="CW211" s="210"/>
      <c r="CX211" s="210"/>
      <c r="CY211" s="210"/>
      <c r="CZ211" s="210"/>
      <c r="DA211" s="210"/>
      <c r="DB211" s="210"/>
      <c r="DC211" s="210"/>
      <c r="DD211" s="210"/>
      <c r="DE211" s="210"/>
      <c r="DF211" s="210"/>
      <c r="DG211" s="210"/>
      <c r="DH211" s="210"/>
      <c r="DI211" s="210"/>
      <c r="DJ211" s="210"/>
      <c r="DK211" s="210"/>
      <c r="DL211" s="210"/>
      <c r="DM211" s="210"/>
      <c r="DN211" s="210"/>
      <c r="DO211" s="210"/>
      <c r="DP211" s="210"/>
      <c r="DQ211" s="210"/>
    </row>
    <row r="212" spans="1:121" s="209" customFormat="1" x14ac:dyDescent="0.25">
      <c r="A212" s="370"/>
      <c r="B212" s="228"/>
      <c r="C212" s="228"/>
      <c r="D212" s="227"/>
      <c r="E212" s="227"/>
      <c r="F212" s="227"/>
      <c r="W212" s="210"/>
      <c r="AF212" s="210"/>
      <c r="BC212" s="210"/>
      <c r="BD212" s="210"/>
      <c r="BJ212" s="210"/>
      <c r="BK212" s="210"/>
      <c r="BL212" s="210"/>
      <c r="BM212" s="210"/>
      <c r="BN212" s="210"/>
      <c r="BO212" s="210"/>
      <c r="BP212" s="210"/>
      <c r="BQ212" s="210"/>
      <c r="BR212" s="210"/>
      <c r="BS212" s="210"/>
      <c r="BT212" s="210"/>
      <c r="BU212" s="210"/>
      <c r="BV212" s="210"/>
      <c r="BW212" s="210"/>
      <c r="BX212" s="210"/>
      <c r="BY212" s="210"/>
      <c r="BZ212" s="210"/>
      <c r="CA212" s="210"/>
      <c r="CB212" s="210"/>
      <c r="CC212" s="210"/>
      <c r="CD212" s="210"/>
      <c r="CE212" s="210"/>
      <c r="CF212" s="210"/>
      <c r="CG212" s="210"/>
      <c r="CH212" s="210"/>
      <c r="CI212" s="210"/>
      <c r="CJ212" s="210"/>
      <c r="CK212" s="210"/>
      <c r="CL212" s="210"/>
      <c r="CM212" s="210"/>
      <c r="CN212" s="210"/>
      <c r="CO212" s="210"/>
      <c r="CP212" s="210"/>
      <c r="CQ212" s="210"/>
      <c r="CR212" s="210"/>
      <c r="CS212" s="210"/>
      <c r="CT212" s="210"/>
      <c r="CU212" s="210"/>
      <c r="CV212" s="210"/>
      <c r="CW212" s="210"/>
      <c r="CX212" s="210"/>
      <c r="CY212" s="210"/>
      <c r="CZ212" s="210"/>
      <c r="DA212" s="210"/>
      <c r="DB212" s="210"/>
      <c r="DC212" s="210"/>
      <c r="DD212" s="210"/>
      <c r="DE212" s="210"/>
      <c r="DF212" s="210"/>
      <c r="DG212" s="210"/>
      <c r="DH212" s="210"/>
      <c r="DI212" s="210"/>
      <c r="DJ212" s="210"/>
      <c r="DK212" s="210"/>
      <c r="DL212" s="210"/>
      <c r="DM212" s="210"/>
      <c r="DN212" s="210"/>
      <c r="DO212" s="210"/>
      <c r="DP212" s="210"/>
      <c r="DQ212" s="210"/>
    </row>
    <row r="213" spans="1:121" s="209" customFormat="1" x14ac:dyDescent="0.25">
      <c r="A213" s="370"/>
      <c r="B213" s="228"/>
      <c r="C213" s="228"/>
      <c r="D213" s="227"/>
      <c r="E213" s="227"/>
      <c r="F213" s="227"/>
      <c r="W213" s="210"/>
      <c r="AF213" s="210"/>
      <c r="BC213" s="210"/>
      <c r="BD213" s="210"/>
      <c r="BJ213" s="210"/>
      <c r="BK213" s="210"/>
      <c r="BL213" s="210"/>
      <c r="BM213" s="210"/>
      <c r="BN213" s="210"/>
      <c r="BO213" s="210"/>
      <c r="BP213" s="210"/>
      <c r="BQ213" s="210"/>
      <c r="BR213" s="210"/>
      <c r="BS213" s="210"/>
      <c r="BT213" s="210"/>
      <c r="BU213" s="210"/>
      <c r="BV213" s="210"/>
      <c r="BW213" s="210"/>
      <c r="BX213" s="210"/>
      <c r="BY213" s="210"/>
      <c r="BZ213" s="210"/>
      <c r="CA213" s="210"/>
      <c r="CB213" s="210"/>
      <c r="CC213" s="210"/>
      <c r="CD213" s="210"/>
      <c r="CE213" s="210"/>
      <c r="CF213" s="210"/>
      <c r="CG213" s="210"/>
      <c r="CH213" s="210"/>
      <c r="CI213" s="210"/>
      <c r="CJ213" s="210"/>
      <c r="CK213" s="210"/>
      <c r="CL213" s="210"/>
      <c r="CM213" s="210"/>
      <c r="CN213" s="210"/>
      <c r="CO213" s="210"/>
      <c r="CP213" s="210"/>
      <c r="CQ213" s="210"/>
      <c r="CR213" s="210"/>
      <c r="CS213" s="210"/>
      <c r="CT213" s="210"/>
      <c r="CU213" s="210"/>
      <c r="CV213" s="210"/>
      <c r="CW213" s="210"/>
      <c r="CX213" s="210"/>
      <c r="CY213" s="210"/>
      <c r="CZ213" s="210"/>
      <c r="DA213" s="210"/>
      <c r="DB213" s="210"/>
      <c r="DC213" s="210"/>
      <c r="DD213" s="210"/>
      <c r="DE213" s="210"/>
      <c r="DF213" s="210"/>
      <c r="DG213" s="210"/>
      <c r="DH213" s="210"/>
      <c r="DI213" s="210"/>
      <c r="DJ213" s="210"/>
      <c r="DK213" s="210"/>
      <c r="DL213" s="210"/>
      <c r="DM213" s="210"/>
      <c r="DN213" s="210"/>
      <c r="DO213" s="210"/>
      <c r="DP213" s="210"/>
      <c r="DQ213" s="210"/>
    </row>
    <row r="214" spans="1:121" s="209" customFormat="1" x14ac:dyDescent="0.25">
      <c r="A214" s="370"/>
      <c r="B214" s="228"/>
      <c r="C214" s="228"/>
      <c r="D214" s="227"/>
      <c r="E214" s="227"/>
      <c r="F214" s="227"/>
      <c r="W214" s="210"/>
      <c r="AF214" s="210"/>
      <c r="BC214" s="210"/>
      <c r="BD214" s="210"/>
      <c r="BJ214" s="210"/>
      <c r="BK214" s="210"/>
      <c r="BL214" s="210"/>
      <c r="BM214" s="210"/>
      <c r="BN214" s="210"/>
      <c r="BO214" s="210"/>
      <c r="BP214" s="210"/>
      <c r="BQ214" s="210"/>
      <c r="BR214" s="210"/>
      <c r="BS214" s="210"/>
      <c r="BT214" s="210"/>
      <c r="BU214" s="210"/>
      <c r="BV214" s="210"/>
      <c r="BW214" s="210"/>
      <c r="BX214" s="210"/>
      <c r="BY214" s="210"/>
      <c r="BZ214" s="210"/>
      <c r="CA214" s="210"/>
      <c r="CB214" s="210"/>
      <c r="CC214" s="210"/>
      <c r="CD214" s="210"/>
      <c r="CE214" s="210"/>
      <c r="CF214" s="210"/>
      <c r="CG214" s="210"/>
      <c r="CH214" s="210"/>
      <c r="CI214" s="210"/>
      <c r="CJ214" s="210"/>
      <c r="CK214" s="210"/>
      <c r="CL214" s="210"/>
      <c r="CM214" s="210"/>
      <c r="CN214" s="210"/>
      <c r="CO214" s="210"/>
      <c r="CP214" s="210"/>
      <c r="CQ214" s="210"/>
      <c r="CR214" s="210"/>
      <c r="CS214" s="210"/>
      <c r="CT214" s="210"/>
      <c r="CU214" s="210"/>
      <c r="CV214" s="210"/>
      <c r="CW214" s="210"/>
      <c r="CX214" s="210"/>
      <c r="CY214" s="210"/>
      <c r="CZ214" s="210"/>
      <c r="DA214" s="210"/>
      <c r="DB214" s="210"/>
      <c r="DC214" s="210"/>
      <c r="DD214" s="210"/>
      <c r="DE214" s="210"/>
      <c r="DF214" s="210"/>
      <c r="DG214" s="210"/>
      <c r="DH214" s="210"/>
      <c r="DI214" s="210"/>
      <c r="DJ214" s="210"/>
      <c r="DK214" s="210"/>
      <c r="DL214" s="210"/>
      <c r="DM214" s="210"/>
      <c r="DN214" s="210"/>
      <c r="DO214" s="210"/>
      <c r="DP214" s="210"/>
      <c r="DQ214" s="210"/>
    </row>
    <row r="215" spans="1:121" s="209" customFormat="1" x14ac:dyDescent="0.25">
      <c r="A215" s="370"/>
      <c r="B215" s="228"/>
      <c r="C215" s="228"/>
      <c r="D215" s="227"/>
      <c r="E215" s="227"/>
      <c r="F215" s="227"/>
      <c r="W215" s="210"/>
      <c r="AF215" s="210"/>
      <c r="BC215" s="210"/>
      <c r="BD215" s="210"/>
      <c r="BJ215" s="210"/>
      <c r="BK215" s="210"/>
      <c r="BL215" s="210"/>
      <c r="BM215" s="210"/>
      <c r="BN215" s="210"/>
      <c r="BO215" s="210"/>
      <c r="BP215" s="210"/>
      <c r="BQ215" s="210"/>
      <c r="BR215" s="210"/>
      <c r="BS215" s="210"/>
      <c r="BT215" s="210"/>
      <c r="BU215" s="210"/>
      <c r="BV215" s="210"/>
      <c r="BW215" s="210"/>
      <c r="BX215" s="210"/>
      <c r="BY215" s="210"/>
      <c r="BZ215" s="210"/>
      <c r="CA215" s="210"/>
      <c r="CB215" s="210"/>
      <c r="CC215" s="210"/>
      <c r="CD215" s="210"/>
      <c r="CE215" s="210"/>
      <c r="CF215" s="210"/>
      <c r="CG215" s="210"/>
      <c r="CH215" s="210"/>
      <c r="CI215" s="210"/>
      <c r="CJ215" s="210"/>
      <c r="CK215" s="210"/>
      <c r="CL215" s="210"/>
      <c r="CM215" s="210"/>
      <c r="CN215" s="210"/>
      <c r="CO215" s="210"/>
      <c r="CP215" s="210"/>
      <c r="CQ215" s="210"/>
      <c r="CR215" s="210"/>
      <c r="CS215" s="210"/>
      <c r="CT215" s="210"/>
      <c r="CU215" s="210"/>
      <c r="CV215" s="210"/>
      <c r="CW215" s="210"/>
      <c r="CX215" s="210"/>
      <c r="CY215" s="210"/>
      <c r="CZ215" s="210"/>
      <c r="DA215" s="210"/>
      <c r="DB215" s="210"/>
      <c r="DC215" s="210"/>
      <c r="DD215" s="210"/>
      <c r="DE215" s="210"/>
      <c r="DF215" s="210"/>
      <c r="DG215" s="210"/>
      <c r="DH215" s="210"/>
      <c r="DI215" s="210"/>
      <c r="DJ215" s="210"/>
      <c r="DK215" s="210"/>
      <c r="DL215" s="210"/>
      <c r="DM215" s="210"/>
      <c r="DN215" s="210"/>
      <c r="DO215" s="210"/>
      <c r="DP215" s="210"/>
      <c r="DQ215" s="210"/>
    </row>
    <row r="216" spans="1:121" s="209" customFormat="1" x14ac:dyDescent="0.25">
      <c r="A216" s="370"/>
      <c r="B216" s="228"/>
      <c r="C216" s="228"/>
      <c r="D216" s="227"/>
      <c r="E216" s="227"/>
      <c r="F216" s="227"/>
      <c r="W216" s="210"/>
      <c r="AF216" s="210"/>
      <c r="BC216" s="210"/>
      <c r="BD216" s="210"/>
      <c r="BJ216" s="210"/>
      <c r="BK216" s="210"/>
      <c r="BL216" s="210"/>
      <c r="BM216" s="210"/>
      <c r="BN216" s="210"/>
      <c r="BO216" s="210"/>
      <c r="BP216" s="210"/>
      <c r="BQ216" s="210"/>
      <c r="BR216" s="210"/>
      <c r="BS216" s="210"/>
      <c r="BT216" s="210"/>
      <c r="BU216" s="210"/>
      <c r="BV216" s="210"/>
      <c r="BW216" s="210"/>
      <c r="BX216" s="210"/>
      <c r="BY216" s="210"/>
      <c r="BZ216" s="210"/>
      <c r="CA216" s="210"/>
      <c r="CB216" s="210"/>
      <c r="CC216" s="210"/>
      <c r="CD216" s="210"/>
      <c r="CE216" s="210"/>
      <c r="CF216" s="210"/>
      <c r="CG216" s="210"/>
      <c r="CH216" s="210"/>
      <c r="CI216" s="210"/>
      <c r="CJ216" s="210"/>
      <c r="CK216" s="210"/>
      <c r="CL216" s="210"/>
      <c r="CM216" s="210"/>
      <c r="CN216" s="210"/>
      <c r="CO216" s="210"/>
      <c r="CP216" s="210"/>
      <c r="CQ216" s="210"/>
      <c r="CR216" s="210"/>
      <c r="CS216" s="210"/>
      <c r="CT216" s="210"/>
      <c r="CU216" s="210"/>
      <c r="CV216" s="210"/>
      <c r="CW216" s="210"/>
      <c r="CX216" s="210"/>
      <c r="CY216" s="210"/>
      <c r="CZ216" s="210"/>
      <c r="DA216" s="210"/>
      <c r="DB216" s="210"/>
      <c r="DC216" s="210"/>
      <c r="DD216" s="210"/>
      <c r="DE216" s="210"/>
      <c r="DF216" s="210"/>
      <c r="DG216" s="210"/>
      <c r="DH216" s="210"/>
      <c r="DI216" s="210"/>
      <c r="DJ216" s="210"/>
      <c r="DK216" s="210"/>
      <c r="DL216" s="210"/>
      <c r="DM216" s="210"/>
      <c r="DN216" s="210"/>
      <c r="DO216" s="210"/>
      <c r="DP216" s="210"/>
      <c r="DQ216" s="210"/>
    </row>
    <row r="217" spans="1:121" s="209" customFormat="1" x14ac:dyDescent="0.25">
      <c r="A217" s="370"/>
      <c r="B217" s="228"/>
      <c r="C217" s="228"/>
      <c r="D217" s="227"/>
      <c r="E217" s="227"/>
      <c r="F217" s="227"/>
      <c r="W217" s="210"/>
      <c r="AF217" s="210"/>
      <c r="BC217" s="210"/>
      <c r="BD217" s="210"/>
      <c r="BJ217" s="210"/>
      <c r="BK217" s="210"/>
      <c r="BL217" s="210"/>
      <c r="BM217" s="210"/>
      <c r="BN217" s="210"/>
      <c r="BO217" s="210"/>
      <c r="BP217" s="210"/>
      <c r="BQ217" s="210"/>
      <c r="BR217" s="210"/>
      <c r="BS217" s="210"/>
      <c r="BT217" s="210"/>
      <c r="BU217" s="210"/>
      <c r="BV217" s="210"/>
      <c r="BW217" s="210"/>
      <c r="BX217" s="210"/>
      <c r="BY217" s="210"/>
      <c r="BZ217" s="210"/>
      <c r="CA217" s="210"/>
      <c r="CB217" s="210"/>
      <c r="CC217" s="210"/>
      <c r="CD217" s="210"/>
      <c r="CE217" s="210"/>
      <c r="CF217" s="210"/>
      <c r="CG217" s="210"/>
      <c r="CH217" s="210"/>
      <c r="CI217" s="210"/>
      <c r="CJ217" s="210"/>
      <c r="CK217" s="210"/>
      <c r="CL217" s="210"/>
      <c r="CM217" s="210"/>
      <c r="CN217" s="210"/>
      <c r="CO217" s="210"/>
      <c r="CP217" s="210"/>
      <c r="CQ217" s="210"/>
      <c r="CR217" s="210"/>
      <c r="CS217" s="210"/>
      <c r="CT217" s="210"/>
      <c r="CU217" s="210"/>
      <c r="CV217" s="210"/>
      <c r="CW217" s="210"/>
      <c r="CX217" s="210"/>
      <c r="CY217" s="210"/>
      <c r="CZ217" s="210"/>
      <c r="DA217" s="210"/>
      <c r="DB217" s="210"/>
      <c r="DC217" s="210"/>
      <c r="DD217" s="210"/>
      <c r="DE217" s="210"/>
      <c r="DF217" s="210"/>
      <c r="DG217" s="210"/>
      <c r="DH217" s="210"/>
      <c r="DI217" s="210"/>
      <c r="DJ217" s="210"/>
      <c r="DK217" s="210"/>
      <c r="DL217" s="210"/>
      <c r="DM217" s="210"/>
      <c r="DN217" s="210"/>
      <c r="DO217" s="210"/>
      <c r="DP217" s="210"/>
      <c r="DQ217" s="210"/>
    </row>
    <row r="218" spans="1:121" s="209" customFormat="1" x14ac:dyDescent="0.25">
      <c r="A218" s="370"/>
      <c r="B218" s="228"/>
      <c r="C218" s="228"/>
      <c r="D218" s="227"/>
      <c r="E218" s="227"/>
      <c r="F218" s="227"/>
      <c r="W218" s="210"/>
      <c r="AF218" s="210"/>
      <c r="BC218" s="210"/>
      <c r="BD218" s="210"/>
      <c r="BJ218" s="210"/>
      <c r="BK218" s="210"/>
      <c r="BL218" s="210"/>
      <c r="BM218" s="210"/>
      <c r="BN218" s="210"/>
      <c r="BO218" s="210"/>
      <c r="BP218" s="210"/>
      <c r="BQ218" s="210"/>
      <c r="BR218" s="210"/>
      <c r="BS218" s="210"/>
      <c r="BT218" s="210"/>
      <c r="BU218" s="210"/>
      <c r="BV218" s="210"/>
      <c r="BW218" s="210"/>
      <c r="BX218" s="210"/>
      <c r="BY218" s="210"/>
      <c r="BZ218" s="210"/>
      <c r="CA218" s="210"/>
      <c r="CB218" s="210"/>
      <c r="CC218" s="210"/>
      <c r="CD218" s="210"/>
      <c r="CE218" s="210"/>
      <c r="CF218" s="210"/>
      <c r="CG218" s="210"/>
      <c r="CH218" s="210"/>
      <c r="CI218" s="210"/>
      <c r="CJ218" s="210"/>
      <c r="CK218" s="210"/>
      <c r="CL218" s="210"/>
      <c r="CM218" s="210"/>
      <c r="CN218" s="210"/>
      <c r="CO218" s="210"/>
      <c r="CP218" s="210"/>
      <c r="CQ218" s="210"/>
      <c r="CR218" s="210"/>
      <c r="CS218" s="210"/>
      <c r="CT218" s="210"/>
      <c r="CU218" s="210"/>
      <c r="CV218" s="210"/>
      <c r="CW218" s="210"/>
      <c r="CX218" s="210"/>
      <c r="CY218" s="210"/>
      <c r="CZ218" s="210"/>
      <c r="DA218" s="210"/>
      <c r="DB218" s="210"/>
      <c r="DC218" s="210"/>
      <c r="DD218" s="210"/>
      <c r="DE218" s="210"/>
      <c r="DF218" s="210"/>
      <c r="DG218" s="210"/>
      <c r="DH218" s="210"/>
      <c r="DI218" s="210"/>
      <c r="DJ218" s="210"/>
      <c r="DK218" s="210"/>
      <c r="DL218" s="210"/>
      <c r="DM218" s="210"/>
      <c r="DN218" s="210"/>
      <c r="DO218" s="210"/>
      <c r="DP218" s="210"/>
      <c r="DQ218" s="210"/>
    </row>
    <row r="219" spans="1:121" s="209" customFormat="1" x14ac:dyDescent="0.25">
      <c r="A219" s="370"/>
      <c r="B219" s="228"/>
      <c r="C219" s="228"/>
      <c r="D219" s="227"/>
      <c r="E219" s="227"/>
      <c r="F219" s="227"/>
      <c r="W219" s="210"/>
      <c r="AF219" s="210"/>
      <c r="BC219" s="210"/>
      <c r="BD219" s="210"/>
      <c r="BJ219" s="210"/>
      <c r="BK219" s="210"/>
      <c r="BL219" s="210"/>
      <c r="BM219" s="210"/>
      <c r="BN219" s="210"/>
      <c r="BO219" s="210"/>
      <c r="BP219" s="210"/>
      <c r="BQ219" s="210"/>
      <c r="BR219" s="210"/>
      <c r="BS219" s="210"/>
      <c r="BT219" s="210"/>
      <c r="BU219" s="210"/>
      <c r="BV219" s="210"/>
      <c r="BW219" s="210"/>
      <c r="BX219" s="210"/>
      <c r="BY219" s="210"/>
      <c r="BZ219" s="210"/>
      <c r="CA219" s="210"/>
      <c r="CB219" s="210"/>
      <c r="CC219" s="210"/>
      <c r="CD219" s="210"/>
      <c r="CE219" s="210"/>
      <c r="CF219" s="210"/>
      <c r="CG219" s="210"/>
      <c r="CH219" s="210"/>
      <c r="CI219" s="210"/>
      <c r="CJ219" s="210"/>
      <c r="CK219" s="210"/>
      <c r="CL219" s="210"/>
      <c r="CM219" s="210"/>
      <c r="CN219" s="210"/>
      <c r="CO219" s="210"/>
      <c r="CP219" s="210"/>
      <c r="CQ219" s="210"/>
      <c r="CR219" s="210"/>
      <c r="CS219" s="210"/>
      <c r="CT219" s="210"/>
      <c r="CU219" s="210"/>
      <c r="CV219" s="210"/>
      <c r="CW219" s="210"/>
      <c r="CX219" s="210"/>
      <c r="CY219" s="210"/>
      <c r="CZ219" s="210"/>
      <c r="DA219" s="210"/>
      <c r="DB219" s="210"/>
      <c r="DC219" s="210"/>
      <c r="DD219" s="210"/>
      <c r="DE219" s="210"/>
      <c r="DF219" s="210"/>
      <c r="DG219" s="210"/>
      <c r="DH219" s="210"/>
      <c r="DI219" s="210"/>
      <c r="DJ219" s="210"/>
      <c r="DK219" s="210"/>
      <c r="DL219" s="210"/>
      <c r="DM219" s="210"/>
      <c r="DN219" s="210"/>
      <c r="DO219" s="210"/>
      <c r="DP219" s="210"/>
      <c r="DQ219" s="210"/>
    </row>
    <row r="220" spans="1:121" s="209" customFormat="1" x14ac:dyDescent="0.25">
      <c r="A220" s="370"/>
      <c r="B220" s="228"/>
      <c r="C220" s="228"/>
      <c r="D220" s="227"/>
      <c r="E220" s="227"/>
      <c r="F220" s="227"/>
      <c r="W220" s="210"/>
      <c r="AF220" s="210"/>
      <c r="BC220" s="210"/>
      <c r="BD220" s="210"/>
      <c r="BJ220" s="210"/>
      <c r="BK220" s="210"/>
      <c r="BL220" s="210"/>
      <c r="BM220" s="210"/>
      <c r="BN220" s="210"/>
      <c r="BO220" s="210"/>
      <c r="BP220" s="210"/>
      <c r="BQ220" s="210"/>
      <c r="BR220" s="210"/>
      <c r="BS220" s="210"/>
      <c r="BT220" s="210"/>
      <c r="BU220" s="210"/>
      <c r="BV220" s="210"/>
      <c r="BW220" s="210"/>
      <c r="BX220" s="210"/>
      <c r="BY220" s="210"/>
      <c r="BZ220" s="210"/>
      <c r="CA220" s="210"/>
      <c r="CB220" s="210"/>
      <c r="CC220" s="210"/>
      <c r="CD220" s="210"/>
      <c r="CE220" s="210"/>
      <c r="CF220" s="210"/>
      <c r="CG220" s="210"/>
      <c r="CH220" s="210"/>
      <c r="CI220" s="210"/>
      <c r="CJ220" s="210"/>
      <c r="CK220" s="210"/>
      <c r="CL220" s="210"/>
      <c r="CM220" s="210"/>
      <c r="CN220" s="210"/>
      <c r="CO220" s="210"/>
      <c r="CP220" s="210"/>
      <c r="CQ220" s="210"/>
      <c r="CR220" s="210"/>
      <c r="CS220" s="210"/>
      <c r="CT220" s="210"/>
      <c r="CU220" s="210"/>
      <c r="CV220" s="210"/>
      <c r="CW220" s="210"/>
      <c r="CX220" s="210"/>
      <c r="CY220" s="210"/>
      <c r="CZ220" s="210"/>
      <c r="DA220" s="210"/>
      <c r="DB220" s="210"/>
      <c r="DC220" s="210"/>
      <c r="DD220" s="210"/>
      <c r="DE220" s="210"/>
      <c r="DF220" s="210"/>
      <c r="DG220" s="210"/>
      <c r="DH220" s="210"/>
      <c r="DI220" s="210"/>
      <c r="DJ220" s="210"/>
      <c r="DK220" s="210"/>
      <c r="DL220" s="210"/>
      <c r="DM220" s="210"/>
      <c r="DN220" s="210"/>
      <c r="DO220" s="210"/>
      <c r="DP220" s="210"/>
      <c r="DQ220" s="210"/>
    </row>
    <row r="221" spans="1:121" s="209" customFormat="1" x14ac:dyDescent="0.25">
      <c r="A221" s="370"/>
      <c r="B221" s="228"/>
      <c r="C221" s="228"/>
      <c r="D221" s="227"/>
      <c r="E221" s="227"/>
      <c r="F221" s="227"/>
      <c r="W221" s="210"/>
      <c r="AF221" s="210"/>
      <c r="BC221" s="210"/>
      <c r="BD221" s="210"/>
      <c r="BJ221" s="210"/>
      <c r="BK221" s="210"/>
      <c r="BL221" s="210"/>
      <c r="BM221" s="210"/>
      <c r="BN221" s="210"/>
      <c r="BO221" s="210"/>
      <c r="BP221" s="210"/>
      <c r="BQ221" s="210"/>
      <c r="BR221" s="210"/>
      <c r="BS221" s="210"/>
      <c r="BT221" s="210"/>
      <c r="BU221" s="210"/>
      <c r="BV221" s="210"/>
      <c r="BW221" s="210"/>
      <c r="BX221" s="210"/>
      <c r="BY221" s="210"/>
      <c r="BZ221" s="210"/>
      <c r="CA221" s="210"/>
      <c r="CB221" s="210"/>
      <c r="CC221" s="210"/>
      <c r="CD221" s="210"/>
      <c r="CE221" s="210"/>
      <c r="CF221" s="210"/>
      <c r="CG221" s="210"/>
      <c r="CH221" s="210"/>
      <c r="CI221" s="210"/>
      <c r="CJ221" s="210"/>
      <c r="CK221" s="210"/>
      <c r="CL221" s="210"/>
      <c r="CM221" s="210"/>
      <c r="CN221" s="210"/>
      <c r="CO221" s="210"/>
      <c r="CP221" s="210"/>
      <c r="CQ221" s="210"/>
      <c r="CR221" s="210"/>
      <c r="CS221" s="210"/>
      <c r="CT221" s="210"/>
      <c r="CU221" s="210"/>
      <c r="CV221" s="210"/>
      <c r="CW221" s="210"/>
      <c r="CX221" s="210"/>
      <c r="CY221" s="210"/>
      <c r="CZ221" s="210"/>
      <c r="DA221" s="210"/>
      <c r="DB221" s="210"/>
      <c r="DC221" s="210"/>
      <c r="DD221" s="210"/>
      <c r="DE221" s="210"/>
      <c r="DF221" s="210"/>
      <c r="DG221" s="210"/>
      <c r="DH221" s="210"/>
      <c r="DI221" s="210"/>
      <c r="DJ221" s="210"/>
      <c r="DK221" s="210"/>
      <c r="DL221" s="210"/>
      <c r="DM221" s="210"/>
      <c r="DN221" s="210"/>
      <c r="DO221" s="210"/>
      <c r="DP221" s="210"/>
      <c r="DQ221" s="210"/>
    </row>
    <row r="222" spans="1:121" s="209" customFormat="1" x14ac:dyDescent="0.25">
      <c r="A222" s="370"/>
      <c r="B222" s="228"/>
      <c r="C222" s="228"/>
      <c r="D222" s="227"/>
      <c r="E222" s="227"/>
      <c r="F222" s="227"/>
      <c r="W222" s="210"/>
      <c r="AF222" s="210"/>
      <c r="BC222" s="210"/>
      <c r="BD222" s="210"/>
      <c r="BJ222" s="210"/>
      <c r="BK222" s="210"/>
      <c r="BL222" s="210"/>
      <c r="BM222" s="210"/>
      <c r="BN222" s="210"/>
      <c r="BO222" s="210"/>
      <c r="BP222" s="210"/>
      <c r="BQ222" s="210"/>
      <c r="BR222" s="210"/>
      <c r="BS222" s="210"/>
      <c r="BT222" s="210"/>
      <c r="BU222" s="210"/>
      <c r="BV222" s="210"/>
      <c r="BW222" s="210"/>
      <c r="BX222" s="210"/>
      <c r="BY222" s="210"/>
      <c r="BZ222" s="210"/>
      <c r="CA222" s="210"/>
      <c r="CB222" s="210"/>
      <c r="CC222" s="210"/>
      <c r="CD222" s="210"/>
      <c r="CE222" s="210"/>
      <c r="CF222" s="210"/>
      <c r="CG222" s="210"/>
      <c r="CH222" s="210"/>
      <c r="CI222" s="210"/>
      <c r="CJ222" s="210"/>
      <c r="CK222" s="210"/>
      <c r="CL222" s="210"/>
      <c r="CM222" s="210"/>
      <c r="CN222" s="210"/>
      <c r="CO222" s="210"/>
      <c r="CP222" s="210"/>
      <c r="CQ222" s="210"/>
      <c r="CR222" s="210"/>
      <c r="CS222" s="210"/>
      <c r="CT222" s="210"/>
      <c r="CU222" s="210"/>
      <c r="CV222" s="210"/>
      <c r="CW222" s="210"/>
      <c r="CX222" s="210"/>
      <c r="CY222" s="210"/>
      <c r="CZ222" s="210"/>
      <c r="DA222" s="210"/>
      <c r="DB222" s="210"/>
      <c r="DC222" s="210"/>
      <c r="DD222" s="210"/>
      <c r="DE222" s="210"/>
      <c r="DF222" s="210"/>
      <c r="DG222" s="210"/>
      <c r="DH222" s="210"/>
      <c r="DI222" s="210"/>
      <c r="DJ222" s="210"/>
      <c r="DK222" s="210"/>
      <c r="DL222" s="210"/>
      <c r="DM222" s="210"/>
      <c r="DN222" s="210"/>
      <c r="DO222" s="210"/>
      <c r="DP222" s="210"/>
      <c r="DQ222" s="210"/>
    </row>
    <row r="223" spans="1:121" s="209" customFormat="1" x14ac:dyDescent="0.25">
      <c r="A223" s="370"/>
      <c r="B223" s="228"/>
      <c r="C223" s="228"/>
      <c r="D223" s="227"/>
      <c r="E223" s="227"/>
      <c r="F223" s="227"/>
      <c r="W223" s="210"/>
      <c r="AF223" s="210"/>
      <c r="BC223" s="210"/>
      <c r="BD223" s="210"/>
      <c r="BJ223" s="210"/>
      <c r="BK223" s="210"/>
      <c r="BL223" s="210"/>
      <c r="BM223" s="210"/>
      <c r="BN223" s="210"/>
      <c r="BO223" s="210"/>
      <c r="BP223" s="210"/>
      <c r="BQ223" s="210"/>
      <c r="BR223" s="210"/>
      <c r="BS223" s="210"/>
      <c r="BT223" s="210"/>
      <c r="BU223" s="210"/>
      <c r="BV223" s="210"/>
      <c r="BW223" s="210"/>
      <c r="BX223" s="210"/>
      <c r="BY223" s="210"/>
      <c r="BZ223" s="210"/>
      <c r="CA223" s="210"/>
      <c r="CB223" s="210"/>
      <c r="CC223" s="210"/>
      <c r="CD223" s="210"/>
      <c r="CE223" s="210"/>
      <c r="CF223" s="210"/>
      <c r="CG223" s="210"/>
      <c r="CH223" s="210"/>
      <c r="CI223" s="210"/>
      <c r="CJ223" s="210"/>
      <c r="CK223" s="210"/>
      <c r="CL223" s="210"/>
      <c r="CM223" s="210"/>
      <c r="CN223" s="210"/>
      <c r="CO223" s="210"/>
      <c r="CP223" s="210"/>
      <c r="CQ223" s="210"/>
      <c r="CR223" s="210"/>
      <c r="CS223" s="210"/>
      <c r="CT223" s="210"/>
      <c r="CU223" s="210"/>
      <c r="CV223" s="210"/>
      <c r="CW223" s="210"/>
      <c r="CX223" s="210"/>
      <c r="CY223" s="210"/>
      <c r="CZ223" s="210"/>
      <c r="DA223" s="210"/>
      <c r="DB223" s="210"/>
      <c r="DC223" s="210"/>
      <c r="DD223" s="210"/>
      <c r="DE223" s="210"/>
      <c r="DF223" s="210"/>
      <c r="DG223" s="210"/>
      <c r="DH223" s="210"/>
      <c r="DI223" s="210"/>
      <c r="DJ223" s="210"/>
      <c r="DK223" s="210"/>
      <c r="DL223" s="210"/>
      <c r="DM223" s="210"/>
      <c r="DN223" s="210"/>
      <c r="DO223" s="210"/>
      <c r="DP223" s="210"/>
      <c r="DQ223" s="210"/>
    </row>
    <row r="224" spans="1:121" s="209" customFormat="1" x14ac:dyDescent="0.25">
      <c r="A224" s="370"/>
      <c r="B224" s="228"/>
      <c r="C224" s="228"/>
      <c r="D224" s="227"/>
      <c r="E224" s="227"/>
      <c r="F224" s="227"/>
      <c r="W224" s="210"/>
      <c r="AF224" s="210"/>
      <c r="BC224" s="210"/>
      <c r="BD224" s="210"/>
      <c r="BJ224" s="210"/>
      <c r="BK224" s="210"/>
      <c r="BL224" s="210"/>
      <c r="BM224" s="210"/>
      <c r="BN224" s="210"/>
      <c r="BO224" s="210"/>
      <c r="BP224" s="210"/>
      <c r="BQ224" s="210"/>
      <c r="BR224" s="210"/>
      <c r="BS224" s="210"/>
      <c r="BT224" s="210"/>
      <c r="BU224" s="210"/>
      <c r="BV224" s="210"/>
      <c r="BW224" s="210"/>
      <c r="BX224" s="210"/>
      <c r="BY224" s="210"/>
      <c r="BZ224" s="210"/>
      <c r="CA224" s="210"/>
      <c r="CB224" s="210"/>
      <c r="CC224" s="210"/>
      <c r="CD224" s="210"/>
      <c r="CE224" s="210"/>
      <c r="CF224" s="210"/>
      <c r="CG224" s="210"/>
      <c r="CH224" s="210"/>
      <c r="CI224" s="210"/>
      <c r="CJ224" s="210"/>
      <c r="CK224" s="210"/>
      <c r="CL224" s="210"/>
      <c r="CM224" s="210"/>
      <c r="CN224" s="210"/>
      <c r="CO224" s="210"/>
      <c r="CP224" s="210"/>
      <c r="CQ224" s="210"/>
      <c r="CR224" s="210"/>
      <c r="CS224" s="210"/>
      <c r="CT224" s="210"/>
      <c r="CU224" s="210"/>
      <c r="CV224" s="210"/>
      <c r="CW224" s="210"/>
      <c r="CX224" s="210"/>
      <c r="CY224" s="210"/>
      <c r="CZ224" s="210"/>
      <c r="DA224" s="210"/>
      <c r="DB224" s="210"/>
      <c r="DC224" s="210"/>
      <c r="DD224" s="210"/>
      <c r="DE224" s="210"/>
      <c r="DF224" s="210"/>
      <c r="DG224" s="210"/>
      <c r="DH224" s="210"/>
      <c r="DI224" s="210"/>
      <c r="DJ224" s="210"/>
      <c r="DK224" s="210"/>
      <c r="DL224" s="210"/>
      <c r="DM224" s="210"/>
      <c r="DN224" s="210"/>
      <c r="DO224" s="210"/>
      <c r="DP224" s="210"/>
      <c r="DQ224" s="210"/>
    </row>
    <row r="225" spans="1:121" s="209" customFormat="1" x14ac:dyDescent="0.25">
      <c r="A225" s="370"/>
      <c r="B225" s="228"/>
      <c r="C225" s="228"/>
      <c r="D225" s="227"/>
      <c r="E225" s="227"/>
      <c r="F225" s="227"/>
      <c r="W225" s="210"/>
      <c r="AF225" s="210"/>
      <c r="BC225" s="210"/>
      <c r="BD225" s="210"/>
      <c r="BJ225" s="210"/>
      <c r="BK225" s="210"/>
      <c r="BL225" s="210"/>
      <c r="BM225" s="210"/>
      <c r="BN225" s="210"/>
      <c r="BO225" s="210"/>
      <c r="BP225" s="210"/>
      <c r="BQ225" s="210"/>
      <c r="BR225" s="210"/>
      <c r="BS225" s="210"/>
      <c r="BT225" s="210"/>
      <c r="BU225" s="210"/>
      <c r="BV225" s="210"/>
      <c r="BW225" s="210"/>
      <c r="BX225" s="210"/>
      <c r="BY225" s="210"/>
      <c r="BZ225" s="210"/>
      <c r="CA225" s="210"/>
      <c r="CB225" s="210"/>
      <c r="CC225" s="210"/>
      <c r="CD225" s="210"/>
      <c r="CE225" s="210"/>
      <c r="CF225" s="210"/>
      <c r="CG225" s="210"/>
      <c r="CH225" s="210"/>
      <c r="CI225" s="210"/>
      <c r="CJ225" s="210"/>
      <c r="CK225" s="210"/>
      <c r="CL225" s="210"/>
      <c r="CM225" s="210"/>
      <c r="CN225" s="210"/>
      <c r="CO225" s="210"/>
      <c r="CP225" s="210"/>
      <c r="CQ225" s="210"/>
      <c r="CR225" s="210"/>
      <c r="CS225" s="210"/>
      <c r="CT225" s="210"/>
      <c r="CU225" s="210"/>
      <c r="CV225" s="210"/>
      <c r="CW225" s="210"/>
      <c r="CX225" s="210"/>
      <c r="CY225" s="210"/>
      <c r="CZ225" s="210"/>
      <c r="DA225" s="210"/>
      <c r="DB225" s="210"/>
      <c r="DC225" s="210"/>
      <c r="DD225" s="210"/>
      <c r="DE225" s="210"/>
      <c r="DF225" s="210"/>
      <c r="DG225" s="210"/>
      <c r="DH225" s="210"/>
      <c r="DI225" s="210"/>
      <c r="DJ225" s="210"/>
      <c r="DK225" s="210"/>
      <c r="DL225" s="210"/>
      <c r="DM225" s="210"/>
      <c r="DN225" s="210"/>
      <c r="DO225" s="210"/>
      <c r="DP225" s="210"/>
      <c r="DQ225" s="210"/>
    </row>
    <row r="226" spans="1:121" s="209" customFormat="1" x14ac:dyDescent="0.25">
      <c r="A226" s="370"/>
      <c r="B226" s="228"/>
      <c r="C226" s="228"/>
      <c r="D226" s="227"/>
      <c r="E226" s="227"/>
      <c r="F226" s="227"/>
      <c r="W226" s="210"/>
      <c r="AF226" s="210"/>
      <c r="BC226" s="210"/>
      <c r="BD226" s="210"/>
      <c r="BJ226" s="210"/>
      <c r="BK226" s="210"/>
      <c r="BL226" s="210"/>
      <c r="BM226" s="210"/>
      <c r="BN226" s="210"/>
      <c r="BO226" s="210"/>
      <c r="BP226" s="210"/>
      <c r="BQ226" s="210"/>
      <c r="BR226" s="210"/>
      <c r="BS226" s="210"/>
      <c r="BT226" s="210"/>
      <c r="BU226" s="210"/>
      <c r="BV226" s="210"/>
      <c r="BW226" s="210"/>
      <c r="BX226" s="210"/>
      <c r="BY226" s="210"/>
      <c r="BZ226" s="210"/>
      <c r="CA226" s="210"/>
      <c r="CB226" s="210"/>
      <c r="CC226" s="210"/>
      <c r="CD226" s="210"/>
      <c r="CE226" s="210"/>
      <c r="CF226" s="210"/>
      <c r="CG226" s="210"/>
      <c r="CH226" s="210"/>
      <c r="CI226" s="210"/>
      <c r="CJ226" s="210"/>
      <c r="CK226" s="210"/>
      <c r="CL226" s="210"/>
      <c r="CM226" s="210"/>
      <c r="CN226" s="210"/>
      <c r="CO226" s="210"/>
      <c r="CP226" s="210"/>
      <c r="CQ226" s="210"/>
      <c r="CR226" s="210"/>
      <c r="CS226" s="210"/>
      <c r="CT226" s="210"/>
      <c r="CU226" s="210"/>
      <c r="CV226" s="210"/>
      <c r="CW226" s="210"/>
      <c r="CX226" s="210"/>
      <c r="CY226" s="210"/>
      <c r="CZ226" s="210"/>
      <c r="DA226" s="210"/>
      <c r="DB226" s="210"/>
      <c r="DC226" s="210"/>
      <c r="DD226" s="210"/>
      <c r="DE226" s="210"/>
      <c r="DF226" s="210"/>
      <c r="DG226" s="210"/>
      <c r="DH226" s="210"/>
      <c r="DI226" s="210"/>
      <c r="DJ226" s="210"/>
      <c r="DK226" s="210"/>
      <c r="DL226" s="210"/>
      <c r="DM226" s="210"/>
      <c r="DN226" s="210"/>
      <c r="DO226" s="210"/>
      <c r="DP226" s="210"/>
      <c r="DQ226" s="210"/>
    </row>
    <row r="227" spans="1:121" s="209" customFormat="1" x14ac:dyDescent="0.25">
      <c r="A227" s="370"/>
      <c r="B227" s="228"/>
      <c r="C227" s="228"/>
      <c r="D227" s="227"/>
      <c r="E227" s="227"/>
      <c r="F227" s="227"/>
      <c r="W227" s="210"/>
      <c r="AF227" s="210"/>
      <c r="BC227" s="210"/>
      <c r="BD227" s="210"/>
      <c r="BJ227" s="210"/>
      <c r="BK227" s="210"/>
      <c r="BL227" s="210"/>
      <c r="BM227" s="210"/>
      <c r="BN227" s="210"/>
      <c r="BO227" s="210"/>
      <c r="BP227" s="210"/>
      <c r="BQ227" s="210"/>
      <c r="BR227" s="210"/>
      <c r="BS227" s="210"/>
      <c r="BT227" s="210"/>
      <c r="BU227" s="210"/>
      <c r="BV227" s="210"/>
      <c r="BW227" s="210"/>
      <c r="BX227" s="210"/>
      <c r="BY227" s="210"/>
      <c r="BZ227" s="210"/>
      <c r="CA227" s="210"/>
      <c r="CB227" s="210"/>
      <c r="CC227" s="210"/>
      <c r="CD227" s="210"/>
      <c r="CE227" s="210"/>
      <c r="CF227" s="210"/>
      <c r="CG227" s="210"/>
      <c r="CH227" s="210"/>
      <c r="CI227" s="210"/>
      <c r="CJ227" s="210"/>
      <c r="CK227" s="210"/>
      <c r="CL227" s="210"/>
      <c r="CM227" s="210"/>
      <c r="CN227" s="210"/>
      <c r="CO227" s="210"/>
      <c r="CP227" s="210"/>
      <c r="CQ227" s="210"/>
      <c r="CR227" s="210"/>
      <c r="CS227" s="210"/>
      <c r="CT227" s="210"/>
      <c r="CU227" s="210"/>
      <c r="CV227" s="210"/>
      <c r="CW227" s="210"/>
      <c r="CX227" s="210"/>
      <c r="CY227" s="210"/>
      <c r="CZ227" s="210"/>
      <c r="DA227" s="210"/>
      <c r="DB227" s="210"/>
      <c r="DC227" s="210"/>
      <c r="DD227" s="210"/>
      <c r="DE227" s="210"/>
      <c r="DF227" s="210"/>
      <c r="DG227" s="210"/>
      <c r="DH227" s="210"/>
      <c r="DI227" s="210"/>
      <c r="DJ227" s="210"/>
      <c r="DK227" s="210"/>
      <c r="DL227" s="210"/>
      <c r="DM227" s="210"/>
      <c r="DN227" s="210"/>
      <c r="DO227" s="210"/>
      <c r="DP227" s="210"/>
      <c r="DQ227" s="210"/>
    </row>
    <row r="228" spans="1:121" s="209" customFormat="1" x14ac:dyDescent="0.25">
      <c r="A228" s="370"/>
      <c r="B228" s="228"/>
      <c r="C228" s="228"/>
      <c r="D228" s="227"/>
      <c r="E228" s="227"/>
      <c r="F228" s="227"/>
      <c r="W228" s="210"/>
      <c r="AF228" s="210"/>
      <c r="BC228" s="210"/>
      <c r="BD228" s="210"/>
      <c r="BJ228" s="210"/>
      <c r="BK228" s="210"/>
      <c r="BL228" s="210"/>
      <c r="BM228" s="210"/>
      <c r="BN228" s="210"/>
      <c r="BO228" s="210"/>
      <c r="BP228" s="210"/>
      <c r="BQ228" s="210"/>
      <c r="BR228" s="210"/>
      <c r="BS228" s="210"/>
      <c r="BT228" s="210"/>
      <c r="BU228" s="210"/>
      <c r="BV228" s="210"/>
      <c r="BW228" s="210"/>
      <c r="BX228" s="210"/>
      <c r="BY228" s="210"/>
      <c r="BZ228" s="210"/>
      <c r="CA228" s="210"/>
      <c r="CB228" s="210"/>
      <c r="CC228" s="210"/>
      <c r="CD228" s="210"/>
      <c r="CE228" s="210"/>
      <c r="CF228" s="210"/>
      <c r="CG228" s="210"/>
      <c r="CH228" s="210"/>
      <c r="CI228" s="210"/>
      <c r="CJ228" s="210"/>
      <c r="CK228" s="210"/>
      <c r="CL228" s="210"/>
      <c r="CM228" s="210"/>
      <c r="CN228" s="210"/>
      <c r="CO228" s="210"/>
      <c r="CP228" s="210"/>
      <c r="CQ228" s="210"/>
      <c r="CR228" s="210"/>
      <c r="CS228" s="210"/>
      <c r="CT228" s="210"/>
      <c r="CU228" s="210"/>
      <c r="CV228" s="210"/>
      <c r="CW228" s="210"/>
      <c r="CX228" s="210"/>
      <c r="CY228" s="210"/>
      <c r="CZ228" s="210"/>
      <c r="DA228" s="210"/>
      <c r="DB228" s="210"/>
      <c r="DC228" s="210"/>
      <c r="DD228" s="210"/>
      <c r="DE228" s="210"/>
      <c r="DF228" s="210"/>
      <c r="DG228" s="210"/>
      <c r="DH228" s="210"/>
      <c r="DI228" s="210"/>
      <c r="DJ228" s="210"/>
      <c r="DK228" s="210"/>
      <c r="DL228" s="210"/>
      <c r="DM228" s="210"/>
      <c r="DN228" s="210"/>
      <c r="DO228" s="210"/>
      <c r="DP228" s="210"/>
      <c r="DQ228" s="210"/>
    </row>
    <row r="229" spans="1:121" s="209" customFormat="1" x14ac:dyDescent="0.25">
      <c r="A229" s="370"/>
      <c r="B229" s="228"/>
      <c r="C229" s="228"/>
      <c r="D229" s="227"/>
      <c r="E229" s="227"/>
      <c r="F229" s="227"/>
      <c r="W229" s="210"/>
      <c r="AF229" s="210"/>
      <c r="BC229" s="210"/>
      <c r="BD229" s="210"/>
      <c r="BJ229" s="210"/>
      <c r="BK229" s="210"/>
      <c r="BL229" s="210"/>
      <c r="BM229" s="210"/>
      <c r="BN229" s="210"/>
      <c r="BO229" s="210"/>
      <c r="BP229" s="210"/>
      <c r="BQ229" s="210"/>
      <c r="BR229" s="210"/>
      <c r="BS229" s="210"/>
      <c r="BT229" s="210"/>
      <c r="BU229" s="210"/>
      <c r="BV229" s="210"/>
      <c r="BW229" s="210"/>
      <c r="BX229" s="210"/>
      <c r="BY229" s="210"/>
      <c r="BZ229" s="210"/>
      <c r="CA229" s="210"/>
      <c r="CB229" s="210"/>
      <c r="CC229" s="210"/>
      <c r="CD229" s="210"/>
      <c r="CE229" s="210"/>
      <c r="CF229" s="210"/>
      <c r="CG229" s="210"/>
      <c r="CH229" s="210"/>
      <c r="CI229" s="210"/>
      <c r="CJ229" s="210"/>
      <c r="CK229" s="210"/>
      <c r="CL229" s="210"/>
      <c r="CM229" s="210"/>
      <c r="CN229" s="210"/>
      <c r="CO229" s="210"/>
      <c r="CP229" s="210"/>
      <c r="CQ229" s="210"/>
      <c r="CR229" s="210"/>
      <c r="CS229" s="210"/>
      <c r="CT229" s="210"/>
      <c r="CU229" s="210"/>
      <c r="CV229" s="210"/>
      <c r="CW229" s="210"/>
      <c r="CX229" s="210"/>
      <c r="CY229" s="210"/>
      <c r="CZ229" s="210"/>
      <c r="DA229" s="210"/>
      <c r="DB229" s="210"/>
      <c r="DC229" s="210"/>
      <c r="DD229" s="210"/>
      <c r="DE229" s="210"/>
      <c r="DF229" s="210"/>
      <c r="DG229" s="210"/>
      <c r="DH229" s="210"/>
      <c r="DI229" s="210"/>
      <c r="DJ229" s="210"/>
      <c r="DK229" s="210"/>
      <c r="DL229" s="210"/>
      <c r="DM229" s="210"/>
      <c r="DN229" s="210"/>
      <c r="DO229" s="210"/>
      <c r="DP229" s="210"/>
      <c r="DQ229" s="210"/>
    </row>
    <row r="230" spans="1:121" s="209" customFormat="1" x14ac:dyDescent="0.25">
      <c r="A230" s="370"/>
      <c r="B230" s="228"/>
      <c r="C230" s="228"/>
      <c r="D230" s="227"/>
      <c r="E230" s="227"/>
      <c r="F230" s="227"/>
      <c r="W230" s="210"/>
      <c r="AF230" s="210"/>
      <c r="BC230" s="210"/>
      <c r="BD230" s="210"/>
      <c r="BJ230" s="210"/>
      <c r="BK230" s="210"/>
      <c r="BL230" s="210"/>
      <c r="BM230" s="210"/>
      <c r="BN230" s="210"/>
      <c r="BO230" s="210"/>
      <c r="BP230" s="210"/>
      <c r="BQ230" s="210"/>
      <c r="BR230" s="210"/>
      <c r="BS230" s="210"/>
      <c r="BT230" s="210"/>
      <c r="BU230" s="210"/>
      <c r="BV230" s="210"/>
      <c r="BW230" s="210"/>
      <c r="BX230" s="210"/>
      <c r="BY230" s="210"/>
      <c r="BZ230" s="210"/>
      <c r="CA230" s="210"/>
      <c r="CB230" s="210"/>
      <c r="CC230" s="210"/>
      <c r="CD230" s="210"/>
      <c r="CE230" s="210"/>
      <c r="CF230" s="210"/>
      <c r="CG230" s="210"/>
      <c r="CH230" s="210"/>
      <c r="CI230" s="210"/>
      <c r="CJ230" s="210"/>
      <c r="CK230" s="210"/>
      <c r="CL230" s="210"/>
      <c r="CM230" s="210"/>
      <c r="CN230" s="210"/>
      <c r="CO230" s="210"/>
      <c r="CP230" s="210"/>
      <c r="CQ230" s="210"/>
      <c r="CR230" s="210"/>
      <c r="CS230" s="210"/>
      <c r="CT230" s="210"/>
      <c r="CU230" s="210"/>
      <c r="CV230" s="210"/>
      <c r="CW230" s="210"/>
      <c r="CX230" s="210"/>
      <c r="CY230" s="210"/>
      <c r="CZ230" s="210"/>
      <c r="DA230" s="210"/>
      <c r="DB230" s="210"/>
      <c r="DC230" s="210"/>
      <c r="DD230" s="210"/>
      <c r="DE230" s="210"/>
      <c r="DF230" s="210"/>
      <c r="DG230" s="210"/>
      <c r="DH230" s="210"/>
      <c r="DI230" s="210"/>
      <c r="DJ230" s="210"/>
      <c r="DK230" s="210"/>
      <c r="DL230" s="210"/>
      <c r="DM230" s="210"/>
      <c r="DN230" s="210"/>
      <c r="DO230" s="210"/>
      <c r="DP230" s="210"/>
      <c r="DQ230" s="210"/>
    </row>
    <row r="231" spans="1:121" s="209" customFormat="1" x14ac:dyDescent="0.25">
      <c r="A231" s="370"/>
      <c r="B231" s="228"/>
      <c r="C231" s="228"/>
      <c r="D231" s="227"/>
      <c r="E231" s="227"/>
      <c r="F231" s="227"/>
      <c r="W231" s="210"/>
      <c r="AF231" s="210"/>
      <c r="BC231" s="210"/>
      <c r="BD231" s="210"/>
      <c r="BJ231" s="210"/>
      <c r="BK231" s="210"/>
      <c r="BL231" s="210"/>
      <c r="BM231" s="210"/>
      <c r="BN231" s="210"/>
      <c r="BO231" s="210"/>
      <c r="BP231" s="210"/>
      <c r="BQ231" s="210"/>
      <c r="BR231" s="210"/>
      <c r="BS231" s="210"/>
      <c r="BT231" s="210"/>
      <c r="BU231" s="210"/>
      <c r="BV231" s="210"/>
      <c r="BW231" s="210"/>
      <c r="BX231" s="210"/>
      <c r="BY231" s="210"/>
      <c r="BZ231" s="210"/>
      <c r="CA231" s="210"/>
      <c r="CB231" s="210"/>
      <c r="CC231" s="210"/>
      <c r="CD231" s="210"/>
      <c r="CE231" s="210"/>
      <c r="CF231" s="210"/>
      <c r="CG231" s="210"/>
      <c r="CH231" s="210"/>
      <c r="CI231" s="210"/>
      <c r="CJ231" s="210"/>
      <c r="CK231" s="210"/>
      <c r="CL231" s="210"/>
      <c r="CM231" s="210"/>
      <c r="CN231" s="210"/>
      <c r="CO231" s="210"/>
      <c r="CP231" s="210"/>
      <c r="CQ231" s="210"/>
      <c r="CR231" s="210"/>
      <c r="CS231" s="210"/>
      <c r="CT231" s="210"/>
      <c r="CU231" s="210"/>
      <c r="CV231" s="210"/>
      <c r="CW231" s="210"/>
      <c r="CX231" s="210"/>
      <c r="CY231" s="210"/>
      <c r="CZ231" s="210"/>
      <c r="DA231" s="210"/>
      <c r="DB231" s="210"/>
      <c r="DC231" s="210"/>
      <c r="DD231" s="210"/>
      <c r="DE231" s="210"/>
      <c r="DF231" s="210"/>
      <c r="DG231" s="210"/>
      <c r="DH231" s="210"/>
      <c r="DI231" s="210"/>
      <c r="DJ231" s="210"/>
      <c r="DK231" s="210"/>
      <c r="DL231" s="210"/>
      <c r="DM231" s="210"/>
      <c r="DN231" s="210"/>
      <c r="DO231" s="210"/>
      <c r="DP231" s="210"/>
      <c r="DQ231" s="210"/>
    </row>
    <row r="232" spans="1:121" s="209" customFormat="1" x14ac:dyDescent="0.25">
      <c r="A232" s="370"/>
      <c r="B232" s="228"/>
      <c r="C232" s="228"/>
      <c r="D232" s="227"/>
      <c r="E232" s="227"/>
      <c r="F232" s="227"/>
      <c r="W232" s="210"/>
      <c r="AF232" s="210"/>
      <c r="BC232" s="210"/>
      <c r="BD232" s="210"/>
      <c r="BJ232" s="210"/>
      <c r="BK232" s="210"/>
      <c r="BL232" s="210"/>
      <c r="BM232" s="210"/>
      <c r="BN232" s="210"/>
      <c r="BO232" s="210"/>
      <c r="BP232" s="210"/>
      <c r="BQ232" s="210"/>
      <c r="BR232" s="210"/>
      <c r="BS232" s="210"/>
      <c r="BT232" s="210"/>
      <c r="BU232" s="210"/>
      <c r="BV232" s="210"/>
      <c r="BW232" s="210"/>
      <c r="BX232" s="210"/>
      <c r="BY232" s="210"/>
      <c r="BZ232" s="210"/>
      <c r="CA232" s="210"/>
      <c r="CB232" s="210"/>
      <c r="CC232" s="210"/>
      <c r="CD232" s="210"/>
      <c r="CE232" s="210"/>
      <c r="CF232" s="210"/>
      <c r="CG232" s="210"/>
      <c r="CH232" s="210"/>
      <c r="CI232" s="210"/>
      <c r="CJ232" s="210"/>
      <c r="CK232" s="210"/>
      <c r="CL232" s="210"/>
      <c r="CM232" s="210"/>
      <c r="CN232" s="210"/>
      <c r="CO232" s="210"/>
      <c r="CP232" s="210"/>
      <c r="CQ232" s="210"/>
      <c r="CR232" s="210"/>
      <c r="CS232" s="210"/>
      <c r="CT232" s="210"/>
      <c r="CU232" s="210"/>
      <c r="CV232" s="210"/>
      <c r="CW232" s="210"/>
      <c r="CX232" s="210"/>
      <c r="CY232" s="210"/>
      <c r="CZ232" s="210"/>
      <c r="DA232" s="210"/>
      <c r="DB232" s="210"/>
      <c r="DC232" s="210"/>
      <c r="DD232" s="210"/>
      <c r="DE232" s="210"/>
      <c r="DF232" s="210"/>
      <c r="DG232" s="210"/>
      <c r="DH232" s="210"/>
      <c r="DI232" s="210"/>
      <c r="DJ232" s="210"/>
      <c r="DK232" s="210"/>
      <c r="DL232" s="210"/>
      <c r="DM232" s="210"/>
      <c r="DN232" s="210"/>
      <c r="DO232" s="210"/>
      <c r="DP232" s="210"/>
      <c r="DQ232" s="210"/>
    </row>
    <row r="233" spans="1:121" s="209" customFormat="1" x14ac:dyDescent="0.25">
      <c r="A233" s="370"/>
      <c r="B233" s="228"/>
      <c r="C233" s="228"/>
      <c r="D233" s="227"/>
      <c r="E233" s="227"/>
      <c r="F233" s="227"/>
      <c r="W233" s="210"/>
      <c r="AF233" s="210"/>
      <c r="BC233" s="210"/>
      <c r="BD233" s="210"/>
      <c r="BJ233" s="210"/>
      <c r="BK233" s="210"/>
      <c r="BL233" s="210"/>
      <c r="BM233" s="210"/>
      <c r="BN233" s="210"/>
      <c r="BO233" s="210"/>
      <c r="BP233" s="210"/>
      <c r="BQ233" s="210"/>
      <c r="BR233" s="210"/>
      <c r="BS233" s="210"/>
      <c r="BT233" s="210"/>
      <c r="BU233" s="210"/>
      <c r="BV233" s="210"/>
      <c r="BW233" s="210"/>
      <c r="BX233" s="210"/>
      <c r="BY233" s="210"/>
      <c r="BZ233" s="210"/>
      <c r="CA233" s="210"/>
      <c r="CB233" s="210"/>
      <c r="CC233" s="210"/>
      <c r="CD233" s="210"/>
      <c r="CE233" s="210"/>
      <c r="CF233" s="210"/>
      <c r="CG233" s="210"/>
      <c r="CH233" s="210"/>
      <c r="CI233" s="210"/>
      <c r="CJ233" s="210"/>
      <c r="CK233" s="210"/>
      <c r="CL233" s="210"/>
      <c r="CM233" s="210"/>
      <c r="CN233" s="210"/>
      <c r="CO233" s="210"/>
      <c r="CP233" s="210"/>
      <c r="CQ233" s="210"/>
      <c r="CR233" s="210"/>
      <c r="CS233" s="210"/>
      <c r="CT233" s="210"/>
      <c r="CU233" s="210"/>
      <c r="CV233" s="210"/>
      <c r="CW233" s="210"/>
      <c r="CX233" s="210"/>
      <c r="CY233" s="210"/>
      <c r="CZ233" s="210"/>
      <c r="DA233" s="210"/>
      <c r="DB233" s="210"/>
      <c r="DC233" s="210"/>
      <c r="DD233" s="210"/>
      <c r="DE233" s="210"/>
      <c r="DF233" s="210"/>
      <c r="DG233" s="210"/>
      <c r="DH233" s="210"/>
      <c r="DI233" s="210"/>
      <c r="DJ233" s="210"/>
      <c r="DK233" s="210"/>
      <c r="DL233" s="210"/>
      <c r="DM233" s="210"/>
      <c r="DN233" s="210"/>
      <c r="DO233" s="210"/>
      <c r="DP233" s="210"/>
      <c r="DQ233" s="210"/>
    </row>
    <row r="234" spans="1:121" s="209" customFormat="1" x14ac:dyDescent="0.25">
      <c r="A234" s="370"/>
      <c r="B234" s="228"/>
      <c r="C234" s="228"/>
      <c r="D234" s="227"/>
      <c r="E234" s="227"/>
      <c r="F234" s="227"/>
      <c r="W234" s="210"/>
      <c r="AF234" s="210"/>
      <c r="BC234" s="210"/>
      <c r="BD234" s="210"/>
      <c r="BJ234" s="210"/>
      <c r="BK234" s="210"/>
      <c r="BL234" s="210"/>
      <c r="BM234" s="210"/>
      <c r="BN234" s="210"/>
      <c r="BO234" s="210"/>
      <c r="BP234" s="210"/>
      <c r="BQ234" s="210"/>
      <c r="BR234" s="210"/>
      <c r="BS234" s="210"/>
      <c r="BT234" s="210"/>
      <c r="BU234" s="210"/>
      <c r="BV234" s="210"/>
      <c r="BW234" s="210"/>
      <c r="BX234" s="210"/>
      <c r="BY234" s="210"/>
      <c r="BZ234" s="210"/>
      <c r="CA234" s="210"/>
      <c r="CB234" s="210"/>
      <c r="CC234" s="210"/>
      <c r="CD234" s="210"/>
      <c r="CE234" s="210"/>
      <c r="CF234" s="210"/>
      <c r="CG234" s="210"/>
      <c r="CH234" s="210"/>
      <c r="CI234" s="210"/>
      <c r="CJ234" s="210"/>
      <c r="CK234" s="210"/>
      <c r="CL234" s="210"/>
      <c r="CM234" s="210"/>
      <c r="CN234" s="210"/>
      <c r="CO234" s="210"/>
      <c r="CP234" s="210"/>
      <c r="CQ234" s="210"/>
      <c r="CR234" s="210"/>
      <c r="CS234" s="210"/>
      <c r="CT234" s="210"/>
      <c r="CU234" s="210"/>
      <c r="CV234" s="210"/>
      <c r="CW234" s="210"/>
      <c r="CX234" s="210"/>
      <c r="CY234" s="210"/>
      <c r="CZ234" s="210"/>
      <c r="DA234" s="210"/>
      <c r="DB234" s="210"/>
      <c r="DC234" s="210"/>
      <c r="DD234" s="210"/>
      <c r="DE234" s="210"/>
      <c r="DF234" s="210"/>
      <c r="DG234" s="210"/>
      <c r="DH234" s="210"/>
      <c r="DI234" s="210"/>
      <c r="DJ234" s="210"/>
      <c r="DK234" s="210"/>
      <c r="DL234" s="210"/>
      <c r="DM234" s="210"/>
      <c r="DN234" s="210"/>
      <c r="DO234" s="210"/>
      <c r="DP234" s="210"/>
      <c r="DQ234" s="210"/>
    </row>
    <row r="235" spans="1:121" s="209" customFormat="1" x14ac:dyDescent="0.25">
      <c r="A235" s="370"/>
      <c r="B235" s="228"/>
      <c r="C235" s="228"/>
      <c r="D235" s="227"/>
      <c r="E235" s="227"/>
      <c r="F235" s="227"/>
      <c r="W235" s="210"/>
      <c r="AF235" s="210"/>
      <c r="BC235" s="210"/>
      <c r="BD235" s="210"/>
      <c r="BJ235" s="210"/>
      <c r="BK235" s="210"/>
      <c r="BL235" s="210"/>
      <c r="BM235" s="210"/>
      <c r="BN235" s="210"/>
      <c r="BO235" s="210"/>
      <c r="BP235" s="210"/>
      <c r="BQ235" s="210"/>
      <c r="BR235" s="210"/>
      <c r="BS235" s="210"/>
      <c r="BT235" s="210"/>
      <c r="BU235" s="210"/>
      <c r="BV235" s="210"/>
      <c r="BW235" s="210"/>
      <c r="BX235" s="210"/>
      <c r="BY235" s="210"/>
      <c r="BZ235" s="210"/>
      <c r="CA235" s="210"/>
      <c r="CB235" s="210"/>
      <c r="CC235" s="210"/>
      <c r="CD235" s="210"/>
      <c r="CE235" s="210"/>
      <c r="CF235" s="210"/>
      <c r="CG235" s="210"/>
      <c r="CH235" s="210"/>
      <c r="CI235" s="210"/>
      <c r="CJ235" s="210"/>
      <c r="CK235" s="210"/>
      <c r="CL235" s="210"/>
      <c r="CM235" s="210"/>
      <c r="CN235" s="210"/>
      <c r="CO235" s="210"/>
      <c r="CP235" s="210"/>
      <c r="CQ235" s="210"/>
      <c r="CR235" s="210"/>
      <c r="CS235" s="210"/>
      <c r="CT235" s="210"/>
      <c r="CU235" s="210"/>
      <c r="CV235" s="210"/>
      <c r="CW235" s="210"/>
      <c r="CX235" s="210"/>
      <c r="CY235" s="210"/>
      <c r="CZ235" s="210"/>
      <c r="DA235" s="210"/>
      <c r="DB235" s="210"/>
      <c r="DC235" s="210"/>
      <c r="DD235" s="210"/>
      <c r="DE235" s="210"/>
      <c r="DF235" s="210"/>
      <c r="DG235" s="210"/>
      <c r="DH235" s="210"/>
      <c r="DI235" s="210"/>
      <c r="DJ235" s="210"/>
      <c r="DK235" s="210"/>
      <c r="DL235" s="210"/>
      <c r="DM235" s="210"/>
      <c r="DN235" s="210"/>
      <c r="DO235" s="210"/>
      <c r="DP235" s="210"/>
      <c r="DQ235" s="210"/>
    </row>
    <row r="236" spans="1:121" s="209" customFormat="1" x14ac:dyDescent="0.25">
      <c r="A236" s="370"/>
      <c r="B236" s="228"/>
      <c r="C236" s="228"/>
      <c r="D236" s="227"/>
      <c r="E236" s="227"/>
      <c r="F236" s="227"/>
      <c r="W236" s="210"/>
      <c r="AF236" s="210"/>
      <c r="BC236" s="210"/>
      <c r="BD236" s="210"/>
      <c r="BJ236" s="210"/>
      <c r="BK236" s="210"/>
      <c r="BL236" s="210"/>
      <c r="BM236" s="210"/>
      <c r="BN236" s="210"/>
      <c r="BO236" s="210"/>
      <c r="BP236" s="210"/>
      <c r="BQ236" s="210"/>
      <c r="BR236" s="210"/>
      <c r="BS236" s="210"/>
      <c r="BT236" s="210"/>
      <c r="BU236" s="210"/>
      <c r="BV236" s="210"/>
      <c r="BW236" s="210"/>
      <c r="BX236" s="210"/>
      <c r="BY236" s="210"/>
      <c r="BZ236" s="210"/>
      <c r="CA236" s="210"/>
      <c r="CB236" s="210"/>
      <c r="CC236" s="210"/>
      <c r="CD236" s="210"/>
      <c r="CE236" s="210"/>
      <c r="CF236" s="210"/>
      <c r="CG236" s="210"/>
      <c r="CH236" s="210"/>
      <c r="CI236" s="210"/>
      <c r="CJ236" s="210"/>
      <c r="CK236" s="210"/>
      <c r="CL236" s="210"/>
      <c r="CM236" s="210"/>
      <c r="CN236" s="210"/>
      <c r="CO236" s="210"/>
      <c r="CP236" s="210"/>
      <c r="CQ236" s="210"/>
      <c r="CR236" s="210"/>
      <c r="CS236" s="210"/>
      <c r="CT236" s="210"/>
      <c r="CU236" s="210"/>
      <c r="CV236" s="210"/>
      <c r="CW236" s="210"/>
      <c r="CX236" s="210"/>
      <c r="CY236" s="210"/>
      <c r="CZ236" s="210"/>
      <c r="DA236" s="210"/>
      <c r="DB236" s="210"/>
      <c r="DC236" s="210"/>
      <c r="DD236" s="210"/>
      <c r="DE236" s="210"/>
      <c r="DF236" s="210"/>
      <c r="DG236" s="210"/>
      <c r="DH236" s="210"/>
      <c r="DI236" s="210"/>
      <c r="DJ236" s="210"/>
      <c r="DK236" s="210"/>
      <c r="DL236" s="210"/>
      <c r="DM236" s="210"/>
      <c r="DN236" s="210"/>
      <c r="DO236" s="210"/>
      <c r="DP236" s="210"/>
      <c r="DQ236" s="210"/>
    </row>
    <row r="237" spans="1:121" s="209" customFormat="1" x14ac:dyDescent="0.25">
      <c r="A237" s="370"/>
      <c r="B237" s="228"/>
      <c r="C237" s="228"/>
      <c r="D237" s="227"/>
      <c r="E237" s="227"/>
      <c r="F237" s="227"/>
      <c r="W237" s="210"/>
      <c r="AF237" s="210"/>
      <c r="BC237" s="210"/>
      <c r="BD237" s="210"/>
      <c r="BJ237" s="210"/>
      <c r="BK237" s="210"/>
      <c r="BL237" s="210"/>
      <c r="BM237" s="210"/>
      <c r="BN237" s="210"/>
      <c r="BO237" s="210"/>
      <c r="BP237" s="210"/>
      <c r="BQ237" s="210"/>
      <c r="BR237" s="210"/>
      <c r="BS237" s="210"/>
      <c r="BT237" s="210"/>
      <c r="BU237" s="210"/>
      <c r="BV237" s="210"/>
      <c r="BW237" s="210"/>
      <c r="BX237" s="210"/>
      <c r="BY237" s="210"/>
      <c r="BZ237" s="210"/>
      <c r="CA237" s="210"/>
      <c r="CB237" s="210"/>
      <c r="CC237" s="210"/>
      <c r="CD237" s="210"/>
      <c r="CE237" s="210"/>
      <c r="CF237" s="210"/>
      <c r="CG237" s="210"/>
      <c r="CH237" s="210"/>
      <c r="CI237" s="210"/>
      <c r="CJ237" s="210"/>
      <c r="CK237" s="210"/>
      <c r="CL237" s="210"/>
      <c r="CM237" s="210"/>
      <c r="CN237" s="210"/>
      <c r="CO237" s="210"/>
      <c r="CP237" s="210"/>
      <c r="CQ237" s="210"/>
      <c r="CR237" s="210"/>
      <c r="CS237" s="210"/>
      <c r="CT237" s="210"/>
      <c r="CU237" s="210"/>
      <c r="CV237" s="210"/>
      <c r="CW237" s="210"/>
      <c r="CX237" s="210"/>
      <c r="CY237" s="210"/>
      <c r="CZ237" s="210"/>
      <c r="DA237" s="210"/>
      <c r="DB237" s="210"/>
      <c r="DC237" s="210"/>
      <c r="DD237" s="210"/>
      <c r="DE237" s="210"/>
      <c r="DF237" s="210"/>
      <c r="DG237" s="210"/>
      <c r="DH237" s="210"/>
      <c r="DI237" s="210"/>
      <c r="DJ237" s="210"/>
      <c r="DK237" s="210"/>
      <c r="DL237" s="210"/>
      <c r="DM237" s="210"/>
      <c r="DN237" s="210"/>
      <c r="DO237" s="210"/>
      <c r="DP237" s="210"/>
      <c r="DQ237" s="210"/>
    </row>
    <row r="238" spans="1:121" s="209" customFormat="1" x14ac:dyDescent="0.25">
      <c r="A238" s="370"/>
      <c r="B238" s="228"/>
      <c r="C238" s="228"/>
      <c r="D238" s="227"/>
      <c r="E238" s="227"/>
      <c r="F238" s="227"/>
      <c r="W238" s="210"/>
      <c r="AF238" s="210"/>
      <c r="BC238" s="210"/>
      <c r="BD238" s="210"/>
      <c r="BJ238" s="210"/>
      <c r="BK238" s="210"/>
      <c r="BL238" s="210"/>
      <c r="BM238" s="210"/>
      <c r="BN238" s="210"/>
      <c r="BO238" s="210"/>
      <c r="BP238" s="210"/>
      <c r="BQ238" s="210"/>
      <c r="BR238" s="210"/>
      <c r="BS238" s="210"/>
      <c r="BT238" s="210"/>
      <c r="BU238" s="210"/>
      <c r="BV238" s="210"/>
      <c r="BW238" s="210"/>
      <c r="BX238" s="210"/>
      <c r="BY238" s="210"/>
      <c r="BZ238" s="210"/>
      <c r="CA238" s="210"/>
      <c r="CB238" s="210"/>
      <c r="CC238" s="210"/>
      <c r="CD238" s="210"/>
      <c r="CE238" s="210"/>
      <c r="CF238" s="210"/>
      <c r="CG238" s="210"/>
      <c r="CH238" s="210"/>
      <c r="CI238" s="210"/>
      <c r="CJ238" s="210"/>
      <c r="CK238" s="210"/>
      <c r="CL238" s="210"/>
      <c r="CM238" s="210"/>
      <c r="CN238" s="210"/>
      <c r="CO238" s="210"/>
      <c r="CP238" s="210"/>
      <c r="CQ238" s="210"/>
      <c r="CR238" s="210"/>
      <c r="CS238" s="210"/>
      <c r="CT238" s="210"/>
      <c r="CU238" s="210"/>
      <c r="CV238" s="210"/>
      <c r="CW238" s="210"/>
      <c r="CX238" s="210"/>
      <c r="CY238" s="210"/>
      <c r="CZ238" s="210"/>
      <c r="DA238" s="210"/>
      <c r="DB238" s="210"/>
      <c r="DC238" s="210"/>
      <c r="DD238" s="210"/>
      <c r="DE238" s="210"/>
      <c r="DF238" s="210"/>
      <c r="DG238" s="210"/>
      <c r="DH238" s="210"/>
      <c r="DI238" s="210"/>
      <c r="DJ238" s="210"/>
      <c r="DK238" s="210"/>
      <c r="DL238" s="210"/>
      <c r="DM238" s="210"/>
      <c r="DN238" s="210"/>
      <c r="DO238" s="210"/>
      <c r="DP238" s="210"/>
      <c r="DQ238" s="210"/>
    </row>
    <row r="239" spans="1:121" s="209" customFormat="1" x14ac:dyDescent="0.25">
      <c r="A239" s="370"/>
      <c r="B239" s="228"/>
      <c r="C239" s="228"/>
      <c r="D239" s="227"/>
      <c r="E239" s="227"/>
      <c r="F239" s="227"/>
      <c r="W239" s="210"/>
      <c r="AF239" s="210"/>
      <c r="BC239" s="210"/>
      <c r="BD239" s="210"/>
      <c r="BJ239" s="210"/>
      <c r="BK239" s="210"/>
      <c r="BL239" s="210"/>
      <c r="BM239" s="210"/>
      <c r="BN239" s="210"/>
      <c r="BO239" s="210"/>
      <c r="BP239" s="210"/>
      <c r="BQ239" s="210"/>
      <c r="BR239" s="210"/>
      <c r="BS239" s="210"/>
      <c r="BT239" s="210"/>
      <c r="BU239" s="210"/>
      <c r="BV239" s="210"/>
      <c r="BW239" s="210"/>
      <c r="BX239" s="210"/>
      <c r="BY239" s="210"/>
      <c r="BZ239" s="210"/>
      <c r="CA239" s="210"/>
      <c r="CB239" s="210"/>
      <c r="CC239" s="210"/>
      <c r="CD239" s="210"/>
      <c r="CE239" s="210"/>
      <c r="CF239" s="210"/>
      <c r="CG239" s="210"/>
      <c r="CH239" s="210"/>
      <c r="CI239" s="210"/>
      <c r="CJ239" s="210"/>
      <c r="CK239" s="210"/>
      <c r="CL239" s="210"/>
      <c r="CM239" s="210"/>
      <c r="CN239" s="210"/>
      <c r="CO239" s="210"/>
      <c r="CP239" s="210"/>
      <c r="CQ239" s="210"/>
      <c r="CR239" s="210"/>
      <c r="CS239" s="210"/>
      <c r="CT239" s="210"/>
      <c r="CU239" s="210"/>
      <c r="CV239" s="210"/>
      <c r="CW239" s="210"/>
      <c r="CX239" s="210"/>
      <c r="CY239" s="210"/>
      <c r="CZ239" s="210"/>
      <c r="DA239" s="210"/>
      <c r="DB239" s="210"/>
      <c r="DC239" s="210"/>
      <c r="DD239" s="210"/>
      <c r="DE239" s="210"/>
      <c r="DF239" s="210"/>
      <c r="DG239" s="210"/>
      <c r="DH239" s="210"/>
      <c r="DI239" s="210"/>
      <c r="DJ239" s="210"/>
      <c r="DK239" s="210"/>
      <c r="DL239" s="210"/>
      <c r="DM239" s="210"/>
      <c r="DN239" s="210"/>
      <c r="DO239" s="210"/>
      <c r="DP239" s="210"/>
      <c r="DQ239" s="210"/>
    </row>
    <row r="240" spans="1:121" s="209" customFormat="1" x14ac:dyDescent="0.25">
      <c r="A240" s="370"/>
      <c r="B240" s="228"/>
      <c r="C240" s="228"/>
      <c r="D240" s="227"/>
      <c r="E240" s="227"/>
      <c r="F240" s="227"/>
      <c r="W240" s="210"/>
      <c r="AF240" s="210"/>
      <c r="BC240" s="210"/>
      <c r="BD240" s="210"/>
      <c r="BJ240" s="210"/>
      <c r="BK240" s="210"/>
      <c r="BL240" s="210"/>
      <c r="BM240" s="210"/>
      <c r="BN240" s="210"/>
      <c r="BO240" s="210"/>
      <c r="BP240" s="210"/>
      <c r="BQ240" s="210"/>
      <c r="BR240" s="210"/>
      <c r="BS240" s="210"/>
      <c r="BT240" s="210"/>
      <c r="BU240" s="210"/>
      <c r="BV240" s="210"/>
      <c r="BW240" s="210"/>
      <c r="BX240" s="210"/>
      <c r="BY240" s="210"/>
      <c r="BZ240" s="210"/>
      <c r="CA240" s="210"/>
      <c r="CB240" s="210"/>
      <c r="CC240" s="210"/>
      <c r="CD240" s="210"/>
      <c r="CE240" s="210"/>
      <c r="CF240" s="210"/>
      <c r="CG240" s="210"/>
      <c r="CH240" s="210"/>
      <c r="CI240" s="210"/>
      <c r="CJ240" s="210"/>
      <c r="CK240" s="210"/>
      <c r="CL240" s="210"/>
      <c r="CM240" s="210"/>
      <c r="CN240" s="210"/>
      <c r="CO240" s="210"/>
      <c r="CP240" s="210"/>
      <c r="CQ240" s="210"/>
      <c r="CR240" s="210"/>
      <c r="CS240" s="210"/>
      <c r="CT240" s="210"/>
      <c r="CU240" s="210"/>
      <c r="CV240" s="210"/>
      <c r="CW240" s="210"/>
      <c r="CX240" s="210"/>
      <c r="CY240" s="210"/>
      <c r="CZ240" s="210"/>
      <c r="DA240" s="210"/>
      <c r="DB240" s="210"/>
      <c r="DC240" s="210"/>
      <c r="DD240" s="210"/>
      <c r="DE240" s="210"/>
      <c r="DF240" s="210"/>
      <c r="DG240" s="210"/>
      <c r="DH240" s="210"/>
      <c r="DI240" s="210"/>
      <c r="DJ240" s="210"/>
      <c r="DK240" s="210"/>
      <c r="DL240" s="210"/>
      <c r="DM240" s="210"/>
      <c r="DN240" s="210"/>
      <c r="DO240" s="210"/>
      <c r="DP240" s="210"/>
      <c r="DQ240" s="210"/>
    </row>
    <row r="241" spans="1:121" s="209" customFormat="1" x14ac:dyDescent="0.25">
      <c r="A241" s="370"/>
      <c r="B241" s="228"/>
      <c r="C241" s="228"/>
      <c r="D241" s="227"/>
      <c r="E241" s="227"/>
      <c r="F241" s="227"/>
      <c r="W241" s="210"/>
      <c r="AF241" s="210"/>
      <c r="BC241" s="210"/>
      <c r="BD241" s="210"/>
      <c r="BJ241" s="210"/>
      <c r="BK241" s="210"/>
      <c r="BL241" s="210"/>
      <c r="BM241" s="210"/>
      <c r="BN241" s="210"/>
      <c r="BO241" s="210"/>
      <c r="BP241" s="210"/>
      <c r="BQ241" s="210"/>
      <c r="BR241" s="210"/>
      <c r="BS241" s="210"/>
      <c r="BT241" s="210"/>
      <c r="BU241" s="210"/>
      <c r="BV241" s="210"/>
      <c r="BW241" s="210"/>
      <c r="BX241" s="210"/>
      <c r="BY241" s="210"/>
      <c r="BZ241" s="210"/>
      <c r="CA241" s="210"/>
      <c r="CB241" s="210"/>
      <c r="CC241" s="210"/>
      <c r="CD241" s="210"/>
      <c r="CE241" s="210"/>
      <c r="CF241" s="210"/>
      <c r="CG241" s="210"/>
      <c r="CH241" s="210"/>
      <c r="CI241" s="210"/>
      <c r="CJ241" s="210"/>
      <c r="CK241" s="210"/>
      <c r="CL241" s="210"/>
      <c r="CM241" s="210"/>
      <c r="CN241" s="210"/>
      <c r="CO241" s="210"/>
      <c r="CP241" s="210"/>
      <c r="CQ241" s="210"/>
      <c r="CR241" s="210"/>
      <c r="CS241" s="210"/>
      <c r="CT241" s="210"/>
      <c r="CU241" s="210"/>
      <c r="CV241" s="210"/>
      <c r="CW241" s="210"/>
      <c r="CX241" s="210"/>
      <c r="CY241" s="210"/>
      <c r="CZ241" s="210"/>
      <c r="DA241" s="210"/>
      <c r="DB241" s="210"/>
      <c r="DC241" s="210"/>
      <c r="DD241" s="210"/>
      <c r="DE241" s="210"/>
      <c r="DF241" s="210"/>
      <c r="DG241" s="210"/>
      <c r="DH241" s="210"/>
      <c r="DI241" s="210"/>
      <c r="DJ241" s="210"/>
      <c r="DK241" s="210"/>
      <c r="DL241" s="210"/>
      <c r="DM241" s="210"/>
      <c r="DN241" s="210"/>
      <c r="DO241" s="210"/>
      <c r="DP241" s="210"/>
      <c r="DQ241" s="210"/>
    </row>
    <row r="242" spans="1:121" s="209" customFormat="1" x14ac:dyDescent="0.25">
      <c r="A242" s="370"/>
      <c r="B242" s="228"/>
      <c r="C242" s="228"/>
      <c r="D242" s="227"/>
      <c r="E242" s="227"/>
      <c r="F242" s="227"/>
      <c r="W242" s="210"/>
      <c r="AF242" s="210"/>
      <c r="BC242" s="210"/>
      <c r="BD242" s="210"/>
      <c r="BJ242" s="210"/>
      <c r="BK242" s="210"/>
      <c r="BL242" s="210"/>
      <c r="BM242" s="210"/>
      <c r="BN242" s="210"/>
      <c r="BO242" s="210"/>
      <c r="BP242" s="210"/>
      <c r="BQ242" s="210"/>
      <c r="BR242" s="210"/>
      <c r="BS242" s="210"/>
      <c r="BT242" s="210"/>
      <c r="BU242" s="210"/>
      <c r="BV242" s="210"/>
      <c r="BW242" s="210"/>
      <c r="BX242" s="210"/>
      <c r="BY242" s="210"/>
      <c r="BZ242" s="210"/>
      <c r="CA242" s="210"/>
      <c r="CB242" s="210"/>
      <c r="CC242" s="210"/>
      <c r="CD242" s="210"/>
      <c r="CE242" s="210"/>
      <c r="CF242" s="210"/>
      <c r="CG242" s="210"/>
      <c r="CH242" s="210"/>
      <c r="CI242" s="210"/>
      <c r="CJ242" s="210"/>
      <c r="CK242" s="210"/>
      <c r="CL242" s="210"/>
      <c r="CM242" s="210"/>
      <c r="CN242" s="210"/>
      <c r="CO242" s="210"/>
      <c r="CP242" s="210"/>
      <c r="CQ242" s="210"/>
      <c r="CR242" s="210"/>
      <c r="CS242" s="210"/>
      <c r="CT242" s="210"/>
      <c r="CU242" s="210"/>
      <c r="CV242" s="210"/>
      <c r="CW242" s="210"/>
      <c r="CX242" s="210"/>
      <c r="CY242" s="210"/>
      <c r="CZ242" s="210"/>
      <c r="DA242" s="210"/>
      <c r="DB242" s="210"/>
      <c r="DC242" s="210"/>
      <c r="DD242" s="210"/>
      <c r="DE242" s="210"/>
      <c r="DF242" s="210"/>
      <c r="DG242" s="210"/>
      <c r="DH242" s="210"/>
      <c r="DI242" s="210"/>
      <c r="DJ242" s="210"/>
      <c r="DK242" s="210"/>
      <c r="DL242" s="210"/>
      <c r="DM242" s="210"/>
      <c r="DN242" s="210"/>
      <c r="DO242" s="210"/>
      <c r="DP242" s="210"/>
      <c r="DQ242" s="210"/>
    </row>
    <row r="243" spans="1:121" s="209" customFormat="1" x14ac:dyDescent="0.25">
      <c r="A243" s="370"/>
      <c r="B243" s="228"/>
      <c r="C243" s="228"/>
      <c r="D243" s="227"/>
      <c r="E243" s="227"/>
      <c r="F243" s="227"/>
      <c r="W243" s="210"/>
      <c r="AF243" s="210"/>
      <c r="BC243" s="210"/>
      <c r="BD243" s="210"/>
      <c r="BJ243" s="210"/>
      <c r="BK243" s="210"/>
      <c r="BL243" s="210"/>
      <c r="BM243" s="210"/>
      <c r="BN243" s="210"/>
      <c r="BO243" s="210"/>
      <c r="BP243" s="210"/>
      <c r="BQ243" s="210"/>
      <c r="BR243" s="210"/>
      <c r="BS243" s="210"/>
      <c r="BT243" s="210"/>
      <c r="BU243" s="210"/>
      <c r="BV243" s="210"/>
      <c r="BW243" s="210"/>
      <c r="BX243" s="210"/>
      <c r="BY243" s="210"/>
      <c r="BZ243" s="210"/>
      <c r="CA243" s="210"/>
      <c r="CB243" s="210"/>
      <c r="CC243" s="210"/>
      <c r="CD243" s="210"/>
      <c r="CE243" s="210"/>
      <c r="CF243" s="210"/>
      <c r="CG243" s="210"/>
      <c r="CH243" s="210"/>
      <c r="CI243" s="210"/>
      <c r="CJ243" s="210"/>
      <c r="CK243" s="210"/>
      <c r="CL243" s="210"/>
      <c r="CM243" s="210"/>
      <c r="CN243" s="210"/>
      <c r="CO243" s="210"/>
      <c r="CP243" s="210"/>
      <c r="CQ243" s="210"/>
      <c r="CR243" s="210"/>
      <c r="CS243" s="210"/>
      <c r="CT243" s="210"/>
      <c r="CU243" s="210"/>
      <c r="CV243" s="210"/>
      <c r="CW243" s="210"/>
      <c r="CX243" s="210"/>
      <c r="CY243" s="210"/>
      <c r="CZ243" s="210"/>
      <c r="DA243" s="210"/>
      <c r="DB243" s="210"/>
      <c r="DC243" s="210"/>
      <c r="DD243" s="210"/>
      <c r="DE243" s="210"/>
      <c r="DF243" s="210"/>
      <c r="DG243" s="210"/>
      <c r="DH243" s="210"/>
      <c r="DI243" s="210"/>
      <c r="DJ243" s="210"/>
      <c r="DK243" s="210"/>
      <c r="DL243" s="210"/>
      <c r="DM243" s="210"/>
      <c r="DN243" s="210"/>
      <c r="DO243" s="210"/>
      <c r="DP243" s="210"/>
      <c r="DQ243" s="210"/>
    </row>
    <row r="244" spans="1:121" s="209" customFormat="1" x14ac:dyDescent="0.25">
      <c r="A244" s="370"/>
      <c r="B244" s="228"/>
      <c r="C244" s="228"/>
      <c r="D244" s="227"/>
      <c r="E244" s="227"/>
      <c r="F244" s="227"/>
      <c r="W244" s="210"/>
      <c r="AF244" s="210"/>
      <c r="BC244" s="210"/>
      <c r="BD244" s="210"/>
      <c r="BJ244" s="210"/>
      <c r="BK244" s="210"/>
      <c r="BL244" s="210"/>
      <c r="BM244" s="210"/>
      <c r="BN244" s="210"/>
      <c r="BO244" s="210"/>
      <c r="BP244" s="210"/>
      <c r="BQ244" s="210"/>
      <c r="BR244" s="210"/>
      <c r="BS244" s="210"/>
      <c r="BT244" s="210"/>
      <c r="BU244" s="210"/>
      <c r="BV244" s="210"/>
      <c r="BW244" s="210"/>
      <c r="BX244" s="210"/>
      <c r="BY244" s="210"/>
      <c r="BZ244" s="210"/>
      <c r="CA244" s="210"/>
      <c r="CB244" s="210"/>
      <c r="CC244" s="210"/>
      <c r="CD244" s="210"/>
      <c r="CE244" s="210"/>
      <c r="CF244" s="210"/>
      <c r="CG244" s="210"/>
      <c r="CH244" s="210"/>
      <c r="CI244" s="210"/>
      <c r="CJ244" s="210"/>
      <c r="CK244" s="210"/>
      <c r="CL244" s="210"/>
      <c r="CM244" s="210"/>
      <c r="CN244" s="210"/>
      <c r="CO244" s="210"/>
      <c r="CP244" s="210"/>
      <c r="CQ244" s="210"/>
      <c r="CR244" s="210"/>
      <c r="CS244" s="210"/>
      <c r="CT244" s="210"/>
      <c r="CU244" s="210"/>
      <c r="CV244" s="210"/>
      <c r="CW244" s="210"/>
      <c r="CX244" s="210"/>
      <c r="CY244" s="210"/>
      <c r="CZ244" s="210"/>
      <c r="DA244" s="210"/>
      <c r="DB244" s="210"/>
      <c r="DC244" s="210"/>
      <c r="DD244" s="210"/>
      <c r="DE244" s="210"/>
      <c r="DF244" s="210"/>
      <c r="DG244" s="210"/>
      <c r="DH244" s="210"/>
      <c r="DI244" s="210"/>
      <c r="DJ244" s="210"/>
      <c r="DK244" s="210"/>
      <c r="DL244" s="210"/>
      <c r="DM244" s="210"/>
      <c r="DN244" s="210"/>
      <c r="DO244" s="210"/>
      <c r="DP244" s="210"/>
      <c r="DQ244" s="210"/>
    </row>
    <row r="245" spans="1:121" s="209" customFormat="1" x14ac:dyDescent="0.25">
      <c r="A245" s="370"/>
      <c r="B245" s="228"/>
      <c r="C245" s="228"/>
      <c r="D245" s="227"/>
      <c r="E245" s="227"/>
      <c r="F245" s="227"/>
      <c r="W245" s="210"/>
      <c r="AF245" s="210"/>
      <c r="BC245" s="210"/>
      <c r="BD245" s="210"/>
      <c r="BJ245" s="210"/>
      <c r="BK245" s="210"/>
      <c r="BL245" s="210"/>
      <c r="BM245" s="210"/>
      <c r="BN245" s="210"/>
      <c r="BO245" s="210"/>
      <c r="BP245" s="210"/>
      <c r="BQ245" s="210"/>
      <c r="BR245" s="210"/>
      <c r="BS245" s="210"/>
      <c r="BT245" s="210"/>
      <c r="BU245" s="210"/>
      <c r="BV245" s="210"/>
      <c r="BW245" s="210"/>
      <c r="BX245" s="210"/>
      <c r="BY245" s="210"/>
      <c r="BZ245" s="210"/>
      <c r="CA245" s="210"/>
      <c r="CB245" s="210"/>
      <c r="CC245" s="210"/>
      <c r="CD245" s="210"/>
      <c r="CE245" s="210"/>
      <c r="CF245" s="210"/>
      <c r="CG245" s="210"/>
      <c r="CH245" s="210"/>
      <c r="CI245" s="210"/>
      <c r="CJ245" s="210"/>
      <c r="CK245" s="210"/>
      <c r="CL245" s="210"/>
      <c r="CM245" s="210"/>
      <c r="CN245" s="210"/>
      <c r="CO245" s="210"/>
      <c r="CP245" s="210"/>
      <c r="CQ245" s="210"/>
      <c r="CR245" s="210"/>
      <c r="CS245" s="210"/>
      <c r="CT245" s="210"/>
      <c r="CU245" s="210"/>
      <c r="CV245" s="210"/>
      <c r="CW245" s="210"/>
      <c r="CX245" s="210"/>
      <c r="CY245" s="210"/>
      <c r="CZ245" s="210"/>
      <c r="DA245" s="210"/>
      <c r="DB245" s="210"/>
      <c r="DC245" s="210"/>
      <c r="DD245" s="210"/>
      <c r="DE245" s="210"/>
      <c r="DF245" s="210"/>
      <c r="DG245" s="210"/>
      <c r="DH245" s="210"/>
      <c r="DI245" s="210"/>
      <c r="DJ245" s="210"/>
      <c r="DK245" s="210"/>
      <c r="DL245" s="210"/>
      <c r="DM245" s="210"/>
      <c r="DN245" s="210"/>
      <c r="DO245" s="210"/>
      <c r="DP245" s="210"/>
      <c r="DQ245" s="210"/>
    </row>
    <row r="246" spans="1:121" s="209" customFormat="1" x14ac:dyDescent="0.25">
      <c r="A246" s="370"/>
      <c r="B246" s="228"/>
      <c r="C246" s="228"/>
      <c r="D246" s="227"/>
      <c r="E246" s="227"/>
      <c r="F246" s="227"/>
      <c r="W246" s="210"/>
      <c r="AF246" s="210"/>
      <c r="BC246" s="210"/>
      <c r="BD246" s="210"/>
      <c r="BJ246" s="210"/>
      <c r="BK246" s="210"/>
      <c r="BL246" s="210"/>
      <c r="BM246" s="210"/>
      <c r="BN246" s="210"/>
      <c r="BO246" s="210"/>
      <c r="BP246" s="210"/>
      <c r="BQ246" s="210"/>
      <c r="BR246" s="210"/>
      <c r="BS246" s="210"/>
      <c r="BT246" s="210"/>
      <c r="BU246" s="210"/>
      <c r="BV246" s="210"/>
      <c r="BW246" s="210"/>
      <c r="BX246" s="210"/>
      <c r="BY246" s="210"/>
      <c r="BZ246" s="210"/>
      <c r="CA246" s="210"/>
      <c r="CB246" s="210"/>
      <c r="CC246" s="210"/>
      <c r="CD246" s="210"/>
      <c r="CE246" s="210"/>
      <c r="CF246" s="210"/>
      <c r="CG246" s="210"/>
      <c r="CH246" s="210"/>
      <c r="CI246" s="210"/>
      <c r="CJ246" s="210"/>
      <c r="CK246" s="210"/>
      <c r="CL246" s="210"/>
      <c r="CM246" s="210"/>
      <c r="CN246" s="210"/>
      <c r="CO246" s="210"/>
      <c r="CP246" s="210"/>
      <c r="CQ246" s="210"/>
      <c r="CR246" s="210"/>
      <c r="CS246" s="210"/>
      <c r="CT246" s="210"/>
      <c r="CU246" s="210"/>
      <c r="CV246" s="210"/>
      <c r="CW246" s="210"/>
      <c r="CX246" s="210"/>
      <c r="CY246" s="210"/>
      <c r="CZ246" s="210"/>
      <c r="DA246" s="210"/>
      <c r="DB246" s="210"/>
      <c r="DC246" s="210"/>
      <c r="DD246" s="210"/>
      <c r="DE246" s="210"/>
      <c r="DF246" s="210"/>
      <c r="DG246" s="210"/>
      <c r="DH246" s="210"/>
      <c r="DI246" s="210"/>
      <c r="DJ246" s="210"/>
      <c r="DK246" s="210"/>
      <c r="DL246" s="210"/>
      <c r="DM246" s="210"/>
      <c r="DN246" s="210"/>
      <c r="DO246" s="210"/>
      <c r="DP246" s="210"/>
      <c r="DQ246" s="210"/>
    </row>
    <row r="247" spans="1:121" s="209" customFormat="1" x14ac:dyDescent="0.25">
      <c r="A247" s="370"/>
      <c r="B247" s="228"/>
      <c r="C247" s="228"/>
      <c r="D247" s="227"/>
      <c r="E247" s="227"/>
      <c r="F247" s="227"/>
      <c r="W247" s="210"/>
      <c r="AF247" s="210"/>
      <c r="BC247" s="210"/>
      <c r="BD247" s="210"/>
      <c r="BJ247" s="210"/>
      <c r="BK247" s="210"/>
      <c r="BL247" s="210"/>
      <c r="BM247" s="210"/>
      <c r="BN247" s="210"/>
      <c r="BO247" s="210"/>
      <c r="BP247" s="210"/>
      <c r="BQ247" s="210"/>
      <c r="BR247" s="210"/>
      <c r="BS247" s="210"/>
      <c r="BT247" s="210"/>
      <c r="BU247" s="210"/>
      <c r="BV247" s="210"/>
      <c r="BW247" s="210"/>
      <c r="BX247" s="210"/>
      <c r="BY247" s="210"/>
      <c r="BZ247" s="210"/>
      <c r="CA247" s="210"/>
      <c r="CB247" s="210"/>
      <c r="CC247" s="210"/>
      <c r="CD247" s="210"/>
      <c r="CE247" s="210"/>
      <c r="CF247" s="210"/>
      <c r="CG247" s="210"/>
      <c r="CH247" s="210"/>
      <c r="CI247" s="210"/>
      <c r="CJ247" s="210"/>
      <c r="CK247" s="210"/>
      <c r="CL247" s="210"/>
      <c r="CM247" s="210"/>
      <c r="CN247" s="210"/>
      <c r="CO247" s="210"/>
      <c r="CP247" s="210"/>
      <c r="CQ247" s="210"/>
      <c r="CR247" s="210"/>
      <c r="CS247" s="210"/>
      <c r="CT247" s="210"/>
      <c r="CU247" s="210"/>
      <c r="CV247" s="210"/>
      <c r="CW247" s="210"/>
      <c r="CX247" s="210"/>
      <c r="CY247" s="210"/>
      <c r="CZ247" s="210"/>
      <c r="DA247" s="210"/>
      <c r="DB247" s="210"/>
      <c r="DC247" s="210"/>
      <c r="DD247" s="210"/>
      <c r="DE247" s="210"/>
      <c r="DF247" s="210"/>
      <c r="DG247" s="210"/>
      <c r="DH247" s="210"/>
      <c r="DI247" s="210"/>
      <c r="DJ247" s="210"/>
      <c r="DK247" s="210"/>
      <c r="DL247" s="210"/>
      <c r="DM247" s="210"/>
      <c r="DN247" s="210"/>
      <c r="DO247" s="210"/>
      <c r="DP247" s="210"/>
      <c r="DQ247" s="210"/>
    </row>
    <row r="248" spans="1:121" s="209" customFormat="1" x14ac:dyDescent="0.25">
      <c r="A248" s="370"/>
      <c r="B248" s="228"/>
      <c r="C248" s="228"/>
      <c r="D248" s="227"/>
      <c r="E248" s="227"/>
      <c r="F248" s="227"/>
      <c r="W248" s="210"/>
      <c r="AF248" s="210"/>
      <c r="BC248" s="210"/>
      <c r="BD248" s="210"/>
      <c r="BJ248" s="210"/>
      <c r="BK248" s="210"/>
      <c r="BL248" s="210"/>
      <c r="BM248" s="210"/>
      <c r="BN248" s="210"/>
      <c r="BO248" s="210"/>
      <c r="BP248" s="210"/>
      <c r="BQ248" s="210"/>
      <c r="BR248" s="210"/>
      <c r="BS248" s="210"/>
      <c r="BT248" s="210"/>
      <c r="BU248" s="210"/>
      <c r="BV248" s="210"/>
      <c r="BW248" s="210"/>
      <c r="BX248" s="210"/>
      <c r="BY248" s="210"/>
      <c r="BZ248" s="210"/>
      <c r="CA248" s="210"/>
      <c r="CB248" s="210"/>
      <c r="CC248" s="210"/>
      <c r="CD248" s="210"/>
      <c r="CE248" s="210"/>
      <c r="CF248" s="210"/>
      <c r="CG248" s="210"/>
      <c r="CH248" s="210"/>
      <c r="CI248" s="210"/>
      <c r="CJ248" s="210"/>
      <c r="CK248" s="210"/>
      <c r="CL248" s="210"/>
      <c r="CM248" s="210"/>
      <c r="CN248" s="210"/>
      <c r="CO248" s="210"/>
      <c r="CP248" s="210"/>
      <c r="CQ248" s="210"/>
      <c r="CR248" s="210"/>
      <c r="CS248" s="210"/>
      <c r="CT248" s="210"/>
      <c r="CU248" s="210"/>
      <c r="CV248" s="210"/>
      <c r="CW248" s="210"/>
      <c r="CX248" s="210"/>
      <c r="CY248" s="210"/>
      <c r="CZ248" s="210"/>
      <c r="DA248" s="210"/>
      <c r="DB248" s="210"/>
      <c r="DC248" s="210"/>
      <c r="DD248" s="210"/>
      <c r="DE248" s="210"/>
      <c r="DF248" s="210"/>
      <c r="DG248" s="210"/>
      <c r="DH248" s="210"/>
      <c r="DI248" s="210"/>
      <c r="DJ248" s="210"/>
      <c r="DK248" s="210"/>
      <c r="DL248" s="210"/>
      <c r="DM248" s="210"/>
      <c r="DN248" s="210"/>
      <c r="DO248" s="210"/>
      <c r="DP248" s="210"/>
      <c r="DQ248" s="210"/>
    </row>
    <row r="249" spans="1:121" s="209" customFormat="1" x14ac:dyDescent="0.25">
      <c r="A249" s="370"/>
      <c r="B249" s="228"/>
      <c r="C249" s="228"/>
      <c r="D249" s="227"/>
      <c r="E249" s="227"/>
      <c r="F249" s="227"/>
      <c r="W249" s="210"/>
      <c r="AF249" s="210"/>
      <c r="BC249" s="210"/>
      <c r="BD249" s="210"/>
      <c r="BJ249" s="210"/>
      <c r="BK249" s="210"/>
      <c r="BL249" s="210"/>
      <c r="BM249" s="210"/>
      <c r="BN249" s="210"/>
      <c r="BO249" s="210"/>
      <c r="BP249" s="210"/>
      <c r="BQ249" s="210"/>
      <c r="BR249" s="210"/>
      <c r="BS249" s="210"/>
      <c r="BT249" s="210"/>
      <c r="BU249" s="210"/>
      <c r="BV249" s="210"/>
      <c r="BW249" s="210"/>
      <c r="BX249" s="210"/>
      <c r="BY249" s="210"/>
      <c r="BZ249" s="210"/>
      <c r="CA249" s="210"/>
      <c r="CB249" s="210"/>
      <c r="CC249" s="210"/>
      <c r="CD249" s="210"/>
      <c r="CE249" s="210"/>
      <c r="CF249" s="210"/>
      <c r="CG249" s="210"/>
      <c r="CH249" s="210"/>
      <c r="CI249" s="210"/>
      <c r="CJ249" s="210"/>
      <c r="CK249" s="210"/>
      <c r="CL249" s="210"/>
      <c r="CM249" s="210"/>
      <c r="CN249" s="210"/>
      <c r="CO249" s="210"/>
      <c r="CP249" s="210"/>
      <c r="CQ249" s="210"/>
      <c r="CR249" s="210"/>
      <c r="CS249" s="210"/>
      <c r="CT249" s="210"/>
      <c r="CU249" s="210"/>
      <c r="CV249" s="210"/>
      <c r="CW249" s="210"/>
      <c r="CX249" s="210"/>
      <c r="CY249" s="210"/>
      <c r="CZ249" s="210"/>
      <c r="DA249" s="210"/>
      <c r="DB249" s="210"/>
      <c r="DC249" s="210"/>
      <c r="DD249" s="210"/>
      <c r="DE249" s="210"/>
      <c r="DF249" s="210"/>
      <c r="DG249" s="210"/>
      <c r="DH249" s="210"/>
      <c r="DI249" s="210"/>
      <c r="DJ249" s="210"/>
      <c r="DK249" s="210"/>
      <c r="DL249" s="210"/>
      <c r="DM249" s="210"/>
      <c r="DN249" s="210"/>
      <c r="DO249" s="210"/>
      <c r="DP249" s="210"/>
      <c r="DQ249" s="210"/>
    </row>
    <row r="250" spans="1:121" s="209" customFormat="1" x14ac:dyDescent="0.25">
      <c r="A250" s="370"/>
      <c r="B250" s="228"/>
      <c r="C250" s="228"/>
      <c r="D250" s="227"/>
      <c r="E250" s="227"/>
      <c r="F250" s="227"/>
      <c r="W250" s="210"/>
      <c r="AF250" s="210"/>
      <c r="BC250" s="210"/>
      <c r="BD250" s="210"/>
      <c r="BJ250" s="210"/>
      <c r="BK250" s="210"/>
      <c r="BL250" s="210"/>
      <c r="BM250" s="210"/>
      <c r="BN250" s="210"/>
      <c r="BO250" s="210"/>
      <c r="BP250" s="210"/>
      <c r="BQ250" s="210"/>
      <c r="BR250" s="210"/>
      <c r="BS250" s="210"/>
      <c r="BT250" s="210"/>
      <c r="BU250" s="210"/>
      <c r="BV250" s="210"/>
      <c r="BW250" s="210"/>
      <c r="BX250" s="210"/>
      <c r="BY250" s="210"/>
      <c r="BZ250" s="210"/>
      <c r="CA250" s="210"/>
      <c r="CB250" s="210"/>
      <c r="CC250" s="210"/>
      <c r="CD250" s="210"/>
      <c r="CE250" s="210"/>
      <c r="CF250" s="210"/>
      <c r="CG250" s="210"/>
      <c r="CH250" s="210"/>
      <c r="CI250" s="210"/>
      <c r="CJ250" s="210"/>
      <c r="CK250" s="210"/>
      <c r="CL250" s="210"/>
      <c r="CM250" s="210"/>
      <c r="CN250" s="210"/>
      <c r="CO250" s="210"/>
      <c r="CP250" s="210"/>
      <c r="CQ250" s="210"/>
      <c r="CR250" s="210"/>
      <c r="CS250" s="210"/>
      <c r="CT250" s="210"/>
      <c r="CU250" s="210"/>
      <c r="CV250" s="210"/>
      <c r="CW250" s="210"/>
      <c r="CX250" s="210"/>
      <c r="CY250" s="210"/>
      <c r="CZ250" s="210"/>
      <c r="DA250" s="210"/>
      <c r="DB250" s="210"/>
      <c r="DC250" s="210"/>
      <c r="DD250" s="210"/>
      <c r="DE250" s="210"/>
      <c r="DF250" s="210"/>
      <c r="DG250" s="210"/>
      <c r="DH250" s="210"/>
      <c r="DI250" s="210"/>
      <c r="DJ250" s="210"/>
      <c r="DK250" s="210"/>
      <c r="DL250" s="210"/>
      <c r="DM250" s="210"/>
      <c r="DN250" s="210"/>
      <c r="DO250" s="210"/>
      <c r="DP250" s="210"/>
      <c r="DQ250" s="210"/>
    </row>
    <row r="251" spans="1:121" s="209" customFormat="1" x14ac:dyDescent="0.25">
      <c r="A251" s="370"/>
      <c r="B251" s="228"/>
      <c r="C251" s="228"/>
      <c r="D251" s="227"/>
      <c r="E251" s="227"/>
      <c r="F251" s="227"/>
      <c r="W251" s="210"/>
      <c r="AF251" s="210"/>
      <c r="BC251" s="210"/>
      <c r="BD251" s="210"/>
      <c r="BJ251" s="210"/>
      <c r="BK251" s="210"/>
      <c r="BL251" s="210"/>
      <c r="BM251" s="210"/>
      <c r="BN251" s="210"/>
      <c r="BO251" s="210"/>
      <c r="BP251" s="210"/>
      <c r="BQ251" s="210"/>
      <c r="BR251" s="210"/>
      <c r="BS251" s="210"/>
      <c r="BT251" s="210"/>
      <c r="BU251" s="210"/>
      <c r="BV251" s="210"/>
      <c r="BW251" s="210"/>
      <c r="BX251" s="210"/>
      <c r="BY251" s="210"/>
      <c r="BZ251" s="210"/>
      <c r="CA251" s="210"/>
      <c r="CB251" s="210"/>
      <c r="CC251" s="210"/>
      <c r="CD251" s="210"/>
      <c r="CE251" s="210"/>
      <c r="CF251" s="210"/>
      <c r="CG251" s="210"/>
      <c r="CH251" s="210"/>
      <c r="CI251" s="210"/>
      <c r="CJ251" s="210"/>
      <c r="CK251" s="210"/>
      <c r="CL251" s="210"/>
      <c r="CM251" s="210"/>
      <c r="CN251" s="210"/>
      <c r="CO251" s="210"/>
      <c r="CP251" s="210"/>
      <c r="CQ251" s="210"/>
      <c r="CR251" s="210"/>
      <c r="CS251" s="210"/>
      <c r="CT251" s="210"/>
      <c r="CU251" s="210"/>
      <c r="CV251" s="210"/>
      <c r="CW251" s="210"/>
      <c r="CX251" s="210"/>
      <c r="CY251" s="210"/>
      <c r="CZ251" s="210"/>
      <c r="DA251" s="210"/>
      <c r="DB251" s="210"/>
      <c r="DC251" s="210"/>
      <c r="DD251" s="210"/>
      <c r="DE251" s="210"/>
      <c r="DF251" s="210"/>
      <c r="DG251" s="210"/>
      <c r="DH251" s="210"/>
      <c r="DI251" s="210"/>
      <c r="DJ251" s="210"/>
      <c r="DK251" s="210"/>
      <c r="DL251" s="210"/>
      <c r="DM251" s="210"/>
      <c r="DN251" s="210"/>
      <c r="DO251" s="210"/>
      <c r="DP251" s="210"/>
      <c r="DQ251" s="210"/>
    </row>
    <row r="252" spans="1:121" s="209" customFormat="1" x14ac:dyDescent="0.25">
      <c r="A252" s="370"/>
      <c r="B252" s="228"/>
      <c r="C252" s="228"/>
      <c r="D252" s="227"/>
      <c r="E252" s="227"/>
      <c r="F252" s="227"/>
      <c r="W252" s="210"/>
      <c r="AF252" s="210"/>
      <c r="BC252" s="210"/>
      <c r="BD252" s="210"/>
      <c r="BJ252" s="210"/>
      <c r="BK252" s="210"/>
      <c r="BL252" s="210"/>
      <c r="BM252" s="210"/>
      <c r="BN252" s="210"/>
      <c r="BO252" s="210"/>
      <c r="BP252" s="210"/>
      <c r="BQ252" s="210"/>
      <c r="BR252" s="210"/>
      <c r="BS252" s="210"/>
      <c r="BT252" s="210"/>
      <c r="BU252" s="210"/>
      <c r="BV252" s="210"/>
      <c r="BW252" s="210"/>
      <c r="BX252" s="210"/>
      <c r="BY252" s="210"/>
      <c r="BZ252" s="210"/>
      <c r="CA252" s="210"/>
      <c r="CB252" s="210"/>
      <c r="CC252" s="210"/>
      <c r="CD252" s="210"/>
      <c r="CE252" s="210"/>
      <c r="CF252" s="210"/>
      <c r="CG252" s="210"/>
      <c r="CH252" s="210"/>
      <c r="CI252" s="210"/>
      <c r="CJ252" s="210"/>
      <c r="CK252" s="210"/>
      <c r="CL252" s="210"/>
      <c r="CM252" s="210"/>
      <c r="CN252" s="210"/>
      <c r="CO252" s="210"/>
      <c r="CP252" s="210"/>
      <c r="CQ252" s="210"/>
      <c r="CR252" s="210"/>
      <c r="CS252" s="210"/>
      <c r="CT252" s="210"/>
      <c r="CU252" s="210"/>
      <c r="CV252" s="210"/>
      <c r="CW252" s="210"/>
      <c r="CX252" s="210"/>
      <c r="CY252" s="210"/>
      <c r="CZ252" s="210"/>
      <c r="DA252" s="210"/>
      <c r="DB252" s="210"/>
      <c r="DC252" s="210"/>
      <c r="DD252" s="210"/>
      <c r="DE252" s="210"/>
      <c r="DF252" s="210"/>
      <c r="DG252" s="210"/>
      <c r="DH252" s="210"/>
      <c r="DI252" s="210"/>
      <c r="DJ252" s="210"/>
      <c r="DK252" s="210"/>
      <c r="DL252" s="210"/>
      <c r="DM252" s="210"/>
      <c r="DN252" s="210"/>
      <c r="DO252" s="210"/>
      <c r="DP252" s="210"/>
      <c r="DQ252" s="210"/>
    </row>
    <row r="253" spans="1:121" s="209" customFormat="1" x14ac:dyDescent="0.25">
      <c r="A253" s="370"/>
      <c r="B253" s="228"/>
      <c r="C253" s="228"/>
      <c r="D253" s="227"/>
      <c r="E253" s="227"/>
      <c r="F253" s="227"/>
      <c r="W253" s="210"/>
      <c r="AF253" s="210"/>
      <c r="BC253" s="210"/>
      <c r="BD253" s="210"/>
      <c r="BJ253" s="210"/>
      <c r="BK253" s="210"/>
      <c r="BL253" s="210"/>
      <c r="BM253" s="210"/>
      <c r="BN253" s="210"/>
      <c r="BO253" s="210"/>
      <c r="BP253" s="210"/>
      <c r="BQ253" s="210"/>
      <c r="BR253" s="210"/>
      <c r="BS253" s="210"/>
      <c r="BT253" s="210"/>
      <c r="BU253" s="210"/>
      <c r="BV253" s="210"/>
      <c r="BW253" s="210"/>
      <c r="BX253" s="210"/>
      <c r="BY253" s="210"/>
      <c r="BZ253" s="210"/>
      <c r="CA253" s="210"/>
      <c r="CB253" s="210"/>
      <c r="CC253" s="210"/>
      <c r="CD253" s="210"/>
      <c r="CE253" s="210"/>
      <c r="CF253" s="210"/>
      <c r="CG253" s="210"/>
      <c r="CH253" s="210"/>
      <c r="CI253" s="210"/>
      <c r="CJ253" s="210"/>
      <c r="CK253" s="210"/>
      <c r="CL253" s="210"/>
      <c r="CM253" s="210"/>
      <c r="CN253" s="210"/>
      <c r="CO253" s="210"/>
      <c r="CP253" s="210"/>
      <c r="CQ253" s="210"/>
      <c r="CR253" s="210"/>
      <c r="CS253" s="210"/>
      <c r="CT253" s="210"/>
      <c r="CU253" s="210"/>
      <c r="CV253" s="210"/>
      <c r="CW253" s="210"/>
      <c r="CX253" s="210"/>
      <c r="CY253" s="210"/>
      <c r="CZ253" s="210"/>
      <c r="DA253" s="210"/>
      <c r="DB253" s="210"/>
      <c r="DC253" s="210"/>
      <c r="DD253" s="210"/>
      <c r="DE253" s="210"/>
      <c r="DF253" s="210"/>
      <c r="DG253" s="210"/>
      <c r="DH253" s="210"/>
      <c r="DI253" s="210"/>
      <c r="DJ253" s="210"/>
      <c r="DK253" s="210"/>
      <c r="DL253" s="210"/>
      <c r="DM253" s="210"/>
      <c r="DN253" s="210"/>
      <c r="DO253" s="210"/>
      <c r="DP253" s="210"/>
      <c r="DQ253" s="210"/>
    </row>
    <row r="254" spans="1:121" s="209" customFormat="1" x14ac:dyDescent="0.25">
      <c r="A254" s="370"/>
      <c r="B254" s="228"/>
      <c r="C254" s="228"/>
      <c r="D254" s="227"/>
      <c r="E254" s="227"/>
      <c r="F254" s="227"/>
      <c r="W254" s="210"/>
      <c r="AF254" s="210"/>
      <c r="BC254" s="210"/>
      <c r="BD254" s="210"/>
      <c r="BJ254" s="210"/>
      <c r="BK254" s="210"/>
      <c r="BL254" s="210"/>
      <c r="BM254" s="210"/>
      <c r="BN254" s="210"/>
      <c r="BO254" s="210"/>
      <c r="BP254" s="210"/>
      <c r="BQ254" s="210"/>
      <c r="BR254" s="210"/>
      <c r="BS254" s="210"/>
      <c r="BT254" s="210"/>
      <c r="BU254" s="210"/>
      <c r="BV254" s="210"/>
      <c r="BW254" s="210"/>
      <c r="BX254" s="210"/>
      <c r="BY254" s="210"/>
      <c r="BZ254" s="210"/>
      <c r="CA254" s="210"/>
      <c r="CB254" s="210"/>
      <c r="CC254" s="210"/>
      <c r="CD254" s="210"/>
      <c r="CE254" s="210"/>
      <c r="CF254" s="210"/>
      <c r="CG254" s="210"/>
      <c r="CH254" s="210"/>
      <c r="CI254" s="210"/>
      <c r="CJ254" s="210"/>
      <c r="CK254" s="210"/>
      <c r="CL254" s="210"/>
      <c r="CM254" s="210"/>
      <c r="CN254" s="210"/>
      <c r="CO254" s="210"/>
      <c r="CP254" s="210"/>
      <c r="CQ254" s="210"/>
      <c r="CR254" s="210"/>
      <c r="CS254" s="210"/>
      <c r="CT254" s="210"/>
      <c r="CU254" s="210"/>
      <c r="CV254" s="210"/>
      <c r="CW254" s="210"/>
      <c r="CX254" s="210"/>
      <c r="CY254" s="210"/>
      <c r="CZ254" s="210"/>
      <c r="DA254" s="210"/>
      <c r="DB254" s="210"/>
      <c r="DC254" s="210"/>
      <c r="DD254" s="210"/>
      <c r="DE254" s="210"/>
      <c r="DF254" s="210"/>
      <c r="DG254" s="210"/>
      <c r="DH254" s="210"/>
      <c r="DI254" s="210"/>
      <c r="DJ254" s="210"/>
      <c r="DK254" s="210"/>
      <c r="DL254" s="210"/>
      <c r="DM254" s="210"/>
      <c r="DN254" s="210"/>
      <c r="DO254" s="210"/>
      <c r="DP254" s="210"/>
      <c r="DQ254" s="210"/>
    </row>
    <row r="255" spans="1:121" s="209" customFormat="1" x14ac:dyDescent="0.25">
      <c r="A255" s="370"/>
      <c r="B255" s="228"/>
      <c r="C255" s="228"/>
      <c r="D255" s="227"/>
      <c r="E255" s="227"/>
      <c r="F255" s="227"/>
      <c r="W255" s="210"/>
      <c r="AF255" s="210"/>
      <c r="BC255" s="210"/>
      <c r="BD255" s="210"/>
      <c r="BJ255" s="210"/>
      <c r="BK255" s="210"/>
      <c r="BL255" s="210"/>
      <c r="BM255" s="210"/>
      <c r="BN255" s="210"/>
      <c r="BO255" s="210"/>
      <c r="BP255" s="210"/>
      <c r="BQ255" s="210"/>
      <c r="BR255" s="210"/>
      <c r="BS255" s="210"/>
      <c r="BT255" s="210"/>
      <c r="BU255" s="210"/>
      <c r="BV255" s="210"/>
      <c r="BW255" s="210"/>
      <c r="BX255" s="210"/>
      <c r="BY255" s="210"/>
      <c r="BZ255" s="210"/>
      <c r="CA255" s="210"/>
      <c r="CB255" s="210"/>
      <c r="CC255" s="210"/>
      <c r="CD255" s="210"/>
      <c r="CE255" s="210"/>
      <c r="CF255" s="210"/>
      <c r="CG255" s="210"/>
      <c r="CH255" s="210"/>
      <c r="CI255" s="210"/>
      <c r="CJ255" s="210"/>
      <c r="CK255" s="210"/>
      <c r="CL255" s="210"/>
      <c r="CM255" s="210"/>
      <c r="CN255" s="210"/>
      <c r="CO255" s="210"/>
      <c r="CP255" s="210"/>
      <c r="CQ255" s="210"/>
      <c r="CR255" s="210"/>
      <c r="CS255" s="210"/>
      <c r="CT255" s="210"/>
      <c r="CU255" s="210"/>
      <c r="CV255" s="210"/>
      <c r="CW255" s="210"/>
      <c r="CX255" s="210"/>
      <c r="CY255" s="210"/>
      <c r="CZ255" s="210"/>
      <c r="DA255" s="210"/>
      <c r="DB255" s="210"/>
      <c r="DC255" s="210"/>
      <c r="DD255" s="210"/>
      <c r="DE255" s="210"/>
      <c r="DF255" s="210"/>
      <c r="DG255" s="210"/>
      <c r="DH255" s="210"/>
      <c r="DI255" s="210"/>
      <c r="DJ255" s="210"/>
      <c r="DK255" s="210"/>
      <c r="DL255" s="210"/>
      <c r="DM255" s="210"/>
      <c r="DN255" s="210"/>
      <c r="DO255" s="210"/>
      <c r="DP255" s="210"/>
      <c r="DQ255" s="210"/>
    </row>
    <row r="256" spans="1:121" s="209" customFormat="1" x14ac:dyDescent="0.25">
      <c r="A256" s="370"/>
      <c r="B256" s="228"/>
      <c r="C256" s="228"/>
      <c r="D256" s="227"/>
      <c r="E256" s="227"/>
      <c r="F256" s="227"/>
      <c r="W256" s="210"/>
      <c r="AF256" s="210"/>
      <c r="BC256" s="210"/>
      <c r="BD256" s="210"/>
      <c r="BJ256" s="210"/>
      <c r="BK256" s="210"/>
      <c r="BL256" s="210"/>
      <c r="BM256" s="210"/>
      <c r="BN256" s="210"/>
      <c r="BO256" s="210"/>
      <c r="BP256" s="210"/>
      <c r="BQ256" s="210"/>
      <c r="BR256" s="210"/>
      <c r="BS256" s="210"/>
      <c r="BT256" s="210"/>
      <c r="BU256" s="210"/>
      <c r="BV256" s="210"/>
      <c r="BW256" s="210"/>
      <c r="BX256" s="210"/>
      <c r="BY256" s="210"/>
      <c r="BZ256" s="210"/>
      <c r="CA256" s="210"/>
      <c r="CB256" s="210"/>
      <c r="CC256" s="210"/>
      <c r="CD256" s="210"/>
      <c r="CE256" s="210"/>
      <c r="CF256" s="210"/>
      <c r="CG256" s="210"/>
      <c r="CH256" s="210"/>
      <c r="CI256" s="210"/>
      <c r="CJ256" s="210"/>
      <c r="CK256" s="210"/>
      <c r="CL256" s="210"/>
      <c r="CM256" s="210"/>
      <c r="CN256" s="210"/>
      <c r="CO256" s="210"/>
      <c r="CP256" s="210"/>
      <c r="CQ256" s="210"/>
      <c r="CR256" s="210"/>
      <c r="CS256" s="210"/>
      <c r="CT256" s="210"/>
      <c r="CU256" s="210"/>
      <c r="CV256" s="210"/>
      <c r="CW256" s="210"/>
      <c r="CX256" s="210"/>
      <c r="CY256" s="210"/>
      <c r="CZ256" s="210"/>
      <c r="DA256" s="210"/>
      <c r="DB256" s="210"/>
      <c r="DC256" s="210"/>
      <c r="DD256" s="210"/>
      <c r="DE256" s="210"/>
      <c r="DF256" s="210"/>
      <c r="DG256" s="210"/>
      <c r="DH256" s="210"/>
      <c r="DI256" s="210"/>
      <c r="DJ256" s="210"/>
      <c r="DK256" s="210"/>
      <c r="DL256" s="210"/>
      <c r="DM256" s="210"/>
      <c r="DN256" s="210"/>
      <c r="DO256" s="210"/>
      <c r="DP256" s="210"/>
      <c r="DQ256" s="210"/>
    </row>
    <row r="257" spans="1:121" s="209" customFormat="1" x14ac:dyDescent="0.25">
      <c r="A257" s="370"/>
      <c r="B257" s="228"/>
      <c r="C257" s="228"/>
      <c r="D257" s="227"/>
      <c r="E257" s="227"/>
      <c r="F257" s="227"/>
      <c r="W257" s="210"/>
      <c r="AF257" s="210"/>
      <c r="BC257" s="210"/>
      <c r="BD257" s="210"/>
      <c r="BJ257" s="210"/>
      <c r="BK257" s="210"/>
      <c r="BL257" s="210"/>
      <c r="BM257" s="210"/>
      <c r="BN257" s="210"/>
      <c r="BO257" s="210"/>
      <c r="BP257" s="210"/>
      <c r="BQ257" s="210"/>
      <c r="BR257" s="210"/>
      <c r="BS257" s="210"/>
      <c r="BT257" s="210"/>
      <c r="BU257" s="210"/>
      <c r="BV257" s="210"/>
      <c r="BW257" s="210"/>
      <c r="BX257" s="210"/>
      <c r="BY257" s="210"/>
      <c r="BZ257" s="210"/>
      <c r="CA257" s="210"/>
      <c r="CB257" s="210"/>
      <c r="CC257" s="210"/>
      <c r="CD257" s="210"/>
      <c r="CE257" s="210"/>
      <c r="CF257" s="210"/>
      <c r="CG257" s="210"/>
      <c r="CH257" s="210"/>
      <c r="CI257" s="210"/>
      <c r="CJ257" s="210"/>
      <c r="CK257" s="210"/>
      <c r="CL257" s="210"/>
      <c r="CM257" s="210"/>
      <c r="CN257" s="210"/>
      <c r="CO257" s="210"/>
      <c r="CP257" s="210"/>
      <c r="CQ257" s="210"/>
      <c r="CR257" s="210"/>
      <c r="CS257" s="210"/>
      <c r="CT257" s="210"/>
      <c r="CU257" s="210"/>
      <c r="CV257" s="210"/>
      <c r="CW257" s="210"/>
      <c r="CX257" s="210"/>
      <c r="CY257" s="210"/>
      <c r="CZ257" s="210"/>
      <c r="DA257" s="210"/>
      <c r="DB257" s="210"/>
      <c r="DC257" s="210"/>
      <c r="DD257" s="210"/>
      <c r="DE257" s="210"/>
      <c r="DF257" s="210"/>
      <c r="DG257" s="210"/>
      <c r="DH257" s="210"/>
      <c r="DI257" s="210"/>
      <c r="DJ257" s="210"/>
      <c r="DK257" s="210"/>
      <c r="DL257" s="210"/>
      <c r="DM257" s="210"/>
      <c r="DN257" s="210"/>
      <c r="DO257" s="210"/>
      <c r="DP257" s="210"/>
      <c r="DQ257" s="210"/>
    </row>
    <row r="258" spans="1:121" s="209" customFormat="1" x14ac:dyDescent="0.25">
      <c r="A258" s="370"/>
      <c r="B258" s="228"/>
      <c r="C258" s="228"/>
      <c r="D258" s="227"/>
      <c r="E258" s="227"/>
      <c r="F258" s="227"/>
      <c r="W258" s="210"/>
      <c r="AF258" s="210"/>
      <c r="BC258" s="210"/>
      <c r="BD258" s="210"/>
      <c r="BJ258" s="210"/>
      <c r="BK258" s="210"/>
      <c r="BL258" s="210"/>
      <c r="BM258" s="210"/>
      <c r="BN258" s="210"/>
      <c r="BO258" s="210"/>
      <c r="BP258" s="210"/>
      <c r="BQ258" s="210"/>
      <c r="BR258" s="210"/>
      <c r="BS258" s="210"/>
      <c r="BT258" s="210"/>
      <c r="BU258" s="210"/>
      <c r="BV258" s="210"/>
      <c r="BW258" s="210"/>
      <c r="BX258" s="210"/>
      <c r="BY258" s="210"/>
      <c r="BZ258" s="210"/>
      <c r="CA258" s="210"/>
      <c r="CB258" s="210"/>
      <c r="CC258" s="210"/>
      <c r="CD258" s="210"/>
      <c r="CE258" s="210"/>
      <c r="CF258" s="210"/>
      <c r="CG258" s="210"/>
      <c r="CH258" s="210"/>
      <c r="CI258" s="210"/>
      <c r="CJ258" s="210"/>
      <c r="CK258" s="210"/>
      <c r="CL258" s="210"/>
      <c r="CM258" s="210"/>
      <c r="CN258" s="210"/>
      <c r="CO258" s="210"/>
      <c r="CP258" s="210"/>
      <c r="CQ258" s="210"/>
      <c r="CR258" s="210"/>
      <c r="CS258" s="210"/>
      <c r="CT258" s="210"/>
      <c r="CU258" s="210"/>
      <c r="CV258" s="210"/>
      <c r="CW258" s="210"/>
      <c r="CX258" s="210"/>
      <c r="CY258" s="210"/>
      <c r="CZ258" s="210"/>
      <c r="DA258" s="210"/>
      <c r="DB258" s="210"/>
      <c r="DC258" s="210"/>
      <c r="DD258" s="210"/>
      <c r="DE258" s="210"/>
      <c r="DF258" s="210"/>
      <c r="DG258" s="210"/>
      <c r="DH258" s="210"/>
      <c r="DI258" s="210"/>
      <c r="DJ258" s="210"/>
      <c r="DK258" s="210"/>
      <c r="DL258" s="210"/>
      <c r="DM258" s="210"/>
      <c r="DN258" s="210"/>
      <c r="DO258" s="210"/>
      <c r="DP258" s="210"/>
      <c r="DQ258" s="210"/>
    </row>
    <row r="259" spans="1:121" s="209" customFormat="1" x14ac:dyDescent="0.25">
      <c r="A259" s="370"/>
      <c r="B259" s="228"/>
      <c r="C259" s="228"/>
      <c r="D259" s="227"/>
      <c r="E259" s="227"/>
      <c r="F259" s="227"/>
      <c r="W259" s="210"/>
      <c r="AF259" s="210"/>
      <c r="BC259" s="210"/>
      <c r="BD259" s="210"/>
      <c r="BJ259" s="210"/>
      <c r="BK259" s="210"/>
      <c r="BL259" s="210"/>
      <c r="BM259" s="210"/>
      <c r="BN259" s="210"/>
      <c r="BO259" s="210"/>
      <c r="BP259" s="210"/>
      <c r="BQ259" s="210"/>
      <c r="BR259" s="210"/>
      <c r="BS259" s="210"/>
      <c r="BT259" s="210"/>
      <c r="BU259" s="210"/>
      <c r="BV259" s="210"/>
      <c r="BW259" s="210"/>
      <c r="BX259" s="210"/>
      <c r="BY259" s="210"/>
      <c r="BZ259" s="210"/>
      <c r="CA259" s="210"/>
      <c r="CB259" s="210"/>
      <c r="CC259" s="210"/>
      <c r="CD259" s="210"/>
      <c r="CE259" s="210"/>
      <c r="CF259" s="210"/>
      <c r="CG259" s="210"/>
      <c r="CH259" s="210"/>
      <c r="CI259" s="210"/>
      <c r="CJ259" s="210"/>
      <c r="CK259" s="210"/>
      <c r="CL259" s="210"/>
      <c r="CM259" s="210"/>
      <c r="CN259" s="210"/>
      <c r="CO259" s="210"/>
      <c r="CP259" s="210"/>
      <c r="CQ259" s="210"/>
      <c r="CR259" s="210"/>
      <c r="CS259" s="210"/>
      <c r="CT259" s="210"/>
      <c r="CU259" s="210"/>
      <c r="CV259" s="210"/>
      <c r="CW259" s="210"/>
      <c r="CX259" s="210"/>
      <c r="CY259" s="210"/>
      <c r="CZ259" s="210"/>
      <c r="DA259" s="210"/>
      <c r="DB259" s="210"/>
      <c r="DC259" s="210"/>
      <c r="DD259" s="210"/>
      <c r="DE259" s="210"/>
      <c r="DF259" s="210"/>
      <c r="DG259" s="210"/>
      <c r="DH259" s="210"/>
      <c r="DI259" s="210"/>
      <c r="DJ259" s="210"/>
      <c r="DK259" s="210"/>
      <c r="DL259" s="210"/>
      <c r="DM259" s="210"/>
      <c r="DN259" s="210"/>
      <c r="DO259" s="210"/>
      <c r="DP259" s="210"/>
      <c r="DQ259" s="210"/>
    </row>
    <row r="260" spans="1:121" s="209" customFormat="1" x14ac:dyDescent="0.25">
      <c r="A260" s="370"/>
      <c r="B260" s="228"/>
      <c r="C260" s="228"/>
      <c r="D260" s="227"/>
      <c r="E260" s="227"/>
      <c r="F260" s="227"/>
      <c r="W260" s="210"/>
      <c r="AF260" s="210"/>
      <c r="BC260" s="210"/>
      <c r="BD260" s="210"/>
      <c r="BJ260" s="210"/>
      <c r="BK260" s="210"/>
      <c r="BL260" s="210"/>
      <c r="BM260" s="210"/>
      <c r="BN260" s="210"/>
      <c r="BO260" s="210"/>
      <c r="BP260" s="210"/>
      <c r="BQ260" s="210"/>
      <c r="BR260" s="210"/>
      <c r="BS260" s="210"/>
      <c r="BT260" s="210"/>
      <c r="BU260" s="210"/>
      <c r="BV260" s="210"/>
      <c r="BW260" s="210"/>
      <c r="BX260" s="210"/>
      <c r="BY260" s="210"/>
      <c r="BZ260" s="210"/>
      <c r="CA260" s="210"/>
      <c r="CB260" s="210"/>
      <c r="CC260" s="210"/>
      <c r="CD260" s="210"/>
      <c r="CE260" s="210"/>
      <c r="CF260" s="210"/>
      <c r="CG260" s="210"/>
      <c r="CH260" s="210"/>
      <c r="CI260" s="210"/>
      <c r="CJ260" s="210"/>
      <c r="CK260" s="210"/>
      <c r="CL260" s="210"/>
      <c r="CM260" s="210"/>
      <c r="CN260" s="210"/>
      <c r="CO260" s="210"/>
      <c r="CP260" s="210"/>
      <c r="CQ260" s="210"/>
      <c r="CR260" s="210"/>
      <c r="CS260" s="210"/>
      <c r="CT260" s="210"/>
      <c r="CU260" s="210"/>
      <c r="CV260" s="210"/>
      <c r="CW260" s="210"/>
      <c r="CX260" s="210"/>
      <c r="CY260" s="210"/>
      <c r="CZ260" s="210"/>
      <c r="DA260" s="210"/>
      <c r="DB260" s="210"/>
      <c r="DC260" s="210"/>
      <c r="DD260" s="210"/>
      <c r="DE260" s="210"/>
      <c r="DF260" s="210"/>
      <c r="DG260" s="210"/>
      <c r="DH260" s="210"/>
      <c r="DI260" s="210"/>
      <c r="DJ260" s="210"/>
      <c r="DK260" s="210"/>
      <c r="DL260" s="210"/>
      <c r="DM260" s="210"/>
      <c r="DN260" s="210"/>
      <c r="DO260" s="210"/>
      <c r="DP260" s="210"/>
      <c r="DQ260" s="210"/>
    </row>
    <row r="261" spans="1:121" s="209" customFormat="1" x14ac:dyDescent="0.25">
      <c r="A261" s="370"/>
      <c r="B261" s="228"/>
      <c r="C261" s="228"/>
      <c r="D261" s="227"/>
      <c r="E261" s="227"/>
      <c r="F261" s="227"/>
      <c r="W261" s="210"/>
      <c r="AF261" s="210"/>
      <c r="BC261" s="210"/>
      <c r="BD261" s="210"/>
      <c r="BJ261" s="210"/>
      <c r="BK261" s="210"/>
      <c r="BL261" s="210"/>
      <c r="BM261" s="210"/>
      <c r="BN261" s="210"/>
      <c r="BO261" s="210"/>
      <c r="BP261" s="210"/>
      <c r="BQ261" s="210"/>
      <c r="BR261" s="210"/>
      <c r="BS261" s="210"/>
      <c r="BT261" s="210"/>
      <c r="BU261" s="210"/>
      <c r="BV261" s="210"/>
      <c r="BW261" s="210"/>
      <c r="BX261" s="210"/>
      <c r="BY261" s="210"/>
      <c r="BZ261" s="210"/>
      <c r="CA261" s="210"/>
      <c r="CB261" s="210"/>
      <c r="CC261" s="210"/>
      <c r="CD261" s="210"/>
      <c r="CE261" s="210"/>
      <c r="CF261" s="210"/>
      <c r="CG261" s="210"/>
      <c r="CH261" s="210"/>
      <c r="CI261" s="210"/>
      <c r="CJ261" s="210"/>
      <c r="CK261" s="210"/>
      <c r="CL261" s="210"/>
      <c r="CM261" s="210"/>
      <c r="CN261" s="210"/>
      <c r="CO261" s="210"/>
      <c r="CP261" s="210"/>
      <c r="CQ261" s="210"/>
      <c r="CR261" s="210"/>
      <c r="CS261" s="210"/>
      <c r="CT261" s="210"/>
      <c r="CU261" s="210"/>
      <c r="CV261" s="210"/>
      <c r="CW261" s="210"/>
      <c r="CX261" s="210"/>
      <c r="CY261" s="210"/>
      <c r="CZ261" s="210"/>
      <c r="DA261" s="210"/>
      <c r="DB261" s="210"/>
      <c r="DC261" s="210"/>
      <c r="DD261" s="210"/>
      <c r="DE261" s="210"/>
      <c r="DF261" s="210"/>
      <c r="DG261" s="210"/>
      <c r="DH261" s="210"/>
      <c r="DI261" s="210"/>
      <c r="DJ261" s="210"/>
      <c r="DK261" s="210"/>
      <c r="DL261" s="210"/>
      <c r="DM261" s="210"/>
      <c r="DN261" s="210"/>
      <c r="DO261" s="210"/>
      <c r="DP261" s="210"/>
      <c r="DQ261" s="210"/>
    </row>
    <row r="262" spans="1:121" s="209" customFormat="1" x14ac:dyDescent="0.25">
      <c r="A262" s="370"/>
      <c r="B262" s="228"/>
      <c r="C262" s="228"/>
      <c r="D262" s="227"/>
      <c r="E262" s="227"/>
      <c r="F262" s="227"/>
      <c r="W262" s="210"/>
      <c r="AF262" s="210"/>
      <c r="BC262" s="210"/>
      <c r="BD262" s="210"/>
      <c r="BJ262" s="210"/>
      <c r="BK262" s="210"/>
      <c r="BL262" s="210"/>
      <c r="BM262" s="210"/>
      <c r="BN262" s="210"/>
      <c r="BO262" s="210"/>
      <c r="BP262" s="210"/>
      <c r="BQ262" s="210"/>
      <c r="BR262" s="210"/>
      <c r="BS262" s="210"/>
      <c r="BT262" s="210"/>
      <c r="BU262" s="210"/>
      <c r="BV262" s="210"/>
      <c r="BW262" s="210"/>
      <c r="BX262" s="210"/>
      <c r="BY262" s="210"/>
      <c r="BZ262" s="210"/>
      <c r="CA262" s="210"/>
      <c r="CB262" s="210"/>
      <c r="CC262" s="210"/>
      <c r="CD262" s="210"/>
      <c r="CE262" s="210"/>
      <c r="CF262" s="210"/>
      <c r="CG262" s="210"/>
      <c r="CH262" s="210"/>
      <c r="CI262" s="210"/>
      <c r="CJ262" s="210"/>
      <c r="CK262" s="210"/>
      <c r="CL262" s="210"/>
      <c r="CM262" s="210"/>
      <c r="CN262" s="210"/>
      <c r="CO262" s="210"/>
      <c r="CP262" s="210"/>
      <c r="CQ262" s="210"/>
      <c r="CR262" s="210"/>
      <c r="CS262" s="210"/>
      <c r="CT262" s="210"/>
      <c r="CU262" s="210"/>
      <c r="CV262" s="210"/>
      <c r="CW262" s="210"/>
      <c r="CX262" s="210"/>
      <c r="CY262" s="210"/>
      <c r="CZ262" s="210"/>
      <c r="DA262" s="210"/>
      <c r="DB262" s="210"/>
      <c r="DC262" s="210"/>
      <c r="DD262" s="210"/>
      <c r="DE262" s="210"/>
      <c r="DF262" s="210"/>
      <c r="DG262" s="210"/>
      <c r="DH262" s="210"/>
      <c r="DI262" s="210"/>
      <c r="DJ262" s="210"/>
      <c r="DK262" s="210"/>
      <c r="DL262" s="210"/>
      <c r="DM262" s="210"/>
      <c r="DN262" s="210"/>
      <c r="DO262" s="210"/>
      <c r="DP262" s="210"/>
      <c r="DQ262" s="210"/>
    </row>
    <row r="263" spans="1:121" s="209" customFormat="1" x14ac:dyDescent="0.25">
      <c r="A263" s="370"/>
      <c r="B263" s="228"/>
      <c r="C263" s="228"/>
      <c r="D263" s="227"/>
      <c r="E263" s="227"/>
      <c r="F263" s="227"/>
      <c r="W263" s="210"/>
      <c r="AF263" s="210"/>
      <c r="BC263" s="210"/>
      <c r="BD263" s="210"/>
      <c r="BJ263" s="210"/>
      <c r="BK263" s="210"/>
      <c r="BL263" s="210"/>
      <c r="BM263" s="210"/>
      <c r="BN263" s="210"/>
      <c r="BO263" s="210"/>
      <c r="BP263" s="210"/>
      <c r="BQ263" s="210"/>
      <c r="BR263" s="210"/>
      <c r="BS263" s="210"/>
      <c r="BT263" s="210"/>
      <c r="BU263" s="210"/>
      <c r="BV263" s="210"/>
      <c r="BW263" s="210"/>
      <c r="BX263" s="210"/>
      <c r="BY263" s="210"/>
      <c r="BZ263" s="210"/>
      <c r="CA263" s="210"/>
      <c r="CB263" s="210"/>
      <c r="CC263" s="210"/>
      <c r="CD263" s="210"/>
      <c r="CE263" s="210"/>
      <c r="CF263" s="210"/>
      <c r="CG263" s="210"/>
      <c r="CH263" s="210"/>
      <c r="CI263" s="210"/>
      <c r="CJ263" s="210"/>
      <c r="CK263" s="210"/>
      <c r="CL263" s="210"/>
      <c r="CM263" s="210"/>
      <c r="CN263" s="210"/>
      <c r="CO263" s="210"/>
      <c r="CP263" s="210"/>
      <c r="CQ263" s="210"/>
      <c r="CR263" s="210"/>
      <c r="CS263" s="210"/>
      <c r="CT263" s="210"/>
      <c r="CU263" s="210"/>
      <c r="CV263" s="210"/>
      <c r="CW263" s="210"/>
      <c r="CX263" s="210"/>
      <c r="CY263" s="210"/>
      <c r="CZ263" s="210"/>
      <c r="DA263" s="210"/>
      <c r="DB263" s="210"/>
      <c r="DC263" s="210"/>
      <c r="DD263" s="210"/>
      <c r="DE263" s="210"/>
      <c r="DF263" s="210"/>
      <c r="DG263" s="210"/>
      <c r="DH263" s="210"/>
      <c r="DI263" s="210"/>
      <c r="DJ263" s="210"/>
      <c r="DK263" s="210"/>
      <c r="DL263" s="210"/>
      <c r="DM263" s="210"/>
      <c r="DN263" s="210"/>
      <c r="DO263" s="210"/>
      <c r="DP263" s="210"/>
      <c r="DQ263" s="210"/>
    </row>
    <row r="264" spans="1:121" s="209" customFormat="1" x14ac:dyDescent="0.25">
      <c r="A264" s="370"/>
      <c r="B264" s="228"/>
      <c r="C264" s="228"/>
      <c r="D264" s="227"/>
      <c r="E264" s="227"/>
      <c r="F264" s="227"/>
      <c r="W264" s="210"/>
      <c r="AF264" s="210"/>
      <c r="BC264" s="210"/>
      <c r="BD264" s="210"/>
      <c r="BJ264" s="210"/>
      <c r="BK264" s="210"/>
      <c r="BL264" s="210"/>
      <c r="BM264" s="210"/>
      <c r="BN264" s="210"/>
      <c r="BO264" s="210"/>
      <c r="BP264" s="210"/>
      <c r="BQ264" s="210"/>
      <c r="BR264" s="210"/>
      <c r="BS264" s="210"/>
      <c r="BT264" s="210"/>
      <c r="BU264" s="210"/>
      <c r="BV264" s="210"/>
      <c r="BW264" s="210"/>
      <c r="BX264" s="210"/>
      <c r="BY264" s="210"/>
      <c r="BZ264" s="210"/>
      <c r="CA264" s="210"/>
      <c r="CB264" s="210"/>
      <c r="CC264" s="210"/>
      <c r="CD264" s="210"/>
      <c r="CE264" s="210"/>
      <c r="CF264" s="210"/>
      <c r="CG264" s="210"/>
      <c r="CH264" s="210"/>
      <c r="CI264" s="210"/>
      <c r="CJ264" s="210"/>
      <c r="CK264" s="210"/>
      <c r="CL264" s="210"/>
      <c r="CM264" s="210"/>
      <c r="CN264" s="210"/>
      <c r="CO264" s="210"/>
      <c r="CP264" s="210"/>
      <c r="CQ264" s="210"/>
      <c r="CR264" s="210"/>
      <c r="CS264" s="210"/>
      <c r="CT264" s="210"/>
      <c r="CU264" s="210"/>
      <c r="CV264" s="210"/>
      <c r="CW264" s="210"/>
      <c r="CX264" s="210"/>
      <c r="CY264" s="210"/>
      <c r="CZ264" s="210"/>
      <c r="DA264" s="210"/>
      <c r="DB264" s="210"/>
      <c r="DC264" s="210"/>
      <c r="DD264" s="210"/>
      <c r="DE264" s="210"/>
      <c r="DF264" s="210"/>
      <c r="DG264" s="210"/>
      <c r="DH264" s="210"/>
      <c r="DI264" s="210"/>
      <c r="DJ264" s="210"/>
      <c r="DK264" s="210"/>
      <c r="DL264" s="210"/>
      <c r="DM264" s="210"/>
      <c r="DN264" s="210"/>
      <c r="DO264" s="210"/>
      <c r="DP264" s="210"/>
      <c r="DQ264" s="210"/>
    </row>
    <row r="265" spans="1:121" s="209" customFormat="1" x14ac:dyDescent="0.25">
      <c r="A265" s="370"/>
      <c r="B265" s="228"/>
      <c r="C265" s="228"/>
      <c r="D265" s="227"/>
      <c r="E265" s="227"/>
      <c r="F265" s="227"/>
      <c r="W265" s="210"/>
      <c r="AF265" s="210"/>
      <c r="BC265" s="210"/>
      <c r="BD265" s="210"/>
      <c r="BJ265" s="210"/>
      <c r="BK265" s="210"/>
      <c r="BL265" s="210"/>
      <c r="BM265" s="210"/>
      <c r="BN265" s="210"/>
      <c r="BO265" s="210"/>
      <c r="BP265" s="210"/>
      <c r="BQ265" s="210"/>
      <c r="BR265" s="210"/>
      <c r="BS265" s="210"/>
      <c r="BT265" s="210"/>
      <c r="BU265" s="210"/>
      <c r="BV265" s="210"/>
      <c r="BW265" s="210"/>
      <c r="BX265" s="210"/>
      <c r="BY265" s="210"/>
      <c r="BZ265" s="210"/>
      <c r="CA265" s="210"/>
      <c r="CB265" s="210"/>
      <c r="CC265" s="210"/>
      <c r="CD265" s="210"/>
      <c r="CE265" s="210"/>
      <c r="CF265" s="210"/>
      <c r="CG265" s="210"/>
      <c r="CH265" s="210"/>
      <c r="CI265" s="210"/>
      <c r="CJ265" s="210"/>
      <c r="CK265" s="210"/>
      <c r="CL265" s="210"/>
      <c r="CM265" s="210"/>
      <c r="CN265" s="210"/>
      <c r="CO265" s="210"/>
      <c r="CP265" s="210"/>
      <c r="CQ265" s="210"/>
      <c r="CR265" s="210"/>
      <c r="CS265" s="210"/>
      <c r="CT265" s="210"/>
      <c r="CU265" s="210"/>
      <c r="CV265" s="210"/>
      <c r="CW265" s="210"/>
      <c r="CX265" s="210"/>
      <c r="CY265" s="210"/>
      <c r="CZ265" s="210"/>
      <c r="DA265" s="210"/>
      <c r="DB265" s="210"/>
      <c r="DC265" s="210"/>
      <c r="DD265" s="210"/>
      <c r="DE265" s="210"/>
      <c r="DF265" s="210"/>
      <c r="DG265" s="210"/>
      <c r="DH265" s="210"/>
      <c r="DI265" s="210"/>
      <c r="DJ265" s="210"/>
      <c r="DK265" s="210"/>
      <c r="DL265" s="210"/>
      <c r="DM265" s="210"/>
      <c r="DN265" s="210"/>
      <c r="DO265" s="210"/>
      <c r="DP265" s="210"/>
      <c r="DQ265" s="210"/>
    </row>
    <row r="266" spans="1:121" s="209" customFormat="1" x14ac:dyDescent="0.25">
      <c r="A266" s="370"/>
      <c r="B266" s="228"/>
      <c r="C266" s="228"/>
      <c r="D266" s="227"/>
      <c r="E266" s="227"/>
      <c r="F266" s="227"/>
      <c r="W266" s="210"/>
      <c r="AF266" s="210"/>
      <c r="BC266" s="210"/>
      <c r="BD266" s="210"/>
      <c r="BJ266" s="210"/>
      <c r="BK266" s="210"/>
      <c r="BL266" s="210"/>
      <c r="BM266" s="210"/>
      <c r="BN266" s="210"/>
      <c r="BO266" s="210"/>
      <c r="BP266" s="210"/>
      <c r="BQ266" s="210"/>
      <c r="BR266" s="210"/>
      <c r="BS266" s="210"/>
      <c r="BT266" s="210"/>
      <c r="BU266" s="210"/>
      <c r="BV266" s="210"/>
      <c r="BW266" s="210"/>
      <c r="BX266" s="210"/>
      <c r="BY266" s="210"/>
      <c r="BZ266" s="210"/>
      <c r="CA266" s="210"/>
      <c r="CB266" s="210"/>
      <c r="CC266" s="210"/>
      <c r="CD266" s="210"/>
      <c r="CE266" s="210"/>
      <c r="CF266" s="210"/>
      <c r="CG266" s="210"/>
      <c r="CH266" s="210"/>
      <c r="CI266" s="210"/>
      <c r="CJ266" s="210"/>
      <c r="CK266" s="210"/>
      <c r="CL266" s="210"/>
      <c r="CM266" s="210"/>
      <c r="CN266" s="210"/>
      <c r="CO266" s="210"/>
      <c r="CP266" s="210"/>
      <c r="CQ266" s="210"/>
      <c r="CR266" s="210"/>
      <c r="CS266" s="210"/>
      <c r="CT266" s="210"/>
      <c r="CU266" s="210"/>
      <c r="CV266" s="210"/>
      <c r="CW266" s="210"/>
      <c r="CX266" s="210"/>
      <c r="CY266" s="210"/>
      <c r="CZ266" s="210"/>
      <c r="DA266" s="210"/>
      <c r="DB266" s="210"/>
      <c r="DC266" s="210"/>
      <c r="DD266" s="210"/>
      <c r="DE266" s="210"/>
      <c r="DF266" s="210"/>
      <c r="DG266" s="210"/>
      <c r="DH266" s="210"/>
      <c r="DI266" s="210"/>
      <c r="DJ266" s="210"/>
      <c r="DK266" s="210"/>
      <c r="DL266" s="210"/>
      <c r="DM266" s="210"/>
      <c r="DN266" s="210"/>
      <c r="DO266" s="210"/>
      <c r="DP266" s="210"/>
      <c r="DQ266" s="210"/>
    </row>
    <row r="267" spans="1:121" s="209" customFormat="1" x14ac:dyDescent="0.25">
      <c r="A267" s="370"/>
      <c r="B267" s="228"/>
      <c r="C267" s="228"/>
      <c r="D267" s="227"/>
      <c r="E267" s="227"/>
      <c r="F267" s="227"/>
      <c r="W267" s="210"/>
      <c r="AF267" s="210"/>
      <c r="BC267" s="210"/>
      <c r="BD267" s="210"/>
      <c r="BJ267" s="210"/>
      <c r="BK267" s="210"/>
      <c r="BL267" s="210"/>
      <c r="BM267" s="210"/>
      <c r="BN267" s="210"/>
      <c r="BO267" s="210"/>
      <c r="BP267" s="210"/>
      <c r="BQ267" s="210"/>
      <c r="BR267" s="210"/>
      <c r="BS267" s="210"/>
      <c r="BT267" s="210"/>
      <c r="BU267" s="210"/>
      <c r="BV267" s="210"/>
      <c r="BW267" s="210"/>
      <c r="BX267" s="210"/>
      <c r="BY267" s="210"/>
      <c r="BZ267" s="210"/>
      <c r="CA267" s="210"/>
      <c r="CB267" s="210"/>
      <c r="CC267" s="210"/>
      <c r="CD267" s="210"/>
      <c r="CE267" s="210"/>
      <c r="CF267" s="210"/>
      <c r="CG267" s="210"/>
      <c r="CH267" s="210"/>
      <c r="CI267" s="210"/>
      <c r="CJ267" s="210"/>
      <c r="CK267" s="210"/>
      <c r="CL267" s="210"/>
      <c r="CM267" s="210"/>
      <c r="CN267" s="210"/>
      <c r="CO267" s="210"/>
      <c r="CP267" s="210"/>
      <c r="CQ267" s="210"/>
      <c r="CR267" s="210"/>
      <c r="CS267" s="210"/>
      <c r="CT267" s="210"/>
      <c r="CU267" s="210"/>
      <c r="CV267" s="210"/>
      <c r="CW267" s="210"/>
      <c r="CX267" s="210"/>
      <c r="CY267" s="210"/>
      <c r="CZ267" s="210"/>
      <c r="DA267" s="210"/>
      <c r="DB267" s="210"/>
      <c r="DC267" s="210"/>
      <c r="DD267" s="210"/>
      <c r="DE267" s="210"/>
      <c r="DF267" s="210"/>
      <c r="DG267" s="210"/>
      <c r="DH267" s="210"/>
      <c r="DI267" s="210"/>
      <c r="DJ267" s="210"/>
      <c r="DK267" s="210"/>
      <c r="DL267" s="210"/>
      <c r="DM267" s="210"/>
      <c r="DN267" s="210"/>
      <c r="DO267" s="210"/>
      <c r="DP267" s="210"/>
      <c r="DQ267" s="210"/>
    </row>
    <row r="268" spans="1:121" s="209" customFormat="1" x14ac:dyDescent="0.25">
      <c r="A268" s="370"/>
      <c r="B268" s="228"/>
      <c r="C268" s="228"/>
      <c r="D268" s="227"/>
      <c r="E268" s="227"/>
      <c r="F268" s="227"/>
      <c r="W268" s="210"/>
      <c r="AF268" s="210"/>
      <c r="BC268" s="210"/>
      <c r="BD268" s="210"/>
      <c r="BJ268" s="210"/>
      <c r="BK268" s="210"/>
      <c r="BL268" s="210"/>
      <c r="BM268" s="210"/>
      <c r="BN268" s="210"/>
      <c r="BO268" s="210"/>
      <c r="BP268" s="210"/>
      <c r="BQ268" s="210"/>
      <c r="BR268" s="210"/>
      <c r="BS268" s="210"/>
      <c r="BT268" s="210"/>
      <c r="BU268" s="210"/>
      <c r="BV268" s="210"/>
      <c r="BW268" s="210"/>
      <c r="BX268" s="210"/>
      <c r="BY268" s="210"/>
      <c r="BZ268" s="210"/>
      <c r="CA268" s="210"/>
      <c r="CB268" s="210"/>
      <c r="CC268" s="210"/>
      <c r="CD268" s="210"/>
      <c r="CE268" s="210"/>
      <c r="CF268" s="210"/>
      <c r="CG268" s="210"/>
      <c r="CH268" s="210"/>
      <c r="CI268" s="210"/>
      <c r="CJ268" s="210"/>
      <c r="CK268" s="210"/>
      <c r="CL268" s="210"/>
      <c r="CM268" s="210"/>
      <c r="CN268" s="210"/>
      <c r="CO268" s="210"/>
      <c r="CP268" s="210"/>
      <c r="CQ268" s="210"/>
      <c r="CR268" s="210"/>
      <c r="CS268" s="210"/>
      <c r="CT268" s="210"/>
      <c r="CU268" s="210"/>
      <c r="CV268" s="210"/>
      <c r="CW268" s="210"/>
      <c r="CX268" s="210"/>
      <c r="CY268" s="210"/>
      <c r="CZ268" s="210"/>
      <c r="DA268" s="210"/>
      <c r="DB268" s="210"/>
      <c r="DC268" s="210"/>
      <c r="DD268" s="210"/>
      <c r="DE268" s="210"/>
      <c r="DF268" s="210"/>
      <c r="DG268" s="210"/>
      <c r="DH268" s="210"/>
      <c r="DI268" s="210"/>
      <c r="DJ268" s="210"/>
      <c r="DK268" s="210"/>
      <c r="DL268" s="210"/>
      <c r="DM268" s="210"/>
      <c r="DN268" s="210"/>
      <c r="DO268" s="210"/>
      <c r="DP268" s="210"/>
      <c r="DQ268" s="210"/>
    </row>
    <row r="269" spans="1:121" s="209" customFormat="1" x14ac:dyDescent="0.25">
      <c r="A269" s="370"/>
      <c r="B269" s="228"/>
      <c r="C269" s="228"/>
      <c r="D269" s="227"/>
      <c r="E269" s="227"/>
      <c r="F269" s="227"/>
      <c r="W269" s="210"/>
      <c r="AF269" s="210"/>
      <c r="BC269" s="210"/>
      <c r="BD269" s="210"/>
      <c r="BJ269" s="210"/>
      <c r="BK269" s="210"/>
      <c r="BL269" s="210"/>
      <c r="BM269" s="210"/>
      <c r="BN269" s="210"/>
      <c r="BO269" s="210"/>
      <c r="BP269" s="210"/>
      <c r="BQ269" s="210"/>
      <c r="BR269" s="210"/>
      <c r="BS269" s="210"/>
      <c r="BT269" s="210"/>
      <c r="BU269" s="210"/>
      <c r="BV269" s="210"/>
      <c r="BW269" s="210"/>
      <c r="BX269" s="210"/>
      <c r="BY269" s="210"/>
      <c r="BZ269" s="210"/>
      <c r="CA269" s="210"/>
      <c r="CB269" s="210"/>
      <c r="CC269" s="210"/>
      <c r="CD269" s="210"/>
      <c r="CE269" s="210"/>
      <c r="CF269" s="210"/>
      <c r="CG269" s="210"/>
      <c r="CH269" s="210"/>
      <c r="CI269" s="210"/>
      <c r="CJ269" s="210"/>
      <c r="CK269" s="210"/>
      <c r="CL269" s="210"/>
      <c r="CM269" s="210"/>
      <c r="CN269" s="210"/>
      <c r="CO269" s="210"/>
      <c r="CP269" s="210"/>
      <c r="CQ269" s="210"/>
      <c r="CR269" s="210"/>
      <c r="CS269" s="210"/>
      <c r="CT269" s="210"/>
      <c r="CU269" s="210"/>
      <c r="CV269" s="210"/>
      <c r="CW269" s="210"/>
      <c r="CX269" s="210"/>
      <c r="CY269" s="210"/>
      <c r="CZ269" s="210"/>
      <c r="DA269" s="210"/>
      <c r="DB269" s="210"/>
      <c r="DC269" s="210"/>
      <c r="DD269" s="210"/>
      <c r="DE269" s="210"/>
      <c r="DF269" s="210"/>
      <c r="DG269" s="210"/>
      <c r="DH269" s="210"/>
      <c r="DI269" s="210"/>
      <c r="DJ269" s="210"/>
      <c r="DK269" s="210"/>
      <c r="DL269" s="210"/>
      <c r="DM269" s="210"/>
      <c r="DN269" s="210"/>
      <c r="DO269" s="210"/>
      <c r="DP269" s="210"/>
      <c r="DQ269" s="210"/>
    </row>
    <row r="270" spans="1:121" s="209" customFormat="1" x14ac:dyDescent="0.25">
      <c r="A270" s="370"/>
      <c r="B270" s="228"/>
      <c r="C270" s="228"/>
      <c r="D270" s="227"/>
      <c r="E270" s="227"/>
      <c r="F270" s="227"/>
      <c r="W270" s="210"/>
      <c r="AF270" s="210"/>
      <c r="BC270" s="210"/>
      <c r="BD270" s="210"/>
      <c r="BJ270" s="210"/>
      <c r="BK270" s="210"/>
      <c r="BL270" s="210"/>
      <c r="BM270" s="210"/>
      <c r="BN270" s="210"/>
      <c r="BO270" s="210"/>
      <c r="BP270" s="210"/>
      <c r="BQ270" s="210"/>
      <c r="BR270" s="210"/>
      <c r="BS270" s="210"/>
      <c r="BT270" s="210"/>
      <c r="BU270" s="210"/>
      <c r="BV270" s="210"/>
      <c r="BW270" s="210"/>
      <c r="BX270" s="210"/>
      <c r="BY270" s="210"/>
      <c r="BZ270" s="210"/>
      <c r="CA270" s="210"/>
      <c r="CB270" s="210"/>
      <c r="CC270" s="210"/>
      <c r="CD270" s="210"/>
      <c r="CE270" s="210"/>
      <c r="CF270" s="210"/>
      <c r="CG270" s="210"/>
      <c r="CH270" s="210"/>
      <c r="CI270" s="210"/>
      <c r="CJ270" s="210"/>
      <c r="CK270" s="210"/>
      <c r="CL270" s="210"/>
      <c r="CM270" s="210"/>
      <c r="CN270" s="210"/>
      <c r="CO270" s="210"/>
      <c r="CP270" s="210"/>
      <c r="CQ270" s="210"/>
      <c r="CR270" s="210"/>
      <c r="CS270" s="210"/>
      <c r="CT270" s="210"/>
      <c r="CU270" s="210"/>
      <c r="CV270" s="210"/>
      <c r="CW270" s="210"/>
      <c r="CX270" s="210"/>
      <c r="CY270" s="210"/>
      <c r="CZ270" s="210"/>
      <c r="DA270" s="210"/>
      <c r="DB270" s="210"/>
      <c r="DC270" s="210"/>
      <c r="DD270" s="210"/>
      <c r="DE270" s="210"/>
      <c r="DF270" s="210"/>
      <c r="DG270" s="210"/>
      <c r="DH270" s="210"/>
      <c r="DI270" s="210"/>
      <c r="DJ270" s="210"/>
      <c r="DK270" s="210"/>
      <c r="DL270" s="210"/>
      <c r="DM270" s="210"/>
      <c r="DN270" s="210"/>
      <c r="DO270" s="210"/>
      <c r="DP270" s="210"/>
      <c r="DQ270" s="210"/>
    </row>
    <row r="271" spans="1:121" s="209" customFormat="1" x14ac:dyDescent="0.25">
      <c r="A271" s="370"/>
      <c r="B271" s="228"/>
      <c r="C271" s="228"/>
      <c r="D271" s="227"/>
      <c r="E271" s="227"/>
      <c r="F271" s="227"/>
      <c r="W271" s="210"/>
      <c r="AF271" s="210"/>
      <c r="BC271" s="210"/>
      <c r="BD271" s="210"/>
      <c r="BJ271" s="210"/>
      <c r="BK271" s="210"/>
      <c r="BL271" s="210"/>
      <c r="BM271" s="210"/>
      <c r="BN271" s="210"/>
      <c r="BO271" s="210"/>
      <c r="BP271" s="210"/>
      <c r="BQ271" s="210"/>
      <c r="BR271" s="210"/>
      <c r="BS271" s="210"/>
      <c r="BT271" s="210"/>
      <c r="BU271" s="210"/>
      <c r="BV271" s="210"/>
      <c r="BW271" s="210"/>
      <c r="BX271" s="210"/>
      <c r="BY271" s="210"/>
      <c r="BZ271" s="210"/>
      <c r="CA271" s="210"/>
      <c r="CB271" s="210"/>
      <c r="CC271" s="210"/>
      <c r="CD271" s="210"/>
      <c r="CE271" s="210"/>
      <c r="CF271" s="210"/>
      <c r="CG271" s="210"/>
      <c r="CH271" s="210"/>
      <c r="CI271" s="210"/>
      <c r="CJ271" s="210"/>
      <c r="CK271" s="210"/>
      <c r="CL271" s="210"/>
      <c r="CM271" s="210"/>
      <c r="CN271" s="210"/>
      <c r="CO271" s="210"/>
      <c r="CP271" s="210"/>
      <c r="CQ271" s="210"/>
      <c r="CR271" s="210"/>
      <c r="CS271" s="210"/>
      <c r="CT271" s="210"/>
      <c r="CU271" s="210"/>
      <c r="CV271" s="210"/>
      <c r="CW271" s="210"/>
      <c r="CX271" s="210"/>
      <c r="CY271" s="210"/>
      <c r="CZ271" s="210"/>
      <c r="DA271" s="210"/>
      <c r="DB271" s="210"/>
      <c r="DC271" s="210"/>
      <c r="DD271" s="210"/>
      <c r="DE271" s="210"/>
      <c r="DF271" s="210"/>
      <c r="DG271" s="210"/>
      <c r="DH271" s="210"/>
      <c r="DI271" s="210"/>
      <c r="DJ271" s="210"/>
      <c r="DK271" s="210"/>
      <c r="DL271" s="210"/>
      <c r="DM271" s="210"/>
      <c r="DN271" s="210"/>
      <c r="DO271" s="210"/>
      <c r="DP271" s="210"/>
      <c r="DQ271" s="210"/>
    </row>
    <row r="272" spans="1:121" s="209" customFormat="1" x14ac:dyDescent="0.25">
      <c r="A272" s="370"/>
      <c r="B272" s="228"/>
      <c r="C272" s="228"/>
      <c r="D272" s="227"/>
      <c r="E272" s="227"/>
      <c r="F272" s="227"/>
      <c r="W272" s="210"/>
      <c r="AF272" s="210"/>
      <c r="BC272" s="210"/>
      <c r="BD272" s="210"/>
      <c r="BJ272" s="210"/>
      <c r="BK272" s="210"/>
      <c r="BL272" s="210"/>
      <c r="BM272" s="210"/>
      <c r="BN272" s="210"/>
      <c r="BO272" s="210"/>
      <c r="BP272" s="210"/>
      <c r="BQ272" s="210"/>
      <c r="BR272" s="210"/>
      <c r="BS272" s="210"/>
      <c r="BT272" s="210"/>
      <c r="BU272" s="210"/>
      <c r="BV272" s="210"/>
      <c r="BW272" s="210"/>
      <c r="BX272" s="210"/>
      <c r="BY272" s="210"/>
      <c r="BZ272" s="210"/>
      <c r="CA272" s="210"/>
      <c r="CB272" s="210"/>
      <c r="CC272" s="210"/>
      <c r="CD272" s="210"/>
      <c r="CE272" s="210"/>
      <c r="CF272" s="210"/>
      <c r="CG272" s="210"/>
      <c r="CH272" s="210"/>
      <c r="CI272" s="210"/>
      <c r="CJ272" s="210"/>
      <c r="CK272" s="210"/>
      <c r="CL272" s="210"/>
      <c r="CM272" s="210"/>
      <c r="CN272" s="210"/>
      <c r="CO272" s="210"/>
      <c r="CP272" s="210"/>
      <c r="CQ272" s="210"/>
      <c r="CR272" s="210"/>
      <c r="CS272" s="210"/>
      <c r="CT272" s="210"/>
      <c r="CU272" s="210"/>
      <c r="CV272" s="210"/>
      <c r="CW272" s="210"/>
      <c r="CX272" s="210"/>
      <c r="CY272" s="210"/>
      <c r="CZ272" s="210"/>
      <c r="DA272" s="210"/>
      <c r="DB272" s="210"/>
      <c r="DC272" s="210"/>
      <c r="DD272" s="210"/>
      <c r="DE272" s="210"/>
      <c r="DF272" s="210"/>
      <c r="DG272" s="210"/>
      <c r="DH272" s="210"/>
      <c r="DI272" s="210"/>
      <c r="DJ272" s="210"/>
      <c r="DK272" s="210"/>
      <c r="DL272" s="210"/>
      <c r="DM272" s="210"/>
      <c r="DN272" s="210"/>
      <c r="DO272" s="210"/>
      <c r="DP272" s="210"/>
      <c r="DQ272" s="210"/>
    </row>
    <row r="273" spans="1:121" s="209" customFormat="1" x14ac:dyDescent="0.25">
      <c r="A273" s="370"/>
      <c r="B273" s="228"/>
      <c r="C273" s="228"/>
      <c r="D273" s="227"/>
      <c r="E273" s="227"/>
      <c r="F273" s="227"/>
      <c r="W273" s="210"/>
      <c r="AF273" s="210"/>
      <c r="BC273" s="210"/>
      <c r="BD273" s="210"/>
      <c r="BJ273" s="210"/>
      <c r="BK273" s="210"/>
      <c r="BL273" s="210"/>
      <c r="BM273" s="210"/>
      <c r="BN273" s="210"/>
      <c r="BO273" s="210"/>
      <c r="BP273" s="210"/>
      <c r="BQ273" s="210"/>
      <c r="BR273" s="210"/>
      <c r="BS273" s="210"/>
      <c r="BT273" s="210"/>
      <c r="BU273" s="210"/>
      <c r="BV273" s="210"/>
      <c r="BW273" s="210"/>
      <c r="BX273" s="210"/>
      <c r="BY273" s="210"/>
      <c r="BZ273" s="210"/>
      <c r="CA273" s="210"/>
      <c r="CB273" s="210"/>
      <c r="CC273" s="210"/>
      <c r="CD273" s="210"/>
      <c r="CE273" s="210"/>
      <c r="CF273" s="210"/>
      <c r="CG273" s="210"/>
      <c r="CH273" s="210"/>
      <c r="CI273" s="210"/>
      <c r="CJ273" s="210"/>
      <c r="CK273" s="210"/>
      <c r="CL273" s="210"/>
      <c r="CM273" s="210"/>
      <c r="CN273" s="210"/>
      <c r="CO273" s="210"/>
      <c r="CP273" s="210"/>
      <c r="CQ273" s="210"/>
      <c r="CR273" s="210"/>
      <c r="CS273" s="210"/>
      <c r="CT273" s="210"/>
      <c r="CU273" s="210"/>
      <c r="CV273" s="210"/>
      <c r="CW273" s="210"/>
      <c r="CX273" s="210"/>
      <c r="CY273" s="210"/>
      <c r="CZ273" s="210"/>
      <c r="DA273" s="210"/>
      <c r="DB273" s="210"/>
      <c r="DC273" s="210"/>
      <c r="DD273" s="210"/>
      <c r="DE273" s="210"/>
      <c r="DF273" s="210"/>
      <c r="DG273" s="210"/>
      <c r="DH273" s="210"/>
      <c r="DI273" s="210"/>
      <c r="DJ273" s="210"/>
      <c r="DK273" s="210"/>
      <c r="DL273" s="210"/>
      <c r="DM273" s="210"/>
      <c r="DN273" s="210"/>
      <c r="DO273" s="210"/>
      <c r="DP273" s="210"/>
      <c r="DQ273" s="210"/>
    </row>
    <row r="274" spans="1:121" s="209" customFormat="1" x14ac:dyDescent="0.25">
      <c r="A274" s="370"/>
      <c r="B274" s="228"/>
      <c r="C274" s="228"/>
      <c r="D274" s="227"/>
      <c r="E274" s="227"/>
      <c r="F274" s="227"/>
      <c r="W274" s="210"/>
      <c r="AF274" s="210"/>
      <c r="BC274" s="210"/>
      <c r="BD274" s="210"/>
      <c r="BJ274" s="210"/>
      <c r="BK274" s="210"/>
      <c r="BL274" s="210"/>
      <c r="BM274" s="210"/>
      <c r="BN274" s="210"/>
      <c r="BO274" s="210"/>
      <c r="BP274" s="210"/>
      <c r="BQ274" s="210"/>
      <c r="BR274" s="210"/>
      <c r="BS274" s="210"/>
      <c r="BT274" s="210"/>
      <c r="BU274" s="210"/>
      <c r="BV274" s="210"/>
      <c r="BW274" s="210"/>
      <c r="BX274" s="210"/>
      <c r="BY274" s="210"/>
      <c r="BZ274" s="210"/>
      <c r="CA274" s="210"/>
      <c r="CB274" s="210"/>
      <c r="CC274" s="210"/>
      <c r="CD274" s="210"/>
      <c r="CE274" s="210"/>
      <c r="CF274" s="210"/>
      <c r="CG274" s="210"/>
      <c r="CH274" s="210"/>
      <c r="CI274" s="210"/>
      <c r="CJ274" s="210"/>
      <c r="CK274" s="210"/>
      <c r="CL274" s="210"/>
      <c r="CM274" s="210"/>
      <c r="CN274" s="210"/>
      <c r="CO274" s="210"/>
      <c r="CP274" s="210"/>
      <c r="CQ274" s="210"/>
      <c r="CR274" s="210"/>
      <c r="CS274" s="210"/>
      <c r="CT274" s="210"/>
      <c r="CU274" s="210"/>
      <c r="CV274" s="210"/>
      <c r="CW274" s="210"/>
      <c r="CX274" s="210"/>
      <c r="CY274" s="210"/>
      <c r="CZ274" s="210"/>
      <c r="DA274" s="210"/>
      <c r="DB274" s="210"/>
      <c r="DC274" s="210"/>
      <c r="DD274" s="210"/>
      <c r="DE274" s="210"/>
      <c r="DF274" s="210"/>
      <c r="DG274" s="210"/>
      <c r="DH274" s="210"/>
      <c r="DI274" s="210"/>
      <c r="DJ274" s="210"/>
      <c r="DK274" s="210"/>
      <c r="DL274" s="210"/>
      <c r="DM274" s="210"/>
      <c r="DN274" s="210"/>
      <c r="DO274" s="210"/>
      <c r="DP274" s="210"/>
      <c r="DQ274" s="210"/>
    </row>
    <row r="275" spans="1:121" s="209" customFormat="1" x14ac:dyDescent="0.25">
      <c r="A275" s="370"/>
      <c r="B275" s="228"/>
      <c r="C275" s="228"/>
      <c r="D275" s="227"/>
      <c r="E275" s="227"/>
      <c r="F275" s="227"/>
      <c r="W275" s="210"/>
      <c r="AF275" s="210"/>
      <c r="BC275" s="210"/>
      <c r="BD275" s="210"/>
      <c r="BJ275" s="210"/>
      <c r="BK275" s="210"/>
      <c r="BL275" s="210"/>
      <c r="BM275" s="210"/>
      <c r="BN275" s="210"/>
      <c r="BO275" s="210"/>
      <c r="BP275" s="210"/>
      <c r="BQ275" s="210"/>
      <c r="BR275" s="210"/>
      <c r="BS275" s="210"/>
      <c r="BT275" s="210"/>
      <c r="BU275" s="210"/>
      <c r="BV275" s="210"/>
      <c r="BW275" s="210"/>
      <c r="BX275" s="210"/>
      <c r="BY275" s="210"/>
      <c r="BZ275" s="210"/>
      <c r="CA275" s="210"/>
      <c r="CB275" s="210"/>
      <c r="CC275" s="210"/>
      <c r="CD275" s="210"/>
      <c r="CE275" s="210"/>
      <c r="CF275" s="210"/>
      <c r="CG275" s="210"/>
      <c r="CH275" s="210"/>
      <c r="CI275" s="210"/>
      <c r="CJ275" s="210"/>
      <c r="CK275" s="210"/>
      <c r="CL275" s="210"/>
      <c r="CM275" s="210"/>
      <c r="CN275" s="210"/>
      <c r="CO275" s="210"/>
      <c r="CP275" s="210"/>
      <c r="CQ275" s="210"/>
      <c r="CR275" s="210"/>
      <c r="CS275" s="210"/>
      <c r="CT275" s="210"/>
      <c r="CU275" s="210"/>
      <c r="CV275" s="210"/>
      <c r="CW275" s="210"/>
      <c r="CX275" s="210"/>
      <c r="CY275" s="210"/>
      <c r="CZ275" s="210"/>
      <c r="DA275" s="210"/>
      <c r="DB275" s="210"/>
      <c r="DC275" s="210"/>
      <c r="DD275" s="210"/>
      <c r="DE275" s="210"/>
      <c r="DF275" s="210"/>
      <c r="DG275" s="210"/>
      <c r="DH275" s="210"/>
      <c r="DI275" s="210"/>
      <c r="DJ275" s="210"/>
      <c r="DK275" s="210"/>
      <c r="DL275" s="210"/>
      <c r="DM275" s="210"/>
      <c r="DN275" s="210"/>
      <c r="DO275" s="210"/>
      <c r="DP275" s="210"/>
      <c r="DQ275" s="210"/>
    </row>
    <row r="276" spans="1:121" s="209" customFormat="1" x14ac:dyDescent="0.25">
      <c r="A276" s="370"/>
      <c r="B276" s="228"/>
      <c r="C276" s="228"/>
      <c r="D276" s="227"/>
      <c r="E276" s="227"/>
      <c r="F276" s="227"/>
      <c r="W276" s="210"/>
      <c r="AF276" s="210"/>
      <c r="BC276" s="210"/>
      <c r="BD276" s="210"/>
      <c r="BJ276" s="210"/>
      <c r="BK276" s="210"/>
      <c r="BL276" s="210"/>
      <c r="BM276" s="210"/>
      <c r="BN276" s="210"/>
      <c r="BO276" s="210"/>
      <c r="BP276" s="210"/>
      <c r="BQ276" s="210"/>
      <c r="BR276" s="210"/>
      <c r="BS276" s="210"/>
      <c r="BT276" s="210"/>
      <c r="BU276" s="210"/>
      <c r="BV276" s="210"/>
      <c r="BW276" s="210"/>
      <c r="BX276" s="210"/>
      <c r="BY276" s="210"/>
      <c r="BZ276" s="210"/>
      <c r="CA276" s="210"/>
      <c r="CB276" s="210"/>
      <c r="CC276" s="210"/>
      <c r="CD276" s="210"/>
      <c r="CE276" s="210"/>
      <c r="CF276" s="210"/>
      <c r="CG276" s="210"/>
      <c r="CH276" s="210"/>
      <c r="CI276" s="210"/>
      <c r="CJ276" s="210"/>
      <c r="CK276" s="210"/>
      <c r="CL276" s="210"/>
      <c r="CM276" s="210"/>
      <c r="CN276" s="210"/>
      <c r="CO276" s="210"/>
      <c r="CP276" s="210"/>
      <c r="CQ276" s="210"/>
      <c r="CR276" s="210"/>
      <c r="CS276" s="210"/>
      <c r="CT276" s="210"/>
      <c r="CU276" s="210"/>
      <c r="CV276" s="210"/>
      <c r="CW276" s="210"/>
      <c r="CX276" s="210"/>
      <c r="CY276" s="210"/>
      <c r="CZ276" s="210"/>
      <c r="DA276" s="210"/>
      <c r="DB276" s="210"/>
      <c r="DC276" s="210"/>
      <c r="DD276" s="210"/>
      <c r="DE276" s="210"/>
      <c r="DF276" s="210"/>
      <c r="DG276" s="210"/>
      <c r="DH276" s="210"/>
      <c r="DI276" s="210"/>
      <c r="DJ276" s="210"/>
      <c r="DK276" s="210"/>
      <c r="DL276" s="210"/>
      <c r="DM276" s="210"/>
      <c r="DN276" s="210"/>
      <c r="DO276" s="210"/>
      <c r="DP276" s="210"/>
      <c r="DQ276" s="210"/>
    </row>
    <row r="277" spans="1:121" s="209" customFormat="1" x14ac:dyDescent="0.25">
      <c r="A277" s="370"/>
      <c r="B277" s="228"/>
      <c r="C277" s="228"/>
      <c r="D277" s="227"/>
      <c r="E277" s="227"/>
      <c r="F277" s="227"/>
      <c r="W277" s="210"/>
      <c r="AF277" s="210"/>
      <c r="BC277" s="210"/>
      <c r="BD277" s="210"/>
      <c r="BJ277" s="210"/>
      <c r="BK277" s="210"/>
      <c r="BL277" s="210"/>
      <c r="BM277" s="210"/>
      <c r="BN277" s="210"/>
      <c r="BO277" s="210"/>
      <c r="BP277" s="210"/>
      <c r="BQ277" s="210"/>
      <c r="BR277" s="210"/>
      <c r="BS277" s="210"/>
      <c r="BT277" s="210"/>
      <c r="BU277" s="210"/>
      <c r="BV277" s="210"/>
      <c r="BW277" s="210"/>
      <c r="BX277" s="210"/>
      <c r="BY277" s="210"/>
      <c r="BZ277" s="210"/>
      <c r="CA277" s="210"/>
      <c r="CB277" s="210"/>
      <c r="CC277" s="210"/>
      <c r="CD277" s="210"/>
      <c r="CE277" s="210"/>
      <c r="CF277" s="210"/>
      <c r="CG277" s="210"/>
      <c r="CH277" s="210"/>
      <c r="CI277" s="210"/>
      <c r="CJ277" s="210"/>
      <c r="CK277" s="210"/>
      <c r="CL277" s="210"/>
      <c r="CM277" s="210"/>
      <c r="CN277" s="210"/>
      <c r="CO277" s="210"/>
      <c r="CP277" s="210"/>
      <c r="CQ277" s="210"/>
      <c r="CR277" s="210"/>
      <c r="CS277" s="210"/>
      <c r="CT277" s="210"/>
      <c r="CU277" s="210"/>
      <c r="CV277" s="210"/>
      <c r="CW277" s="210"/>
      <c r="CX277" s="210"/>
      <c r="CY277" s="210"/>
      <c r="CZ277" s="210"/>
      <c r="DA277" s="210"/>
      <c r="DB277" s="210"/>
      <c r="DC277" s="210"/>
      <c r="DD277" s="210"/>
      <c r="DE277" s="210"/>
      <c r="DF277" s="210"/>
      <c r="DG277" s="210"/>
      <c r="DH277" s="210"/>
      <c r="DI277" s="210"/>
      <c r="DJ277" s="210"/>
      <c r="DK277" s="210"/>
      <c r="DL277" s="210"/>
      <c r="DM277" s="210"/>
      <c r="DN277" s="210"/>
      <c r="DO277" s="210"/>
      <c r="DP277" s="210"/>
      <c r="DQ277" s="210"/>
    </row>
    <row r="278" spans="1:121" s="209" customFormat="1" x14ac:dyDescent="0.25">
      <c r="A278" s="370"/>
      <c r="B278" s="228"/>
      <c r="C278" s="228"/>
      <c r="D278" s="227"/>
      <c r="E278" s="227"/>
      <c r="F278" s="227"/>
      <c r="W278" s="210"/>
      <c r="AF278" s="210"/>
      <c r="BC278" s="210"/>
      <c r="BD278" s="210"/>
      <c r="BJ278" s="210"/>
      <c r="BK278" s="210"/>
      <c r="BL278" s="210"/>
      <c r="BM278" s="210"/>
      <c r="BN278" s="210"/>
      <c r="BO278" s="210"/>
      <c r="BP278" s="210"/>
      <c r="BQ278" s="210"/>
      <c r="BR278" s="210"/>
      <c r="BS278" s="210"/>
      <c r="BT278" s="210"/>
      <c r="BU278" s="210"/>
      <c r="BV278" s="210"/>
      <c r="BW278" s="210"/>
      <c r="BX278" s="210"/>
      <c r="BY278" s="210"/>
      <c r="BZ278" s="210"/>
      <c r="CA278" s="210"/>
      <c r="CB278" s="210"/>
      <c r="CC278" s="210"/>
      <c r="CD278" s="210"/>
      <c r="CE278" s="210"/>
      <c r="CF278" s="210"/>
      <c r="CG278" s="210"/>
      <c r="CH278" s="210"/>
      <c r="CI278" s="210"/>
      <c r="CJ278" s="210"/>
      <c r="CK278" s="210"/>
      <c r="CL278" s="210"/>
      <c r="CM278" s="210"/>
      <c r="CN278" s="210"/>
      <c r="CO278" s="210"/>
      <c r="CP278" s="210"/>
      <c r="CQ278" s="210"/>
      <c r="CR278" s="210"/>
      <c r="CS278" s="210"/>
      <c r="CT278" s="210"/>
      <c r="CU278" s="210"/>
      <c r="CV278" s="210"/>
      <c r="CW278" s="210"/>
      <c r="CX278" s="210"/>
      <c r="CY278" s="210"/>
      <c r="CZ278" s="210"/>
      <c r="DA278" s="210"/>
      <c r="DB278" s="210"/>
      <c r="DC278" s="210"/>
      <c r="DD278" s="210"/>
      <c r="DE278" s="210"/>
      <c r="DF278" s="210"/>
      <c r="DG278" s="210"/>
      <c r="DH278" s="210"/>
      <c r="DI278" s="210"/>
      <c r="DJ278" s="210"/>
      <c r="DK278" s="210"/>
      <c r="DL278" s="210"/>
      <c r="DM278" s="210"/>
      <c r="DN278" s="210"/>
      <c r="DO278" s="210"/>
      <c r="DP278" s="210"/>
      <c r="DQ278" s="210"/>
    </row>
    <row r="279" spans="1:121" s="209" customFormat="1" x14ac:dyDescent="0.25">
      <c r="A279" s="370"/>
      <c r="B279" s="228"/>
      <c r="C279" s="228"/>
      <c r="D279" s="227"/>
      <c r="E279" s="227"/>
      <c r="F279" s="227"/>
      <c r="W279" s="210"/>
      <c r="AF279" s="210"/>
      <c r="BC279" s="210"/>
      <c r="BD279" s="210"/>
      <c r="BJ279" s="210"/>
      <c r="BK279" s="210"/>
      <c r="BL279" s="210"/>
      <c r="BM279" s="210"/>
      <c r="BN279" s="210"/>
      <c r="BO279" s="210"/>
      <c r="BP279" s="210"/>
      <c r="BQ279" s="210"/>
      <c r="BR279" s="210"/>
      <c r="BS279" s="210"/>
      <c r="BT279" s="210"/>
      <c r="BU279" s="210"/>
      <c r="BV279" s="210"/>
      <c r="BW279" s="210"/>
      <c r="BX279" s="210"/>
      <c r="BY279" s="210"/>
      <c r="BZ279" s="210"/>
      <c r="CA279" s="210"/>
      <c r="CB279" s="210"/>
      <c r="CC279" s="210"/>
      <c r="CD279" s="210"/>
      <c r="CE279" s="210"/>
      <c r="CF279" s="210"/>
      <c r="CG279" s="210"/>
      <c r="CH279" s="210"/>
      <c r="CI279" s="210"/>
      <c r="CJ279" s="210"/>
      <c r="CK279" s="210"/>
      <c r="CL279" s="210"/>
      <c r="CM279" s="210"/>
      <c r="CN279" s="210"/>
      <c r="CO279" s="210"/>
      <c r="CP279" s="210"/>
      <c r="CQ279" s="210"/>
      <c r="CR279" s="210"/>
      <c r="CS279" s="210"/>
      <c r="CT279" s="210"/>
      <c r="CU279" s="210"/>
      <c r="CV279" s="210"/>
      <c r="CW279" s="210"/>
      <c r="CX279" s="210"/>
      <c r="CY279" s="210"/>
      <c r="CZ279" s="210"/>
      <c r="DA279" s="210"/>
      <c r="DB279" s="210"/>
      <c r="DC279" s="210"/>
      <c r="DD279" s="210"/>
      <c r="DE279" s="210"/>
      <c r="DF279" s="210"/>
      <c r="DG279" s="210"/>
      <c r="DH279" s="210"/>
      <c r="DI279" s="210"/>
      <c r="DJ279" s="210"/>
      <c r="DK279" s="210"/>
      <c r="DL279" s="210"/>
      <c r="DM279" s="210"/>
      <c r="DN279" s="210"/>
      <c r="DO279" s="210"/>
      <c r="DP279" s="210"/>
      <c r="DQ279" s="210"/>
    </row>
    <row r="280" spans="1:121" s="209" customFormat="1" x14ac:dyDescent="0.25">
      <c r="A280" s="370"/>
      <c r="B280" s="228"/>
      <c r="C280" s="228"/>
      <c r="D280" s="227"/>
      <c r="E280" s="227"/>
      <c r="F280" s="227"/>
      <c r="W280" s="210"/>
      <c r="AF280" s="210"/>
      <c r="BC280" s="210"/>
      <c r="BD280" s="210"/>
      <c r="BJ280" s="210"/>
      <c r="BK280" s="210"/>
      <c r="BL280" s="210"/>
      <c r="BM280" s="210"/>
      <c r="BN280" s="210"/>
      <c r="BO280" s="210"/>
      <c r="BP280" s="210"/>
      <c r="BQ280" s="210"/>
      <c r="BR280" s="210"/>
      <c r="BS280" s="210"/>
      <c r="BT280" s="210"/>
      <c r="BU280" s="210"/>
      <c r="BV280" s="210"/>
      <c r="BW280" s="210"/>
      <c r="BX280" s="210"/>
      <c r="BY280" s="210"/>
      <c r="BZ280" s="210"/>
      <c r="CA280" s="210"/>
      <c r="CB280" s="210"/>
      <c r="CC280" s="210"/>
      <c r="CD280" s="210"/>
      <c r="CE280" s="210"/>
      <c r="CF280" s="210"/>
      <c r="CG280" s="210"/>
      <c r="CH280" s="210"/>
      <c r="CI280" s="210"/>
      <c r="CJ280" s="210"/>
      <c r="CK280" s="210"/>
      <c r="CL280" s="210"/>
      <c r="CM280" s="210"/>
      <c r="CN280" s="210"/>
      <c r="CO280" s="210"/>
      <c r="CP280" s="210"/>
      <c r="CQ280" s="210"/>
      <c r="CR280" s="210"/>
      <c r="CS280" s="210"/>
      <c r="CT280" s="210"/>
      <c r="CU280" s="210"/>
      <c r="CV280" s="210"/>
      <c r="CW280" s="210"/>
      <c r="CX280" s="210"/>
      <c r="CY280" s="210"/>
      <c r="CZ280" s="210"/>
      <c r="DA280" s="210"/>
      <c r="DB280" s="210"/>
      <c r="DC280" s="210"/>
      <c r="DD280" s="210"/>
      <c r="DE280" s="210"/>
      <c r="DF280" s="210"/>
      <c r="DG280" s="210"/>
      <c r="DH280" s="210"/>
      <c r="DI280" s="210"/>
      <c r="DJ280" s="210"/>
      <c r="DK280" s="210"/>
      <c r="DL280" s="210"/>
      <c r="DM280" s="210"/>
      <c r="DN280" s="210"/>
      <c r="DO280" s="210"/>
      <c r="DP280" s="210"/>
      <c r="DQ280" s="210"/>
    </row>
    <row r="281" spans="1:121" s="209" customFormat="1" x14ac:dyDescent="0.25">
      <c r="A281" s="370"/>
      <c r="B281" s="228"/>
      <c r="C281" s="228"/>
      <c r="D281" s="227"/>
      <c r="E281" s="227"/>
      <c r="F281" s="227"/>
      <c r="W281" s="210"/>
      <c r="AF281" s="210"/>
      <c r="BC281" s="210"/>
      <c r="BD281" s="210"/>
      <c r="BJ281" s="210"/>
      <c r="BK281" s="210"/>
      <c r="BL281" s="210"/>
      <c r="BM281" s="210"/>
      <c r="BN281" s="210"/>
      <c r="BO281" s="210"/>
      <c r="BP281" s="210"/>
      <c r="BQ281" s="210"/>
      <c r="BR281" s="210"/>
      <c r="BS281" s="210"/>
      <c r="BT281" s="210"/>
      <c r="BU281" s="210"/>
      <c r="BV281" s="210"/>
      <c r="BW281" s="210"/>
      <c r="BX281" s="210"/>
      <c r="BY281" s="210"/>
      <c r="BZ281" s="210"/>
      <c r="CA281" s="210"/>
      <c r="CB281" s="210"/>
      <c r="CC281" s="210"/>
      <c r="CD281" s="210"/>
      <c r="CE281" s="210"/>
      <c r="CF281" s="210"/>
      <c r="CG281" s="210"/>
      <c r="CH281" s="210"/>
      <c r="CI281" s="210"/>
      <c r="CJ281" s="210"/>
      <c r="CK281" s="210"/>
      <c r="CL281" s="210"/>
      <c r="CM281" s="210"/>
      <c r="CN281" s="210"/>
      <c r="CO281" s="210"/>
      <c r="CP281" s="210"/>
      <c r="CQ281" s="210"/>
      <c r="CR281" s="210"/>
      <c r="CS281" s="210"/>
      <c r="CT281" s="210"/>
      <c r="CU281" s="210"/>
      <c r="CV281" s="210"/>
      <c r="CW281" s="210"/>
      <c r="CX281" s="210"/>
      <c r="CY281" s="210"/>
      <c r="CZ281" s="210"/>
      <c r="DA281" s="210"/>
      <c r="DB281" s="210"/>
      <c r="DC281" s="210"/>
      <c r="DD281" s="210"/>
      <c r="DE281" s="210"/>
      <c r="DF281" s="210"/>
      <c r="DG281" s="210"/>
      <c r="DH281" s="210"/>
      <c r="DI281" s="210"/>
      <c r="DJ281" s="210"/>
      <c r="DK281" s="210"/>
      <c r="DL281" s="210"/>
      <c r="DM281" s="210"/>
      <c r="DN281" s="210"/>
      <c r="DO281" s="210"/>
      <c r="DP281" s="210"/>
      <c r="DQ281" s="210"/>
    </row>
    <row r="282" spans="1:121" s="209" customFormat="1" x14ac:dyDescent="0.25">
      <c r="A282" s="370"/>
      <c r="B282" s="228"/>
      <c r="C282" s="228"/>
      <c r="D282" s="227"/>
      <c r="E282" s="227"/>
      <c r="F282" s="227"/>
      <c r="W282" s="210"/>
      <c r="AF282" s="210"/>
      <c r="BC282" s="210"/>
      <c r="BD282" s="210"/>
      <c r="BJ282" s="210"/>
      <c r="BK282" s="210"/>
      <c r="BL282" s="210"/>
      <c r="BM282" s="210"/>
      <c r="BN282" s="210"/>
      <c r="BO282" s="210"/>
      <c r="BP282" s="210"/>
      <c r="BQ282" s="210"/>
      <c r="BR282" s="210"/>
      <c r="BS282" s="210"/>
      <c r="BT282" s="210"/>
      <c r="BU282" s="210"/>
      <c r="BV282" s="210"/>
      <c r="BW282" s="210"/>
      <c r="BX282" s="210"/>
      <c r="BY282" s="210"/>
      <c r="BZ282" s="210"/>
      <c r="CA282" s="210"/>
      <c r="CB282" s="210"/>
      <c r="CC282" s="210"/>
      <c r="CD282" s="210"/>
      <c r="CE282" s="210"/>
      <c r="CF282" s="210"/>
      <c r="CG282" s="210"/>
      <c r="CH282" s="210"/>
      <c r="CI282" s="210"/>
      <c r="CJ282" s="210"/>
      <c r="CK282" s="210"/>
      <c r="CL282" s="210"/>
      <c r="CM282" s="210"/>
      <c r="CN282" s="210"/>
      <c r="CO282" s="210"/>
      <c r="CP282" s="210"/>
      <c r="CQ282" s="210"/>
      <c r="CR282" s="210"/>
      <c r="CS282" s="210"/>
      <c r="CT282" s="210"/>
      <c r="CU282" s="210"/>
      <c r="CV282" s="210"/>
      <c r="CW282" s="210"/>
      <c r="CX282" s="210"/>
      <c r="CY282" s="210"/>
      <c r="CZ282" s="210"/>
      <c r="DA282" s="210"/>
      <c r="DB282" s="210"/>
      <c r="DC282" s="210"/>
      <c r="DD282" s="210"/>
      <c r="DE282" s="210"/>
      <c r="DF282" s="210"/>
      <c r="DG282" s="210"/>
      <c r="DH282" s="210"/>
      <c r="DI282" s="210"/>
      <c r="DJ282" s="210"/>
      <c r="DK282" s="210"/>
      <c r="DL282" s="210"/>
      <c r="DM282" s="210"/>
      <c r="DN282" s="210"/>
      <c r="DO282" s="210"/>
      <c r="DP282" s="210"/>
      <c r="DQ282" s="210"/>
    </row>
    <row r="283" spans="1:121" s="209" customFormat="1" x14ac:dyDescent="0.25">
      <c r="A283" s="370"/>
      <c r="B283" s="228"/>
      <c r="C283" s="228"/>
      <c r="D283" s="227"/>
      <c r="E283" s="227"/>
      <c r="F283" s="227"/>
      <c r="W283" s="210"/>
      <c r="AF283" s="210"/>
      <c r="BC283" s="210"/>
      <c r="BD283" s="210"/>
      <c r="BJ283" s="210"/>
      <c r="BK283" s="210"/>
      <c r="BL283" s="210"/>
      <c r="BM283" s="210"/>
      <c r="BN283" s="210"/>
      <c r="BO283" s="210"/>
      <c r="BP283" s="210"/>
      <c r="BQ283" s="210"/>
      <c r="BR283" s="210"/>
      <c r="BS283" s="210"/>
      <c r="BT283" s="210"/>
      <c r="BU283" s="210"/>
      <c r="BV283" s="210"/>
      <c r="BW283" s="210"/>
      <c r="BX283" s="210"/>
      <c r="BY283" s="210"/>
      <c r="BZ283" s="210"/>
      <c r="CA283" s="210"/>
      <c r="CB283" s="210"/>
      <c r="CC283" s="210"/>
      <c r="CD283" s="210"/>
      <c r="CE283" s="210"/>
      <c r="CF283" s="210"/>
      <c r="CG283" s="210"/>
      <c r="CH283" s="210"/>
      <c r="CI283" s="210"/>
      <c r="CJ283" s="210"/>
      <c r="CK283" s="210"/>
      <c r="CL283" s="210"/>
      <c r="CM283" s="210"/>
      <c r="CN283" s="210"/>
      <c r="CO283" s="210"/>
      <c r="CP283" s="210"/>
      <c r="CQ283" s="210"/>
      <c r="CR283" s="210"/>
      <c r="CS283" s="210"/>
      <c r="CT283" s="210"/>
      <c r="CU283" s="210"/>
      <c r="CV283" s="210"/>
      <c r="CW283" s="210"/>
      <c r="CX283" s="210"/>
      <c r="CY283" s="210"/>
      <c r="CZ283" s="210"/>
      <c r="DA283" s="210"/>
      <c r="DB283" s="210"/>
      <c r="DC283" s="210"/>
      <c r="DD283" s="210"/>
      <c r="DE283" s="210"/>
      <c r="DF283" s="210"/>
      <c r="DG283" s="210"/>
      <c r="DH283" s="210"/>
      <c r="DI283" s="210"/>
      <c r="DJ283" s="210"/>
      <c r="DK283" s="210"/>
      <c r="DL283" s="210"/>
      <c r="DM283" s="210"/>
      <c r="DN283" s="210"/>
      <c r="DO283" s="210"/>
      <c r="DP283" s="210"/>
      <c r="DQ283" s="210"/>
    </row>
    <row r="284" spans="1:121" s="209" customFormat="1" x14ac:dyDescent="0.25">
      <c r="A284" s="370"/>
      <c r="B284" s="228"/>
      <c r="C284" s="228"/>
      <c r="D284" s="227"/>
      <c r="E284" s="227"/>
      <c r="F284" s="227"/>
      <c r="W284" s="210"/>
      <c r="AF284" s="210"/>
      <c r="BC284" s="210"/>
      <c r="BD284" s="210"/>
      <c r="BJ284" s="210"/>
      <c r="BK284" s="210"/>
      <c r="BL284" s="210"/>
      <c r="BM284" s="210"/>
      <c r="BN284" s="210"/>
      <c r="BO284" s="210"/>
      <c r="BP284" s="210"/>
      <c r="BQ284" s="210"/>
      <c r="BR284" s="210"/>
      <c r="BS284" s="210"/>
      <c r="BT284" s="210"/>
      <c r="BU284" s="210"/>
      <c r="BV284" s="210"/>
      <c r="BW284" s="210"/>
      <c r="BX284" s="210"/>
      <c r="BY284" s="210"/>
      <c r="BZ284" s="210"/>
      <c r="CA284" s="210"/>
      <c r="CB284" s="210"/>
      <c r="CC284" s="210"/>
      <c r="CD284" s="210"/>
      <c r="CE284" s="210"/>
      <c r="CF284" s="210"/>
      <c r="CG284" s="210"/>
      <c r="CH284" s="210"/>
      <c r="CI284" s="210"/>
      <c r="CJ284" s="210"/>
      <c r="CK284" s="210"/>
      <c r="CL284" s="210"/>
      <c r="CM284" s="210"/>
      <c r="CN284" s="210"/>
      <c r="CO284" s="210"/>
      <c r="CP284" s="210"/>
      <c r="CQ284" s="210"/>
      <c r="CR284" s="210"/>
      <c r="CS284" s="210"/>
      <c r="CT284" s="210"/>
      <c r="CU284" s="210"/>
      <c r="CV284" s="210"/>
      <c r="CW284" s="210"/>
      <c r="CX284" s="210"/>
      <c r="CY284" s="210"/>
      <c r="CZ284" s="210"/>
      <c r="DA284" s="210"/>
      <c r="DB284" s="210"/>
      <c r="DC284" s="210"/>
      <c r="DD284" s="210"/>
      <c r="DE284" s="210"/>
      <c r="DF284" s="210"/>
      <c r="DG284" s="210"/>
      <c r="DH284" s="210"/>
      <c r="DI284" s="210"/>
      <c r="DJ284" s="210"/>
      <c r="DK284" s="210"/>
      <c r="DL284" s="210"/>
      <c r="DM284" s="210"/>
      <c r="DN284" s="210"/>
      <c r="DO284" s="210"/>
      <c r="DP284" s="210"/>
      <c r="DQ284" s="210"/>
    </row>
    <row r="285" spans="1:121" s="209" customFormat="1" x14ac:dyDescent="0.25">
      <c r="A285" s="370"/>
      <c r="B285" s="228"/>
      <c r="C285" s="228"/>
      <c r="D285" s="227"/>
      <c r="E285" s="227"/>
      <c r="F285" s="227"/>
      <c r="W285" s="210"/>
      <c r="AF285" s="210"/>
      <c r="BC285" s="210"/>
      <c r="BD285" s="210"/>
      <c r="BJ285" s="210"/>
      <c r="BK285" s="210"/>
      <c r="BL285" s="210"/>
      <c r="BM285" s="210"/>
      <c r="BN285" s="210"/>
      <c r="BO285" s="210"/>
      <c r="BP285" s="210"/>
      <c r="BQ285" s="210"/>
      <c r="BR285" s="210"/>
      <c r="BS285" s="210"/>
      <c r="BT285" s="210"/>
      <c r="BU285" s="210"/>
      <c r="BV285" s="210"/>
      <c r="BW285" s="210"/>
      <c r="BX285" s="210"/>
      <c r="BY285" s="210"/>
      <c r="BZ285" s="210"/>
      <c r="CA285" s="210"/>
      <c r="CB285" s="210"/>
      <c r="CC285" s="210"/>
      <c r="CD285" s="210"/>
      <c r="CE285" s="210"/>
      <c r="CF285" s="210"/>
      <c r="CG285" s="210"/>
      <c r="CH285" s="210"/>
      <c r="CI285" s="210"/>
      <c r="CJ285" s="210"/>
      <c r="CK285" s="210"/>
      <c r="CL285" s="210"/>
      <c r="CM285" s="210"/>
      <c r="CN285" s="210"/>
      <c r="CO285" s="210"/>
      <c r="CP285" s="210"/>
      <c r="CQ285" s="210"/>
      <c r="CR285" s="210"/>
      <c r="CS285" s="210"/>
      <c r="CT285" s="210"/>
      <c r="CU285" s="210"/>
      <c r="CV285" s="210"/>
      <c r="CW285" s="210"/>
      <c r="CX285" s="210"/>
      <c r="CY285" s="210"/>
      <c r="CZ285" s="210"/>
      <c r="DA285" s="210"/>
      <c r="DB285" s="210"/>
      <c r="DC285" s="210"/>
      <c r="DD285" s="210"/>
      <c r="DE285" s="210"/>
      <c r="DF285" s="210"/>
      <c r="DG285" s="210"/>
      <c r="DH285" s="210"/>
      <c r="DI285" s="210"/>
      <c r="DJ285" s="210"/>
      <c r="DK285" s="210"/>
      <c r="DL285" s="210"/>
      <c r="DM285" s="210"/>
      <c r="DN285" s="210"/>
      <c r="DO285" s="210"/>
      <c r="DP285" s="210"/>
      <c r="DQ285" s="210"/>
    </row>
    <row r="286" spans="1:121" s="209" customFormat="1" x14ac:dyDescent="0.25">
      <c r="A286" s="370"/>
      <c r="B286" s="228"/>
      <c r="C286" s="228"/>
      <c r="D286" s="227"/>
      <c r="E286" s="227"/>
      <c r="F286" s="227"/>
      <c r="W286" s="210"/>
      <c r="AF286" s="210"/>
      <c r="BC286" s="210"/>
      <c r="BD286" s="210"/>
      <c r="BJ286" s="210"/>
      <c r="BK286" s="210"/>
      <c r="BL286" s="210"/>
      <c r="BM286" s="210"/>
      <c r="BN286" s="210"/>
      <c r="BO286" s="210"/>
      <c r="BP286" s="210"/>
      <c r="BQ286" s="210"/>
      <c r="BR286" s="210"/>
      <c r="BS286" s="210"/>
      <c r="BT286" s="210"/>
      <c r="BU286" s="210"/>
      <c r="BV286" s="210"/>
      <c r="BW286" s="210"/>
      <c r="BX286" s="210"/>
      <c r="BY286" s="210"/>
      <c r="BZ286" s="210"/>
      <c r="CA286" s="210"/>
      <c r="CB286" s="210"/>
      <c r="CC286" s="210"/>
      <c r="CD286" s="210"/>
      <c r="CE286" s="210"/>
      <c r="CF286" s="210"/>
      <c r="CG286" s="210"/>
      <c r="CH286" s="210"/>
      <c r="CI286" s="210"/>
      <c r="CJ286" s="210"/>
      <c r="CK286" s="210"/>
      <c r="CL286" s="210"/>
      <c r="CM286" s="210"/>
      <c r="CN286" s="210"/>
      <c r="CO286" s="210"/>
      <c r="CP286" s="210"/>
      <c r="CQ286" s="210"/>
      <c r="CR286" s="210"/>
      <c r="CS286" s="210"/>
      <c r="CT286" s="210"/>
      <c r="CU286" s="210"/>
      <c r="CV286" s="210"/>
      <c r="CW286" s="210"/>
      <c r="CX286" s="210"/>
      <c r="CY286" s="210"/>
      <c r="CZ286" s="210"/>
      <c r="DA286" s="210"/>
      <c r="DB286" s="210"/>
      <c r="DC286" s="210"/>
      <c r="DD286" s="210"/>
      <c r="DE286" s="210"/>
      <c r="DF286" s="210"/>
      <c r="DG286" s="210"/>
      <c r="DH286" s="210"/>
      <c r="DI286" s="210"/>
      <c r="DJ286" s="210"/>
      <c r="DK286" s="210"/>
      <c r="DL286" s="210"/>
      <c r="DM286" s="210"/>
      <c r="DN286" s="210"/>
      <c r="DO286" s="210"/>
      <c r="DP286" s="210"/>
      <c r="DQ286" s="210"/>
    </row>
    <row r="287" spans="1:121" s="209" customFormat="1" x14ac:dyDescent="0.25">
      <c r="A287" s="370"/>
      <c r="B287" s="228"/>
      <c r="C287" s="228"/>
      <c r="D287" s="227"/>
      <c r="E287" s="227"/>
      <c r="F287" s="227"/>
      <c r="W287" s="210"/>
      <c r="AF287" s="210"/>
      <c r="BC287" s="210"/>
      <c r="BD287" s="210"/>
      <c r="BJ287" s="210"/>
      <c r="BK287" s="210"/>
      <c r="BL287" s="210"/>
      <c r="BM287" s="210"/>
      <c r="BN287" s="210"/>
      <c r="BO287" s="210"/>
      <c r="BP287" s="210"/>
      <c r="BQ287" s="210"/>
      <c r="BR287" s="210"/>
      <c r="BS287" s="210"/>
      <c r="BT287" s="210"/>
      <c r="BU287" s="210"/>
      <c r="BV287" s="210"/>
      <c r="BW287" s="210"/>
      <c r="BX287" s="210"/>
      <c r="BY287" s="210"/>
      <c r="BZ287" s="210"/>
      <c r="CA287" s="210"/>
      <c r="CB287" s="210"/>
      <c r="CC287" s="210"/>
      <c r="CD287" s="210"/>
      <c r="CE287" s="210"/>
      <c r="CF287" s="210"/>
      <c r="CG287" s="210"/>
      <c r="CH287" s="210"/>
      <c r="CI287" s="210"/>
      <c r="CJ287" s="210"/>
      <c r="CK287" s="210"/>
      <c r="CL287" s="210"/>
      <c r="CM287" s="210"/>
      <c r="CN287" s="210"/>
      <c r="CO287" s="210"/>
      <c r="CP287" s="210"/>
      <c r="CQ287" s="210"/>
      <c r="CR287" s="210"/>
      <c r="CS287" s="210"/>
      <c r="CT287" s="210"/>
      <c r="CU287" s="210"/>
      <c r="CV287" s="210"/>
      <c r="CW287" s="210"/>
      <c r="CX287" s="210"/>
      <c r="CY287" s="210"/>
      <c r="CZ287" s="210"/>
      <c r="DA287" s="210"/>
      <c r="DB287" s="210"/>
      <c r="DC287" s="210"/>
      <c r="DD287" s="210"/>
      <c r="DE287" s="210"/>
      <c r="DF287" s="210"/>
      <c r="DG287" s="210"/>
      <c r="DH287" s="210"/>
      <c r="DI287" s="210"/>
      <c r="DJ287" s="210"/>
      <c r="DK287" s="210"/>
      <c r="DL287" s="210"/>
      <c r="DM287" s="210"/>
      <c r="DN287" s="210"/>
      <c r="DO287" s="210"/>
      <c r="DP287" s="210"/>
      <c r="DQ287" s="210"/>
    </row>
    <row r="288" spans="1:121" s="209" customFormat="1" x14ac:dyDescent="0.25">
      <c r="A288" s="370"/>
      <c r="B288" s="228"/>
      <c r="C288" s="228"/>
      <c r="D288" s="227"/>
      <c r="E288" s="227"/>
      <c r="F288" s="227"/>
      <c r="W288" s="210"/>
      <c r="AF288" s="210"/>
      <c r="BC288" s="210"/>
      <c r="BD288" s="210"/>
      <c r="BJ288" s="210"/>
      <c r="BK288" s="210"/>
      <c r="BL288" s="210"/>
      <c r="BM288" s="210"/>
      <c r="BN288" s="210"/>
      <c r="BO288" s="210"/>
      <c r="BP288" s="210"/>
      <c r="BQ288" s="210"/>
      <c r="BR288" s="210"/>
      <c r="BS288" s="210"/>
      <c r="BT288" s="210"/>
      <c r="BU288" s="210"/>
      <c r="BV288" s="210"/>
      <c r="BW288" s="210"/>
      <c r="BX288" s="210"/>
      <c r="BY288" s="210"/>
      <c r="BZ288" s="210"/>
      <c r="CA288" s="210"/>
      <c r="CB288" s="210"/>
      <c r="CC288" s="210"/>
      <c r="CD288" s="210"/>
      <c r="CE288" s="210"/>
      <c r="CF288" s="210"/>
      <c r="CG288" s="210"/>
      <c r="CH288" s="210"/>
      <c r="CI288" s="210"/>
      <c r="CJ288" s="210"/>
      <c r="CK288" s="210"/>
      <c r="CL288" s="210"/>
      <c r="CM288" s="210"/>
      <c r="CN288" s="210"/>
      <c r="CO288" s="210"/>
      <c r="CP288" s="210"/>
      <c r="CQ288" s="210"/>
      <c r="CR288" s="210"/>
      <c r="CS288" s="210"/>
      <c r="CT288" s="210"/>
      <c r="CU288" s="210"/>
      <c r="CV288" s="210"/>
      <c r="CW288" s="210"/>
      <c r="CX288" s="210"/>
      <c r="CY288" s="210"/>
      <c r="CZ288" s="210"/>
      <c r="DA288" s="210"/>
      <c r="DB288" s="210"/>
      <c r="DC288" s="210"/>
      <c r="DD288" s="210"/>
      <c r="DE288" s="210"/>
      <c r="DF288" s="210"/>
      <c r="DG288" s="210"/>
      <c r="DH288" s="210"/>
      <c r="DI288" s="210"/>
      <c r="DJ288" s="210"/>
      <c r="DK288" s="210"/>
      <c r="DL288" s="210"/>
      <c r="DM288" s="210"/>
      <c r="DN288" s="210"/>
      <c r="DO288" s="210"/>
      <c r="DP288" s="210"/>
      <c r="DQ288" s="210"/>
    </row>
    <row r="289" spans="1:121" s="209" customFormat="1" x14ac:dyDescent="0.25">
      <c r="A289" s="370"/>
      <c r="B289" s="228"/>
      <c r="C289" s="228"/>
      <c r="D289" s="227"/>
      <c r="E289" s="227"/>
      <c r="F289" s="227"/>
      <c r="W289" s="210"/>
      <c r="AF289" s="210"/>
      <c r="BC289" s="210"/>
      <c r="BD289" s="210"/>
      <c r="BJ289" s="210"/>
      <c r="BK289" s="210"/>
      <c r="BL289" s="210"/>
      <c r="BM289" s="210"/>
      <c r="BN289" s="210"/>
      <c r="BO289" s="210"/>
      <c r="BP289" s="210"/>
      <c r="BQ289" s="210"/>
      <c r="BR289" s="210"/>
      <c r="BS289" s="210"/>
      <c r="BT289" s="210"/>
      <c r="BU289" s="210"/>
      <c r="BV289" s="210"/>
      <c r="BW289" s="210"/>
      <c r="BX289" s="210"/>
      <c r="BY289" s="210"/>
      <c r="BZ289" s="210"/>
      <c r="CA289" s="210"/>
      <c r="CB289" s="210"/>
      <c r="CC289" s="210"/>
      <c r="CD289" s="210"/>
      <c r="CE289" s="210"/>
      <c r="CF289" s="210"/>
      <c r="CG289" s="210"/>
      <c r="CH289" s="210"/>
      <c r="CI289" s="210"/>
      <c r="CJ289" s="210"/>
      <c r="CK289" s="210"/>
      <c r="CL289" s="210"/>
      <c r="CM289" s="210"/>
      <c r="CN289" s="210"/>
      <c r="CO289" s="210"/>
      <c r="CP289" s="210"/>
      <c r="CQ289" s="210"/>
      <c r="CR289" s="210"/>
      <c r="CS289" s="210"/>
      <c r="CT289" s="210"/>
      <c r="CU289" s="210"/>
      <c r="CV289" s="210"/>
      <c r="CW289" s="210"/>
      <c r="CX289" s="210"/>
      <c r="CY289" s="210"/>
      <c r="CZ289" s="210"/>
      <c r="DA289" s="210"/>
      <c r="DB289" s="210"/>
      <c r="DC289" s="210"/>
      <c r="DD289" s="210"/>
      <c r="DE289" s="210"/>
      <c r="DF289" s="210"/>
      <c r="DG289" s="210"/>
      <c r="DH289" s="210"/>
      <c r="DI289" s="210"/>
      <c r="DJ289" s="210"/>
      <c r="DK289" s="210"/>
      <c r="DL289" s="210"/>
      <c r="DM289" s="210"/>
      <c r="DN289" s="210"/>
      <c r="DO289" s="210"/>
      <c r="DP289" s="210"/>
      <c r="DQ289" s="210"/>
    </row>
    <row r="290" spans="1:121" s="209" customFormat="1" x14ac:dyDescent="0.25">
      <c r="A290" s="370"/>
      <c r="B290" s="228"/>
      <c r="C290" s="228"/>
      <c r="D290" s="227"/>
      <c r="E290" s="227"/>
      <c r="F290" s="227"/>
      <c r="W290" s="210"/>
      <c r="AF290" s="210"/>
      <c r="BC290" s="210"/>
      <c r="BD290" s="210"/>
      <c r="BJ290" s="210"/>
      <c r="BK290" s="210"/>
      <c r="BL290" s="210"/>
      <c r="BM290" s="210"/>
      <c r="BN290" s="210"/>
      <c r="BO290" s="210"/>
      <c r="BP290" s="210"/>
      <c r="BQ290" s="210"/>
      <c r="BR290" s="210"/>
      <c r="BS290" s="210"/>
      <c r="BT290" s="210"/>
      <c r="BU290" s="210"/>
      <c r="BV290" s="210"/>
      <c r="BW290" s="210"/>
      <c r="BX290" s="210"/>
      <c r="BY290" s="210"/>
      <c r="BZ290" s="210"/>
      <c r="CA290" s="210"/>
      <c r="CB290" s="210"/>
      <c r="CC290" s="210"/>
      <c r="CD290" s="210"/>
      <c r="CE290" s="210"/>
      <c r="CF290" s="210"/>
      <c r="CG290" s="210"/>
      <c r="CH290" s="210"/>
      <c r="CI290" s="210"/>
      <c r="CJ290" s="210"/>
      <c r="CK290" s="210"/>
      <c r="CL290" s="210"/>
      <c r="CM290" s="210"/>
      <c r="CN290" s="210"/>
      <c r="CO290" s="210"/>
      <c r="CP290" s="210"/>
      <c r="CQ290" s="210"/>
      <c r="CR290" s="210"/>
      <c r="CS290" s="210"/>
      <c r="CT290" s="210"/>
      <c r="CU290" s="210"/>
      <c r="CV290" s="210"/>
      <c r="CW290" s="210"/>
      <c r="CX290" s="210"/>
      <c r="CY290" s="210"/>
      <c r="CZ290" s="210"/>
      <c r="DA290" s="210"/>
      <c r="DB290" s="210"/>
      <c r="DC290" s="210"/>
      <c r="DD290" s="210"/>
      <c r="DE290" s="210"/>
      <c r="DF290" s="210"/>
      <c r="DG290" s="210"/>
      <c r="DH290" s="210"/>
      <c r="DI290" s="210"/>
      <c r="DJ290" s="210"/>
      <c r="DK290" s="210"/>
      <c r="DL290" s="210"/>
      <c r="DM290" s="210"/>
      <c r="DN290" s="210"/>
      <c r="DO290" s="210"/>
      <c r="DP290" s="210"/>
      <c r="DQ290" s="210"/>
    </row>
    <row r="291" spans="1:121" s="209" customFormat="1" x14ac:dyDescent="0.25">
      <c r="A291" s="370"/>
      <c r="B291" s="228"/>
      <c r="C291" s="228"/>
      <c r="D291" s="227"/>
      <c r="E291" s="227"/>
      <c r="F291" s="227"/>
      <c r="W291" s="210"/>
      <c r="AF291" s="210"/>
      <c r="BC291" s="210"/>
      <c r="BD291" s="210"/>
      <c r="BJ291" s="210"/>
      <c r="BK291" s="210"/>
      <c r="BL291" s="210"/>
      <c r="BM291" s="210"/>
      <c r="BN291" s="210"/>
      <c r="BO291" s="210"/>
      <c r="BP291" s="210"/>
      <c r="BQ291" s="210"/>
      <c r="BR291" s="210"/>
      <c r="BS291" s="210"/>
      <c r="BT291" s="210"/>
      <c r="BU291" s="210"/>
      <c r="BV291" s="210"/>
      <c r="BW291" s="210"/>
      <c r="BX291" s="210"/>
      <c r="BY291" s="210"/>
      <c r="BZ291" s="210"/>
      <c r="CA291" s="210"/>
      <c r="CB291" s="210"/>
      <c r="CC291" s="210"/>
      <c r="CD291" s="210"/>
      <c r="CE291" s="210"/>
      <c r="CF291" s="210"/>
      <c r="CG291" s="210"/>
      <c r="CH291" s="210"/>
      <c r="CI291" s="210"/>
      <c r="CJ291" s="210"/>
      <c r="CK291" s="210"/>
      <c r="CL291" s="210"/>
      <c r="CM291" s="210"/>
      <c r="CN291" s="210"/>
      <c r="CO291" s="210"/>
      <c r="CP291" s="210"/>
      <c r="CQ291" s="210"/>
      <c r="CR291" s="210"/>
      <c r="CS291" s="210"/>
      <c r="CT291" s="210"/>
      <c r="CU291" s="210"/>
      <c r="CV291" s="210"/>
      <c r="CW291" s="210"/>
      <c r="CX291" s="210"/>
      <c r="CY291" s="210"/>
      <c r="CZ291" s="210"/>
      <c r="DA291" s="210"/>
      <c r="DB291" s="210"/>
      <c r="DC291" s="210"/>
      <c r="DD291" s="210"/>
      <c r="DE291" s="210"/>
      <c r="DF291" s="210"/>
      <c r="DG291" s="210"/>
      <c r="DH291" s="210"/>
      <c r="DI291" s="210"/>
      <c r="DJ291" s="210"/>
      <c r="DK291" s="210"/>
      <c r="DL291" s="210"/>
      <c r="DM291" s="210"/>
      <c r="DN291" s="210"/>
      <c r="DO291" s="210"/>
      <c r="DP291" s="210"/>
      <c r="DQ291" s="210"/>
    </row>
    <row r="292" spans="1:121" s="209" customFormat="1" x14ac:dyDescent="0.25">
      <c r="A292" s="370"/>
      <c r="B292" s="228"/>
      <c r="C292" s="228"/>
      <c r="D292" s="227"/>
      <c r="E292" s="227"/>
      <c r="F292" s="227"/>
      <c r="W292" s="210"/>
      <c r="AF292" s="210"/>
      <c r="BC292" s="210"/>
      <c r="BD292" s="210"/>
      <c r="BJ292" s="210"/>
      <c r="BK292" s="210"/>
      <c r="BL292" s="210"/>
      <c r="BM292" s="210"/>
      <c r="BN292" s="210"/>
      <c r="BO292" s="210"/>
      <c r="BP292" s="210"/>
      <c r="BQ292" s="210"/>
      <c r="BR292" s="210"/>
      <c r="BS292" s="210"/>
      <c r="BT292" s="210"/>
      <c r="BU292" s="210"/>
      <c r="BV292" s="210"/>
      <c r="BW292" s="210"/>
      <c r="BX292" s="210"/>
      <c r="BY292" s="210"/>
      <c r="BZ292" s="210"/>
      <c r="CA292" s="210"/>
      <c r="CB292" s="210"/>
      <c r="CC292" s="210"/>
      <c r="CD292" s="210"/>
      <c r="CE292" s="210"/>
      <c r="CF292" s="210"/>
      <c r="CG292" s="210"/>
      <c r="CH292" s="210"/>
      <c r="CI292" s="210"/>
      <c r="CJ292" s="210"/>
      <c r="CK292" s="210"/>
      <c r="CL292" s="210"/>
      <c r="CM292" s="210"/>
      <c r="CN292" s="210"/>
      <c r="CO292" s="210"/>
      <c r="CP292" s="210"/>
      <c r="CQ292" s="210"/>
      <c r="CR292" s="210"/>
      <c r="CS292" s="210"/>
      <c r="CT292" s="210"/>
      <c r="CU292" s="210"/>
      <c r="CV292" s="210"/>
      <c r="CW292" s="210"/>
      <c r="CX292" s="210"/>
      <c r="CY292" s="210"/>
      <c r="CZ292" s="210"/>
      <c r="DA292" s="210"/>
      <c r="DB292" s="210"/>
      <c r="DC292" s="210"/>
      <c r="DD292" s="210"/>
      <c r="DE292" s="210"/>
      <c r="DF292" s="210"/>
      <c r="DG292" s="210"/>
      <c r="DH292" s="210"/>
      <c r="DI292" s="210"/>
      <c r="DJ292" s="210"/>
      <c r="DK292" s="210"/>
      <c r="DL292" s="210"/>
      <c r="DM292" s="210"/>
      <c r="DN292" s="210"/>
      <c r="DO292" s="210"/>
      <c r="DP292" s="210"/>
      <c r="DQ292" s="210"/>
    </row>
    <row r="293" spans="1:121" s="209" customFormat="1" x14ac:dyDescent="0.25">
      <c r="A293" s="370"/>
      <c r="B293" s="228"/>
      <c r="C293" s="228"/>
      <c r="D293" s="227"/>
      <c r="E293" s="227"/>
      <c r="F293" s="227"/>
      <c r="W293" s="210"/>
      <c r="AF293" s="210"/>
      <c r="BC293" s="210"/>
      <c r="BD293" s="210"/>
      <c r="BJ293" s="210"/>
      <c r="BK293" s="210"/>
      <c r="BL293" s="210"/>
      <c r="BM293" s="210"/>
      <c r="BN293" s="210"/>
      <c r="BO293" s="210"/>
      <c r="BP293" s="210"/>
      <c r="BQ293" s="210"/>
      <c r="BR293" s="210"/>
      <c r="BS293" s="210"/>
      <c r="BT293" s="210"/>
      <c r="BU293" s="210"/>
      <c r="BV293" s="210"/>
      <c r="BW293" s="210"/>
      <c r="BX293" s="210"/>
      <c r="BY293" s="210"/>
      <c r="BZ293" s="210"/>
      <c r="CA293" s="210"/>
      <c r="CB293" s="210"/>
      <c r="CC293" s="210"/>
      <c r="CD293" s="210"/>
      <c r="CE293" s="210"/>
      <c r="CF293" s="210"/>
      <c r="CG293" s="210"/>
      <c r="CH293" s="210"/>
      <c r="CI293" s="210"/>
      <c r="CJ293" s="210"/>
      <c r="CK293" s="210"/>
      <c r="CL293" s="210"/>
      <c r="CM293" s="210"/>
      <c r="CN293" s="210"/>
      <c r="CO293" s="210"/>
      <c r="CP293" s="210"/>
      <c r="CQ293" s="210"/>
      <c r="CR293" s="210"/>
      <c r="CS293" s="210"/>
      <c r="CT293" s="210"/>
      <c r="CU293" s="210"/>
      <c r="CV293" s="210"/>
      <c r="CW293" s="210"/>
      <c r="CX293" s="210"/>
      <c r="CY293" s="210"/>
      <c r="CZ293" s="210"/>
      <c r="DA293" s="210"/>
      <c r="DB293" s="210"/>
      <c r="DC293" s="210"/>
      <c r="DD293" s="210"/>
      <c r="DE293" s="210"/>
      <c r="DF293" s="210"/>
      <c r="DG293" s="210"/>
      <c r="DH293" s="210"/>
      <c r="DI293" s="210"/>
      <c r="DJ293" s="210"/>
      <c r="DK293" s="210"/>
      <c r="DL293" s="210"/>
      <c r="DM293" s="210"/>
      <c r="DN293" s="210"/>
      <c r="DO293" s="210"/>
      <c r="DP293" s="210"/>
      <c r="DQ293" s="210"/>
    </row>
    <row r="294" spans="1:121" s="209" customFormat="1" x14ac:dyDescent="0.25">
      <c r="A294" s="370"/>
      <c r="B294" s="228"/>
      <c r="C294" s="228"/>
      <c r="D294" s="227"/>
      <c r="E294" s="227"/>
      <c r="F294" s="227"/>
      <c r="W294" s="210"/>
      <c r="AF294" s="210"/>
      <c r="BC294" s="210"/>
      <c r="BD294" s="210"/>
      <c r="BJ294" s="210"/>
      <c r="BK294" s="210"/>
      <c r="BL294" s="210"/>
      <c r="BM294" s="210"/>
      <c r="BN294" s="210"/>
      <c r="BO294" s="210"/>
      <c r="BP294" s="210"/>
      <c r="BQ294" s="210"/>
      <c r="BR294" s="210"/>
      <c r="BS294" s="210"/>
      <c r="BT294" s="210"/>
      <c r="BU294" s="210"/>
      <c r="BV294" s="210"/>
      <c r="BW294" s="210"/>
      <c r="BX294" s="210"/>
      <c r="BY294" s="210"/>
      <c r="BZ294" s="210"/>
      <c r="CA294" s="210"/>
      <c r="CB294" s="210"/>
      <c r="CC294" s="210"/>
      <c r="CD294" s="210"/>
      <c r="CE294" s="210"/>
      <c r="CF294" s="210"/>
      <c r="CG294" s="210"/>
      <c r="CH294" s="210"/>
      <c r="CI294" s="210"/>
      <c r="CJ294" s="210"/>
      <c r="CK294" s="210"/>
      <c r="CL294" s="210"/>
      <c r="CM294" s="210"/>
      <c r="CN294" s="210"/>
      <c r="CO294" s="210"/>
      <c r="CP294" s="210"/>
      <c r="CQ294" s="210"/>
      <c r="CR294" s="210"/>
      <c r="CS294" s="210"/>
      <c r="CT294" s="210"/>
      <c r="CU294" s="210"/>
      <c r="CV294" s="210"/>
      <c r="CW294" s="210"/>
      <c r="CX294" s="210"/>
      <c r="CY294" s="210"/>
      <c r="CZ294" s="210"/>
      <c r="DA294" s="210"/>
      <c r="DB294" s="210"/>
      <c r="DC294" s="210"/>
      <c r="DD294" s="210"/>
      <c r="DE294" s="210"/>
      <c r="DF294" s="210"/>
      <c r="DG294" s="210"/>
      <c r="DH294" s="210"/>
      <c r="DI294" s="210"/>
      <c r="DJ294" s="210"/>
      <c r="DK294" s="210"/>
      <c r="DL294" s="210"/>
      <c r="DM294" s="210"/>
      <c r="DN294" s="210"/>
      <c r="DO294" s="210"/>
      <c r="DP294" s="210"/>
      <c r="DQ294" s="210"/>
    </row>
    <row r="295" spans="1:121" s="209" customFormat="1" x14ac:dyDescent="0.25">
      <c r="A295" s="370"/>
      <c r="B295" s="228"/>
      <c r="C295" s="228"/>
      <c r="D295" s="227"/>
      <c r="E295" s="227"/>
      <c r="F295" s="227"/>
      <c r="W295" s="210"/>
      <c r="AF295" s="210"/>
      <c r="BC295" s="210"/>
      <c r="BD295" s="210"/>
      <c r="BJ295" s="210"/>
      <c r="BK295" s="210"/>
      <c r="BL295" s="210"/>
      <c r="BM295" s="210"/>
      <c r="BN295" s="210"/>
      <c r="BO295" s="210"/>
      <c r="BP295" s="210"/>
      <c r="BQ295" s="210"/>
      <c r="BR295" s="210"/>
      <c r="BS295" s="210"/>
      <c r="BT295" s="210"/>
      <c r="BU295" s="210"/>
      <c r="BV295" s="210"/>
      <c r="BW295" s="210"/>
      <c r="BX295" s="210"/>
      <c r="BY295" s="210"/>
      <c r="BZ295" s="210"/>
      <c r="CA295" s="210"/>
      <c r="CB295" s="210"/>
      <c r="CC295" s="210"/>
      <c r="CD295" s="210"/>
      <c r="CE295" s="210"/>
      <c r="CF295" s="210"/>
      <c r="CG295" s="210"/>
      <c r="CH295" s="210"/>
      <c r="CI295" s="210"/>
      <c r="CJ295" s="210"/>
      <c r="CK295" s="210"/>
      <c r="CL295" s="210"/>
      <c r="CM295" s="210"/>
      <c r="CN295" s="210"/>
      <c r="CO295" s="210"/>
      <c r="CP295" s="210"/>
      <c r="CQ295" s="210"/>
      <c r="CR295" s="210"/>
      <c r="CS295" s="210"/>
      <c r="CT295" s="210"/>
      <c r="CU295" s="210"/>
      <c r="CV295" s="210"/>
      <c r="CW295" s="210"/>
      <c r="CX295" s="210"/>
      <c r="CY295" s="210"/>
      <c r="CZ295" s="210"/>
      <c r="DA295" s="210"/>
      <c r="DB295" s="210"/>
      <c r="DC295" s="210"/>
      <c r="DD295" s="210"/>
      <c r="DE295" s="210"/>
      <c r="DF295" s="210"/>
      <c r="DG295" s="210"/>
      <c r="DH295" s="210"/>
      <c r="DI295" s="210"/>
      <c r="DJ295" s="210"/>
      <c r="DK295" s="210"/>
      <c r="DL295" s="210"/>
      <c r="DM295" s="210"/>
      <c r="DN295" s="210"/>
      <c r="DO295" s="210"/>
      <c r="DP295" s="210"/>
      <c r="DQ295" s="210"/>
    </row>
    <row r="296" spans="1:121" s="209" customFormat="1" x14ac:dyDescent="0.25">
      <c r="A296" s="370"/>
      <c r="B296" s="228"/>
      <c r="C296" s="228"/>
      <c r="D296" s="227"/>
      <c r="E296" s="227"/>
      <c r="F296" s="227"/>
      <c r="W296" s="210"/>
      <c r="AF296" s="210"/>
      <c r="BC296" s="210"/>
      <c r="BD296" s="210"/>
      <c r="BJ296" s="210"/>
      <c r="BK296" s="210"/>
      <c r="BL296" s="210"/>
      <c r="BM296" s="210"/>
      <c r="BN296" s="210"/>
      <c r="BO296" s="210"/>
      <c r="BP296" s="210"/>
      <c r="BQ296" s="210"/>
      <c r="BR296" s="210"/>
      <c r="BS296" s="210"/>
      <c r="BT296" s="210"/>
      <c r="BU296" s="210"/>
      <c r="BV296" s="210"/>
      <c r="BW296" s="210"/>
      <c r="BX296" s="210"/>
      <c r="BY296" s="210"/>
      <c r="BZ296" s="210"/>
      <c r="CA296" s="210"/>
      <c r="CB296" s="210"/>
      <c r="CC296" s="210"/>
      <c r="CD296" s="210"/>
      <c r="CE296" s="210"/>
      <c r="CF296" s="210"/>
      <c r="CG296" s="210"/>
      <c r="CH296" s="210"/>
      <c r="CI296" s="210"/>
      <c r="CJ296" s="210"/>
      <c r="CK296" s="210"/>
      <c r="CL296" s="210"/>
      <c r="CM296" s="210"/>
      <c r="CN296" s="210"/>
      <c r="CO296" s="210"/>
      <c r="CP296" s="210"/>
      <c r="CQ296" s="210"/>
      <c r="CR296" s="210"/>
      <c r="CS296" s="210"/>
      <c r="CT296" s="210"/>
      <c r="CU296" s="210"/>
      <c r="CV296" s="210"/>
      <c r="CW296" s="210"/>
      <c r="CX296" s="210"/>
      <c r="CY296" s="210"/>
      <c r="CZ296" s="210"/>
      <c r="DA296" s="210"/>
      <c r="DB296" s="210"/>
      <c r="DC296" s="210"/>
      <c r="DD296" s="210"/>
      <c r="DE296" s="210"/>
      <c r="DF296" s="210"/>
      <c r="DG296" s="210"/>
      <c r="DH296" s="210"/>
      <c r="DI296" s="210"/>
      <c r="DJ296" s="210"/>
      <c r="DK296" s="210"/>
      <c r="DL296" s="210"/>
      <c r="DM296" s="210"/>
      <c r="DN296" s="210"/>
      <c r="DO296" s="210"/>
      <c r="DP296" s="210"/>
      <c r="DQ296" s="210"/>
    </row>
    <row r="297" spans="1:121" s="209" customFormat="1" x14ac:dyDescent="0.25">
      <c r="A297" s="370"/>
      <c r="B297" s="228"/>
      <c r="C297" s="228"/>
      <c r="D297" s="227"/>
      <c r="E297" s="227"/>
      <c r="F297" s="227"/>
      <c r="W297" s="210"/>
      <c r="AF297" s="210"/>
      <c r="BC297" s="210"/>
      <c r="BD297" s="210"/>
      <c r="BJ297" s="210"/>
      <c r="BK297" s="210"/>
      <c r="BL297" s="210"/>
      <c r="BM297" s="210"/>
      <c r="BN297" s="210"/>
      <c r="BO297" s="210"/>
      <c r="BP297" s="210"/>
      <c r="BQ297" s="210"/>
      <c r="BR297" s="210"/>
      <c r="BS297" s="210"/>
      <c r="BT297" s="210"/>
      <c r="BU297" s="210"/>
      <c r="BV297" s="210"/>
      <c r="BW297" s="210"/>
      <c r="BX297" s="210"/>
      <c r="BY297" s="210"/>
      <c r="BZ297" s="210"/>
      <c r="CA297" s="210"/>
      <c r="CB297" s="210"/>
      <c r="CC297" s="210"/>
      <c r="CD297" s="210"/>
      <c r="CE297" s="210"/>
      <c r="CF297" s="210"/>
      <c r="CG297" s="210"/>
      <c r="CH297" s="210"/>
      <c r="CI297" s="210"/>
      <c r="CJ297" s="210"/>
      <c r="CK297" s="210"/>
      <c r="CL297" s="210"/>
      <c r="CM297" s="210"/>
      <c r="CN297" s="210"/>
      <c r="CO297" s="210"/>
      <c r="CP297" s="210"/>
      <c r="CQ297" s="210"/>
      <c r="CR297" s="210"/>
      <c r="CS297" s="210"/>
      <c r="CT297" s="210"/>
      <c r="CU297" s="210"/>
      <c r="CV297" s="210"/>
      <c r="CW297" s="210"/>
      <c r="CX297" s="210"/>
      <c r="CY297" s="210"/>
      <c r="CZ297" s="210"/>
      <c r="DA297" s="210"/>
      <c r="DB297" s="210"/>
      <c r="DC297" s="210"/>
      <c r="DD297" s="210"/>
      <c r="DE297" s="210"/>
      <c r="DF297" s="210"/>
      <c r="DG297" s="210"/>
      <c r="DH297" s="210"/>
      <c r="DI297" s="210"/>
      <c r="DJ297" s="210"/>
      <c r="DK297" s="210"/>
      <c r="DL297" s="210"/>
      <c r="DM297" s="210"/>
      <c r="DN297" s="210"/>
      <c r="DO297" s="210"/>
      <c r="DP297" s="210"/>
      <c r="DQ297" s="210"/>
    </row>
    <row r="298" spans="1:121" s="209" customFormat="1" x14ac:dyDescent="0.25">
      <c r="A298" s="370"/>
      <c r="B298" s="228"/>
      <c r="C298" s="228"/>
      <c r="D298" s="227"/>
      <c r="E298" s="227"/>
      <c r="F298" s="227"/>
      <c r="W298" s="210"/>
      <c r="AF298" s="210"/>
      <c r="BC298" s="210"/>
      <c r="BD298" s="210"/>
      <c r="BJ298" s="210"/>
      <c r="BK298" s="210"/>
      <c r="BL298" s="210"/>
      <c r="BM298" s="210"/>
      <c r="BN298" s="210"/>
      <c r="BO298" s="210"/>
      <c r="BP298" s="210"/>
      <c r="BQ298" s="210"/>
      <c r="BR298" s="210"/>
      <c r="BS298" s="210"/>
      <c r="BT298" s="210"/>
      <c r="BU298" s="210"/>
      <c r="BV298" s="210"/>
      <c r="BW298" s="210"/>
      <c r="BX298" s="210"/>
      <c r="BY298" s="210"/>
      <c r="BZ298" s="210"/>
      <c r="CA298" s="210"/>
      <c r="CB298" s="210"/>
      <c r="CC298" s="210"/>
      <c r="CD298" s="210"/>
      <c r="CE298" s="210"/>
      <c r="CF298" s="210"/>
      <c r="CG298" s="210"/>
      <c r="CH298" s="210"/>
      <c r="CI298" s="210"/>
      <c r="CJ298" s="210"/>
      <c r="CK298" s="210"/>
      <c r="CL298" s="210"/>
      <c r="CM298" s="210"/>
      <c r="CN298" s="210"/>
      <c r="CO298" s="210"/>
      <c r="CP298" s="210"/>
      <c r="CQ298" s="210"/>
      <c r="CR298" s="210"/>
      <c r="CS298" s="210"/>
      <c r="CT298" s="210"/>
      <c r="CU298" s="210"/>
      <c r="CV298" s="210"/>
      <c r="CW298" s="210"/>
      <c r="CX298" s="210"/>
      <c r="CY298" s="210"/>
      <c r="CZ298" s="210"/>
      <c r="DA298" s="210"/>
      <c r="DB298" s="210"/>
      <c r="DC298" s="210"/>
      <c r="DD298" s="210"/>
      <c r="DE298" s="210"/>
      <c r="DF298" s="210"/>
      <c r="DG298" s="210"/>
      <c r="DH298" s="210"/>
      <c r="DI298" s="210"/>
      <c r="DJ298" s="210"/>
      <c r="DK298" s="210"/>
      <c r="DL298" s="210"/>
      <c r="DM298" s="210"/>
      <c r="DN298" s="210"/>
      <c r="DO298" s="210"/>
      <c r="DP298" s="210"/>
      <c r="DQ298" s="210"/>
    </row>
    <row r="299" spans="1:121" s="209" customFormat="1" x14ac:dyDescent="0.25">
      <c r="A299" s="370"/>
      <c r="B299" s="228"/>
      <c r="C299" s="228"/>
      <c r="D299" s="227"/>
      <c r="E299" s="227"/>
      <c r="F299" s="227"/>
      <c r="W299" s="210"/>
      <c r="AF299" s="210"/>
      <c r="BC299" s="210"/>
      <c r="BD299" s="210"/>
      <c r="BJ299" s="210"/>
      <c r="BK299" s="210"/>
      <c r="BL299" s="210"/>
      <c r="BM299" s="210"/>
      <c r="BN299" s="210"/>
      <c r="BO299" s="210"/>
      <c r="BP299" s="210"/>
      <c r="BQ299" s="210"/>
      <c r="BR299" s="210"/>
      <c r="BS299" s="210"/>
      <c r="BT299" s="210"/>
      <c r="BU299" s="210"/>
      <c r="BV299" s="210"/>
      <c r="BW299" s="210"/>
      <c r="BX299" s="210"/>
      <c r="BY299" s="210"/>
      <c r="BZ299" s="210"/>
      <c r="CA299" s="210"/>
      <c r="CB299" s="210"/>
      <c r="CC299" s="210"/>
      <c r="CD299" s="210"/>
      <c r="CE299" s="210"/>
      <c r="CF299" s="210"/>
      <c r="CG299" s="210"/>
      <c r="CH299" s="210"/>
      <c r="CI299" s="210"/>
      <c r="CJ299" s="210"/>
      <c r="CK299" s="210"/>
      <c r="CL299" s="210"/>
      <c r="CM299" s="210"/>
      <c r="CN299" s="210"/>
      <c r="CO299" s="210"/>
      <c r="CP299" s="210"/>
      <c r="CQ299" s="210"/>
      <c r="CR299" s="210"/>
      <c r="CS299" s="210"/>
      <c r="CT299" s="210"/>
      <c r="CU299" s="210"/>
      <c r="CV299" s="210"/>
      <c r="CW299" s="210"/>
      <c r="CX299" s="210"/>
      <c r="CY299" s="210"/>
      <c r="CZ299" s="210"/>
      <c r="DA299" s="210"/>
      <c r="DB299" s="210"/>
      <c r="DC299" s="210"/>
      <c r="DD299" s="210"/>
      <c r="DE299" s="210"/>
      <c r="DF299" s="210"/>
      <c r="DG299" s="210"/>
      <c r="DH299" s="210"/>
      <c r="DI299" s="210"/>
      <c r="DJ299" s="210"/>
      <c r="DK299" s="210"/>
      <c r="DL299" s="210"/>
      <c r="DM299" s="210"/>
      <c r="DN299" s="210"/>
      <c r="DO299" s="210"/>
      <c r="DP299" s="210"/>
      <c r="DQ299" s="210"/>
    </row>
    <row r="300" spans="1:121" s="209" customFormat="1" x14ac:dyDescent="0.25">
      <c r="A300" s="370"/>
      <c r="B300" s="228"/>
      <c r="C300" s="228"/>
      <c r="D300" s="227"/>
      <c r="E300" s="227"/>
      <c r="F300" s="227"/>
      <c r="W300" s="210"/>
      <c r="AF300" s="210"/>
      <c r="BC300" s="210"/>
      <c r="BD300" s="210"/>
      <c r="BJ300" s="210"/>
      <c r="BK300" s="210"/>
      <c r="BL300" s="210"/>
      <c r="BM300" s="210"/>
      <c r="BN300" s="210"/>
      <c r="BO300" s="210"/>
      <c r="BP300" s="210"/>
      <c r="BQ300" s="210"/>
      <c r="BR300" s="210"/>
      <c r="BS300" s="210"/>
      <c r="BT300" s="210"/>
      <c r="BU300" s="210"/>
      <c r="BV300" s="210"/>
      <c r="BW300" s="210"/>
      <c r="BX300" s="210"/>
      <c r="BY300" s="210"/>
      <c r="BZ300" s="210"/>
      <c r="CA300" s="210"/>
      <c r="CB300" s="210"/>
      <c r="CC300" s="210"/>
      <c r="CD300" s="210"/>
      <c r="CE300" s="210"/>
      <c r="CF300" s="210"/>
      <c r="CG300" s="210"/>
      <c r="CH300" s="210"/>
      <c r="CI300" s="210"/>
      <c r="CJ300" s="210"/>
      <c r="CK300" s="210"/>
      <c r="CL300" s="210"/>
      <c r="CM300" s="210"/>
      <c r="CN300" s="210"/>
      <c r="CO300" s="210"/>
      <c r="CP300" s="210"/>
      <c r="CQ300" s="210"/>
      <c r="CR300" s="210"/>
      <c r="CS300" s="210"/>
      <c r="CT300" s="210"/>
      <c r="CU300" s="210"/>
      <c r="CV300" s="210"/>
      <c r="CW300" s="210"/>
      <c r="CX300" s="210"/>
      <c r="CY300" s="210"/>
      <c r="CZ300" s="210"/>
      <c r="DA300" s="210"/>
      <c r="DB300" s="210"/>
      <c r="DC300" s="210"/>
      <c r="DD300" s="210"/>
      <c r="DE300" s="210"/>
      <c r="DF300" s="210"/>
      <c r="DG300" s="210"/>
      <c r="DH300" s="210"/>
      <c r="DI300" s="210"/>
      <c r="DJ300" s="210"/>
      <c r="DK300" s="210"/>
      <c r="DL300" s="210"/>
      <c r="DM300" s="210"/>
      <c r="DN300" s="210"/>
      <c r="DO300" s="210"/>
      <c r="DP300" s="210"/>
      <c r="DQ300" s="210"/>
    </row>
    <row r="301" spans="1:121" s="209" customFormat="1" x14ac:dyDescent="0.25">
      <c r="A301" s="370"/>
      <c r="B301" s="228"/>
      <c r="C301" s="228"/>
      <c r="D301" s="227"/>
      <c r="E301" s="227"/>
      <c r="F301" s="227"/>
      <c r="W301" s="210"/>
      <c r="AF301" s="210"/>
      <c r="BC301" s="210"/>
      <c r="BD301" s="210"/>
      <c r="BJ301" s="210"/>
      <c r="BK301" s="210"/>
      <c r="BL301" s="210"/>
      <c r="BM301" s="210"/>
      <c r="BN301" s="210"/>
      <c r="BO301" s="210"/>
      <c r="BP301" s="210"/>
      <c r="BQ301" s="210"/>
      <c r="BR301" s="210"/>
      <c r="BS301" s="210"/>
      <c r="BT301" s="210"/>
      <c r="BU301" s="210"/>
      <c r="BV301" s="210"/>
      <c r="BW301" s="210"/>
      <c r="BX301" s="210"/>
      <c r="BY301" s="210"/>
      <c r="BZ301" s="210"/>
      <c r="CA301" s="210"/>
      <c r="CB301" s="210"/>
      <c r="CC301" s="210"/>
      <c r="CD301" s="210"/>
      <c r="CE301" s="210"/>
      <c r="CF301" s="210"/>
      <c r="CG301" s="210"/>
      <c r="CH301" s="210"/>
      <c r="CI301" s="210"/>
      <c r="CJ301" s="210"/>
      <c r="CK301" s="210"/>
      <c r="CL301" s="210"/>
      <c r="CM301" s="210"/>
      <c r="CN301" s="210"/>
      <c r="CO301" s="210"/>
      <c r="CP301" s="210"/>
      <c r="CQ301" s="210"/>
      <c r="CR301" s="210"/>
      <c r="CS301" s="210"/>
      <c r="CT301" s="210"/>
      <c r="CU301" s="210"/>
      <c r="CV301" s="210"/>
      <c r="CW301" s="210"/>
      <c r="CX301" s="210"/>
      <c r="CY301" s="210"/>
      <c r="CZ301" s="210"/>
      <c r="DA301" s="210"/>
      <c r="DB301" s="210"/>
      <c r="DC301" s="210"/>
      <c r="DD301" s="210"/>
      <c r="DE301" s="210"/>
      <c r="DF301" s="210"/>
      <c r="DG301" s="210"/>
      <c r="DH301" s="210"/>
      <c r="DI301" s="210"/>
      <c r="DJ301" s="210"/>
      <c r="DK301" s="210"/>
      <c r="DL301" s="210"/>
      <c r="DM301" s="210"/>
      <c r="DN301" s="210"/>
      <c r="DO301" s="210"/>
      <c r="DP301" s="210"/>
      <c r="DQ301" s="210"/>
    </row>
    <row r="302" spans="1:121" s="209" customFormat="1" x14ac:dyDescent="0.25">
      <c r="A302" s="370"/>
      <c r="B302" s="228"/>
      <c r="C302" s="228"/>
      <c r="D302" s="227"/>
      <c r="E302" s="227"/>
      <c r="F302" s="227"/>
      <c r="W302" s="210"/>
      <c r="AF302" s="210"/>
      <c r="BC302" s="210"/>
      <c r="BD302" s="210"/>
      <c r="BJ302" s="210"/>
      <c r="BK302" s="210"/>
      <c r="BL302" s="210"/>
      <c r="BM302" s="210"/>
      <c r="BN302" s="210"/>
      <c r="BO302" s="210"/>
      <c r="BP302" s="210"/>
      <c r="BQ302" s="210"/>
      <c r="BR302" s="210"/>
      <c r="BS302" s="210"/>
      <c r="BT302" s="210"/>
      <c r="BU302" s="210"/>
      <c r="BV302" s="210"/>
      <c r="BW302" s="210"/>
      <c r="BX302" s="210"/>
      <c r="BY302" s="210"/>
      <c r="BZ302" s="210"/>
      <c r="CA302" s="210"/>
      <c r="CB302" s="210"/>
      <c r="CC302" s="210"/>
      <c r="CD302" s="210"/>
      <c r="CE302" s="210"/>
      <c r="CF302" s="210"/>
      <c r="CG302" s="210"/>
      <c r="CH302" s="210"/>
      <c r="CI302" s="210"/>
      <c r="CJ302" s="210"/>
      <c r="CK302" s="210"/>
      <c r="CL302" s="210"/>
      <c r="CM302" s="210"/>
      <c r="CN302" s="210"/>
      <c r="CO302" s="210"/>
      <c r="CP302" s="210"/>
      <c r="CQ302" s="210"/>
      <c r="CR302" s="210"/>
      <c r="CS302" s="210"/>
      <c r="CT302" s="210"/>
      <c r="CU302" s="210"/>
      <c r="CV302" s="210"/>
      <c r="CW302" s="210"/>
      <c r="CX302" s="210"/>
      <c r="CY302" s="210"/>
      <c r="CZ302" s="210"/>
      <c r="DA302" s="210"/>
      <c r="DB302" s="210"/>
      <c r="DC302" s="210"/>
      <c r="DD302" s="210"/>
      <c r="DE302" s="210"/>
      <c r="DF302" s="210"/>
      <c r="DG302" s="210"/>
      <c r="DH302" s="210"/>
      <c r="DI302" s="210"/>
      <c r="DJ302" s="210"/>
      <c r="DK302" s="210"/>
      <c r="DL302" s="210"/>
      <c r="DM302" s="210"/>
      <c r="DN302" s="210"/>
      <c r="DO302" s="210"/>
      <c r="DP302" s="210"/>
      <c r="DQ302" s="210"/>
    </row>
    <row r="303" spans="1:121" s="209" customFormat="1" x14ac:dyDescent="0.25">
      <c r="A303" s="370"/>
      <c r="B303" s="228"/>
      <c r="C303" s="228"/>
      <c r="D303" s="227"/>
      <c r="E303" s="227"/>
      <c r="F303" s="227"/>
      <c r="W303" s="210"/>
      <c r="AF303" s="210"/>
      <c r="BC303" s="210"/>
      <c r="BD303" s="210"/>
      <c r="BJ303" s="210"/>
      <c r="BK303" s="210"/>
      <c r="BL303" s="210"/>
      <c r="BM303" s="210"/>
      <c r="BN303" s="210"/>
      <c r="BO303" s="210"/>
      <c r="BP303" s="210"/>
      <c r="BQ303" s="210"/>
      <c r="BR303" s="210"/>
      <c r="BS303" s="210"/>
      <c r="BT303" s="210"/>
      <c r="BU303" s="210"/>
      <c r="BV303" s="210"/>
      <c r="BW303" s="210"/>
      <c r="BX303" s="210"/>
      <c r="BY303" s="210"/>
      <c r="BZ303" s="210"/>
      <c r="CA303" s="210"/>
      <c r="CB303" s="210"/>
      <c r="CC303" s="210"/>
      <c r="CD303" s="210"/>
      <c r="CE303" s="210"/>
      <c r="CF303" s="210"/>
      <c r="CG303" s="210"/>
      <c r="CH303" s="210"/>
      <c r="CI303" s="210"/>
      <c r="CJ303" s="210"/>
      <c r="CK303" s="210"/>
      <c r="CL303" s="210"/>
      <c r="CM303" s="210"/>
      <c r="CN303" s="210"/>
      <c r="CO303" s="210"/>
      <c r="CP303" s="210"/>
      <c r="CQ303" s="210"/>
      <c r="CR303" s="210"/>
      <c r="CS303" s="210"/>
      <c r="CT303" s="210"/>
      <c r="CU303" s="210"/>
      <c r="CV303" s="210"/>
      <c r="CW303" s="210"/>
      <c r="CX303" s="210"/>
      <c r="CY303" s="210"/>
      <c r="CZ303" s="210"/>
      <c r="DA303" s="210"/>
      <c r="DB303" s="210"/>
      <c r="DC303" s="210"/>
      <c r="DD303" s="210"/>
      <c r="DE303" s="210"/>
      <c r="DF303" s="210"/>
      <c r="DG303" s="210"/>
      <c r="DH303" s="210"/>
      <c r="DI303" s="210"/>
      <c r="DJ303" s="210"/>
      <c r="DK303" s="210"/>
      <c r="DL303" s="210"/>
      <c r="DM303" s="210"/>
      <c r="DN303" s="210"/>
      <c r="DO303" s="210"/>
      <c r="DP303" s="210"/>
      <c r="DQ303" s="210"/>
    </row>
    <row r="304" spans="1:121" s="209" customFormat="1" x14ac:dyDescent="0.25">
      <c r="A304" s="370"/>
      <c r="B304" s="228"/>
      <c r="C304" s="228"/>
      <c r="D304" s="227"/>
      <c r="E304" s="227"/>
      <c r="F304" s="227"/>
      <c r="W304" s="210"/>
      <c r="AF304" s="210"/>
      <c r="BC304" s="210"/>
      <c r="BD304" s="210"/>
      <c r="BJ304" s="210"/>
      <c r="BK304" s="210"/>
      <c r="BL304" s="210"/>
      <c r="BM304" s="210"/>
      <c r="BN304" s="210"/>
      <c r="BO304" s="210"/>
      <c r="BP304" s="210"/>
      <c r="BQ304" s="210"/>
      <c r="BR304" s="210"/>
      <c r="BS304" s="210"/>
      <c r="BT304" s="210"/>
      <c r="BU304" s="210"/>
      <c r="BV304" s="210"/>
      <c r="BW304" s="210"/>
      <c r="BX304" s="210"/>
      <c r="BY304" s="210"/>
      <c r="BZ304" s="210"/>
      <c r="CA304" s="210"/>
      <c r="CB304" s="210"/>
      <c r="CC304" s="210"/>
      <c r="CD304" s="210"/>
      <c r="CE304" s="210"/>
      <c r="CF304" s="210"/>
      <c r="CG304" s="210"/>
      <c r="CH304" s="210"/>
      <c r="CI304" s="210"/>
      <c r="CJ304" s="210"/>
      <c r="CK304" s="210"/>
      <c r="CL304" s="210"/>
      <c r="CM304" s="210"/>
      <c r="CN304" s="210"/>
      <c r="CO304" s="210"/>
      <c r="CP304" s="210"/>
      <c r="CQ304" s="210"/>
      <c r="CR304" s="210"/>
      <c r="CS304" s="210"/>
      <c r="CT304" s="210"/>
      <c r="CU304" s="210"/>
      <c r="CV304" s="210"/>
      <c r="CW304" s="210"/>
      <c r="CX304" s="210"/>
      <c r="CY304" s="210"/>
      <c r="CZ304" s="210"/>
      <c r="DA304" s="210"/>
      <c r="DB304" s="210"/>
      <c r="DC304" s="210"/>
      <c r="DD304" s="210"/>
      <c r="DE304" s="210"/>
      <c r="DF304" s="210"/>
      <c r="DG304" s="210"/>
      <c r="DH304" s="210"/>
      <c r="DI304" s="210"/>
      <c r="DJ304" s="210"/>
      <c r="DK304" s="210"/>
      <c r="DL304" s="210"/>
      <c r="DM304" s="210"/>
      <c r="DN304" s="210"/>
      <c r="DO304" s="210"/>
      <c r="DP304" s="210"/>
      <c r="DQ304" s="210"/>
    </row>
    <row r="305" spans="1:121" s="209" customFormat="1" x14ac:dyDescent="0.25">
      <c r="A305" s="370"/>
      <c r="B305" s="228"/>
      <c r="C305" s="228"/>
      <c r="D305" s="227"/>
      <c r="E305" s="227"/>
      <c r="F305" s="227"/>
      <c r="W305" s="210"/>
      <c r="AF305" s="210"/>
      <c r="BC305" s="210"/>
      <c r="BD305" s="210"/>
      <c r="BJ305" s="210"/>
      <c r="BK305" s="210"/>
      <c r="BL305" s="210"/>
      <c r="BM305" s="210"/>
      <c r="BN305" s="210"/>
      <c r="BO305" s="210"/>
      <c r="BP305" s="210"/>
      <c r="BQ305" s="210"/>
      <c r="BR305" s="210"/>
      <c r="BS305" s="210"/>
      <c r="BT305" s="210"/>
      <c r="BU305" s="210"/>
      <c r="BV305" s="210"/>
      <c r="BW305" s="210"/>
      <c r="BX305" s="210"/>
      <c r="BY305" s="210"/>
      <c r="BZ305" s="210"/>
      <c r="CA305" s="210"/>
      <c r="CB305" s="210"/>
      <c r="CC305" s="210"/>
      <c r="CD305" s="210"/>
      <c r="CE305" s="210"/>
      <c r="CF305" s="210"/>
      <c r="CG305" s="210"/>
      <c r="CH305" s="210"/>
      <c r="CI305" s="210"/>
      <c r="CJ305" s="210"/>
      <c r="CK305" s="210"/>
      <c r="CL305" s="210"/>
      <c r="CM305" s="210"/>
      <c r="CN305" s="210"/>
      <c r="CO305" s="210"/>
      <c r="CP305" s="210"/>
      <c r="CQ305" s="210"/>
      <c r="CR305" s="210"/>
      <c r="CS305" s="210"/>
      <c r="CT305" s="210"/>
      <c r="CU305" s="210"/>
      <c r="CV305" s="210"/>
      <c r="CW305" s="210"/>
      <c r="CX305" s="210"/>
      <c r="CY305" s="210"/>
      <c r="CZ305" s="210"/>
      <c r="DA305" s="210"/>
      <c r="DB305" s="210"/>
      <c r="DC305" s="210"/>
      <c r="DD305" s="210"/>
      <c r="DE305" s="210"/>
      <c r="DF305" s="210"/>
      <c r="DG305" s="210"/>
      <c r="DH305" s="210"/>
      <c r="DI305" s="210"/>
      <c r="DJ305" s="210"/>
      <c r="DK305" s="210"/>
      <c r="DL305" s="210"/>
      <c r="DM305" s="210"/>
      <c r="DN305" s="210"/>
      <c r="DO305" s="210"/>
      <c r="DP305" s="210"/>
      <c r="DQ305" s="210"/>
    </row>
    <row r="306" spans="1:121" s="209" customFormat="1" x14ac:dyDescent="0.25">
      <c r="A306" s="370"/>
      <c r="B306" s="228"/>
      <c r="C306" s="228"/>
      <c r="D306" s="227"/>
      <c r="E306" s="227"/>
      <c r="F306" s="227"/>
      <c r="W306" s="210"/>
      <c r="AF306" s="210"/>
      <c r="BC306" s="210"/>
      <c r="BD306" s="210"/>
      <c r="BJ306" s="210"/>
      <c r="BK306" s="210"/>
      <c r="BL306" s="210"/>
      <c r="BM306" s="210"/>
      <c r="BN306" s="210"/>
      <c r="BO306" s="210"/>
      <c r="BP306" s="210"/>
      <c r="BQ306" s="210"/>
      <c r="BR306" s="210"/>
      <c r="BS306" s="210"/>
      <c r="BT306" s="210"/>
      <c r="BU306" s="210"/>
      <c r="BV306" s="210"/>
      <c r="BW306" s="210"/>
      <c r="BX306" s="210"/>
      <c r="BY306" s="210"/>
      <c r="BZ306" s="210"/>
      <c r="CA306" s="210"/>
      <c r="CB306" s="210"/>
      <c r="CC306" s="210"/>
      <c r="CD306" s="210"/>
      <c r="CE306" s="210"/>
      <c r="CF306" s="210"/>
      <c r="CG306" s="210"/>
      <c r="CH306" s="210"/>
      <c r="CI306" s="210"/>
      <c r="CJ306" s="210"/>
      <c r="CK306" s="210"/>
      <c r="CL306" s="210"/>
      <c r="CM306" s="210"/>
      <c r="CN306" s="210"/>
      <c r="CO306" s="210"/>
      <c r="CP306" s="210"/>
      <c r="CQ306" s="210"/>
      <c r="CR306" s="210"/>
      <c r="CS306" s="210"/>
      <c r="CT306" s="210"/>
      <c r="CU306" s="210"/>
      <c r="CV306" s="210"/>
      <c r="CW306" s="210"/>
      <c r="CX306" s="210"/>
      <c r="CY306" s="210"/>
      <c r="CZ306" s="210"/>
      <c r="DA306" s="210"/>
      <c r="DB306" s="210"/>
      <c r="DC306" s="210"/>
      <c r="DD306" s="210"/>
      <c r="DE306" s="210"/>
      <c r="DF306" s="210"/>
      <c r="DG306" s="210"/>
      <c r="DH306" s="210"/>
      <c r="DI306" s="210"/>
      <c r="DJ306" s="210"/>
      <c r="DK306" s="210"/>
      <c r="DL306" s="210"/>
      <c r="DM306" s="210"/>
      <c r="DN306" s="210"/>
      <c r="DO306" s="210"/>
      <c r="DP306" s="210"/>
      <c r="DQ306" s="210"/>
    </row>
    <row r="307" spans="1:121" s="209" customFormat="1" x14ac:dyDescent="0.25">
      <c r="A307" s="370"/>
      <c r="B307" s="228"/>
      <c r="C307" s="228"/>
      <c r="D307" s="227"/>
      <c r="E307" s="227"/>
      <c r="F307" s="227"/>
      <c r="W307" s="210"/>
      <c r="AF307" s="210"/>
      <c r="BC307" s="210"/>
      <c r="BD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M307" s="210"/>
      <c r="CN307" s="210"/>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c r="DM307" s="210"/>
      <c r="DN307" s="210"/>
      <c r="DO307" s="210"/>
      <c r="DP307" s="210"/>
      <c r="DQ307" s="210"/>
    </row>
    <row r="308" spans="1:121" s="209" customFormat="1" x14ac:dyDescent="0.25">
      <c r="A308" s="370"/>
      <c r="B308" s="228"/>
      <c r="C308" s="228"/>
      <c r="D308" s="227"/>
      <c r="E308" s="227"/>
      <c r="F308" s="227"/>
      <c r="W308" s="210"/>
      <c r="AF308" s="210"/>
      <c r="BC308" s="210"/>
      <c r="BD308" s="210"/>
      <c r="BJ308" s="210"/>
      <c r="BK308" s="210"/>
      <c r="BL308" s="210"/>
      <c r="BM308" s="210"/>
      <c r="BN308" s="210"/>
      <c r="BO308" s="210"/>
      <c r="BP308" s="210"/>
      <c r="BQ308" s="210"/>
      <c r="BR308" s="210"/>
      <c r="BS308" s="210"/>
      <c r="BT308" s="210"/>
      <c r="BU308" s="210"/>
      <c r="BV308" s="210"/>
      <c r="BW308" s="210"/>
      <c r="BX308" s="210"/>
      <c r="BY308" s="210"/>
      <c r="BZ308" s="210"/>
      <c r="CA308" s="210"/>
      <c r="CB308" s="210"/>
      <c r="CC308" s="210"/>
      <c r="CD308" s="210"/>
      <c r="CE308" s="210"/>
      <c r="CF308" s="210"/>
      <c r="CG308" s="210"/>
      <c r="CH308" s="210"/>
      <c r="CI308" s="210"/>
      <c r="CJ308" s="210"/>
      <c r="CK308" s="210"/>
      <c r="CL308" s="210"/>
      <c r="CM308" s="210"/>
      <c r="CN308" s="210"/>
      <c r="CO308" s="210"/>
      <c r="CP308" s="210"/>
      <c r="CQ308" s="210"/>
      <c r="CR308" s="210"/>
      <c r="CS308" s="210"/>
      <c r="CT308" s="210"/>
      <c r="CU308" s="210"/>
      <c r="CV308" s="210"/>
      <c r="CW308" s="210"/>
      <c r="CX308" s="210"/>
      <c r="CY308" s="210"/>
      <c r="CZ308" s="210"/>
      <c r="DA308" s="210"/>
      <c r="DB308" s="210"/>
      <c r="DC308" s="210"/>
      <c r="DD308" s="210"/>
      <c r="DE308" s="210"/>
      <c r="DF308" s="210"/>
      <c r="DG308" s="210"/>
      <c r="DH308" s="210"/>
      <c r="DI308" s="210"/>
      <c r="DJ308" s="210"/>
      <c r="DK308" s="210"/>
      <c r="DL308" s="210"/>
      <c r="DM308" s="210"/>
      <c r="DN308" s="210"/>
      <c r="DO308" s="210"/>
      <c r="DP308" s="210"/>
      <c r="DQ308" s="210"/>
    </row>
    <row r="309" spans="1:121" s="209" customFormat="1" x14ac:dyDescent="0.25">
      <c r="A309" s="370"/>
      <c r="B309" s="228"/>
      <c r="C309" s="228"/>
      <c r="D309" s="227"/>
      <c r="E309" s="227"/>
      <c r="F309" s="227"/>
      <c r="W309" s="210"/>
      <c r="AF309" s="210"/>
      <c r="BC309" s="210"/>
      <c r="BD309" s="210"/>
      <c r="BJ309" s="210"/>
      <c r="BK309" s="210"/>
      <c r="BL309" s="210"/>
      <c r="BM309" s="210"/>
      <c r="BN309" s="210"/>
      <c r="BO309" s="210"/>
      <c r="BP309" s="210"/>
      <c r="BQ309" s="210"/>
      <c r="BR309" s="210"/>
      <c r="BS309" s="210"/>
      <c r="BT309" s="210"/>
      <c r="BU309" s="210"/>
      <c r="BV309" s="210"/>
      <c r="BW309" s="210"/>
      <c r="BX309" s="210"/>
      <c r="BY309" s="210"/>
      <c r="BZ309" s="210"/>
      <c r="CA309" s="210"/>
      <c r="CB309" s="210"/>
      <c r="CC309" s="210"/>
      <c r="CD309" s="210"/>
      <c r="CE309" s="210"/>
      <c r="CF309" s="210"/>
      <c r="CG309" s="210"/>
      <c r="CH309" s="210"/>
      <c r="CI309" s="210"/>
      <c r="CJ309" s="210"/>
      <c r="CK309" s="210"/>
      <c r="CL309" s="210"/>
      <c r="CM309" s="210"/>
      <c r="CN309" s="210"/>
      <c r="CO309" s="210"/>
      <c r="CP309" s="210"/>
      <c r="CQ309" s="210"/>
      <c r="CR309" s="210"/>
      <c r="CS309" s="210"/>
      <c r="CT309" s="210"/>
      <c r="CU309" s="210"/>
      <c r="CV309" s="210"/>
      <c r="CW309" s="210"/>
      <c r="CX309" s="210"/>
      <c r="CY309" s="210"/>
      <c r="CZ309" s="210"/>
      <c r="DA309" s="210"/>
      <c r="DB309" s="210"/>
      <c r="DC309" s="210"/>
      <c r="DD309" s="210"/>
      <c r="DE309" s="210"/>
      <c r="DF309" s="210"/>
      <c r="DG309" s="210"/>
      <c r="DH309" s="210"/>
      <c r="DI309" s="210"/>
      <c r="DJ309" s="210"/>
      <c r="DK309" s="210"/>
      <c r="DL309" s="210"/>
      <c r="DM309" s="210"/>
      <c r="DN309" s="210"/>
      <c r="DO309" s="210"/>
      <c r="DP309" s="210"/>
      <c r="DQ309" s="210"/>
    </row>
    <row r="310" spans="1:121" s="209" customFormat="1" x14ac:dyDescent="0.25">
      <c r="A310" s="370"/>
      <c r="B310" s="228"/>
      <c r="C310" s="228"/>
      <c r="D310" s="227"/>
      <c r="E310" s="227"/>
      <c r="F310" s="227"/>
      <c r="W310" s="210"/>
      <c r="AF310" s="210"/>
      <c r="BC310" s="210"/>
      <c r="BD310" s="210"/>
      <c r="BJ310" s="210"/>
      <c r="BK310" s="210"/>
      <c r="BL310" s="210"/>
      <c r="BM310" s="210"/>
      <c r="BN310" s="210"/>
      <c r="BO310" s="210"/>
      <c r="BP310" s="210"/>
      <c r="BQ310" s="210"/>
      <c r="BR310" s="210"/>
      <c r="BS310" s="210"/>
      <c r="BT310" s="210"/>
      <c r="BU310" s="210"/>
      <c r="BV310" s="210"/>
      <c r="BW310" s="210"/>
      <c r="BX310" s="210"/>
      <c r="BY310" s="210"/>
      <c r="BZ310" s="210"/>
      <c r="CA310" s="210"/>
      <c r="CB310" s="210"/>
      <c r="CC310" s="210"/>
      <c r="CD310" s="210"/>
      <c r="CE310" s="210"/>
      <c r="CF310" s="210"/>
      <c r="CG310" s="210"/>
      <c r="CH310" s="210"/>
      <c r="CI310" s="210"/>
      <c r="CJ310" s="210"/>
      <c r="CK310" s="210"/>
      <c r="CL310" s="210"/>
      <c r="CM310" s="210"/>
      <c r="CN310" s="210"/>
      <c r="CO310" s="210"/>
      <c r="CP310" s="210"/>
      <c r="CQ310" s="210"/>
      <c r="CR310" s="210"/>
      <c r="CS310" s="210"/>
      <c r="CT310" s="210"/>
      <c r="CU310" s="210"/>
      <c r="CV310" s="210"/>
      <c r="CW310" s="210"/>
      <c r="CX310" s="210"/>
      <c r="CY310" s="210"/>
      <c r="CZ310" s="210"/>
      <c r="DA310" s="210"/>
      <c r="DB310" s="210"/>
      <c r="DC310" s="210"/>
      <c r="DD310" s="210"/>
      <c r="DE310" s="210"/>
      <c r="DF310" s="210"/>
      <c r="DG310" s="210"/>
      <c r="DH310" s="210"/>
      <c r="DI310" s="210"/>
      <c r="DJ310" s="210"/>
      <c r="DK310" s="210"/>
      <c r="DL310" s="210"/>
      <c r="DM310" s="210"/>
      <c r="DN310" s="210"/>
      <c r="DO310" s="210"/>
      <c r="DP310" s="210"/>
      <c r="DQ310" s="210"/>
    </row>
    <row r="311" spans="1:121" s="209" customFormat="1" x14ac:dyDescent="0.25">
      <c r="A311" s="370"/>
      <c r="B311" s="228"/>
      <c r="C311" s="228"/>
      <c r="D311" s="227"/>
      <c r="E311" s="227"/>
      <c r="F311" s="227"/>
      <c r="W311" s="210"/>
      <c r="AF311" s="210"/>
      <c r="BC311" s="210"/>
      <c r="BD311" s="210"/>
      <c r="BJ311" s="210"/>
      <c r="BK311" s="210"/>
      <c r="BL311" s="210"/>
      <c r="BM311" s="210"/>
      <c r="BN311" s="210"/>
      <c r="BO311" s="210"/>
      <c r="BP311" s="210"/>
      <c r="BQ311" s="210"/>
      <c r="BR311" s="210"/>
      <c r="BS311" s="210"/>
      <c r="BT311" s="210"/>
      <c r="BU311" s="210"/>
      <c r="BV311" s="210"/>
      <c r="BW311" s="210"/>
      <c r="BX311" s="210"/>
      <c r="BY311" s="210"/>
      <c r="BZ311" s="210"/>
      <c r="CA311" s="210"/>
      <c r="CB311" s="210"/>
      <c r="CC311" s="210"/>
      <c r="CD311" s="210"/>
      <c r="CE311" s="210"/>
      <c r="CF311" s="210"/>
      <c r="CG311" s="210"/>
      <c r="CH311" s="210"/>
      <c r="CI311" s="210"/>
      <c r="CJ311" s="210"/>
      <c r="CK311" s="210"/>
      <c r="CL311" s="210"/>
      <c r="CM311" s="210"/>
      <c r="CN311" s="210"/>
      <c r="CO311" s="210"/>
      <c r="CP311" s="210"/>
      <c r="CQ311" s="210"/>
      <c r="CR311" s="210"/>
      <c r="CS311" s="210"/>
      <c r="CT311" s="210"/>
      <c r="CU311" s="210"/>
      <c r="CV311" s="210"/>
      <c r="CW311" s="210"/>
      <c r="CX311" s="210"/>
      <c r="CY311" s="210"/>
      <c r="CZ311" s="210"/>
      <c r="DA311" s="210"/>
      <c r="DB311" s="210"/>
      <c r="DC311" s="210"/>
      <c r="DD311" s="210"/>
      <c r="DE311" s="210"/>
      <c r="DF311" s="210"/>
      <c r="DG311" s="210"/>
      <c r="DH311" s="210"/>
      <c r="DI311" s="210"/>
      <c r="DJ311" s="210"/>
      <c r="DK311" s="210"/>
      <c r="DL311" s="210"/>
      <c r="DM311" s="210"/>
      <c r="DN311" s="210"/>
      <c r="DO311" s="210"/>
      <c r="DP311" s="210"/>
      <c r="DQ311" s="210"/>
    </row>
    <row r="312" spans="1:121" s="209" customFormat="1" x14ac:dyDescent="0.25">
      <c r="A312" s="370"/>
      <c r="B312" s="228"/>
      <c r="C312" s="228"/>
      <c r="D312" s="227"/>
      <c r="E312" s="227"/>
      <c r="F312" s="227"/>
      <c r="W312" s="210"/>
      <c r="AF312" s="210"/>
      <c r="BC312" s="210"/>
      <c r="BD312" s="210"/>
      <c r="BJ312" s="210"/>
      <c r="BK312" s="210"/>
      <c r="BL312" s="210"/>
      <c r="BM312" s="210"/>
      <c r="BN312" s="210"/>
      <c r="BO312" s="210"/>
      <c r="BP312" s="210"/>
      <c r="BQ312" s="210"/>
      <c r="BR312" s="210"/>
      <c r="BS312" s="210"/>
      <c r="BT312" s="210"/>
      <c r="BU312" s="210"/>
      <c r="BV312" s="210"/>
      <c r="BW312" s="210"/>
      <c r="BX312" s="210"/>
      <c r="BY312" s="210"/>
      <c r="BZ312" s="210"/>
      <c r="CA312" s="210"/>
      <c r="CB312" s="210"/>
      <c r="CC312" s="210"/>
      <c r="CD312" s="210"/>
      <c r="CE312" s="210"/>
      <c r="CF312" s="210"/>
      <c r="CG312" s="210"/>
      <c r="CH312" s="210"/>
      <c r="CI312" s="210"/>
      <c r="CJ312" s="210"/>
      <c r="CK312" s="210"/>
      <c r="CL312" s="210"/>
      <c r="CM312" s="210"/>
      <c r="CN312" s="210"/>
      <c r="CO312" s="210"/>
      <c r="CP312" s="210"/>
      <c r="CQ312" s="210"/>
      <c r="CR312" s="210"/>
      <c r="CS312" s="210"/>
      <c r="CT312" s="210"/>
      <c r="CU312" s="210"/>
      <c r="CV312" s="210"/>
      <c r="CW312" s="210"/>
      <c r="CX312" s="210"/>
      <c r="CY312" s="210"/>
      <c r="CZ312" s="210"/>
      <c r="DA312" s="210"/>
      <c r="DB312" s="210"/>
      <c r="DC312" s="210"/>
      <c r="DD312" s="210"/>
      <c r="DE312" s="210"/>
      <c r="DF312" s="210"/>
      <c r="DG312" s="210"/>
      <c r="DH312" s="210"/>
      <c r="DI312" s="210"/>
      <c r="DJ312" s="210"/>
      <c r="DK312" s="210"/>
      <c r="DL312" s="210"/>
      <c r="DM312" s="210"/>
      <c r="DN312" s="210"/>
      <c r="DO312" s="210"/>
      <c r="DP312" s="210"/>
      <c r="DQ312" s="210"/>
    </row>
    <row r="313" spans="1:121" s="209" customFormat="1" x14ac:dyDescent="0.25">
      <c r="A313" s="370"/>
      <c r="B313" s="228"/>
      <c r="C313" s="228"/>
      <c r="D313" s="227"/>
      <c r="E313" s="227"/>
      <c r="F313" s="227"/>
      <c r="W313" s="210"/>
      <c r="AF313" s="210"/>
      <c r="BC313" s="210"/>
      <c r="BD313" s="210"/>
      <c r="BJ313" s="210"/>
      <c r="BK313" s="210"/>
      <c r="BL313" s="210"/>
      <c r="BM313" s="210"/>
      <c r="BN313" s="210"/>
      <c r="BO313" s="210"/>
      <c r="BP313" s="210"/>
      <c r="BQ313" s="210"/>
      <c r="BR313" s="210"/>
      <c r="BS313" s="210"/>
      <c r="BT313" s="210"/>
      <c r="BU313" s="210"/>
      <c r="BV313" s="210"/>
      <c r="BW313" s="210"/>
      <c r="BX313" s="210"/>
      <c r="BY313" s="210"/>
      <c r="BZ313" s="210"/>
      <c r="CA313" s="210"/>
      <c r="CB313" s="210"/>
      <c r="CC313" s="210"/>
      <c r="CD313" s="210"/>
      <c r="CE313" s="210"/>
      <c r="CF313" s="210"/>
      <c r="CG313" s="210"/>
      <c r="CH313" s="210"/>
      <c r="CI313" s="210"/>
      <c r="CJ313" s="210"/>
      <c r="CK313" s="210"/>
      <c r="CL313" s="210"/>
      <c r="CM313" s="210"/>
      <c r="CN313" s="210"/>
      <c r="CO313" s="210"/>
      <c r="CP313" s="210"/>
      <c r="CQ313" s="210"/>
      <c r="CR313" s="210"/>
      <c r="CS313" s="210"/>
      <c r="CT313" s="210"/>
      <c r="CU313" s="210"/>
      <c r="CV313" s="210"/>
      <c r="CW313" s="210"/>
      <c r="CX313" s="210"/>
      <c r="CY313" s="210"/>
      <c r="CZ313" s="210"/>
      <c r="DA313" s="210"/>
      <c r="DB313" s="210"/>
      <c r="DC313" s="210"/>
      <c r="DD313" s="210"/>
      <c r="DE313" s="210"/>
      <c r="DF313" s="210"/>
      <c r="DG313" s="210"/>
      <c r="DH313" s="210"/>
      <c r="DI313" s="210"/>
      <c r="DJ313" s="210"/>
      <c r="DK313" s="210"/>
      <c r="DL313" s="210"/>
      <c r="DM313" s="210"/>
      <c r="DN313" s="210"/>
      <c r="DO313" s="210"/>
      <c r="DP313" s="210"/>
      <c r="DQ313" s="210"/>
    </row>
    <row r="314" spans="1:121" s="209" customFormat="1" x14ac:dyDescent="0.25">
      <c r="A314" s="370"/>
      <c r="B314" s="228"/>
      <c r="C314" s="228"/>
      <c r="D314" s="227"/>
      <c r="E314" s="227"/>
      <c r="F314" s="227"/>
      <c r="W314" s="210"/>
      <c r="AF314" s="210"/>
      <c r="BC314" s="210"/>
      <c r="BD314" s="210"/>
      <c r="BJ314" s="210"/>
      <c r="BK314" s="210"/>
      <c r="BL314" s="210"/>
      <c r="BM314" s="210"/>
      <c r="BN314" s="210"/>
      <c r="BO314" s="210"/>
      <c r="BP314" s="210"/>
      <c r="BQ314" s="210"/>
      <c r="BR314" s="210"/>
      <c r="BS314" s="210"/>
      <c r="BT314" s="210"/>
      <c r="BU314" s="210"/>
      <c r="BV314" s="210"/>
      <c r="BW314" s="210"/>
      <c r="BX314" s="210"/>
      <c r="BY314" s="210"/>
      <c r="BZ314" s="210"/>
      <c r="CA314" s="210"/>
      <c r="CB314" s="210"/>
      <c r="CC314" s="210"/>
      <c r="CD314" s="210"/>
      <c r="CE314" s="210"/>
      <c r="CF314" s="210"/>
      <c r="CG314" s="210"/>
      <c r="CH314" s="210"/>
      <c r="CI314" s="210"/>
      <c r="CJ314" s="210"/>
      <c r="CK314" s="210"/>
      <c r="CL314" s="210"/>
      <c r="CM314" s="210"/>
      <c r="CN314" s="210"/>
      <c r="CO314" s="210"/>
      <c r="CP314" s="210"/>
      <c r="CQ314" s="210"/>
      <c r="CR314" s="210"/>
      <c r="CS314" s="210"/>
      <c r="CT314" s="210"/>
      <c r="CU314" s="210"/>
      <c r="CV314" s="210"/>
      <c r="CW314" s="210"/>
      <c r="CX314" s="210"/>
      <c r="CY314" s="210"/>
      <c r="CZ314" s="210"/>
      <c r="DA314" s="210"/>
      <c r="DB314" s="210"/>
      <c r="DC314" s="210"/>
      <c r="DD314" s="210"/>
      <c r="DE314" s="210"/>
      <c r="DF314" s="210"/>
      <c r="DG314" s="210"/>
      <c r="DH314" s="210"/>
      <c r="DI314" s="210"/>
      <c r="DJ314" s="210"/>
      <c r="DK314" s="210"/>
      <c r="DL314" s="210"/>
      <c r="DM314" s="210"/>
      <c r="DN314" s="210"/>
      <c r="DO314" s="210"/>
      <c r="DP314" s="210"/>
      <c r="DQ314" s="210"/>
    </row>
    <row r="315" spans="1:121" s="209" customFormat="1" x14ac:dyDescent="0.25">
      <c r="A315" s="370"/>
      <c r="B315" s="228"/>
      <c r="C315" s="228"/>
      <c r="D315" s="227"/>
      <c r="E315" s="227"/>
      <c r="F315" s="227"/>
      <c r="W315" s="210"/>
      <c r="AF315" s="210"/>
      <c r="BC315" s="210"/>
      <c r="BD315" s="210"/>
      <c r="BJ315" s="210"/>
      <c r="BK315" s="210"/>
      <c r="BL315" s="210"/>
      <c r="BM315" s="210"/>
      <c r="BN315" s="210"/>
      <c r="BO315" s="210"/>
      <c r="BP315" s="210"/>
      <c r="BQ315" s="210"/>
      <c r="BR315" s="210"/>
      <c r="BS315" s="210"/>
      <c r="BT315" s="210"/>
      <c r="BU315" s="210"/>
      <c r="BV315" s="210"/>
      <c r="BW315" s="210"/>
      <c r="BX315" s="210"/>
      <c r="BY315" s="210"/>
      <c r="BZ315" s="210"/>
      <c r="CA315" s="210"/>
      <c r="CB315" s="210"/>
      <c r="CC315" s="210"/>
      <c r="CD315" s="210"/>
      <c r="CE315" s="210"/>
      <c r="CF315" s="210"/>
      <c r="CG315" s="210"/>
      <c r="CH315" s="210"/>
      <c r="CI315" s="210"/>
      <c r="CJ315" s="210"/>
      <c r="CK315" s="210"/>
      <c r="CL315" s="210"/>
      <c r="CM315" s="210"/>
      <c r="CN315" s="210"/>
      <c r="CO315" s="210"/>
      <c r="CP315" s="210"/>
      <c r="CQ315" s="210"/>
      <c r="CR315" s="210"/>
      <c r="CS315" s="210"/>
      <c r="CT315" s="210"/>
      <c r="CU315" s="210"/>
      <c r="CV315" s="210"/>
      <c r="CW315" s="210"/>
      <c r="CX315" s="210"/>
      <c r="CY315" s="210"/>
      <c r="CZ315" s="210"/>
      <c r="DA315" s="210"/>
      <c r="DB315" s="210"/>
      <c r="DC315" s="210"/>
      <c r="DD315" s="210"/>
      <c r="DE315" s="210"/>
      <c r="DF315" s="210"/>
      <c r="DG315" s="210"/>
      <c r="DH315" s="210"/>
      <c r="DI315" s="210"/>
      <c r="DJ315" s="210"/>
      <c r="DK315" s="210"/>
      <c r="DL315" s="210"/>
      <c r="DM315" s="210"/>
      <c r="DN315" s="210"/>
      <c r="DO315" s="210"/>
      <c r="DP315" s="210"/>
      <c r="DQ315" s="210"/>
    </row>
    <row r="316" spans="1:121" s="209" customFormat="1" x14ac:dyDescent="0.25">
      <c r="A316" s="370"/>
      <c r="B316" s="228"/>
      <c r="C316" s="228"/>
      <c r="D316" s="227"/>
      <c r="E316" s="227"/>
      <c r="F316" s="227"/>
      <c r="W316" s="210"/>
      <c r="AF316" s="210"/>
      <c r="BC316" s="210"/>
      <c r="BD316" s="210"/>
      <c r="BJ316" s="210"/>
      <c r="BK316" s="210"/>
      <c r="BL316" s="210"/>
      <c r="BM316" s="210"/>
      <c r="BN316" s="210"/>
      <c r="BO316" s="210"/>
      <c r="BP316" s="210"/>
      <c r="BQ316" s="210"/>
      <c r="BR316" s="210"/>
      <c r="BS316" s="210"/>
      <c r="BT316" s="210"/>
      <c r="BU316" s="210"/>
      <c r="BV316" s="210"/>
      <c r="BW316" s="210"/>
      <c r="BX316" s="210"/>
      <c r="BY316" s="210"/>
      <c r="BZ316" s="210"/>
      <c r="CA316" s="210"/>
      <c r="CB316" s="210"/>
      <c r="CC316" s="210"/>
      <c r="CD316" s="210"/>
      <c r="CE316" s="210"/>
      <c r="CF316" s="210"/>
      <c r="CG316" s="210"/>
      <c r="CH316" s="210"/>
      <c r="CI316" s="210"/>
      <c r="CJ316" s="210"/>
      <c r="CK316" s="210"/>
      <c r="CL316" s="210"/>
      <c r="CM316" s="210"/>
      <c r="CN316" s="210"/>
      <c r="CO316" s="210"/>
      <c r="CP316" s="210"/>
      <c r="CQ316" s="210"/>
      <c r="CR316" s="210"/>
      <c r="CS316" s="210"/>
      <c r="CT316" s="210"/>
      <c r="CU316" s="210"/>
      <c r="CV316" s="210"/>
      <c r="CW316" s="210"/>
      <c r="CX316" s="210"/>
      <c r="CY316" s="210"/>
      <c r="CZ316" s="210"/>
      <c r="DA316" s="210"/>
      <c r="DB316" s="210"/>
      <c r="DC316" s="210"/>
      <c r="DD316" s="210"/>
      <c r="DE316" s="210"/>
      <c r="DF316" s="210"/>
      <c r="DG316" s="210"/>
      <c r="DH316" s="210"/>
      <c r="DI316" s="210"/>
      <c r="DJ316" s="210"/>
      <c r="DK316" s="210"/>
      <c r="DL316" s="210"/>
      <c r="DM316" s="210"/>
      <c r="DN316" s="210"/>
      <c r="DO316" s="210"/>
      <c r="DP316" s="210"/>
      <c r="DQ316" s="210"/>
    </row>
    <row r="317" spans="1:121" s="209" customFormat="1" x14ac:dyDescent="0.25">
      <c r="A317" s="370"/>
      <c r="B317" s="228"/>
      <c r="C317" s="228"/>
      <c r="D317" s="227"/>
      <c r="E317" s="227"/>
      <c r="F317" s="227"/>
      <c r="W317" s="210"/>
      <c r="AF317" s="210"/>
      <c r="BC317" s="210"/>
      <c r="BD317" s="210"/>
      <c r="BJ317" s="210"/>
      <c r="BK317" s="210"/>
      <c r="BL317" s="210"/>
      <c r="BM317" s="210"/>
      <c r="BN317" s="210"/>
      <c r="BO317" s="210"/>
      <c r="BP317" s="210"/>
      <c r="BQ317" s="210"/>
      <c r="BR317" s="210"/>
      <c r="BS317" s="210"/>
      <c r="BT317" s="210"/>
      <c r="BU317" s="210"/>
      <c r="BV317" s="210"/>
      <c r="BW317" s="210"/>
      <c r="BX317" s="210"/>
      <c r="BY317" s="210"/>
      <c r="BZ317" s="210"/>
      <c r="CA317" s="210"/>
      <c r="CB317" s="210"/>
      <c r="CC317" s="210"/>
      <c r="CD317" s="210"/>
      <c r="CE317" s="210"/>
      <c r="CF317" s="210"/>
      <c r="CG317" s="210"/>
      <c r="CH317" s="210"/>
      <c r="CI317" s="210"/>
      <c r="CJ317" s="210"/>
      <c r="CK317" s="210"/>
      <c r="CL317" s="210"/>
      <c r="CM317" s="210"/>
      <c r="CN317" s="210"/>
      <c r="CO317" s="210"/>
      <c r="CP317" s="210"/>
      <c r="CQ317" s="210"/>
      <c r="CR317" s="210"/>
      <c r="CS317" s="210"/>
      <c r="CT317" s="210"/>
      <c r="CU317" s="210"/>
      <c r="CV317" s="210"/>
      <c r="CW317" s="210"/>
      <c r="CX317" s="210"/>
      <c r="CY317" s="210"/>
      <c r="CZ317" s="210"/>
      <c r="DA317" s="210"/>
      <c r="DB317" s="210"/>
      <c r="DC317" s="210"/>
      <c r="DD317" s="210"/>
      <c r="DE317" s="210"/>
      <c r="DF317" s="210"/>
      <c r="DG317" s="210"/>
      <c r="DH317" s="210"/>
      <c r="DI317" s="210"/>
      <c r="DJ317" s="210"/>
      <c r="DK317" s="210"/>
      <c r="DL317" s="210"/>
      <c r="DM317" s="210"/>
      <c r="DN317" s="210"/>
      <c r="DO317" s="210"/>
      <c r="DP317" s="210"/>
      <c r="DQ317" s="210"/>
    </row>
    <row r="318" spans="1:121" s="209" customFormat="1" x14ac:dyDescent="0.25">
      <c r="A318" s="370"/>
      <c r="B318" s="228"/>
      <c r="C318" s="228"/>
      <c r="D318" s="227"/>
      <c r="E318" s="227"/>
      <c r="F318" s="227"/>
      <c r="W318" s="210"/>
      <c r="AF318" s="210"/>
      <c r="BC318" s="210"/>
      <c r="BD318" s="210"/>
      <c r="BJ318" s="210"/>
      <c r="BK318" s="210"/>
      <c r="BL318" s="210"/>
      <c r="BM318" s="210"/>
      <c r="BN318" s="210"/>
      <c r="BO318" s="210"/>
      <c r="BP318" s="210"/>
      <c r="BQ318" s="210"/>
      <c r="BR318" s="210"/>
      <c r="BS318" s="210"/>
      <c r="BT318" s="210"/>
      <c r="BU318" s="210"/>
      <c r="BV318" s="210"/>
      <c r="BW318" s="210"/>
      <c r="BX318" s="210"/>
      <c r="BY318" s="210"/>
      <c r="BZ318" s="210"/>
      <c r="CA318" s="210"/>
      <c r="CB318" s="210"/>
      <c r="CC318" s="210"/>
      <c r="CD318" s="210"/>
      <c r="CE318" s="210"/>
      <c r="CF318" s="210"/>
      <c r="CG318" s="210"/>
      <c r="CH318" s="210"/>
      <c r="CI318" s="210"/>
      <c r="CJ318" s="210"/>
      <c r="CK318" s="210"/>
      <c r="CL318" s="210"/>
      <c r="CM318" s="210"/>
      <c r="CN318" s="210"/>
      <c r="CO318" s="210"/>
      <c r="CP318" s="210"/>
      <c r="CQ318" s="210"/>
      <c r="CR318" s="210"/>
      <c r="CS318" s="210"/>
      <c r="CT318" s="210"/>
      <c r="CU318" s="210"/>
      <c r="CV318" s="210"/>
      <c r="CW318" s="210"/>
      <c r="CX318" s="210"/>
      <c r="CY318" s="210"/>
      <c r="CZ318" s="210"/>
      <c r="DA318" s="210"/>
      <c r="DB318" s="210"/>
      <c r="DC318" s="210"/>
      <c r="DD318" s="210"/>
      <c r="DE318" s="210"/>
      <c r="DF318" s="210"/>
      <c r="DG318" s="210"/>
      <c r="DH318" s="210"/>
      <c r="DI318" s="210"/>
      <c r="DJ318" s="210"/>
      <c r="DK318" s="210"/>
      <c r="DL318" s="210"/>
      <c r="DM318" s="210"/>
      <c r="DN318" s="210"/>
      <c r="DO318" s="210"/>
      <c r="DP318" s="210"/>
      <c r="DQ318" s="210"/>
    </row>
    <row r="319" spans="1:121" s="209" customFormat="1" x14ac:dyDescent="0.25">
      <c r="A319" s="370"/>
      <c r="B319" s="228"/>
      <c r="C319" s="228"/>
      <c r="D319" s="227"/>
      <c r="E319" s="227"/>
      <c r="F319" s="227"/>
      <c r="W319" s="210"/>
      <c r="AF319" s="210"/>
      <c r="BC319" s="210"/>
      <c r="BD319" s="210"/>
      <c r="BJ319" s="210"/>
      <c r="BK319" s="210"/>
      <c r="BL319" s="210"/>
      <c r="BM319" s="210"/>
      <c r="BN319" s="210"/>
      <c r="BO319" s="210"/>
      <c r="BP319" s="210"/>
      <c r="BQ319" s="210"/>
      <c r="BR319" s="210"/>
      <c r="BS319" s="210"/>
      <c r="BT319" s="210"/>
      <c r="BU319" s="210"/>
      <c r="BV319" s="210"/>
      <c r="BW319" s="210"/>
      <c r="BX319" s="210"/>
      <c r="BY319" s="210"/>
      <c r="BZ319" s="210"/>
      <c r="CA319" s="210"/>
      <c r="CB319" s="210"/>
      <c r="CC319" s="210"/>
      <c r="CD319" s="210"/>
      <c r="CE319" s="210"/>
      <c r="CF319" s="210"/>
      <c r="CG319" s="210"/>
      <c r="CH319" s="210"/>
      <c r="CI319" s="210"/>
      <c r="CJ319" s="210"/>
      <c r="CK319" s="210"/>
      <c r="CL319" s="210"/>
      <c r="CM319" s="210"/>
      <c r="CN319" s="210"/>
      <c r="CO319" s="210"/>
      <c r="CP319" s="210"/>
      <c r="CQ319" s="210"/>
      <c r="CR319" s="210"/>
      <c r="CS319" s="210"/>
      <c r="CT319" s="210"/>
      <c r="CU319" s="210"/>
      <c r="CV319" s="210"/>
      <c r="CW319" s="210"/>
      <c r="CX319" s="210"/>
      <c r="CY319" s="210"/>
      <c r="CZ319" s="210"/>
      <c r="DA319" s="210"/>
      <c r="DB319" s="210"/>
      <c r="DC319" s="210"/>
      <c r="DD319" s="210"/>
      <c r="DE319" s="210"/>
      <c r="DF319" s="210"/>
      <c r="DG319" s="210"/>
      <c r="DH319" s="210"/>
      <c r="DI319" s="210"/>
      <c r="DJ319" s="210"/>
      <c r="DK319" s="210"/>
      <c r="DL319" s="210"/>
      <c r="DM319" s="210"/>
      <c r="DN319" s="210"/>
      <c r="DO319" s="210"/>
      <c r="DP319" s="210"/>
      <c r="DQ319" s="210"/>
    </row>
    <row r="320" spans="1:121" s="209" customFormat="1" x14ac:dyDescent="0.25">
      <c r="A320" s="370"/>
      <c r="B320" s="228"/>
      <c r="C320" s="228"/>
      <c r="D320" s="227"/>
      <c r="E320" s="227"/>
      <c r="F320" s="227"/>
      <c r="W320" s="210"/>
      <c r="AF320" s="210"/>
      <c r="BC320" s="210"/>
      <c r="BD320" s="210"/>
      <c r="BJ320" s="210"/>
      <c r="BK320" s="210"/>
      <c r="BL320" s="210"/>
      <c r="BM320" s="210"/>
      <c r="BN320" s="210"/>
      <c r="BO320" s="210"/>
      <c r="BP320" s="210"/>
      <c r="BQ320" s="210"/>
      <c r="BR320" s="210"/>
      <c r="BS320" s="210"/>
      <c r="BT320" s="210"/>
      <c r="BU320" s="210"/>
      <c r="BV320" s="210"/>
      <c r="BW320" s="210"/>
      <c r="BX320" s="210"/>
      <c r="BY320" s="210"/>
      <c r="BZ320" s="210"/>
      <c r="CA320" s="210"/>
      <c r="CB320" s="210"/>
      <c r="CC320" s="210"/>
      <c r="CD320" s="210"/>
      <c r="CE320" s="210"/>
      <c r="CF320" s="210"/>
      <c r="CG320" s="210"/>
      <c r="CH320" s="210"/>
      <c r="CI320" s="210"/>
      <c r="CJ320" s="210"/>
      <c r="CK320" s="210"/>
      <c r="CL320" s="210"/>
      <c r="CM320" s="210"/>
      <c r="CN320" s="210"/>
      <c r="CO320" s="210"/>
      <c r="CP320" s="210"/>
      <c r="CQ320" s="210"/>
      <c r="CR320" s="210"/>
      <c r="CS320" s="210"/>
      <c r="CT320" s="210"/>
      <c r="CU320" s="210"/>
      <c r="CV320" s="210"/>
      <c r="CW320" s="210"/>
      <c r="CX320" s="210"/>
      <c r="CY320" s="210"/>
      <c r="CZ320" s="210"/>
      <c r="DA320" s="210"/>
      <c r="DB320" s="210"/>
      <c r="DC320" s="210"/>
      <c r="DD320" s="210"/>
      <c r="DE320" s="210"/>
      <c r="DF320" s="210"/>
      <c r="DG320" s="210"/>
      <c r="DH320" s="210"/>
      <c r="DI320" s="210"/>
      <c r="DJ320" s="210"/>
      <c r="DK320" s="210"/>
      <c r="DL320" s="210"/>
      <c r="DM320" s="210"/>
      <c r="DN320" s="210"/>
      <c r="DO320" s="210"/>
      <c r="DP320" s="210"/>
      <c r="DQ320" s="210"/>
    </row>
    <row r="321" spans="1:121" s="209" customFormat="1" x14ac:dyDescent="0.25">
      <c r="A321" s="370"/>
      <c r="B321" s="228"/>
      <c r="C321" s="228"/>
      <c r="D321" s="227"/>
      <c r="E321" s="227"/>
      <c r="F321" s="227"/>
      <c r="W321" s="210"/>
      <c r="AF321" s="210"/>
      <c r="BC321" s="210"/>
      <c r="BD321" s="210"/>
      <c r="BJ321" s="210"/>
      <c r="BK321" s="210"/>
      <c r="BL321" s="210"/>
      <c r="BM321" s="210"/>
      <c r="BN321" s="210"/>
      <c r="BO321" s="210"/>
      <c r="BP321" s="210"/>
      <c r="BQ321" s="210"/>
      <c r="BR321" s="210"/>
      <c r="BS321" s="210"/>
      <c r="BT321" s="210"/>
      <c r="BU321" s="210"/>
      <c r="BV321" s="210"/>
      <c r="BW321" s="210"/>
      <c r="BX321" s="210"/>
      <c r="BY321" s="210"/>
      <c r="BZ321" s="210"/>
      <c r="CA321" s="210"/>
      <c r="CB321" s="210"/>
      <c r="CC321" s="210"/>
      <c r="CD321" s="210"/>
      <c r="CE321" s="210"/>
      <c r="CF321" s="210"/>
      <c r="CG321" s="210"/>
      <c r="CH321" s="210"/>
      <c r="CI321" s="210"/>
      <c r="CJ321" s="210"/>
      <c r="CK321" s="210"/>
      <c r="CL321" s="210"/>
      <c r="CM321" s="210"/>
      <c r="CN321" s="210"/>
      <c r="CO321" s="210"/>
      <c r="CP321" s="210"/>
      <c r="CQ321" s="210"/>
      <c r="CR321" s="210"/>
      <c r="CS321" s="210"/>
      <c r="CT321" s="210"/>
      <c r="CU321" s="210"/>
      <c r="CV321" s="210"/>
      <c r="CW321" s="210"/>
      <c r="CX321" s="210"/>
      <c r="CY321" s="210"/>
      <c r="CZ321" s="210"/>
      <c r="DA321" s="210"/>
      <c r="DB321" s="210"/>
      <c r="DC321" s="210"/>
      <c r="DD321" s="210"/>
      <c r="DE321" s="210"/>
      <c r="DF321" s="210"/>
      <c r="DG321" s="210"/>
      <c r="DH321" s="210"/>
      <c r="DI321" s="210"/>
      <c r="DJ321" s="210"/>
      <c r="DK321" s="210"/>
      <c r="DL321" s="210"/>
      <c r="DM321" s="210"/>
      <c r="DN321" s="210"/>
      <c r="DO321" s="210"/>
      <c r="DP321" s="210"/>
      <c r="DQ321" s="210"/>
    </row>
    <row r="322" spans="1:121" s="209" customFormat="1" x14ac:dyDescent="0.25">
      <c r="A322" s="370"/>
      <c r="B322" s="228"/>
      <c r="C322" s="228"/>
      <c r="D322" s="227"/>
      <c r="E322" s="227"/>
      <c r="F322" s="227"/>
      <c r="W322" s="210"/>
      <c r="AF322" s="210"/>
      <c r="BC322" s="210"/>
      <c r="BD322" s="210"/>
      <c r="BJ322" s="210"/>
      <c r="BK322" s="210"/>
      <c r="BL322" s="210"/>
      <c r="BM322" s="210"/>
      <c r="BN322" s="210"/>
      <c r="BO322" s="210"/>
      <c r="BP322" s="210"/>
      <c r="BQ322" s="210"/>
      <c r="BR322" s="210"/>
      <c r="BS322" s="210"/>
      <c r="BT322" s="210"/>
      <c r="BU322" s="210"/>
      <c r="BV322" s="210"/>
      <c r="BW322" s="210"/>
      <c r="BX322" s="210"/>
      <c r="BY322" s="210"/>
      <c r="BZ322" s="210"/>
      <c r="CA322" s="210"/>
      <c r="CB322" s="210"/>
      <c r="CC322" s="210"/>
      <c r="CD322" s="210"/>
      <c r="CE322" s="210"/>
      <c r="CF322" s="210"/>
      <c r="CG322" s="210"/>
      <c r="CH322" s="210"/>
      <c r="CI322" s="210"/>
      <c r="CJ322" s="210"/>
      <c r="CK322" s="210"/>
      <c r="CL322" s="210"/>
      <c r="CM322" s="210"/>
      <c r="CN322" s="210"/>
      <c r="CO322" s="210"/>
      <c r="CP322" s="210"/>
      <c r="CQ322" s="210"/>
      <c r="CR322" s="210"/>
      <c r="CS322" s="210"/>
      <c r="CT322" s="210"/>
      <c r="CU322" s="210"/>
      <c r="CV322" s="210"/>
      <c r="CW322" s="210"/>
      <c r="CX322" s="210"/>
      <c r="CY322" s="210"/>
      <c r="CZ322" s="210"/>
      <c r="DA322" s="210"/>
      <c r="DB322" s="210"/>
      <c r="DC322" s="210"/>
      <c r="DD322" s="210"/>
      <c r="DE322" s="210"/>
      <c r="DF322" s="210"/>
      <c r="DG322" s="210"/>
      <c r="DH322" s="210"/>
      <c r="DI322" s="210"/>
      <c r="DJ322" s="210"/>
      <c r="DK322" s="210"/>
      <c r="DL322" s="210"/>
      <c r="DM322" s="210"/>
      <c r="DN322" s="210"/>
      <c r="DO322" s="210"/>
      <c r="DP322" s="210"/>
      <c r="DQ322" s="210"/>
    </row>
    <row r="323" spans="1:121" s="209" customFormat="1" x14ac:dyDescent="0.25">
      <c r="A323" s="370"/>
      <c r="B323" s="228"/>
      <c r="C323" s="228"/>
      <c r="D323" s="227"/>
      <c r="E323" s="227"/>
      <c r="F323" s="227"/>
      <c r="W323" s="210"/>
      <c r="AF323" s="210"/>
      <c r="BC323" s="210"/>
      <c r="BD323" s="210"/>
      <c r="BJ323" s="210"/>
      <c r="BK323" s="210"/>
      <c r="BL323" s="210"/>
      <c r="BM323" s="210"/>
      <c r="BN323" s="210"/>
      <c r="BO323" s="210"/>
      <c r="BP323" s="210"/>
      <c r="BQ323" s="210"/>
      <c r="BR323" s="210"/>
      <c r="BS323" s="210"/>
      <c r="BT323" s="210"/>
      <c r="BU323" s="210"/>
      <c r="BV323" s="210"/>
      <c r="BW323" s="210"/>
      <c r="BX323" s="210"/>
      <c r="BY323" s="210"/>
      <c r="BZ323" s="210"/>
      <c r="CA323" s="210"/>
      <c r="CB323" s="210"/>
      <c r="CC323" s="210"/>
      <c r="CD323" s="210"/>
      <c r="CE323" s="210"/>
      <c r="CF323" s="210"/>
      <c r="CG323" s="210"/>
      <c r="CH323" s="210"/>
      <c r="CI323" s="210"/>
      <c r="CJ323" s="210"/>
      <c r="CK323" s="210"/>
      <c r="CL323" s="210"/>
      <c r="CM323" s="210"/>
      <c r="CN323" s="210"/>
      <c r="CO323" s="210"/>
      <c r="CP323" s="210"/>
      <c r="CQ323" s="210"/>
      <c r="CR323" s="210"/>
      <c r="CS323" s="210"/>
      <c r="CT323" s="210"/>
      <c r="CU323" s="210"/>
      <c r="CV323" s="210"/>
      <c r="CW323" s="210"/>
      <c r="CX323" s="210"/>
      <c r="CY323" s="210"/>
      <c r="CZ323" s="210"/>
      <c r="DA323" s="210"/>
      <c r="DB323" s="210"/>
      <c r="DC323" s="210"/>
      <c r="DD323" s="210"/>
      <c r="DE323" s="210"/>
      <c r="DF323" s="210"/>
      <c r="DG323" s="210"/>
      <c r="DH323" s="210"/>
      <c r="DI323" s="210"/>
      <c r="DJ323" s="210"/>
      <c r="DK323" s="210"/>
      <c r="DL323" s="210"/>
      <c r="DM323" s="210"/>
      <c r="DN323" s="210"/>
      <c r="DO323" s="210"/>
      <c r="DP323" s="210"/>
      <c r="DQ323" s="210"/>
    </row>
    <row r="324" spans="1:121" s="209" customFormat="1" x14ac:dyDescent="0.25">
      <c r="A324" s="370"/>
      <c r="B324" s="228"/>
      <c r="C324" s="228"/>
      <c r="D324" s="227"/>
      <c r="E324" s="227"/>
      <c r="F324" s="227"/>
      <c r="W324" s="210"/>
      <c r="AF324" s="210"/>
      <c r="BC324" s="210"/>
      <c r="BD324" s="210"/>
      <c r="BJ324" s="210"/>
      <c r="BK324" s="210"/>
      <c r="BL324" s="210"/>
      <c r="BM324" s="210"/>
      <c r="BN324" s="210"/>
      <c r="BO324" s="210"/>
      <c r="BP324" s="210"/>
      <c r="BQ324" s="210"/>
      <c r="BR324" s="210"/>
      <c r="BS324" s="210"/>
      <c r="BT324" s="210"/>
      <c r="BU324" s="210"/>
      <c r="BV324" s="210"/>
      <c r="BW324" s="210"/>
      <c r="BX324" s="210"/>
      <c r="BY324" s="210"/>
      <c r="BZ324" s="210"/>
      <c r="CA324" s="210"/>
      <c r="CB324" s="210"/>
      <c r="CC324" s="210"/>
      <c r="CD324" s="210"/>
      <c r="CE324" s="210"/>
      <c r="CF324" s="210"/>
      <c r="CG324" s="210"/>
      <c r="CH324" s="210"/>
      <c r="CI324" s="210"/>
      <c r="CJ324" s="210"/>
      <c r="CK324" s="210"/>
      <c r="CL324" s="210"/>
      <c r="CM324" s="210"/>
      <c r="CN324" s="210"/>
      <c r="CO324" s="210"/>
      <c r="CP324" s="210"/>
      <c r="CQ324" s="210"/>
      <c r="CR324" s="210"/>
      <c r="CS324" s="210"/>
      <c r="CT324" s="210"/>
      <c r="CU324" s="210"/>
      <c r="CV324" s="210"/>
      <c r="CW324" s="210"/>
      <c r="CX324" s="210"/>
      <c r="CY324" s="210"/>
      <c r="CZ324" s="210"/>
      <c r="DA324" s="210"/>
      <c r="DB324" s="210"/>
      <c r="DC324" s="210"/>
      <c r="DD324" s="210"/>
      <c r="DE324" s="210"/>
      <c r="DF324" s="210"/>
      <c r="DG324" s="210"/>
      <c r="DH324" s="210"/>
      <c r="DI324" s="210"/>
      <c r="DJ324" s="210"/>
      <c r="DK324" s="210"/>
      <c r="DL324" s="210"/>
      <c r="DM324" s="210"/>
      <c r="DN324" s="210"/>
      <c r="DO324" s="210"/>
      <c r="DP324" s="210"/>
      <c r="DQ324" s="210"/>
    </row>
    <row r="325" spans="1:121" s="209" customFormat="1" x14ac:dyDescent="0.25">
      <c r="A325" s="370"/>
      <c r="B325" s="228"/>
      <c r="C325" s="228"/>
      <c r="D325" s="227"/>
      <c r="E325" s="227"/>
      <c r="F325" s="227"/>
      <c r="W325" s="210"/>
      <c r="AF325" s="210"/>
      <c r="BC325" s="210"/>
      <c r="BD325" s="210"/>
      <c r="BJ325" s="210"/>
      <c r="BK325" s="210"/>
      <c r="BL325" s="210"/>
      <c r="BM325" s="210"/>
      <c r="BN325" s="210"/>
      <c r="BO325" s="210"/>
      <c r="BP325" s="210"/>
      <c r="BQ325" s="210"/>
      <c r="BR325" s="210"/>
      <c r="BS325" s="210"/>
      <c r="BT325" s="210"/>
      <c r="BU325" s="210"/>
      <c r="BV325" s="210"/>
      <c r="BW325" s="210"/>
      <c r="BX325" s="210"/>
      <c r="BY325" s="210"/>
      <c r="BZ325" s="210"/>
      <c r="CA325" s="210"/>
      <c r="CB325" s="210"/>
      <c r="CC325" s="210"/>
      <c r="CD325" s="210"/>
      <c r="CE325" s="210"/>
      <c r="CF325" s="210"/>
      <c r="CG325" s="210"/>
      <c r="CH325" s="210"/>
      <c r="CI325" s="210"/>
      <c r="CJ325" s="210"/>
      <c r="CK325" s="210"/>
      <c r="CL325" s="210"/>
      <c r="CM325" s="210"/>
      <c r="CN325" s="210"/>
      <c r="CO325" s="210"/>
      <c r="CP325" s="210"/>
      <c r="CQ325" s="210"/>
      <c r="CR325" s="210"/>
      <c r="CS325" s="210"/>
      <c r="CT325" s="210"/>
      <c r="CU325" s="210"/>
      <c r="CV325" s="210"/>
      <c r="CW325" s="210"/>
      <c r="CX325" s="210"/>
      <c r="CY325" s="210"/>
      <c r="CZ325" s="210"/>
      <c r="DA325" s="210"/>
      <c r="DB325" s="210"/>
      <c r="DC325" s="210"/>
      <c r="DD325" s="210"/>
      <c r="DE325" s="210"/>
      <c r="DF325" s="210"/>
      <c r="DG325" s="210"/>
      <c r="DH325" s="210"/>
      <c r="DI325" s="210"/>
      <c r="DJ325" s="210"/>
      <c r="DK325" s="210"/>
      <c r="DL325" s="210"/>
      <c r="DM325" s="210"/>
      <c r="DN325" s="210"/>
      <c r="DO325" s="210"/>
      <c r="DP325" s="210"/>
      <c r="DQ325" s="210"/>
    </row>
    <row r="326" spans="1:121" s="209" customFormat="1" x14ac:dyDescent="0.25">
      <c r="A326" s="370"/>
      <c r="B326" s="228"/>
      <c r="C326" s="228"/>
      <c r="D326" s="227"/>
      <c r="E326" s="227"/>
      <c r="F326" s="227"/>
      <c r="W326" s="210"/>
      <c r="AF326" s="210"/>
      <c r="BC326" s="210"/>
      <c r="BD326" s="210"/>
      <c r="BJ326" s="210"/>
      <c r="BK326" s="210"/>
      <c r="BL326" s="210"/>
      <c r="BM326" s="210"/>
      <c r="BN326" s="210"/>
      <c r="BO326" s="210"/>
      <c r="BP326" s="210"/>
      <c r="BQ326" s="210"/>
      <c r="BR326" s="210"/>
      <c r="BS326" s="210"/>
      <c r="BT326" s="210"/>
      <c r="BU326" s="210"/>
      <c r="BV326" s="210"/>
      <c r="BW326" s="210"/>
      <c r="BX326" s="210"/>
      <c r="BY326" s="210"/>
      <c r="BZ326" s="210"/>
      <c r="CA326" s="210"/>
      <c r="CB326" s="210"/>
      <c r="CC326" s="210"/>
      <c r="CD326" s="210"/>
      <c r="CE326" s="210"/>
      <c r="CF326" s="210"/>
      <c r="CG326" s="210"/>
      <c r="CH326" s="210"/>
      <c r="CI326" s="210"/>
      <c r="CJ326" s="210"/>
      <c r="CK326" s="210"/>
      <c r="CL326" s="210"/>
      <c r="CM326" s="210"/>
      <c r="CN326" s="210"/>
      <c r="CO326" s="210"/>
      <c r="CP326" s="210"/>
      <c r="CQ326" s="210"/>
      <c r="CR326" s="210"/>
      <c r="CS326" s="210"/>
      <c r="CT326" s="210"/>
      <c r="CU326" s="210"/>
      <c r="CV326" s="210"/>
      <c r="CW326" s="210"/>
      <c r="CX326" s="210"/>
      <c r="CY326" s="210"/>
      <c r="CZ326" s="210"/>
      <c r="DA326" s="210"/>
      <c r="DB326" s="210"/>
      <c r="DC326" s="210"/>
      <c r="DD326" s="210"/>
      <c r="DE326" s="210"/>
      <c r="DF326" s="210"/>
      <c r="DG326" s="210"/>
      <c r="DH326" s="210"/>
      <c r="DI326" s="210"/>
      <c r="DJ326" s="210"/>
      <c r="DK326" s="210"/>
      <c r="DL326" s="210"/>
      <c r="DM326" s="210"/>
      <c r="DN326" s="210"/>
      <c r="DO326" s="210"/>
      <c r="DP326" s="210"/>
      <c r="DQ326" s="210"/>
    </row>
    <row r="327" spans="1:121" s="209" customFormat="1" x14ac:dyDescent="0.25">
      <c r="A327" s="370"/>
      <c r="B327" s="228"/>
      <c r="C327" s="228"/>
      <c r="D327" s="227"/>
      <c r="E327" s="227"/>
      <c r="F327" s="227"/>
      <c r="W327" s="210"/>
      <c r="AF327" s="210"/>
      <c r="BC327" s="210"/>
      <c r="BD327" s="210"/>
      <c r="BJ327" s="210"/>
      <c r="BK327" s="210"/>
      <c r="BL327" s="210"/>
      <c r="BM327" s="210"/>
      <c r="BN327" s="210"/>
      <c r="BO327" s="210"/>
      <c r="BP327" s="210"/>
      <c r="BQ327" s="210"/>
      <c r="BR327" s="210"/>
      <c r="BS327" s="210"/>
      <c r="BT327" s="210"/>
      <c r="BU327" s="210"/>
      <c r="BV327" s="210"/>
      <c r="BW327" s="210"/>
      <c r="BX327" s="210"/>
      <c r="BY327" s="210"/>
      <c r="BZ327" s="210"/>
      <c r="CA327" s="210"/>
      <c r="CB327" s="210"/>
      <c r="CC327" s="210"/>
      <c r="CD327" s="210"/>
      <c r="CE327" s="210"/>
      <c r="CF327" s="210"/>
      <c r="CG327" s="210"/>
      <c r="CH327" s="210"/>
      <c r="CI327" s="210"/>
      <c r="CJ327" s="210"/>
      <c r="CK327" s="210"/>
      <c r="CL327" s="210"/>
      <c r="CM327" s="210"/>
      <c r="CN327" s="210"/>
      <c r="CO327" s="210"/>
      <c r="CP327" s="210"/>
      <c r="CQ327" s="210"/>
      <c r="CR327" s="210"/>
      <c r="CS327" s="210"/>
      <c r="CT327" s="210"/>
      <c r="CU327" s="210"/>
      <c r="CV327" s="210"/>
      <c r="CW327" s="210"/>
      <c r="CX327" s="210"/>
      <c r="CY327" s="210"/>
      <c r="CZ327" s="210"/>
      <c r="DA327" s="210"/>
      <c r="DB327" s="210"/>
      <c r="DC327" s="210"/>
      <c r="DD327" s="210"/>
      <c r="DE327" s="210"/>
      <c r="DF327" s="210"/>
      <c r="DG327" s="210"/>
      <c r="DH327" s="210"/>
      <c r="DI327" s="210"/>
      <c r="DJ327" s="210"/>
      <c r="DK327" s="210"/>
      <c r="DL327" s="210"/>
      <c r="DM327" s="210"/>
      <c r="DN327" s="210"/>
      <c r="DO327" s="210"/>
      <c r="DP327" s="210"/>
      <c r="DQ327" s="210"/>
    </row>
    <row r="328" spans="1:121" s="209" customFormat="1" x14ac:dyDescent="0.25">
      <c r="A328" s="370"/>
      <c r="B328" s="228"/>
      <c r="C328" s="228"/>
      <c r="D328" s="227"/>
      <c r="E328" s="227"/>
      <c r="F328" s="227"/>
      <c r="W328" s="210"/>
      <c r="AF328" s="210"/>
      <c r="BC328" s="210"/>
      <c r="BD328" s="210"/>
      <c r="BJ328" s="210"/>
      <c r="BK328" s="210"/>
      <c r="BL328" s="210"/>
      <c r="BM328" s="210"/>
      <c r="BN328" s="210"/>
      <c r="BO328" s="210"/>
      <c r="BP328" s="210"/>
      <c r="BQ328" s="210"/>
      <c r="BR328" s="210"/>
      <c r="BS328" s="210"/>
      <c r="BT328" s="210"/>
      <c r="BU328" s="210"/>
      <c r="BV328" s="210"/>
      <c r="BW328" s="210"/>
      <c r="BX328" s="210"/>
      <c r="BY328" s="210"/>
      <c r="BZ328" s="210"/>
      <c r="CA328" s="210"/>
      <c r="CB328" s="210"/>
      <c r="CC328" s="210"/>
      <c r="CD328" s="210"/>
      <c r="CE328" s="210"/>
      <c r="CF328" s="210"/>
      <c r="CG328" s="210"/>
      <c r="CH328" s="210"/>
      <c r="CI328" s="210"/>
      <c r="CJ328" s="210"/>
      <c r="CK328" s="210"/>
      <c r="CL328" s="210"/>
      <c r="CM328" s="210"/>
      <c r="CN328" s="210"/>
      <c r="CO328" s="210"/>
      <c r="CP328" s="210"/>
      <c r="CQ328" s="210"/>
      <c r="CR328" s="210"/>
      <c r="CS328" s="210"/>
      <c r="CT328" s="210"/>
      <c r="CU328" s="210"/>
      <c r="CV328" s="210"/>
      <c r="CW328" s="210"/>
      <c r="CX328" s="210"/>
      <c r="CY328" s="210"/>
      <c r="CZ328" s="210"/>
      <c r="DA328" s="210"/>
      <c r="DB328" s="210"/>
      <c r="DC328" s="210"/>
      <c r="DD328" s="210"/>
      <c r="DE328" s="210"/>
      <c r="DF328" s="210"/>
      <c r="DG328" s="210"/>
      <c r="DH328" s="210"/>
      <c r="DI328" s="210"/>
      <c r="DJ328" s="210"/>
      <c r="DK328" s="210"/>
      <c r="DL328" s="210"/>
      <c r="DM328" s="210"/>
      <c r="DN328" s="210"/>
      <c r="DO328" s="210"/>
      <c r="DP328" s="210"/>
      <c r="DQ328" s="210"/>
    </row>
    <row r="329" spans="1:121" s="209" customFormat="1" x14ac:dyDescent="0.25">
      <c r="A329" s="370"/>
      <c r="B329" s="228"/>
      <c r="C329" s="228"/>
      <c r="D329" s="227"/>
      <c r="E329" s="227"/>
      <c r="F329" s="227"/>
      <c r="W329" s="210"/>
      <c r="AF329" s="210"/>
      <c r="BC329" s="210"/>
      <c r="BD329" s="210"/>
      <c r="BJ329" s="210"/>
      <c r="BK329" s="210"/>
      <c r="BL329" s="210"/>
      <c r="BM329" s="210"/>
      <c r="BN329" s="210"/>
      <c r="BO329" s="210"/>
      <c r="BP329" s="210"/>
      <c r="BQ329" s="210"/>
      <c r="BR329" s="210"/>
      <c r="BS329" s="210"/>
      <c r="BT329" s="210"/>
      <c r="BU329" s="210"/>
      <c r="BV329" s="210"/>
      <c r="BW329" s="210"/>
      <c r="BX329" s="210"/>
      <c r="BY329" s="210"/>
      <c r="BZ329" s="210"/>
      <c r="CA329" s="210"/>
      <c r="CB329" s="210"/>
      <c r="CC329" s="210"/>
      <c r="CD329" s="210"/>
      <c r="CE329" s="210"/>
      <c r="CF329" s="210"/>
      <c r="CG329" s="210"/>
      <c r="CH329" s="210"/>
      <c r="CI329" s="210"/>
      <c r="CJ329" s="210"/>
      <c r="CK329" s="210"/>
      <c r="CL329" s="210"/>
      <c r="CM329" s="210"/>
      <c r="CN329" s="210"/>
      <c r="CO329" s="210"/>
      <c r="CP329" s="210"/>
      <c r="CQ329" s="210"/>
      <c r="CR329" s="210"/>
      <c r="CS329" s="210"/>
      <c r="CT329" s="210"/>
      <c r="CU329" s="210"/>
      <c r="CV329" s="210"/>
      <c r="CW329" s="210"/>
      <c r="CX329" s="210"/>
      <c r="CY329" s="210"/>
      <c r="CZ329" s="210"/>
      <c r="DA329" s="210"/>
      <c r="DB329" s="210"/>
      <c r="DC329" s="210"/>
      <c r="DD329" s="210"/>
      <c r="DE329" s="210"/>
      <c r="DF329" s="210"/>
      <c r="DG329" s="210"/>
      <c r="DH329" s="210"/>
      <c r="DI329" s="210"/>
      <c r="DJ329" s="210"/>
      <c r="DK329" s="210"/>
      <c r="DL329" s="210"/>
      <c r="DM329" s="210"/>
      <c r="DN329" s="210"/>
      <c r="DO329" s="210"/>
      <c r="DP329" s="210"/>
      <c r="DQ329" s="210"/>
    </row>
    <row r="330" spans="1:121" s="209" customFormat="1" x14ac:dyDescent="0.25">
      <c r="A330" s="370"/>
      <c r="B330" s="228"/>
      <c r="C330" s="228"/>
      <c r="D330" s="227"/>
      <c r="E330" s="227"/>
      <c r="F330" s="227"/>
      <c r="W330" s="210"/>
      <c r="AF330" s="210"/>
      <c r="BC330" s="210"/>
      <c r="BD330" s="210"/>
      <c r="BJ330" s="210"/>
      <c r="BK330" s="210"/>
      <c r="BL330" s="210"/>
      <c r="BM330" s="210"/>
      <c r="BN330" s="210"/>
      <c r="BO330" s="210"/>
      <c r="BP330" s="210"/>
      <c r="BQ330" s="210"/>
      <c r="BR330" s="210"/>
      <c r="BS330" s="210"/>
      <c r="BT330" s="210"/>
      <c r="BU330" s="210"/>
      <c r="BV330" s="210"/>
      <c r="BW330" s="210"/>
      <c r="BX330" s="210"/>
      <c r="BY330" s="210"/>
      <c r="BZ330" s="210"/>
      <c r="CA330" s="210"/>
      <c r="CB330" s="210"/>
      <c r="CC330" s="210"/>
      <c r="CD330" s="210"/>
      <c r="CE330" s="210"/>
      <c r="CF330" s="210"/>
      <c r="CG330" s="210"/>
      <c r="CH330" s="210"/>
      <c r="CI330" s="210"/>
      <c r="CJ330" s="210"/>
      <c r="CK330" s="210"/>
      <c r="CL330" s="210"/>
      <c r="CM330" s="210"/>
      <c r="CN330" s="210"/>
      <c r="CO330" s="210"/>
      <c r="CP330" s="210"/>
      <c r="CQ330" s="210"/>
      <c r="CR330" s="210"/>
      <c r="CS330" s="210"/>
      <c r="CT330" s="210"/>
      <c r="CU330" s="210"/>
      <c r="CV330" s="210"/>
      <c r="CW330" s="210"/>
      <c r="CX330" s="210"/>
      <c r="CY330" s="210"/>
      <c r="CZ330" s="210"/>
      <c r="DA330" s="210"/>
      <c r="DB330" s="210"/>
      <c r="DC330" s="210"/>
      <c r="DD330" s="210"/>
      <c r="DE330" s="210"/>
      <c r="DF330" s="210"/>
      <c r="DG330" s="210"/>
      <c r="DH330" s="210"/>
      <c r="DI330" s="210"/>
      <c r="DJ330" s="210"/>
      <c r="DK330" s="210"/>
      <c r="DL330" s="210"/>
      <c r="DM330" s="210"/>
      <c r="DN330" s="210"/>
      <c r="DO330" s="210"/>
      <c r="DP330" s="210"/>
      <c r="DQ330" s="210"/>
    </row>
    <row r="331" spans="1:121" s="209" customFormat="1" x14ac:dyDescent="0.25">
      <c r="A331" s="370"/>
      <c r="B331" s="228"/>
      <c r="C331" s="228"/>
      <c r="D331" s="227"/>
      <c r="E331" s="227"/>
      <c r="F331" s="227"/>
      <c r="W331" s="210"/>
      <c r="AF331" s="210"/>
      <c r="BC331" s="210"/>
      <c r="BD331" s="210"/>
      <c r="BJ331" s="210"/>
      <c r="BK331" s="210"/>
      <c r="BL331" s="210"/>
      <c r="BM331" s="210"/>
      <c r="BN331" s="210"/>
      <c r="BO331" s="210"/>
      <c r="BP331" s="210"/>
      <c r="BQ331" s="210"/>
      <c r="BR331" s="210"/>
      <c r="BS331" s="210"/>
      <c r="BT331" s="210"/>
      <c r="BU331" s="210"/>
      <c r="BV331" s="210"/>
      <c r="BW331" s="210"/>
      <c r="BX331" s="210"/>
      <c r="BY331" s="210"/>
      <c r="BZ331" s="210"/>
      <c r="CA331" s="210"/>
      <c r="CB331" s="210"/>
      <c r="CC331" s="210"/>
      <c r="CD331" s="210"/>
      <c r="CE331" s="210"/>
      <c r="CF331" s="210"/>
      <c r="CG331" s="210"/>
      <c r="CH331" s="210"/>
      <c r="CI331" s="210"/>
      <c r="CJ331" s="210"/>
      <c r="CK331" s="210"/>
      <c r="CL331" s="210"/>
      <c r="CM331" s="210"/>
      <c r="CN331" s="210"/>
      <c r="CO331" s="210"/>
      <c r="CP331" s="210"/>
      <c r="CQ331" s="210"/>
      <c r="CR331" s="210"/>
      <c r="CS331" s="210"/>
      <c r="CT331" s="210"/>
      <c r="CU331" s="210"/>
      <c r="CV331" s="210"/>
      <c r="CW331" s="210"/>
      <c r="CX331" s="210"/>
      <c r="CY331" s="210"/>
      <c r="CZ331" s="210"/>
      <c r="DA331" s="210"/>
      <c r="DB331" s="210"/>
      <c r="DC331" s="210"/>
      <c r="DD331" s="210"/>
      <c r="DE331" s="210"/>
      <c r="DF331" s="210"/>
      <c r="DG331" s="210"/>
      <c r="DH331" s="210"/>
      <c r="DI331" s="210"/>
      <c r="DJ331" s="210"/>
      <c r="DK331" s="210"/>
      <c r="DL331" s="210"/>
      <c r="DM331" s="210"/>
      <c r="DN331" s="210"/>
      <c r="DO331" s="210"/>
      <c r="DP331" s="210"/>
      <c r="DQ331" s="210"/>
    </row>
    <row r="332" spans="1:121" s="209" customFormat="1" x14ac:dyDescent="0.25">
      <c r="A332" s="370"/>
      <c r="B332" s="228"/>
      <c r="C332" s="228"/>
      <c r="D332" s="227"/>
      <c r="E332" s="227"/>
      <c r="F332" s="227"/>
      <c r="W332" s="210"/>
      <c r="AF332" s="210"/>
      <c r="BC332" s="210"/>
      <c r="BD332" s="210"/>
      <c r="BJ332" s="210"/>
      <c r="BK332" s="210"/>
      <c r="BL332" s="210"/>
      <c r="BM332" s="210"/>
      <c r="BN332" s="210"/>
      <c r="BO332" s="210"/>
      <c r="BP332" s="210"/>
      <c r="BQ332" s="210"/>
      <c r="BR332" s="210"/>
      <c r="BS332" s="210"/>
      <c r="BT332" s="210"/>
      <c r="BU332" s="210"/>
      <c r="BV332" s="210"/>
      <c r="BW332" s="210"/>
      <c r="BX332" s="210"/>
      <c r="BY332" s="210"/>
      <c r="BZ332" s="210"/>
      <c r="CA332" s="210"/>
      <c r="CB332" s="210"/>
      <c r="CC332" s="210"/>
      <c r="CD332" s="210"/>
      <c r="CE332" s="210"/>
      <c r="CF332" s="210"/>
      <c r="CG332" s="210"/>
      <c r="CH332" s="210"/>
      <c r="CI332" s="210"/>
      <c r="CJ332" s="210"/>
      <c r="CK332" s="210"/>
      <c r="CL332" s="210"/>
      <c r="CM332" s="210"/>
      <c r="CN332" s="210"/>
      <c r="CO332" s="210"/>
      <c r="CP332" s="210"/>
      <c r="CQ332" s="210"/>
      <c r="CR332" s="210"/>
      <c r="CS332" s="210"/>
      <c r="CT332" s="210"/>
      <c r="CU332" s="210"/>
      <c r="CV332" s="210"/>
      <c r="CW332" s="210"/>
      <c r="CX332" s="210"/>
      <c r="CY332" s="210"/>
      <c r="CZ332" s="210"/>
      <c r="DA332" s="210"/>
      <c r="DB332" s="210"/>
      <c r="DC332" s="210"/>
      <c r="DD332" s="210"/>
      <c r="DE332" s="210"/>
      <c r="DF332" s="210"/>
      <c r="DG332" s="210"/>
      <c r="DH332" s="210"/>
      <c r="DI332" s="210"/>
      <c r="DJ332" s="210"/>
      <c r="DK332" s="210"/>
      <c r="DL332" s="210"/>
      <c r="DM332" s="210"/>
      <c r="DN332" s="210"/>
      <c r="DO332" s="210"/>
      <c r="DP332" s="210"/>
      <c r="DQ332" s="210"/>
    </row>
    <row r="333" spans="1:121" s="209" customFormat="1" x14ac:dyDescent="0.25">
      <c r="A333" s="370"/>
      <c r="B333" s="228"/>
      <c r="C333" s="228"/>
      <c r="D333" s="227"/>
      <c r="E333" s="227"/>
      <c r="F333" s="227"/>
      <c r="W333" s="210"/>
      <c r="AF333" s="210"/>
      <c r="BC333" s="210"/>
      <c r="BD333" s="210"/>
      <c r="BJ333" s="210"/>
      <c r="BK333" s="210"/>
      <c r="BL333" s="210"/>
      <c r="BM333" s="210"/>
      <c r="BN333" s="210"/>
      <c r="BO333" s="210"/>
      <c r="BP333" s="210"/>
      <c r="BQ333" s="210"/>
      <c r="BR333" s="210"/>
      <c r="BS333" s="210"/>
      <c r="BT333" s="210"/>
      <c r="BU333" s="210"/>
      <c r="BV333" s="210"/>
      <c r="BW333" s="210"/>
      <c r="BX333" s="210"/>
      <c r="BY333" s="210"/>
      <c r="BZ333" s="210"/>
      <c r="CA333" s="210"/>
      <c r="CB333" s="210"/>
      <c r="CC333" s="210"/>
      <c r="CD333" s="210"/>
      <c r="CE333" s="210"/>
      <c r="CF333" s="210"/>
      <c r="CG333" s="210"/>
      <c r="CH333" s="210"/>
      <c r="CI333" s="210"/>
      <c r="CJ333" s="210"/>
      <c r="CK333" s="210"/>
      <c r="CL333" s="210"/>
      <c r="CM333" s="210"/>
      <c r="CN333" s="210"/>
      <c r="CO333" s="210"/>
      <c r="CP333" s="210"/>
      <c r="CQ333" s="210"/>
      <c r="CR333" s="210"/>
      <c r="CS333" s="210"/>
      <c r="CT333" s="210"/>
      <c r="CU333" s="210"/>
      <c r="CV333" s="210"/>
      <c r="CW333" s="210"/>
      <c r="CX333" s="210"/>
      <c r="CY333" s="210"/>
      <c r="CZ333" s="210"/>
      <c r="DA333" s="210"/>
      <c r="DB333" s="210"/>
      <c r="DC333" s="210"/>
      <c r="DD333" s="210"/>
      <c r="DE333" s="210"/>
      <c r="DF333" s="210"/>
      <c r="DG333" s="210"/>
      <c r="DH333" s="210"/>
      <c r="DI333" s="210"/>
      <c r="DJ333" s="210"/>
      <c r="DK333" s="210"/>
      <c r="DL333" s="210"/>
      <c r="DM333" s="210"/>
      <c r="DN333" s="210"/>
      <c r="DO333" s="210"/>
      <c r="DP333" s="210"/>
      <c r="DQ333" s="210"/>
    </row>
    <row r="334" spans="1:121" s="209" customFormat="1" x14ac:dyDescent="0.25">
      <c r="A334" s="370"/>
      <c r="B334" s="228"/>
      <c r="C334" s="228"/>
      <c r="D334" s="227"/>
      <c r="E334" s="227"/>
      <c r="F334" s="227"/>
      <c r="W334" s="210"/>
      <c r="AF334" s="210"/>
      <c r="BC334" s="210"/>
      <c r="BD334" s="210"/>
      <c r="BJ334" s="210"/>
      <c r="BK334" s="210"/>
      <c r="BL334" s="210"/>
      <c r="BM334" s="210"/>
      <c r="BN334" s="210"/>
      <c r="BO334" s="210"/>
      <c r="BP334" s="210"/>
      <c r="BQ334" s="210"/>
      <c r="BR334" s="210"/>
      <c r="BS334" s="210"/>
      <c r="BT334" s="210"/>
      <c r="BU334" s="210"/>
      <c r="BV334" s="210"/>
      <c r="BW334" s="210"/>
      <c r="BX334" s="210"/>
      <c r="BY334" s="210"/>
      <c r="BZ334" s="210"/>
      <c r="CA334" s="210"/>
      <c r="CB334" s="210"/>
      <c r="CC334" s="210"/>
      <c r="CD334" s="210"/>
      <c r="CE334" s="210"/>
      <c r="CF334" s="210"/>
      <c r="CG334" s="210"/>
      <c r="CH334" s="210"/>
      <c r="CI334" s="210"/>
      <c r="CJ334" s="210"/>
      <c r="CK334" s="210"/>
      <c r="CL334" s="210"/>
      <c r="CM334" s="210"/>
      <c r="CN334" s="210"/>
      <c r="CO334" s="210"/>
      <c r="CP334" s="210"/>
      <c r="CQ334" s="210"/>
      <c r="CR334" s="210"/>
      <c r="CS334" s="210"/>
      <c r="CT334" s="210"/>
      <c r="CU334" s="210"/>
      <c r="CV334" s="210"/>
      <c r="CW334" s="210"/>
      <c r="CX334" s="210"/>
      <c r="CY334" s="210"/>
      <c r="CZ334" s="210"/>
      <c r="DA334" s="210"/>
      <c r="DB334" s="210"/>
      <c r="DC334" s="210"/>
      <c r="DD334" s="210"/>
      <c r="DE334" s="210"/>
      <c r="DF334" s="210"/>
      <c r="DG334" s="210"/>
      <c r="DH334" s="210"/>
      <c r="DI334" s="210"/>
      <c r="DJ334" s="210"/>
      <c r="DK334" s="210"/>
      <c r="DL334" s="210"/>
      <c r="DM334" s="210"/>
      <c r="DN334" s="210"/>
      <c r="DO334" s="210"/>
      <c r="DP334" s="210"/>
      <c r="DQ334" s="210"/>
    </row>
    <row r="335" spans="1:121" s="209" customFormat="1" x14ac:dyDescent="0.25">
      <c r="A335" s="370"/>
      <c r="B335" s="228"/>
      <c r="C335" s="228"/>
      <c r="D335" s="227"/>
      <c r="E335" s="227"/>
      <c r="F335" s="227"/>
      <c r="W335" s="210"/>
      <c r="AF335" s="210"/>
      <c r="BC335" s="210"/>
      <c r="BD335" s="210"/>
      <c r="BJ335" s="210"/>
      <c r="BK335" s="210"/>
      <c r="BL335" s="210"/>
      <c r="BM335" s="210"/>
      <c r="BN335" s="210"/>
      <c r="BO335" s="210"/>
      <c r="BP335" s="210"/>
      <c r="BQ335" s="210"/>
      <c r="BR335" s="210"/>
      <c r="BS335" s="210"/>
      <c r="BT335" s="210"/>
      <c r="BU335" s="210"/>
      <c r="BV335" s="210"/>
      <c r="BW335" s="210"/>
      <c r="BX335" s="210"/>
      <c r="BY335" s="210"/>
      <c r="BZ335" s="210"/>
      <c r="CA335" s="210"/>
      <c r="CB335" s="210"/>
      <c r="CC335" s="210"/>
      <c r="CD335" s="210"/>
      <c r="CE335" s="210"/>
      <c r="CF335" s="210"/>
      <c r="CG335" s="210"/>
      <c r="CH335" s="210"/>
      <c r="CI335" s="210"/>
      <c r="CJ335" s="210"/>
      <c r="CK335" s="210"/>
      <c r="CL335" s="210"/>
      <c r="CM335" s="210"/>
      <c r="CN335" s="210"/>
      <c r="CO335" s="210"/>
      <c r="CP335" s="210"/>
      <c r="CQ335" s="210"/>
      <c r="CR335" s="210"/>
      <c r="CS335" s="210"/>
      <c r="CT335" s="210"/>
      <c r="CU335" s="210"/>
      <c r="CV335" s="210"/>
      <c r="CW335" s="210"/>
      <c r="CX335" s="210"/>
      <c r="CY335" s="210"/>
      <c r="CZ335" s="210"/>
      <c r="DA335" s="210"/>
      <c r="DB335" s="210"/>
      <c r="DC335" s="210"/>
      <c r="DD335" s="210"/>
      <c r="DE335" s="210"/>
      <c r="DF335" s="210"/>
      <c r="DG335" s="210"/>
      <c r="DH335" s="210"/>
      <c r="DI335" s="210"/>
      <c r="DJ335" s="210"/>
      <c r="DK335" s="210"/>
      <c r="DL335" s="210"/>
      <c r="DM335" s="210"/>
      <c r="DN335" s="210"/>
      <c r="DO335" s="210"/>
      <c r="DP335" s="210"/>
      <c r="DQ335" s="210"/>
    </row>
    <row r="336" spans="1:121" s="209" customFormat="1" x14ac:dyDescent="0.25">
      <c r="A336" s="370"/>
      <c r="B336" s="228"/>
      <c r="C336" s="228"/>
      <c r="D336" s="227"/>
      <c r="E336" s="227"/>
      <c r="F336" s="227"/>
      <c r="W336" s="210"/>
      <c r="AF336" s="210"/>
      <c r="BC336" s="210"/>
      <c r="BD336" s="210"/>
      <c r="BJ336" s="210"/>
      <c r="BK336" s="210"/>
      <c r="BL336" s="210"/>
      <c r="BM336" s="210"/>
      <c r="BN336" s="210"/>
      <c r="BO336" s="210"/>
      <c r="BP336" s="210"/>
      <c r="BQ336" s="210"/>
      <c r="BR336" s="210"/>
      <c r="BS336" s="210"/>
      <c r="BT336" s="210"/>
      <c r="BU336" s="210"/>
      <c r="BV336" s="210"/>
      <c r="BW336" s="210"/>
      <c r="BX336" s="210"/>
      <c r="BY336" s="210"/>
      <c r="BZ336" s="210"/>
      <c r="CA336" s="210"/>
      <c r="CB336" s="210"/>
      <c r="CC336" s="210"/>
      <c r="CD336" s="210"/>
      <c r="CE336" s="210"/>
      <c r="CF336" s="210"/>
      <c r="CG336" s="210"/>
      <c r="CH336" s="210"/>
      <c r="CI336" s="210"/>
      <c r="CJ336" s="210"/>
      <c r="CK336" s="210"/>
      <c r="CL336" s="210"/>
      <c r="CM336" s="210"/>
      <c r="CN336" s="210"/>
      <c r="CO336" s="210"/>
      <c r="CP336" s="210"/>
      <c r="CQ336" s="210"/>
      <c r="CR336" s="210"/>
      <c r="CS336" s="210"/>
      <c r="CT336" s="210"/>
      <c r="CU336" s="210"/>
      <c r="CV336" s="210"/>
      <c r="CW336" s="210"/>
      <c r="CX336" s="210"/>
      <c r="CY336" s="210"/>
      <c r="CZ336" s="210"/>
      <c r="DA336" s="210"/>
      <c r="DB336" s="210"/>
      <c r="DC336" s="210"/>
      <c r="DD336" s="210"/>
      <c r="DE336" s="210"/>
      <c r="DF336" s="210"/>
      <c r="DG336" s="210"/>
      <c r="DH336" s="210"/>
      <c r="DI336" s="210"/>
      <c r="DJ336" s="210"/>
      <c r="DK336" s="210"/>
      <c r="DL336" s="210"/>
      <c r="DM336" s="210"/>
      <c r="DN336" s="210"/>
      <c r="DO336" s="210"/>
      <c r="DP336" s="210"/>
      <c r="DQ336" s="210"/>
    </row>
    <row r="337" spans="1:121" s="209" customFormat="1" x14ac:dyDescent="0.25">
      <c r="A337" s="370"/>
      <c r="B337" s="228"/>
      <c r="C337" s="228"/>
      <c r="D337" s="227"/>
      <c r="E337" s="227"/>
      <c r="F337" s="227"/>
      <c r="W337" s="210"/>
      <c r="AF337" s="210"/>
      <c r="BC337" s="210"/>
      <c r="BD337" s="210"/>
      <c r="BJ337" s="210"/>
      <c r="BK337" s="210"/>
      <c r="BL337" s="210"/>
      <c r="BM337" s="210"/>
      <c r="BN337" s="210"/>
      <c r="BO337" s="210"/>
      <c r="BP337" s="210"/>
      <c r="BQ337" s="210"/>
      <c r="BR337" s="210"/>
      <c r="BS337" s="210"/>
      <c r="BT337" s="210"/>
      <c r="BU337" s="210"/>
      <c r="BV337" s="210"/>
      <c r="BW337" s="210"/>
      <c r="BX337" s="210"/>
      <c r="BY337" s="210"/>
      <c r="BZ337" s="210"/>
      <c r="CA337" s="210"/>
      <c r="CB337" s="210"/>
      <c r="CC337" s="210"/>
      <c r="CD337" s="210"/>
      <c r="CE337" s="210"/>
      <c r="CF337" s="210"/>
      <c r="CG337" s="210"/>
      <c r="CH337" s="210"/>
      <c r="CI337" s="210"/>
      <c r="CJ337" s="210"/>
      <c r="CK337" s="210"/>
      <c r="CL337" s="210"/>
      <c r="CM337" s="210"/>
      <c r="CN337" s="210"/>
      <c r="CO337" s="210"/>
      <c r="CP337" s="210"/>
      <c r="CQ337" s="210"/>
      <c r="CR337" s="210"/>
      <c r="CS337" s="210"/>
      <c r="CT337" s="210"/>
      <c r="CU337" s="210"/>
      <c r="CV337" s="210"/>
      <c r="CW337" s="210"/>
      <c r="CX337" s="210"/>
      <c r="CY337" s="210"/>
      <c r="CZ337" s="210"/>
      <c r="DA337" s="210"/>
      <c r="DB337" s="210"/>
      <c r="DC337" s="210"/>
      <c r="DD337" s="210"/>
      <c r="DE337" s="210"/>
      <c r="DF337" s="210"/>
      <c r="DG337" s="210"/>
      <c r="DH337" s="210"/>
      <c r="DI337" s="210"/>
      <c r="DJ337" s="210"/>
      <c r="DK337" s="210"/>
      <c r="DL337" s="210"/>
      <c r="DM337" s="210"/>
      <c r="DN337" s="210"/>
      <c r="DO337" s="210"/>
      <c r="DP337" s="210"/>
      <c r="DQ337" s="210"/>
    </row>
    <row r="338" spans="1:121" s="209" customFormat="1" x14ac:dyDescent="0.25">
      <c r="A338" s="370"/>
      <c r="B338" s="228"/>
      <c r="C338" s="228"/>
      <c r="D338" s="227"/>
      <c r="E338" s="227"/>
      <c r="F338" s="227"/>
      <c r="W338" s="210"/>
      <c r="AF338" s="210"/>
      <c r="BC338" s="210"/>
      <c r="BD338" s="210"/>
      <c r="BJ338" s="210"/>
      <c r="BK338" s="210"/>
      <c r="BL338" s="210"/>
      <c r="BM338" s="210"/>
      <c r="BN338" s="210"/>
      <c r="BO338" s="210"/>
      <c r="BP338" s="210"/>
      <c r="BQ338" s="210"/>
      <c r="BR338" s="210"/>
      <c r="BS338" s="210"/>
      <c r="BT338" s="210"/>
      <c r="BU338" s="210"/>
      <c r="BV338" s="210"/>
      <c r="BW338" s="210"/>
      <c r="BX338" s="210"/>
      <c r="BY338" s="210"/>
      <c r="BZ338" s="210"/>
      <c r="CA338" s="210"/>
      <c r="CB338" s="210"/>
      <c r="CC338" s="210"/>
      <c r="CD338" s="210"/>
      <c r="CE338" s="210"/>
      <c r="CF338" s="210"/>
      <c r="CG338" s="210"/>
      <c r="CH338" s="210"/>
      <c r="CI338" s="210"/>
      <c r="CJ338" s="210"/>
      <c r="CK338" s="210"/>
      <c r="CL338" s="210"/>
      <c r="CM338" s="210"/>
      <c r="CN338" s="210"/>
      <c r="CO338" s="210"/>
      <c r="CP338" s="210"/>
      <c r="CQ338" s="210"/>
      <c r="CR338" s="210"/>
      <c r="CS338" s="210"/>
      <c r="CT338" s="210"/>
      <c r="CU338" s="210"/>
      <c r="CV338" s="210"/>
      <c r="CW338" s="210"/>
      <c r="CX338" s="210"/>
      <c r="CY338" s="210"/>
      <c r="CZ338" s="210"/>
      <c r="DA338" s="210"/>
      <c r="DB338" s="210"/>
      <c r="DC338" s="210"/>
      <c r="DD338" s="210"/>
      <c r="DE338" s="210"/>
      <c r="DF338" s="210"/>
      <c r="DG338" s="210"/>
      <c r="DH338" s="210"/>
      <c r="DI338" s="210"/>
      <c r="DJ338" s="210"/>
      <c r="DK338" s="210"/>
      <c r="DL338" s="210"/>
      <c r="DM338" s="210"/>
      <c r="DN338" s="210"/>
      <c r="DO338" s="210"/>
      <c r="DP338" s="210"/>
      <c r="DQ338" s="210"/>
    </row>
    <row r="339" spans="1:121" s="209" customFormat="1" x14ac:dyDescent="0.25">
      <c r="A339" s="370"/>
      <c r="B339" s="228"/>
      <c r="C339" s="228"/>
      <c r="D339" s="227"/>
      <c r="E339" s="227"/>
      <c r="F339" s="227"/>
      <c r="W339" s="210"/>
      <c r="AF339" s="210"/>
      <c r="BC339" s="210"/>
      <c r="BD339" s="210"/>
      <c r="BJ339" s="210"/>
      <c r="BK339" s="210"/>
      <c r="BL339" s="210"/>
      <c r="BM339" s="210"/>
      <c r="BN339" s="210"/>
      <c r="BO339" s="210"/>
      <c r="BP339" s="210"/>
      <c r="BQ339" s="210"/>
      <c r="BR339" s="210"/>
      <c r="BS339" s="210"/>
      <c r="BT339" s="210"/>
      <c r="BU339" s="210"/>
      <c r="BV339" s="210"/>
      <c r="BW339" s="210"/>
      <c r="BX339" s="210"/>
      <c r="BY339" s="210"/>
      <c r="BZ339" s="210"/>
      <c r="CA339" s="210"/>
      <c r="CB339" s="210"/>
      <c r="CC339" s="210"/>
      <c r="CD339" s="210"/>
      <c r="CE339" s="210"/>
      <c r="CF339" s="210"/>
      <c r="CG339" s="210"/>
      <c r="CH339" s="210"/>
      <c r="CI339" s="210"/>
      <c r="CJ339" s="210"/>
      <c r="CK339" s="210"/>
      <c r="CL339" s="210"/>
      <c r="CM339" s="210"/>
      <c r="CN339" s="210"/>
      <c r="CO339" s="210"/>
      <c r="CP339" s="210"/>
      <c r="CQ339" s="210"/>
      <c r="CR339" s="210"/>
      <c r="CS339" s="210"/>
      <c r="CT339" s="210"/>
      <c r="CU339" s="210"/>
      <c r="CV339" s="210"/>
      <c r="CW339" s="210"/>
      <c r="CX339" s="210"/>
      <c r="CY339" s="210"/>
      <c r="CZ339" s="210"/>
      <c r="DA339" s="210"/>
      <c r="DB339" s="210"/>
      <c r="DC339" s="210"/>
      <c r="DD339" s="210"/>
      <c r="DE339" s="210"/>
      <c r="DF339" s="210"/>
      <c r="DG339" s="210"/>
      <c r="DH339" s="210"/>
      <c r="DI339" s="210"/>
      <c r="DJ339" s="210"/>
      <c r="DK339" s="210"/>
      <c r="DL339" s="210"/>
      <c r="DM339" s="210"/>
      <c r="DN339" s="210"/>
      <c r="DO339" s="210"/>
      <c r="DP339" s="210"/>
      <c r="DQ339" s="210"/>
    </row>
    <row r="340" spans="1:121" s="209" customFormat="1" x14ac:dyDescent="0.25">
      <c r="A340" s="370"/>
      <c r="B340" s="228"/>
      <c r="C340" s="228"/>
      <c r="D340" s="227"/>
      <c r="E340" s="227"/>
      <c r="F340" s="227"/>
      <c r="W340" s="210"/>
      <c r="AF340" s="210"/>
      <c r="BC340" s="210"/>
      <c r="BD340" s="210"/>
      <c r="BJ340" s="210"/>
      <c r="BK340" s="210"/>
      <c r="BL340" s="210"/>
      <c r="BM340" s="210"/>
      <c r="BN340" s="210"/>
      <c r="BO340" s="210"/>
      <c r="BP340" s="210"/>
      <c r="BQ340" s="210"/>
      <c r="BR340" s="210"/>
      <c r="BS340" s="210"/>
      <c r="BT340" s="210"/>
      <c r="BU340" s="210"/>
      <c r="BV340" s="210"/>
      <c r="BW340" s="210"/>
      <c r="BX340" s="210"/>
      <c r="BY340" s="210"/>
      <c r="BZ340" s="210"/>
      <c r="CA340" s="210"/>
      <c r="CB340" s="210"/>
      <c r="CC340" s="210"/>
      <c r="CD340" s="210"/>
      <c r="CE340" s="210"/>
      <c r="CF340" s="210"/>
      <c r="CG340" s="210"/>
      <c r="CH340" s="210"/>
      <c r="CI340" s="210"/>
      <c r="CJ340" s="210"/>
      <c r="CK340" s="210"/>
      <c r="CL340" s="210"/>
      <c r="CM340" s="210"/>
      <c r="CN340" s="210"/>
      <c r="CO340" s="210"/>
      <c r="CP340" s="210"/>
      <c r="CQ340" s="210"/>
      <c r="CR340" s="210"/>
      <c r="CS340" s="210"/>
      <c r="CT340" s="210"/>
      <c r="CU340" s="210"/>
      <c r="CV340" s="210"/>
      <c r="CW340" s="210"/>
      <c r="CX340" s="210"/>
      <c r="CY340" s="210"/>
      <c r="CZ340" s="210"/>
      <c r="DA340" s="210"/>
      <c r="DB340" s="210"/>
      <c r="DC340" s="210"/>
      <c r="DD340" s="210"/>
      <c r="DE340" s="210"/>
      <c r="DF340" s="210"/>
      <c r="DG340" s="210"/>
      <c r="DH340" s="210"/>
      <c r="DI340" s="210"/>
      <c r="DJ340" s="210"/>
      <c r="DK340" s="210"/>
      <c r="DL340" s="210"/>
      <c r="DM340" s="210"/>
      <c r="DN340" s="210"/>
      <c r="DO340" s="210"/>
      <c r="DP340" s="210"/>
      <c r="DQ340" s="210"/>
    </row>
    <row r="341" spans="1:121" s="209" customFormat="1" x14ac:dyDescent="0.25">
      <c r="A341" s="370"/>
      <c r="B341" s="228"/>
      <c r="C341" s="228"/>
      <c r="D341" s="227"/>
      <c r="E341" s="227"/>
      <c r="F341" s="227"/>
      <c r="W341" s="210"/>
      <c r="AF341" s="210"/>
      <c r="BC341" s="210"/>
      <c r="BD341" s="210"/>
      <c r="BJ341" s="210"/>
      <c r="BK341" s="210"/>
      <c r="BL341" s="210"/>
      <c r="BM341" s="210"/>
      <c r="BN341" s="210"/>
      <c r="BO341" s="210"/>
      <c r="BP341" s="210"/>
      <c r="BQ341" s="210"/>
      <c r="BR341" s="210"/>
      <c r="BS341" s="210"/>
      <c r="BT341" s="210"/>
      <c r="BU341" s="210"/>
      <c r="BV341" s="210"/>
      <c r="BW341" s="210"/>
      <c r="BX341" s="210"/>
      <c r="BY341" s="210"/>
      <c r="BZ341" s="210"/>
      <c r="CA341" s="210"/>
      <c r="CB341" s="210"/>
      <c r="CC341" s="210"/>
      <c r="CD341" s="210"/>
      <c r="CE341" s="210"/>
      <c r="CF341" s="210"/>
      <c r="CG341" s="210"/>
      <c r="CH341" s="210"/>
      <c r="CI341" s="210"/>
      <c r="CJ341" s="210"/>
      <c r="CK341" s="210"/>
      <c r="CL341" s="210"/>
      <c r="CM341" s="210"/>
      <c r="CN341" s="210"/>
      <c r="CO341" s="210"/>
      <c r="CP341" s="210"/>
      <c r="CQ341" s="210"/>
      <c r="CR341" s="210"/>
      <c r="CS341" s="210"/>
      <c r="CT341" s="210"/>
      <c r="CU341" s="210"/>
      <c r="CV341" s="210"/>
      <c r="CW341" s="210"/>
      <c r="CX341" s="210"/>
      <c r="CY341" s="210"/>
      <c r="CZ341" s="210"/>
      <c r="DA341" s="210"/>
      <c r="DB341" s="210"/>
      <c r="DC341" s="210"/>
      <c r="DD341" s="210"/>
      <c r="DE341" s="210"/>
      <c r="DF341" s="210"/>
      <c r="DG341" s="210"/>
      <c r="DH341" s="210"/>
      <c r="DI341" s="210"/>
      <c r="DJ341" s="210"/>
      <c r="DK341" s="210"/>
      <c r="DL341" s="210"/>
      <c r="DM341" s="210"/>
      <c r="DN341" s="210"/>
      <c r="DO341" s="210"/>
      <c r="DP341" s="210"/>
      <c r="DQ341" s="210"/>
    </row>
    <row r="342" spans="1:121" s="209" customFormat="1" x14ac:dyDescent="0.25">
      <c r="A342" s="370"/>
      <c r="B342" s="228"/>
      <c r="C342" s="228"/>
      <c r="D342" s="227"/>
      <c r="E342" s="227"/>
      <c r="F342" s="227"/>
      <c r="W342" s="210"/>
      <c r="AF342" s="210"/>
      <c r="BC342" s="210"/>
      <c r="BD342" s="210"/>
      <c r="BJ342" s="210"/>
      <c r="BK342" s="210"/>
      <c r="BL342" s="210"/>
      <c r="BM342" s="210"/>
      <c r="BN342" s="210"/>
      <c r="BO342" s="210"/>
      <c r="BP342" s="210"/>
      <c r="BQ342" s="210"/>
      <c r="BR342" s="210"/>
      <c r="BS342" s="210"/>
      <c r="BT342" s="210"/>
      <c r="BU342" s="210"/>
      <c r="BV342" s="210"/>
      <c r="BW342" s="210"/>
      <c r="BX342" s="210"/>
      <c r="BY342" s="210"/>
      <c r="BZ342" s="210"/>
      <c r="CA342" s="210"/>
      <c r="CB342" s="210"/>
      <c r="CC342" s="210"/>
      <c r="CD342" s="210"/>
      <c r="CE342" s="210"/>
      <c r="CF342" s="210"/>
      <c r="CG342" s="210"/>
      <c r="CH342" s="210"/>
      <c r="CI342" s="210"/>
      <c r="CJ342" s="210"/>
      <c r="CK342" s="210"/>
      <c r="CL342" s="210"/>
      <c r="CM342" s="210"/>
      <c r="CN342" s="210"/>
      <c r="CO342" s="210"/>
      <c r="CP342" s="210"/>
      <c r="CQ342" s="210"/>
      <c r="CR342" s="210"/>
      <c r="CS342" s="210"/>
      <c r="CT342" s="210"/>
      <c r="CU342" s="210"/>
      <c r="CV342" s="210"/>
      <c r="CW342" s="210"/>
      <c r="CX342" s="210"/>
      <c r="CY342" s="210"/>
      <c r="CZ342" s="210"/>
      <c r="DA342" s="210"/>
      <c r="DB342" s="210"/>
      <c r="DC342" s="210"/>
      <c r="DD342" s="210"/>
      <c r="DE342" s="210"/>
      <c r="DF342" s="210"/>
      <c r="DG342" s="210"/>
      <c r="DH342" s="210"/>
      <c r="DI342" s="210"/>
      <c r="DJ342" s="210"/>
      <c r="DK342" s="210"/>
      <c r="DL342" s="210"/>
      <c r="DM342" s="210"/>
      <c r="DN342" s="210"/>
      <c r="DO342" s="210"/>
      <c r="DP342" s="210"/>
      <c r="DQ342" s="210"/>
    </row>
    <row r="343" spans="1:121" s="209" customFormat="1" x14ac:dyDescent="0.25">
      <c r="A343" s="370"/>
      <c r="B343" s="228"/>
      <c r="C343" s="228"/>
      <c r="D343" s="227"/>
      <c r="E343" s="227"/>
      <c r="F343" s="227"/>
      <c r="W343" s="210"/>
      <c r="AF343" s="210"/>
      <c r="BC343" s="210"/>
      <c r="BD343" s="210"/>
      <c r="BJ343" s="210"/>
      <c r="BK343" s="210"/>
      <c r="BL343" s="210"/>
      <c r="BM343" s="210"/>
      <c r="BN343" s="210"/>
      <c r="BO343" s="210"/>
      <c r="BP343" s="210"/>
      <c r="BQ343" s="210"/>
      <c r="BR343" s="210"/>
      <c r="BS343" s="210"/>
      <c r="BT343" s="210"/>
      <c r="BU343" s="210"/>
      <c r="BV343" s="210"/>
      <c r="BW343" s="210"/>
      <c r="BX343" s="210"/>
      <c r="BY343" s="210"/>
      <c r="BZ343" s="210"/>
      <c r="CA343" s="210"/>
      <c r="CB343" s="210"/>
      <c r="CC343" s="210"/>
      <c r="CD343" s="210"/>
      <c r="CE343" s="210"/>
      <c r="CF343" s="210"/>
      <c r="CG343" s="210"/>
      <c r="CH343" s="210"/>
      <c r="CI343" s="210"/>
      <c r="CJ343" s="210"/>
      <c r="CK343" s="210"/>
      <c r="CL343" s="210"/>
      <c r="CM343" s="210"/>
      <c r="CN343" s="210"/>
      <c r="CO343" s="210"/>
      <c r="CP343" s="210"/>
      <c r="CQ343" s="210"/>
      <c r="CR343" s="210"/>
      <c r="CS343" s="210"/>
      <c r="CT343" s="210"/>
      <c r="CU343" s="210"/>
      <c r="CV343" s="210"/>
      <c r="CW343" s="210"/>
      <c r="CX343" s="210"/>
      <c r="CY343" s="210"/>
      <c r="CZ343" s="210"/>
      <c r="DA343" s="210"/>
      <c r="DB343" s="210"/>
      <c r="DC343" s="210"/>
      <c r="DD343" s="210"/>
      <c r="DE343" s="210"/>
      <c r="DF343" s="210"/>
      <c r="DG343" s="210"/>
      <c r="DH343" s="210"/>
      <c r="DI343" s="210"/>
      <c r="DJ343" s="210"/>
      <c r="DK343" s="210"/>
      <c r="DL343" s="210"/>
      <c r="DM343" s="210"/>
      <c r="DN343" s="210"/>
      <c r="DO343" s="210"/>
      <c r="DP343" s="210"/>
      <c r="DQ343" s="210"/>
    </row>
    <row r="344" spans="1:121" s="209" customFormat="1" x14ac:dyDescent="0.25">
      <c r="A344" s="370"/>
      <c r="B344" s="228"/>
      <c r="C344" s="228"/>
      <c r="D344" s="227"/>
      <c r="E344" s="227"/>
      <c r="F344" s="227"/>
      <c r="W344" s="210"/>
      <c r="AF344" s="210"/>
      <c r="BC344" s="210"/>
      <c r="BD344" s="210"/>
      <c r="BJ344" s="210"/>
      <c r="BK344" s="210"/>
      <c r="BL344" s="210"/>
      <c r="BM344" s="210"/>
      <c r="BN344" s="210"/>
      <c r="BO344" s="210"/>
      <c r="BP344" s="210"/>
      <c r="BQ344" s="210"/>
      <c r="BR344" s="210"/>
      <c r="BS344" s="210"/>
      <c r="BT344" s="210"/>
      <c r="BU344" s="210"/>
      <c r="BV344" s="210"/>
      <c r="BW344" s="210"/>
      <c r="BX344" s="210"/>
      <c r="BY344" s="210"/>
      <c r="BZ344" s="210"/>
      <c r="CA344" s="210"/>
      <c r="CB344" s="210"/>
      <c r="CC344" s="210"/>
      <c r="CD344" s="210"/>
      <c r="CE344" s="210"/>
      <c r="CF344" s="210"/>
      <c r="CG344" s="210"/>
      <c r="CH344" s="210"/>
      <c r="CI344" s="210"/>
      <c r="CJ344" s="210"/>
      <c r="CK344" s="210"/>
      <c r="CL344" s="210"/>
      <c r="CM344" s="210"/>
      <c r="CN344" s="210"/>
      <c r="CO344" s="210"/>
      <c r="CP344" s="210"/>
      <c r="CQ344" s="210"/>
      <c r="CR344" s="210"/>
      <c r="CS344" s="210"/>
      <c r="CT344" s="210"/>
      <c r="CU344" s="210"/>
      <c r="CV344" s="210"/>
      <c r="CW344" s="210"/>
      <c r="CX344" s="210"/>
      <c r="CY344" s="210"/>
      <c r="CZ344" s="210"/>
      <c r="DA344" s="210"/>
      <c r="DB344" s="210"/>
      <c r="DC344" s="210"/>
      <c r="DD344" s="210"/>
      <c r="DE344" s="210"/>
      <c r="DF344" s="210"/>
      <c r="DG344" s="210"/>
      <c r="DH344" s="210"/>
      <c r="DI344" s="210"/>
      <c r="DJ344" s="210"/>
      <c r="DK344" s="210"/>
      <c r="DL344" s="210"/>
      <c r="DM344" s="210"/>
      <c r="DN344" s="210"/>
      <c r="DO344" s="210"/>
      <c r="DP344" s="210"/>
      <c r="DQ344" s="210"/>
    </row>
    <row r="345" spans="1:121" s="209" customFormat="1" x14ac:dyDescent="0.25">
      <c r="A345" s="370"/>
      <c r="B345" s="228"/>
      <c r="C345" s="228"/>
      <c r="D345" s="227"/>
      <c r="E345" s="227"/>
      <c r="F345" s="227"/>
      <c r="W345" s="210"/>
      <c r="AF345" s="210"/>
      <c r="BC345" s="210"/>
      <c r="BD345" s="210"/>
      <c r="BJ345" s="210"/>
      <c r="BK345" s="210"/>
      <c r="BL345" s="210"/>
      <c r="BM345" s="210"/>
      <c r="BN345" s="210"/>
      <c r="BO345" s="210"/>
      <c r="BP345" s="210"/>
      <c r="BQ345" s="210"/>
      <c r="BR345" s="210"/>
      <c r="BS345" s="210"/>
      <c r="BT345" s="210"/>
      <c r="BU345" s="210"/>
      <c r="BV345" s="210"/>
      <c r="BW345" s="210"/>
      <c r="BX345" s="210"/>
      <c r="BY345" s="210"/>
      <c r="BZ345" s="210"/>
      <c r="CA345" s="210"/>
      <c r="CB345" s="210"/>
      <c r="CC345" s="210"/>
      <c r="CD345" s="210"/>
      <c r="CE345" s="210"/>
      <c r="CF345" s="210"/>
      <c r="CG345" s="210"/>
      <c r="CH345" s="210"/>
      <c r="CI345" s="210"/>
      <c r="CJ345" s="210"/>
      <c r="CK345" s="210"/>
      <c r="CL345" s="210"/>
      <c r="CM345" s="210"/>
      <c r="CN345" s="210"/>
      <c r="CO345" s="210"/>
      <c r="CP345" s="210"/>
      <c r="CQ345" s="210"/>
      <c r="CR345" s="210"/>
      <c r="CS345" s="210"/>
      <c r="CT345" s="210"/>
      <c r="CU345" s="210"/>
      <c r="CV345" s="210"/>
      <c r="CW345" s="210"/>
      <c r="CX345" s="210"/>
      <c r="CY345" s="210"/>
      <c r="CZ345" s="210"/>
      <c r="DA345" s="210"/>
      <c r="DB345" s="210"/>
      <c r="DC345" s="210"/>
      <c r="DD345" s="210"/>
      <c r="DE345" s="210"/>
      <c r="DF345" s="210"/>
      <c r="DG345" s="210"/>
      <c r="DH345" s="210"/>
      <c r="DI345" s="210"/>
      <c r="DJ345" s="210"/>
      <c r="DK345" s="210"/>
      <c r="DL345" s="210"/>
      <c r="DM345" s="210"/>
      <c r="DN345" s="210"/>
      <c r="DO345" s="210"/>
      <c r="DP345" s="210"/>
      <c r="DQ345" s="210"/>
    </row>
    <row r="346" spans="1:121" s="209" customFormat="1" x14ac:dyDescent="0.25">
      <c r="A346" s="370"/>
      <c r="B346" s="228"/>
      <c r="C346" s="228"/>
      <c r="D346" s="227"/>
      <c r="E346" s="227"/>
      <c r="F346" s="227"/>
      <c r="W346" s="210"/>
      <c r="AF346" s="210"/>
      <c r="BC346" s="210"/>
      <c r="BD346" s="210"/>
      <c r="BJ346" s="210"/>
      <c r="BK346" s="210"/>
      <c r="BL346" s="210"/>
      <c r="BM346" s="210"/>
      <c r="BN346" s="210"/>
      <c r="BO346" s="210"/>
      <c r="BP346" s="210"/>
      <c r="BQ346" s="210"/>
      <c r="BR346" s="210"/>
      <c r="BS346" s="210"/>
      <c r="BT346" s="210"/>
      <c r="BU346" s="210"/>
      <c r="BV346" s="210"/>
      <c r="BW346" s="210"/>
      <c r="BX346" s="210"/>
      <c r="BY346" s="210"/>
      <c r="BZ346" s="210"/>
      <c r="CA346" s="210"/>
      <c r="CB346" s="210"/>
      <c r="CC346" s="210"/>
      <c r="CD346" s="210"/>
      <c r="CE346" s="210"/>
      <c r="CF346" s="210"/>
      <c r="CG346" s="210"/>
      <c r="CH346" s="210"/>
      <c r="CI346" s="210"/>
      <c r="CJ346" s="210"/>
      <c r="CK346" s="210"/>
      <c r="CL346" s="210"/>
      <c r="CM346" s="210"/>
      <c r="CN346" s="210"/>
      <c r="CO346" s="210"/>
      <c r="CP346" s="210"/>
      <c r="CQ346" s="210"/>
      <c r="CR346" s="210"/>
      <c r="CS346" s="210"/>
      <c r="CT346" s="210"/>
      <c r="CU346" s="210"/>
      <c r="CV346" s="210"/>
      <c r="CW346" s="210"/>
      <c r="CX346" s="210"/>
      <c r="CY346" s="210"/>
      <c r="CZ346" s="210"/>
      <c r="DA346" s="210"/>
      <c r="DB346" s="210"/>
      <c r="DC346" s="210"/>
      <c r="DD346" s="210"/>
      <c r="DE346" s="210"/>
      <c r="DF346" s="210"/>
      <c r="DG346" s="210"/>
      <c r="DH346" s="210"/>
      <c r="DI346" s="210"/>
      <c r="DJ346" s="210"/>
      <c r="DK346" s="210"/>
      <c r="DL346" s="210"/>
      <c r="DM346" s="210"/>
      <c r="DN346" s="210"/>
      <c r="DO346" s="210"/>
      <c r="DP346" s="210"/>
      <c r="DQ346" s="210"/>
    </row>
    <row r="347" spans="1:121" s="209" customFormat="1" x14ac:dyDescent="0.25">
      <c r="A347" s="370"/>
      <c r="B347" s="228"/>
      <c r="C347" s="228"/>
      <c r="D347" s="227"/>
      <c r="E347" s="227"/>
      <c r="F347" s="227"/>
      <c r="W347" s="210"/>
      <c r="AF347" s="210"/>
      <c r="BC347" s="210"/>
      <c r="BD347" s="210"/>
      <c r="BJ347" s="210"/>
      <c r="BK347" s="210"/>
      <c r="BL347" s="210"/>
      <c r="BM347" s="210"/>
      <c r="BN347" s="210"/>
      <c r="BO347" s="210"/>
      <c r="BP347" s="210"/>
      <c r="BQ347" s="210"/>
      <c r="BR347" s="210"/>
      <c r="BS347" s="210"/>
      <c r="BT347" s="210"/>
      <c r="BU347" s="210"/>
      <c r="BV347" s="210"/>
      <c r="BW347" s="210"/>
      <c r="BX347" s="210"/>
      <c r="BY347" s="210"/>
      <c r="BZ347" s="210"/>
      <c r="CA347" s="210"/>
      <c r="CB347" s="210"/>
      <c r="CC347" s="210"/>
      <c r="CD347" s="210"/>
      <c r="CE347" s="210"/>
      <c r="CF347" s="210"/>
      <c r="CG347" s="210"/>
      <c r="CH347" s="210"/>
      <c r="CI347" s="210"/>
      <c r="CJ347" s="210"/>
      <c r="CK347" s="210"/>
      <c r="CL347" s="210"/>
      <c r="CM347" s="210"/>
      <c r="CN347" s="210"/>
      <c r="CO347" s="210"/>
      <c r="CP347" s="210"/>
      <c r="CQ347" s="210"/>
      <c r="CR347" s="210"/>
      <c r="CS347" s="210"/>
      <c r="CT347" s="210"/>
      <c r="CU347" s="210"/>
      <c r="CV347" s="210"/>
      <c r="CW347" s="210"/>
      <c r="CX347" s="210"/>
      <c r="CY347" s="210"/>
      <c r="CZ347" s="210"/>
      <c r="DA347" s="210"/>
      <c r="DB347" s="210"/>
      <c r="DC347" s="210"/>
      <c r="DD347" s="210"/>
      <c r="DE347" s="210"/>
      <c r="DF347" s="210"/>
      <c r="DG347" s="210"/>
      <c r="DH347" s="210"/>
      <c r="DI347" s="210"/>
      <c r="DJ347" s="210"/>
      <c r="DK347" s="210"/>
      <c r="DL347" s="210"/>
      <c r="DM347" s="210"/>
      <c r="DN347" s="210"/>
      <c r="DO347" s="210"/>
      <c r="DP347" s="210"/>
      <c r="DQ347" s="210"/>
    </row>
    <row r="348" spans="1:121" s="209" customFormat="1" x14ac:dyDescent="0.25">
      <c r="A348" s="370"/>
      <c r="B348" s="228"/>
      <c r="C348" s="228"/>
      <c r="D348" s="227"/>
      <c r="E348" s="227"/>
      <c r="F348" s="227"/>
      <c r="W348" s="210"/>
      <c r="AF348" s="210"/>
      <c r="BC348" s="210"/>
      <c r="BD348" s="210"/>
      <c r="BJ348" s="210"/>
      <c r="BK348" s="210"/>
      <c r="BL348" s="210"/>
      <c r="BM348" s="210"/>
      <c r="BN348" s="210"/>
      <c r="BO348" s="210"/>
      <c r="BP348" s="210"/>
      <c r="BQ348" s="210"/>
      <c r="BR348" s="210"/>
      <c r="BS348" s="210"/>
      <c r="BT348" s="210"/>
      <c r="BU348" s="210"/>
      <c r="BV348" s="210"/>
      <c r="BW348" s="210"/>
      <c r="BX348" s="210"/>
      <c r="BY348" s="210"/>
      <c r="BZ348" s="210"/>
      <c r="CA348" s="210"/>
      <c r="CB348" s="210"/>
      <c r="CC348" s="210"/>
      <c r="CD348" s="210"/>
      <c r="CE348" s="210"/>
      <c r="CF348" s="210"/>
      <c r="CG348" s="210"/>
      <c r="CH348" s="210"/>
      <c r="CI348" s="210"/>
      <c r="CJ348" s="210"/>
      <c r="CK348" s="210"/>
      <c r="CL348" s="210"/>
      <c r="CM348" s="210"/>
      <c r="CN348" s="210"/>
      <c r="CO348" s="210"/>
      <c r="CP348" s="210"/>
      <c r="CQ348" s="210"/>
      <c r="CR348" s="210"/>
      <c r="CS348" s="210"/>
      <c r="CT348" s="210"/>
      <c r="CU348" s="210"/>
      <c r="CV348" s="210"/>
      <c r="CW348" s="210"/>
      <c r="CX348" s="210"/>
      <c r="CY348" s="210"/>
      <c r="CZ348" s="210"/>
      <c r="DA348" s="210"/>
      <c r="DB348" s="210"/>
      <c r="DC348" s="210"/>
      <c r="DD348" s="210"/>
      <c r="DE348" s="210"/>
      <c r="DF348" s="210"/>
      <c r="DG348" s="210"/>
      <c r="DH348" s="210"/>
      <c r="DI348" s="210"/>
      <c r="DJ348" s="210"/>
      <c r="DK348" s="210"/>
      <c r="DL348" s="210"/>
      <c r="DM348" s="210"/>
      <c r="DN348" s="210"/>
      <c r="DO348" s="210"/>
      <c r="DP348" s="210"/>
      <c r="DQ348" s="210"/>
    </row>
    <row r="349" spans="1:121" s="209" customFormat="1" x14ac:dyDescent="0.25">
      <c r="A349" s="370"/>
      <c r="B349" s="228"/>
      <c r="C349" s="228"/>
      <c r="D349" s="227"/>
      <c r="E349" s="227"/>
      <c r="F349" s="227"/>
      <c r="W349" s="210"/>
      <c r="AF349" s="210"/>
      <c r="BC349" s="210"/>
      <c r="BD349" s="210"/>
      <c r="BJ349" s="210"/>
      <c r="BK349" s="210"/>
      <c r="BL349" s="210"/>
      <c r="BM349" s="210"/>
      <c r="BN349" s="210"/>
      <c r="BO349" s="210"/>
      <c r="BP349" s="210"/>
      <c r="BQ349" s="210"/>
      <c r="BR349" s="210"/>
      <c r="BS349" s="210"/>
      <c r="BT349" s="210"/>
      <c r="BU349" s="210"/>
      <c r="BV349" s="210"/>
      <c r="BW349" s="210"/>
      <c r="BX349" s="210"/>
      <c r="BY349" s="210"/>
      <c r="BZ349" s="210"/>
      <c r="CA349" s="210"/>
      <c r="CB349" s="210"/>
      <c r="CC349" s="210"/>
      <c r="CD349" s="210"/>
      <c r="CE349" s="210"/>
      <c r="CF349" s="210"/>
      <c r="CG349" s="210"/>
      <c r="CH349" s="210"/>
      <c r="CI349" s="210"/>
      <c r="CJ349" s="210"/>
      <c r="CK349" s="210"/>
      <c r="CL349" s="210"/>
      <c r="CM349" s="210"/>
      <c r="CN349" s="210"/>
      <c r="CO349" s="210"/>
      <c r="CP349" s="210"/>
      <c r="CQ349" s="210"/>
      <c r="CR349" s="210"/>
      <c r="CS349" s="210"/>
      <c r="CT349" s="210"/>
      <c r="CU349" s="210"/>
      <c r="CV349" s="210"/>
      <c r="CW349" s="210"/>
      <c r="CX349" s="210"/>
      <c r="CY349" s="210"/>
      <c r="CZ349" s="210"/>
      <c r="DA349" s="210"/>
      <c r="DB349" s="210"/>
      <c r="DC349" s="210"/>
      <c r="DD349" s="210"/>
      <c r="DE349" s="210"/>
      <c r="DF349" s="210"/>
      <c r="DG349" s="210"/>
      <c r="DH349" s="210"/>
      <c r="DI349" s="210"/>
      <c r="DJ349" s="210"/>
      <c r="DK349" s="210"/>
      <c r="DL349" s="210"/>
      <c r="DM349" s="210"/>
      <c r="DN349" s="210"/>
      <c r="DO349" s="210"/>
      <c r="DP349" s="210"/>
      <c r="DQ349" s="210"/>
    </row>
    <row r="350" spans="1:121" s="209" customFormat="1" x14ac:dyDescent="0.25">
      <c r="A350" s="370"/>
      <c r="B350" s="228"/>
      <c r="C350" s="228"/>
      <c r="D350" s="227"/>
      <c r="E350" s="227"/>
      <c r="F350" s="227"/>
      <c r="W350" s="210"/>
      <c r="AF350" s="210"/>
      <c r="BC350" s="210"/>
      <c r="BD350" s="210"/>
      <c r="BJ350" s="210"/>
      <c r="BK350" s="210"/>
      <c r="BL350" s="210"/>
      <c r="BM350" s="210"/>
      <c r="BN350" s="210"/>
      <c r="BO350" s="210"/>
      <c r="BP350" s="210"/>
      <c r="BQ350" s="210"/>
      <c r="BR350" s="210"/>
      <c r="BS350" s="210"/>
      <c r="BT350" s="210"/>
      <c r="BU350" s="210"/>
      <c r="BV350" s="210"/>
      <c r="BW350" s="210"/>
      <c r="BX350" s="210"/>
      <c r="BY350" s="210"/>
      <c r="BZ350" s="210"/>
      <c r="CA350" s="210"/>
      <c r="CB350" s="210"/>
      <c r="CC350" s="210"/>
      <c r="CD350" s="210"/>
      <c r="CE350" s="210"/>
      <c r="CF350" s="210"/>
      <c r="CG350" s="210"/>
      <c r="CH350" s="210"/>
      <c r="CI350" s="210"/>
      <c r="CJ350" s="210"/>
      <c r="CK350" s="210"/>
      <c r="CL350" s="210"/>
      <c r="CM350" s="210"/>
      <c r="CN350" s="210"/>
      <c r="CO350" s="210"/>
      <c r="CP350" s="210"/>
      <c r="CQ350" s="210"/>
      <c r="CR350" s="210"/>
      <c r="CS350" s="210"/>
      <c r="CT350" s="210"/>
      <c r="CU350" s="210"/>
      <c r="CV350" s="210"/>
      <c r="CW350" s="210"/>
      <c r="CX350" s="210"/>
      <c r="CY350" s="210"/>
      <c r="CZ350" s="210"/>
      <c r="DA350" s="210"/>
      <c r="DB350" s="210"/>
      <c r="DC350" s="210"/>
      <c r="DD350" s="210"/>
      <c r="DE350" s="210"/>
      <c r="DF350" s="210"/>
      <c r="DG350" s="210"/>
      <c r="DH350" s="210"/>
      <c r="DI350" s="210"/>
      <c r="DJ350" s="210"/>
      <c r="DK350" s="210"/>
      <c r="DL350" s="210"/>
      <c r="DM350" s="210"/>
      <c r="DN350" s="210"/>
      <c r="DO350" s="210"/>
      <c r="DP350" s="210"/>
      <c r="DQ350" s="210"/>
    </row>
    <row r="351" spans="1:121" s="209" customFormat="1" x14ac:dyDescent="0.25">
      <c r="A351" s="370"/>
      <c r="B351" s="228"/>
      <c r="C351" s="228"/>
      <c r="D351" s="227"/>
      <c r="E351" s="227"/>
      <c r="F351" s="227"/>
      <c r="W351" s="210"/>
      <c r="AF351" s="210"/>
      <c r="BC351" s="210"/>
      <c r="BD351" s="210"/>
      <c r="BJ351" s="210"/>
      <c r="BK351" s="210"/>
      <c r="BL351" s="210"/>
      <c r="BM351" s="210"/>
      <c r="BN351" s="210"/>
      <c r="BO351" s="210"/>
      <c r="BP351" s="210"/>
      <c r="BQ351" s="210"/>
      <c r="BR351" s="210"/>
      <c r="BS351" s="210"/>
      <c r="BT351" s="210"/>
      <c r="BU351" s="210"/>
      <c r="BV351" s="210"/>
      <c r="BW351" s="210"/>
      <c r="BX351" s="210"/>
      <c r="BY351" s="210"/>
      <c r="BZ351" s="210"/>
      <c r="CA351" s="210"/>
      <c r="CB351" s="210"/>
      <c r="CC351" s="210"/>
      <c r="CD351" s="210"/>
      <c r="CE351" s="210"/>
      <c r="CF351" s="210"/>
      <c r="CG351" s="210"/>
      <c r="CH351" s="210"/>
      <c r="CI351" s="210"/>
      <c r="CJ351" s="210"/>
      <c r="CK351" s="210"/>
      <c r="CL351" s="210"/>
      <c r="CM351" s="210"/>
      <c r="CN351" s="210"/>
      <c r="CO351" s="210"/>
      <c r="CP351" s="210"/>
      <c r="CQ351" s="210"/>
      <c r="CR351" s="210"/>
      <c r="CS351" s="210"/>
      <c r="CT351" s="210"/>
      <c r="CU351" s="210"/>
      <c r="CV351" s="210"/>
      <c r="CW351" s="210"/>
      <c r="CX351" s="210"/>
      <c r="CY351" s="210"/>
      <c r="CZ351" s="210"/>
      <c r="DA351" s="210"/>
      <c r="DB351" s="210"/>
      <c r="DC351" s="210"/>
      <c r="DD351" s="210"/>
      <c r="DE351" s="210"/>
      <c r="DF351" s="210"/>
      <c r="DG351" s="210"/>
      <c r="DH351" s="210"/>
      <c r="DI351" s="210"/>
      <c r="DJ351" s="210"/>
      <c r="DK351" s="210"/>
      <c r="DL351" s="210"/>
      <c r="DM351" s="210"/>
      <c r="DN351" s="210"/>
      <c r="DO351" s="210"/>
      <c r="DP351" s="210"/>
      <c r="DQ351" s="210"/>
    </row>
    <row r="352" spans="1:121" s="209" customFormat="1" x14ac:dyDescent="0.25">
      <c r="A352" s="370"/>
      <c r="B352" s="228"/>
      <c r="C352" s="228"/>
      <c r="D352" s="227"/>
      <c r="E352" s="227"/>
      <c r="F352" s="227"/>
      <c r="W352" s="210"/>
      <c r="AF352" s="210"/>
      <c r="BC352" s="210"/>
      <c r="BD352" s="210"/>
      <c r="BJ352" s="210"/>
      <c r="BK352" s="210"/>
      <c r="BL352" s="210"/>
      <c r="BM352" s="210"/>
      <c r="BN352" s="210"/>
      <c r="BO352" s="210"/>
      <c r="BP352" s="210"/>
      <c r="BQ352" s="210"/>
      <c r="BR352" s="210"/>
      <c r="BS352" s="210"/>
      <c r="BT352" s="210"/>
      <c r="BU352" s="210"/>
      <c r="BV352" s="210"/>
      <c r="BW352" s="210"/>
      <c r="BX352" s="210"/>
      <c r="BY352" s="210"/>
      <c r="BZ352" s="210"/>
      <c r="CA352" s="210"/>
      <c r="CB352" s="210"/>
      <c r="CC352" s="210"/>
      <c r="CD352" s="210"/>
      <c r="CE352" s="210"/>
      <c r="CF352" s="210"/>
      <c r="CG352" s="210"/>
      <c r="CH352" s="210"/>
      <c r="CI352" s="210"/>
      <c r="CJ352" s="210"/>
      <c r="CK352" s="210"/>
      <c r="CL352" s="210"/>
      <c r="CM352" s="210"/>
      <c r="CN352" s="210"/>
      <c r="CO352" s="210"/>
      <c r="CP352" s="210"/>
      <c r="CQ352" s="210"/>
      <c r="CR352" s="210"/>
      <c r="CS352" s="210"/>
      <c r="CT352" s="210"/>
      <c r="CU352" s="210"/>
      <c r="CV352" s="210"/>
      <c r="CW352" s="210"/>
      <c r="CX352" s="210"/>
      <c r="CY352" s="210"/>
      <c r="CZ352" s="210"/>
      <c r="DA352" s="210"/>
      <c r="DB352" s="210"/>
      <c r="DC352" s="210"/>
      <c r="DD352" s="210"/>
      <c r="DE352" s="210"/>
      <c r="DF352" s="210"/>
      <c r="DG352" s="210"/>
      <c r="DH352" s="210"/>
      <c r="DI352" s="210"/>
      <c r="DJ352" s="210"/>
      <c r="DK352" s="210"/>
      <c r="DL352" s="210"/>
      <c r="DM352" s="210"/>
      <c r="DN352" s="210"/>
      <c r="DO352" s="210"/>
      <c r="DP352" s="210"/>
      <c r="DQ352" s="210"/>
    </row>
    <row r="353" spans="1:121" s="209" customFormat="1" x14ac:dyDescent="0.25">
      <c r="A353" s="370"/>
      <c r="B353" s="228"/>
      <c r="C353" s="228"/>
      <c r="D353" s="227"/>
      <c r="E353" s="227"/>
      <c r="F353" s="227"/>
      <c r="W353" s="210"/>
      <c r="AF353" s="210"/>
      <c r="BC353" s="210"/>
      <c r="BD353" s="210"/>
      <c r="BJ353" s="210"/>
      <c r="BK353" s="210"/>
      <c r="BL353" s="210"/>
      <c r="BM353" s="210"/>
      <c r="BN353" s="210"/>
      <c r="BO353" s="210"/>
      <c r="BP353" s="210"/>
      <c r="BQ353" s="210"/>
      <c r="BR353" s="210"/>
      <c r="BS353" s="210"/>
      <c r="BT353" s="210"/>
      <c r="BU353" s="210"/>
      <c r="BV353" s="210"/>
      <c r="BW353" s="210"/>
      <c r="BX353" s="210"/>
      <c r="BY353" s="210"/>
      <c r="BZ353" s="210"/>
      <c r="CA353" s="210"/>
      <c r="CB353" s="210"/>
      <c r="CC353" s="210"/>
      <c r="CD353" s="210"/>
      <c r="CE353" s="210"/>
      <c r="CF353" s="210"/>
      <c r="CG353" s="210"/>
      <c r="CH353" s="210"/>
      <c r="CI353" s="210"/>
      <c r="CJ353" s="210"/>
      <c r="CK353" s="210"/>
      <c r="CL353" s="210"/>
      <c r="CM353" s="210"/>
      <c r="CN353" s="210"/>
      <c r="CO353" s="210"/>
      <c r="CP353" s="210"/>
      <c r="CQ353" s="210"/>
      <c r="CR353" s="210"/>
      <c r="CS353" s="210"/>
      <c r="CT353" s="210"/>
      <c r="CU353" s="210"/>
      <c r="CV353" s="210"/>
      <c r="CW353" s="210"/>
      <c r="CX353" s="210"/>
      <c r="CY353" s="210"/>
      <c r="CZ353" s="210"/>
      <c r="DA353" s="210"/>
      <c r="DB353" s="210"/>
      <c r="DC353" s="210"/>
      <c r="DD353" s="210"/>
      <c r="DE353" s="210"/>
      <c r="DF353" s="210"/>
      <c r="DG353" s="210"/>
      <c r="DH353" s="210"/>
      <c r="DI353" s="210"/>
      <c r="DJ353" s="210"/>
      <c r="DK353" s="210"/>
      <c r="DL353" s="210"/>
      <c r="DM353" s="210"/>
      <c r="DN353" s="210"/>
      <c r="DO353" s="210"/>
      <c r="DP353" s="210"/>
      <c r="DQ353" s="210"/>
    </row>
    <row r="354" spans="1:121" s="209" customFormat="1" x14ac:dyDescent="0.25">
      <c r="A354" s="370"/>
      <c r="B354" s="228"/>
      <c r="C354" s="228"/>
      <c r="D354" s="227"/>
      <c r="E354" s="227"/>
      <c r="F354" s="227"/>
      <c r="W354" s="210"/>
      <c r="AF354" s="210"/>
      <c r="BC354" s="210"/>
      <c r="BD354" s="210"/>
      <c r="BJ354" s="210"/>
      <c r="BK354" s="210"/>
      <c r="BL354" s="210"/>
      <c r="BM354" s="210"/>
      <c r="BN354" s="210"/>
      <c r="BO354" s="210"/>
      <c r="BP354" s="210"/>
      <c r="BQ354" s="210"/>
      <c r="BR354" s="210"/>
      <c r="BS354" s="210"/>
      <c r="BT354" s="210"/>
      <c r="BU354" s="210"/>
      <c r="BV354" s="210"/>
      <c r="BW354" s="210"/>
      <c r="BX354" s="210"/>
      <c r="BY354" s="210"/>
      <c r="BZ354" s="210"/>
      <c r="CA354" s="210"/>
      <c r="CB354" s="210"/>
      <c r="CC354" s="210"/>
      <c r="CD354" s="210"/>
      <c r="CE354" s="210"/>
      <c r="CF354" s="210"/>
      <c r="CG354" s="210"/>
      <c r="CH354" s="210"/>
      <c r="CI354" s="210"/>
      <c r="CJ354" s="210"/>
      <c r="CK354" s="210"/>
      <c r="CL354" s="210"/>
      <c r="CM354" s="210"/>
      <c r="CN354" s="210"/>
      <c r="CO354" s="210"/>
      <c r="CP354" s="210"/>
      <c r="CQ354" s="210"/>
      <c r="CR354" s="210"/>
      <c r="CS354" s="210"/>
      <c r="CT354" s="210"/>
      <c r="CU354" s="210"/>
      <c r="CV354" s="210"/>
      <c r="CW354" s="210"/>
      <c r="CX354" s="210"/>
      <c r="CY354" s="210"/>
      <c r="CZ354" s="210"/>
      <c r="DA354" s="210"/>
      <c r="DB354" s="210"/>
      <c r="DC354" s="210"/>
      <c r="DD354" s="210"/>
      <c r="DE354" s="210"/>
      <c r="DF354" s="210"/>
      <c r="DG354" s="210"/>
      <c r="DH354" s="210"/>
      <c r="DI354" s="210"/>
      <c r="DJ354" s="210"/>
      <c r="DK354" s="210"/>
      <c r="DL354" s="210"/>
      <c r="DM354" s="210"/>
      <c r="DN354" s="210"/>
      <c r="DO354" s="210"/>
      <c r="DP354" s="210"/>
      <c r="DQ354" s="210"/>
    </row>
    <row r="355" spans="1:121" s="209" customFormat="1" x14ac:dyDescent="0.25">
      <c r="A355" s="370"/>
      <c r="B355" s="228"/>
      <c r="C355" s="228"/>
      <c r="D355" s="227"/>
      <c r="E355" s="227"/>
      <c r="F355" s="227"/>
      <c r="W355" s="210"/>
      <c r="AF355" s="210"/>
      <c r="BC355" s="210"/>
      <c r="BD355" s="210"/>
      <c r="BJ355" s="210"/>
      <c r="BK355" s="210"/>
      <c r="BL355" s="210"/>
      <c r="BM355" s="210"/>
      <c r="BN355" s="210"/>
      <c r="BO355" s="210"/>
      <c r="BP355" s="210"/>
      <c r="BQ355" s="210"/>
      <c r="BR355" s="210"/>
      <c r="BS355" s="210"/>
      <c r="BT355" s="210"/>
      <c r="BU355" s="210"/>
      <c r="BV355" s="210"/>
      <c r="BW355" s="210"/>
      <c r="BX355" s="210"/>
      <c r="BY355" s="210"/>
      <c r="BZ355" s="210"/>
      <c r="CA355" s="210"/>
      <c r="CB355" s="210"/>
      <c r="CC355" s="210"/>
      <c r="CD355" s="210"/>
      <c r="CE355" s="210"/>
      <c r="CF355" s="210"/>
      <c r="CG355" s="210"/>
      <c r="CH355" s="210"/>
      <c r="CI355" s="210"/>
      <c r="CJ355" s="210"/>
      <c r="CK355" s="210"/>
      <c r="CL355" s="210"/>
      <c r="CM355" s="210"/>
      <c r="CN355" s="210"/>
      <c r="CO355" s="210"/>
      <c r="CP355" s="210"/>
      <c r="CQ355" s="210"/>
      <c r="CR355" s="210"/>
      <c r="CS355" s="210"/>
      <c r="CT355" s="210"/>
      <c r="CU355" s="210"/>
      <c r="CV355" s="210"/>
      <c r="CW355" s="210"/>
      <c r="CX355" s="210"/>
      <c r="CY355" s="210"/>
      <c r="CZ355" s="210"/>
      <c r="DA355" s="210"/>
      <c r="DB355" s="210"/>
      <c r="DC355" s="210"/>
      <c r="DD355" s="210"/>
      <c r="DE355" s="210"/>
      <c r="DF355" s="210"/>
      <c r="DG355" s="210"/>
      <c r="DH355" s="210"/>
      <c r="DI355" s="210"/>
      <c r="DJ355" s="210"/>
      <c r="DK355" s="210"/>
      <c r="DL355" s="210"/>
      <c r="DM355" s="210"/>
      <c r="DN355" s="210"/>
      <c r="DO355" s="210"/>
      <c r="DP355" s="210"/>
      <c r="DQ355" s="210"/>
    </row>
  </sheetData>
  <sheetProtection password="D8E9" sheet="1" objects="1" scenarios="1"/>
  <mergeCells count="23">
    <mergeCell ref="A4:A5"/>
    <mergeCell ref="B81:C81"/>
    <mergeCell ref="D81:L81"/>
    <mergeCell ref="B1:C1"/>
    <mergeCell ref="D1:I1"/>
    <mergeCell ref="B2:C2"/>
    <mergeCell ref="D2:L2"/>
    <mergeCell ref="B3:C3"/>
    <mergeCell ref="D3:L3"/>
    <mergeCell ref="B17:B20"/>
    <mergeCell ref="B4:B5"/>
    <mergeCell ref="C4:C5"/>
    <mergeCell ref="G4:I4"/>
    <mergeCell ref="J4:L4"/>
    <mergeCell ref="B7:B11"/>
    <mergeCell ref="B13:B16"/>
    <mergeCell ref="D4:F4"/>
    <mergeCell ref="B43:B47"/>
    <mergeCell ref="B21:B24"/>
    <mergeCell ref="B25:B28"/>
    <mergeCell ref="B29:B32"/>
    <mergeCell ref="B34:B37"/>
    <mergeCell ref="B38:B42"/>
  </mergeCells>
  <conditionalFormatting sqref="E1 H1 D12:L12 D50:L50">
    <cfRule type="cellIs" dxfId="223" priority="88" operator="lessThan">
      <formula>0</formula>
    </cfRule>
  </conditionalFormatting>
  <conditionalFormatting sqref="D12:L12 D50:L50">
    <cfRule type="cellIs" dxfId="222" priority="85" operator="lessThan">
      <formula>0</formula>
    </cfRule>
    <cfRule type="expression" dxfId="221" priority="86">
      <formula>ISTEXT(D12)</formula>
    </cfRule>
  </conditionalFormatting>
  <conditionalFormatting sqref="D14:E16">
    <cfRule type="expression" dxfId="220" priority="28">
      <formula>ISTEXT(D14)</formula>
    </cfRule>
  </conditionalFormatting>
  <conditionalFormatting sqref="D18:E20">
    <cfRule type="expression" dxfId="219" priority="27">
      <formula>ISTEXT(D18)</formula>
    </cfRule>
  </conditionalFormatting>
  <conditionalFormatting sqref="D22:E24">
    <cfRule type="expression" dxfId="218" priority="26">
      <formula>ISTEXT(D22)</formula>
    </cfRule>
  </conditionalFormatting>
  <conditionalFormatting sqref="D26:E28">
    <cfRule type="expression" dxfId="217" priority="25">
      <formula>ISTEXT(D26)</formula>
    </cfRule>
  </conditionalFormatting>
  <conditionalFormatting sqref="D30:E32">
    <cfRule type="expression" dxfId="216" priority="24">
      <formula>ISTEXT(D30)</formula>
    </cfRule>
  </conditionalFormatting>
  <conditionalFormatting sqref="D35:E37">
    <cfRule type="expression" dxfId="215" priority="23">
      <formula>ISTEXT(D35)</formula>
    </cfRule>
  </conditionalFormatting>
  <conditionalFormatting sqref="D39:E42">
    <cfRule type="expression" dxfId="214" priority="22">
      <formula>ISTEXT(D39)</formula>
    </cfRule>
  </conditionalFormatting>
  <conditionalFormatting sqref="D48:E48">
    <cfRule type="expression" dxfId="213" priority="21">
      <formula>ISTEXT(D48)</formula>
    </cfRule>
  </conditionalFormatting>
  <conditionalFormatting sqref="D51:E73 D75:E80">
    <cfRule type="expression" dxfId="212" priority="20">
      <formula>ISTEXT(D51)</formula>
    </cfRule>
  </conditionalFormatting>
  <conditionalFormatting sqref="D74">
    <cfRule type="expression" dxfId="211" priority="19">
      <formula>ISTEXT(D74)</formula>
    </cfRule>
  </conditionalFormatting>
  <conditionalFormatting sqref="D74">
    <cfRule type="expression" dxfId="210" priority="18">
      <formula>D$74&gt;D$73</formula>
    </cfRule>
  </conditionalFormatting>
  <conditionalFormatting sqref="E74">
    <cfRule type="expression" dxfId="209" priority="17">
      <formula>ISTEXT(E74)</formula>
    </cfRule>
  </conditionalFormatting>
  <conditionalFormatting sqref="E74">
    <cfRule type="expression" dxfId="208" priority="16">
      <formula>E$74&gt;E$73</formula>
    </cfRule>
  </conditionalFormatting>
  <conditionalFormatting sqref="G14:H16">
    <cfRule type="expression" dxfId="207" priority="15">
      <formula>ISTEXT(G14)</formula>
    </cfRule>
  </conditionalFormatting>
  <conditionalFormatting sqref="G18:H20">
    <cfRule type="expression" dxfId="206" priority="14">
      <formula>ISTEXT(G18)</formula>
    </cfRule>
  </conditionalFormatting>
  <conditionalFormatting sqref="G22:H24">
    <cfRule type="expression" dxfId="205" priority="13">
      <formula>ISTEXT(G22)</formula>
    </cfRule>
  </conditionalFormatting>
  <conditionalFormatting sqref="G26:H28">
    <cfRule type="expression" dxfId="204" priority="12">
      <formula>ISTEXT(G26)</formula>
    </cfRule>
  </conditionalFormatting>
  <conditionalFormatting sqref="G30:H32">
    <cfRule type="expression" dxfId="203" priority="11">
      <formula>ISTEXT(G30)</formula>
    </cfRule>
  </conditionalFormatting>
  <conditionalFormatting sqref="G35:H37">
    <cfRule type="expression" dxfId="202" priority="10">
      <formula>ISTEXT(G35)</formula>
    </cfRule>
  </conditionalFormatting>
  <conditionalFormatting sqref="G39:H42">
    <cfRule type="expression" dxfId="201" priority="9">
      <formula>ISTEXT(G39)</formula>
    </cfRule>
  </conditionalFormatting>
  <conditionalFormatting sqref="G48:H48">
    <cfRule type="expression" dxfId="200" priority="8">
      <formula>ISTEXT(G48)</formula>
    </cfRule>
  </conditionalFormatting>
  <conditionalFormatting sqref="G51:H73 G75:H80">
    <cfRule type="expression" dxfId="199" priority="7">
      <formula>ISTEXT(G51)</formula>
    </cfRule>
  </conditionalFormatting>
  <conditionalFormatting sqref="G74:H74">
    <cfRule type="expression" dxfId="198" priority="6">
      <formula>ISTEXT(G74)</formula>
    </cfRule>
  </conditionalFormatting>
  <conditionalFormatting sqref="G74:H74">
    <cfRule type="expression" dxfId="197" priority="5">
      <formula>G$74&gt;G$73</formula>
    </cfRule>
  </conditionalFormatting>
  <conditionalFormatting sqref="D33">
    <cfRule type="expression" dxfId="196" priority="4">
      <formula>ISTEXT(D33)</formula>
    </cfRule>
  </conditionalFormatting>
  <conditionalFormatting sqref="E33">
    <cfRule type="expression" dxfId="195" priority="3">
      <formula>ISTEXT(E33)</formula>
    </cfRule>
  </conditionalFormatting>
  <conditionalFormatting sqref="G33">
    <cfRule type="expression" dxfId="194" priority="2">
      <formula>ISTEXT(G33)</formula>
    </cfRule>
  </conditionalFormatting>
  <conditionalFormatting sqref="H33">
    <cfRule type="expression" dxfId="193" priority="1">
      <formula>ISTEXT(H33)</formula>
    </cfRule>
  </conditionalFormatting>
  <pageMargins left="0.51181102362204722" right="0.51181102362204722" top="0.55118110236220474" bottom="0.55118110236220474" header="0.31496062992125984" footer="0.31496062992125984"/>
  <pageSetup paperSize="9" scale="57" fitToHeight="2"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O28"/>
  <sheetViews>
    <sheetView zoomScale="70" zoomScaleNormal="70" workbookViewId="0">
      <selection activeCell="B9" sqref="B7:B9"/>
    </sheetView>
  </sheetViews>
  <sheetFormatPr defaultColWidth="42.140625" defaultRowHeight="15" x14ac:dyDescent="0.25"/>
  <cols>
    <col min="1" max="1" width="4.28515625" customWidth="1"/>
    <col min="2" max="2" width="71.7109375" customWidth="1"/>
    <col min="3" max="41" width="9.140625" style="1" customWidth="1"/>
  </cols>
  <sheetData>
    <row r="1" spans="1:41" ht="21" x14ac:dyDescent="0.25">
      <c r="A1" s="507"/>
      <c r="B1" s="508" t="s">
        <v>201</v>
      </c>
      <c r="C1" s="751" t="s">
        <v>194</v>
      </c>
      <c r="D1" s="751"/>
      <c r="E1" s="751"/>
      <c r="F1" s="751"/>
      <c r="G1" s="751"/>
      <c r="H1" s="751"/>
      <c r="I1" s="751"/>
      <c r="J1" s="751"/>
      <c r="K1" s="751"/>
      <c r="L1" s="751"/>
      <c r="M1" s="751"/>
      <c r="N1" s="751"/>
      <c r="O1" s="751"/>
      <c r="P1" s="751"/>
      <c r="Q1" s="751"/>
      <c r="R1" s="751"/>
      <c r="S1" s="751"/>
      <c r="T1" s="751"/>
      <c r="U1" s="751"/>
      <c r="V1" s="751"/>
      <c r="W1" s="751"/>
      <c r="X1" s="751"/>
      <c r="Y1" s="751"/>
      <c r="Z1" s="751"/>
      <c r="AA1" s="751"/>
      <c r="AB1" s="751"/>
      <c r="AC1" s="751"/>
      <c r="AD1" s="751"/>
      <c r="AE1" s="751"/>
      <c r="AF1" s="751"/>
      <c r="AG1" s="751"/>
      <c r="AH1" s="751"/>
      <c r="AI1" s="751"/>
      <c r="AJ1" s="751"/>
      <c r="AK1" s="751"/>
      <c r="AL1" s="751"/>
      <c r="AM1" s="751"/>
      <c r="AN1" s="751"/>
      <c r="AO1" s="751"/>
    </row>
    <row r="2" spans="1:41" ht="21.75" thickBot="1" x14ac:dyDescent="0.3">
      <c r="A2" s="509"/>
      <c r="B2" s="510"/>
      <c r="C2" s="511"/>
      <c r="D2" s="512"/>
      <c r="E2" s="512" t="s">
        <v>88</v>
      </c>
      <c r="F2" s="752"/>
      <c r="G2" s="753"/>
      <c r="H2" s="753"/>
      <c r="I2" s="753"/>
      <c r="J2" s="753"/>
      <c r="K2" s="753"/>
      <c r="L2" s="753"/>
      <c r="M2" s="753"/>
      <c r="N2" s="753"/>
      <c r="O2" s="753"/>
      <c r="P2" s="753"/>
      <c r="Q2" s="753"/>
      <c r="R2" s="753"/>
      <c r="S2" s="753"/>
      <c r="T2" s="753"/>
      <c r="U2" s="753"/>
      <c r="V2" s="753"/>
      <c r="W2" s="753"/>
      <c r="X2" s="753"/>
      <c r="Y2" s="753"/>
      <c r="Z2" s="753"/>
      <c r="AA2" s="753"/>
      <c r="AB2" s="753"/>
      <c r="AC2" s="753"/>
      <c r="AD2" s="753"/>
      <c r="AE2" s="753"/>
      <c r="AF2" s="753"/>
      <c r="AG2" s="753"/>
      <c r="AH2" s="753"/>
      <c r="AI2" s="753"/>
      <c r="AJ2" s="753"/>
      <c r="AK2" s="753"/>
      <c r="AL2" s="753"/>
      <c r="AM2" s="753"/>
      <c r="AN2" s="753"/>
      <c r="AO2" s="754"/>
    </row>
    <row r="3" spans="1:41" ht="15.75" x14ac:dyDescent="0.25">
      <c r="A3" s="513" t="s">
        <v>3</v>
      </c>
      <c r="B3" s="546" t="s">
        <v>57</v>
      </c>
      <c r="C3" s="755" t="s">
        <v>214</v>
      </c>
      <c r="D3" s="755"/>
      <c r="E3" s="755"/>
      <c r="F3" s="755" t="s">
        <v>1686</v>
      </c>
      <c r="G3" s="755"/>
      <c r="H3" s="755"/>
      <c r="I3" s="755" t="s">
        <v>1686</v>
      </c>
      <c r="J3" s="755"/>
      <c r="K3" s="755"/>
      <c r="L3" s="755" t="s">
        <v>1686</v>
      </c>
      <c r="M3" s="755"/>
      <c r="N3" s="755"/>
      <c r="O3" s="755" t="s">
        <v>1686</v>
      </c>
      <c r="P3" s="755"/>
      <c r="Q3" s="755"/>
      <c r="R3" s="755" t="s">
        <v>1686</v>
      </c>
      <c r="S3" s="755"/>
      <c r="T3" s="755"/>
      <c r="U3" s="755" t="s">
        <v>1686</v>
      </c>
      <c r="V3" s="755"/>
      <c r="W3" s="755"/>
      <c r="X3" s="755" t="s">
        <v>1686</v>
      </c>
      <c r="Y3" s="755"/>
      <c r="Z3" s="755"/>
      <c r="AA3" s="756" t="s">
        <v>1686</v>
      </c>
      <c r="AB3" s="757"/>
      <c r="AC3" s="758"/>
      <c r="AD3" s="756" t="s">
        <v>1686</v>
      </c>
      <c r="AE3" s="757"/>
      <c r="AF3" s="758"/>
      <c r="AG3" s="756" t="s">
        <v>1686</v>
      </c>
      <c r="AH3" s="757"/>
      <c r="AI3" s="758"/>
      <c r="AJ3" s="756" t="s">
        <v>1686</v>
      </c>
      <c r="AK3" s="757"/>
      <c r="AL3" s="758"/>
      <c r="AM3" s="756" t="s">
        <v>1686</v>
      </c>
      <c r="AN3" s="757"/>
      <c r="AO3" s="759"/>
    </row>
    <row r="4" spans="1:41" ht="15.75" thickBot="1" x14ac:dyDescent="0.3">
      <c r="A4" s="514">
        <v>1</v>
      </c>
      <c r="B4" s="547">
        <v>2</v>
      </c>
      <c r="C4" s="746">
        <v>3</v>
      </c>
      <c r="D4" s="746"/>
      <c r="E4" s="746"/>
      <c r="F4" s="746">
        <v>4</v>
      </c>
      <c r="G4" s="746"/>
      <c r="H4" s="746"/>
      <c r="I4" s="746">
        <v>5</v>
      </c>
      <c r="J4" s="746"/>
      <c r="K4" s="746"/>
      <c r="L4" s="746">
        <v>6</v>
      </c>
      <c r="M4" s="746"/>
      <c r="N4" s="746"/>
      <c r="O4" s="746">
        <v>7</v>
      </c>
      <c r="P4" s="746"/>
      <c r="Q4" s="746"/>
      <c r="R4" s="746">
        <v>8</v>
      </c>
      <c r="S4" s="746"/>
      <c r="T4" s="746"/>
      <c r="U4" s="746">
        <v>9</v>
      </c>
      <c r="V4" s="746"/>
      <c r="W4" s="746"/>
      <c r="X4" s="746">
        <v>10</v>
      </c>
      <c r="Y4" s="746"/>
      <c r="Z4" s="746"/>
      <c r="AA4" s="747">
        <v>11</v>
      </c>
      <c r="AB4" s="748"/>
      <c r="AC4" s="749"/>
      <c r="AD4" s="747">
        <v>12</v>
      </c>
      <c r="AE4" s="748"/>
      <c r="AF4" s="749"/>
      <c r="AG4" s="747">
        <v>13</v>
      </c>
      <c r="AH4" s="748"/>
      <c r="AI4" s="749"/>
      <c r="AJ4" s="747">
        <v>14</v>
      </c>
      <c r="AK4" s="748"/>
      <c r="AL4" s="749"/>
      <c r="AM4" s="747">
        <v>15</v>
      </c>
      <c r="AN4" s="748"/>
      <c r="AO4" s="750"/>
    </row>
    <row r="5" spans="1:41" ht="27" thickBot="1" x14ac:dyDescent="0.3">
      <c r="A5" s="462">
        <f t="shared" ref="A5" si="0">A4+1</f>
        <v>2</v>
      </c>
      <c r="B5" s="463" t="s">
        <v>69</v>
      </c>
      <c r="C5" s="760"/>
      <c r="D5" s="760"/>
      <c r="E5" s="760"/>
      <c r="F5" s="760"/>
      <c r="G5" s="760"/>
      <c r="H5" s="760"/>
      <c r="I5" s="760"/>
      <c r="J5" s="760"/>
      <c r="K5" s="760"/>
      <c r="L5" s="760"/>
      <c r="M5" s="760"/>
      <c r="N5" s="760"/>
      <c r="O5" s="760"/>
      <c r="P5" s="760"/>
      <c r="Q5" s="760"/>
      <c r="R5" s="760"/>
      <c r="S5" s="760"/>
      <c r="T5" s="760"/>
      <c r="U5" s="760"/>
      <c r="V5" s="760"/>
      <c r="W5" s="760"/>
      <c r="X5" s="760"/>
      <c r="Y5" s="760"/>
      <c r="Z5" s="760"/>
      <c r="AA5" s="760"/>
      <c r="AB5" s="760"/>
      <c r="AC5" s="760"/>
      <c r="AD5" s="760"/>
      <c r="AE5" s="760"/>
      <c r="AF5" s="760"/>
      <c r="AG5" s="760"/>
      <c r="AH5" s="760"/>
      <c r="AI5" s="760"/>
      <c r="AJ5" s="760"/>
      <c r="AK5" s="760"/>
      <c r="AL5" s="760"/>
      <c r="AM5" s="760"/>
      <c r="AN5" s="760"/>
      <c r="AO5" s="761"/>
    </row>
    <row r="6" spans="1:41" ht="30" customHeight="1" thickBot="1" x14ac:dyDescent="0.3">
      <c r="A6" s="515">
        <f>A4+1</f>
        <v>2</v>
      </c>
      <c r="B6" s="516" t="s">
        <v>3639</v>
      </c>
      <c r="C6" s="517"/>
      <c r="D6" s="517"/>
      <c r="E6" s="517"/>
      <c r="F6" s="517"/>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8"/>
    </row>
    <row r="7" spans="1:41" ht="31.5" x14ac:dyDescent="0.25">
      <c r="A7" s="515">
        <f t="shared" ref="A7:A27" si="1">A6+1</f>
        <v>3</v>
      </c>
      <c r="B7" s="519" t="s">
        <v>7441</v>
      </c>
      <c r="C7" s="738"/>
      <c r="D7" s="739"/>
      <c r="E7" s="740"/>
      <c r="F7" s="738"/>
      <c r="G7" s="739"/>
      <c r="H7" s="740"/>
      <c r="I7" s="738"/>
      <c r="J7" s="739"/>
      <c r="K7" s="740"/>
      <c r="L7" s="738"/>
      <c r="M7" s="739"/>
      <c r="N7" s="740"/>
      <c r="O7" s="738"/>
      <c r="P7" s="739"/>
      <c r="Q7" s="740"/>
      <c r="R7" s="738"/>
      <c r="S7" s="739"/>
      <c r="T7" s="740"/>
      <c r="U7" s="738"/>
      <c r="V7" s="739"/>
      <c r="W7" s="740"/>
      <c r="X7" s="738"/>
      <c r="Y7" s="739"/>
      <c r="Z7" s="740"/>
      <c r="AA7" s="738"/>
      <c r="AB7" s="739"/>
      <c r="AC7" s="740"/>
      <c r="AD7" s="738"/>
      <c r="AE7" s="739"/>
      <c r="AF7" s="740"/>
      <c r="AG7" s="738"/>
      <c r="AH7" s="739"/>
      <c r="AI7" s="740"/>
      <c r="AJ7" s="738"/>
      <c r="AK7" s="739"/>
      <c r="AL7" s="740"/>
      <c r="AM7" s="738"/>
      <c r="AN7" s="739"/>
      <c r="AO7" s="745"/>
    </row>
    <row r="8" spans="1:41" ht="31.5" x14ac:dyDescent="0.25">
      <c r="A8" s="515">
        <f>A7+1</f>
        <v>4</v>
      </c>
      <c r="B8" s="520" t="s">
        <v>3640</v>
      </c>
      <c r="C8" s="724"/>
      <c r="D8" s="725"/>
      <c r="E8" s="731"/>
      <c r="F8" s="724"/>
      <c r="G8" s="725"/>
      <c r="H8" s="731"/>
      <c r="I8" s="724"/>
      <c r="J8" s="725"/>
      <c r="K8" s="731"/>
      <c r="L8" s="724"/>
      <c r="M8" s="725"/>
      <c r="N8" s="731"/>
      <c r="O8" s="724"/>
      <c r="P8" s="725"/>
      <c r="Q8" s="731"/>
      <c r="R8" s="724"/>
      <c r="S8" s="725"/>
      <c r="T8" s="731"/>
      <c r="U8" s="724"/>
      <c r="V8" s="725"/>
      <c r="W8" s="731"/>
      <c r="X8" s="724"/>
      <c r="Y8" s="725"/>
      <c r="Z8" s="731"/>
      <c r="AA8" s="724"/>
      <c r="AB8" s="725"/>
      <c r="AC8" s="731"/>
      <c r="AD8" s="724"/>
      <c r="AE8" s="725"/>
      <c r="AF8" s="731"/>
      <c r="AG8" s="724"/>
      <c r="AH8" s="725"/>
      <c r="AI8" s="731"/>
      <c r="AJ8" s="724"/>
      <c r="AK8" s="725"/>
      <c r="AL8" s="731"/>
      <c r="AM8" s="724"/>
      <c r="AN8" s="725"/>
      <c r="AO8" s="726"/>
    </row>
    <row r="9" spans="1:41" ht="48" thickBot="1" x14ac:dyDescent="0.3">
      <c r="A9" s="515">
        <f t="shared" si="1"/>
        <v>5</v>
      </c>
      <c r="B9" s="521" t="s">
        <v>3641</v>
      </c>
      <c r="C9" s="741"/>
      <c r="D9" s="742"/>
      <c r="E9" s="743"/>
      <c r="F9" s="741"/>
      <c r="G9" s="742"/>
      <c r="H9" s="743"/>
      <c r="I9" s="741"/>
      <c r="J9" s="742"/>
      <c r="K9" s="743"/>
      <c r="L9" s="741"/>
      <c r="M9" s="742"/>
      <c r="N9" s="743"/>
      <c r="O9" s="741"/>
      <c r="P9" s="742"/>
      <c r="Q9" s="743"/>
      <c r="R9" s="741"/>
      <c r="S9" s="742"/>
      <c r="T9" s="743"/>
      <c r="U9" s="741"/>
      <c r="V9" s="742"/>
      <c r="W9" s="743"/>
      <c r="X9" s="741"/>
      <c r="Y9" s="742"/>
      <c r="Z9" s="743"/>
      <c r="AA9" s="741"/>
      <c r="AB9" s="742"/>
      <c r="AC9" s="743"/>
      <c r="AD9" s="741"/>
      <c r="AE9" s="742"/>
      <c r="AF9" s="743"/>
      <c r="AG9" s="741"/>
      <c r="AH9" s="742"/>
      <c r="AI9" s="743"/>
      <c r="AJ9" s="741"/>
      <c r="AK9" s="742"/>
      <c r="AL9" s="743"/>
      <c r="AM9" s="741"/>
      <c r="AN9" s="742"/>
      <c r="AO9" s="744"/>
    </row>
    <row r="10" spans="1:41" ht="30" customHeight="1" thickBot="1" x14ac:dyDescent="0.3">
      <c r="A10" s="515">
        <f t="shared" si="1"/>
        <v>6</v>
      </c>
      <c r="B10" s="516" t="s">
        <v>3642</v>
      </c>
      <c r="C10" s="517"/>
      <c r="D10" s="517"/>
      <c r="E10" s="517"/>
      <c r="F10" s="517"/>
      <c r="G10" s="517"/>
      <c r="H10" s="517"/>
      <c r="I10" s="517"/>
      <c r="J10" s="517"/>
      <c r="K10" s="517"/>
      <c r="L10" s="517"/>
      <c r="M10" s="517"/>
      <c r="N10" s="517"/>
      <c r="O10" s="517"/>
      <c r="P10" s="517"/>
      <c r="Q10" s="517"/>
      <c r="R10" s="517"/>
      <c r="S10" s="517"/>
      <c r="T10" s="517"/>
      <c r="U10" s="517"/>
      <c r="V10" s="517"/>
      <c r="W10" s="517"/>
      <c r="X10" s="517"/>
      <c r="Y10" s="517"/>
      <c r="Z10" s="517"/>
      <c r="AA10" s="517"/>
      <c r="AB10" s="517"/>
      <c r="AC10" s="517"/>
      <c r="AD10" s="517"/>
      <c r="AE10" s="517"/>
      <c r="AF10" s="517"/>
      <c r="AG10" s="517"/>
      <c r="AH10" s="517"/>
      <c r="AI10" s="517"/>
      <c r="AJ10" s="517"/>
      <c r="AK10" s="517"/>
      <c r="AL10" s="517"/>
      <c r="AM10" s="517"/>
      <c r="AN10" s="517"/>
      <c r="AO10" s="518"/>
    </row>
    <row r="11" spans="1:41" ht="31.5" x14ac:dyDescent="0.25">
      <c r="A11" s="515">
        <f t="shared" si="1"/>
        <v>7</v>
      </c>
      <c r="B11" s="519" t="s">
        <v>3643</v>
      </c>
      <c r="C11" s="738"/>
      <c r="D11" s="739"/>
      <c r="E11" s="740"/>
      <c r="F11" s="738"/>
      <c r="G11" s="739"/>
      <c r="H11" s="740"/>
      <c r="I11" s="738"/>
      <c r="J11" s="739"/>
      <c r="K11" s="740"/>
      <c r="L11" s="738"/>
      <c r="M11" s="739"/>
      <c r="N11" s="740"/>
      <c r="O11" s="738"/>
      <c r="P11" s="739"/>
      <c r="Q11" s="740"/>
      <c r="R11" s="738"/>
      <c r="S11" s="739"/>
      <c r="T11" s="740"/>
      <c r="U11" s="738"/>
      <c r="V11" s="739"/>
      <c r="W11" s="740"/>
      <c r="X11" s="738"/>
      <c r="Y11" s="739"/>
      <c r="Z11" s="740"/>
      <c r="AA11" s="738"/>
      <c r="AB11" s="739"/>
      <c r="AC11" s="740"/>
      <c r="AD11" s="738"/>
      <c r="AE11" s="739"/>
      <c r="AF11" s="740"/>
      <c r="AG11" s="738"/>
      <c r="AH11" s="739"/>
      <c r="AI11" s="740"/>
      <c r="AJ11" s="738"/>
      <c r="AK11" s="739"/>
      <c r="AL11" s="740"/>
      <c r="AM11" s="738"/>
      <c r="AN11" s="739"/>
      <c r="AO11" s="740"/>
    </row>
    <row r="12" spans="1:41" ht="30" customHeight="1" x14ac:dyDescent="0.25">
      <c r="A12" s="515">
        <f t="shared" si="1"/>
        <v>8</v>
      </c>
      <c r="B12" s="522" t="s">
        <v>3644</v>
      </c>
      <c r="C12" s="724"/>
      <c r="D12" s="725"/>
      <c r="E12" s="731"/>
      <c r="F12" s="724"/>
      <c r="G12" s="725"/>
      <c r="H12" s="731"/>
      <c r="I12" s="724"/>
      <c r="J12" s="725"/>
      <c r="K12" s="731"/>
      <c r="L12" s="724"/>
      <c r="M12" s="725"/>
      <c r="N12" s="731"/>
      <c r="O12" s="724"/>
      <c r="P12" s="725"/>
      <c r="Q12" s="731"/>
      <c r="R12" s="724"/>
      <c r="S12" s="725"/>
      <c r="T12" s="731"/>
      <c r="U12" s="724"/>
      <c r="V12" s="725"/>
      <c r="W12" s="731"/>
      <c r="X12" s="724"/>
      <c r="Y12" s="725"/>
      <c r="Z12" s="731"/>
      <c r="AA12" s="724"/>
      <c r="AB12" s="725"/>
      <c r="AC12" s="731"/>
      <c r="AD12" s="724"/>
      <c r="AE12" s="725"/>
      <c r="AF12" s="731"/>
      <c r="AG12" s="724"/>
      <c r="AH12" s="725"/>
      <c r="AI12" s="731"/>
      <c r="AJ12" s="724"/>
      <c r="AK12" s="725"/>
      <c r="AL12" s="731"/>
      <c r="AM12" s="724"/>
      <c r="AN12" s="725"/>
      <c r="AO12" s="731"/>
    </row>
    <row r="13" spans="1:41" ht="30" customHeight="1" x14ac:dyDescent="0.25">
      <c r="A13" s="515">
        <f t="shared" si="1"/>
        <v>9</v>
      </c>
      <c r="B13" s="522" t="s">
        <v>3645</v>
      </c>
      <c r="C13" s="724"/>
      <c r="D13" s="725"/>
      <c r="E13" s="731"/>
      <c r="F13" s="724"/>
      <c r="G13" s="725"/>
      <c r="H13" s="731"/>
      <c r="I13" s="724"/>
      <c r="J13" s="725"/>
      <c r="K13" s="731"/>
      <c r="L13" s="724"/>
      <c r="M13" s="725"/>
      <c r="N13" s="731"/>
      <c r="O13" s="724"/>
      <c r="P13" s="725"/>
      <c r="Q13" s="731"/>
      <c r="R13" s="724"/>
      <c r="S13" s="725"/>
      <c r="T13" s="731"/>
      <c r="U13" s="724"/>
      <c r="V13" s="725"/>
      <c r="W13" s="731"/>
      <c r="X13" s="724"/>
      <c r="Y13" s="725"/>
      <c r="Z13" s="731"/>
      <c r="AA13" s="724"/>
      <c r="AB13" s="725"/>
      <c r="AC13" s="731"/>
      <c r="AD13" s="724"/>
      <c r="AE13" s="725"/>
      <c r="AF13" s="731"/>
      <c r="AG13" s="724"/>
      <c r="AH13" s="725"/>
      <c r="AI13" s="731"/>
      <c r="AJ13" s="724"/>
      <c r="AK13" s="725"/>
      <c r="AL13" s="731"/>
      <c r="AM13" s="724"/>
      <c r="AN13" s="725"/>
      <c r="AO13" s="731"/>
    </row>
    <row r="14" spans="1:41" ht="30" customHeight="1" x14ac:dyDescent="0.25">
      <c r="A14" s="515">
        <f t="shared" si="1"/>
        <v>10</v>
      </c>
      <c r="B14" s="522" t="s">
        <v>3646</v>
      </c>
      <c r="C14" s="724"/>
      <c r="D14" s="725"/>
      <c r="E14" s="731"/>
      <c r="F14" s="724"/>
      <c r="G14" s="725"/>
      <c r="H14" s="731"/>
      <c r="I14" s="724"/>
      <c r="J14" s="725"/>
      <c r="K14" s="731"/>
      <c r="L14" s="724"/>
      <c r="M14" s="725"/>
      <c r="N14" s="731"/>
      <c r="O14" s="724"/>
      <c r="P14" s="725"/>
      <c r="Q14" s="731"/>
      <c r="R14" s="724"/>
      <c r="S14" s="725"/>
      <c r="T14" s="731"/>
      <c r="U14" s="724"/>
      <c r="V14" s="725"/>
      <c r="W14" s="731"/>
      <c r="X14" s="724"/>
      <c r="Y14" s="725"/>
      <c r="Z14" s="731"/>
      <c r="AA14" s="724"/>
      <c r="AB14" s="725"/>
      <c r="AC14" s="731"/>
      <c r="AD14" s="724"/>
      <c r="AE14" s="725"/>
      <c r="AF14" s="731"/>
      <c r="AG14" s="724"/>
      <c r="AH14" s="725"/>
      <c r="AI14" s="731"/>
      <c r="AJ14" s="724"/>
      <c r="AK14" s="725"/>
      <c r="AL14" s="731"/>
      <c r="AM14" s="724"/>
      <c r="AN14" s="725"/>
      <c r="AO14" s="731"/>
    </row>
    <row r="15" spans="1:41" ht="30" customHeight="1" x14ac:dyDescent="0.25">
      <c r="A15" s="515">
        <f t="shared" si="1"/>
        <v>11</v>
      </c>
      <c r="B15" s="522" t="s">
        <v>3647</v>
      </c>
      <c r="C15" s="724"/>
      <c r="D15" s="725"/>
      <c r="E15" s="731"/>
      <c r="F15" s="724"/>
      <c r="G15" s="725"/>
      <c r="H15" s="731"/>
      <c r="I15" s="724"/>
      <c r="J15" s="725"/>
      <c r="K15" s="731"/>
      <c r="L15" s="724"/>
      <c r="M15" s="725"/>
      <c r="N15" s="731"/>
      <c r="O15" s="724"/>
      <c r="P15" s="725"/>
      <c r="Q15" s="731"/>
      <c r="R15" s="724"/>
      <c r="S15" s="725"/>
      <c r="T15" s="731"/>
      <c r="U15" s="724"/>
      <c r="V15" s="725"/>
      <c r="W15" s="731"/>
      <c r="X15" s="724"/>
      <c r="Y15" s="725"/>
      <c r="Z15" s="731"/>
      <c r="AA15" s="724"/>
      <c r="AB15" s="725"/>
      <c r="AC15" s="731"/>
      <c r="AD15" s="724"/>
      <c r="AE15" s="725"/>
      <c r="AF15" s="731"/>
      <c r="AG15" s="724"/>
      <c r="AH15" s="725"/>
      <c r="AI15" s="731"/>
      <c r="AJ15" s="724"/>
      <c r="AK15" s="725"/>
      <c r="AL15" s="731"/>
      <c r="AM15" s="724"/>
      <c r="AN15" s="725"/>
      <c r="AO15" s="731"/>
    </row>
    <row r="16" spans="1:41" ht="30" customHeight="1" x14ac:dyDescent="0.25">
      <c r="A16" s="515">
        <f t="shared" si="1"/>
        <v>12</v>
      </c>
      <c r="B16" s="522" t="s">
        <v>3648</v>
      </c>
      <c r="C16" s="724"/>
      <c r="D16" s="725"/>
      <c r="E16" s="731"/>
      <c r="F16" s="724"/>
      <c r="G16" s="725"/>
      <c r="H16" s="731"/>
      <c r="I16" s="724"/>
      <c r="J16" s="725"/>
      <c r="K16" s="731"/>
      <c r="L16" s="724"/>
      <c r="M16" s="725"/>
      <c r="N16" s="731"/>
      <c r="O16" s="724"/>
      <c r="P16" s="725"/>
      <c r="Q16" s="731"/>
      <c r="R16" s="724"/>
      <c r="S16" s="725"/>
      <c r="T16" s="731"/>
      <c r="U16" s="724"/>
      <c r="V16" s="725"/>
      <c r="W16" s="731"/>
      <c r="X16" s="724"/>
      <c r="Y16" s="725"/>
      <c r="Z16" s="731"/>
      <c r="AA16" s="724"/>
      <c r="AB16" s="725"/>
      <c r="AC16" s="731"/>
      <c r="AD16" s="724"/>
      <c r="AE16" s="725"/>
      <c r="AF16" s="731"/>
      <c r="AG16" s="724"/>
      <c r="AH16" s="725"/>
      <c r="AI16" s="731"/>
      <c r="AJ16" s="724"/>
      <c r="AK16" s="725"/>
      <c r="AL16" s="731"/>
      <c r="AM16" s="724"/>
      <c r="AN16" s="725"/>
      <c r="AO16" s="731"/>
    </row>
    <row r="17" spans="1:41" ht="31.5" x14ac:dyDescent="0.25">
      <c r="A17" s="515">
        <f t="shared" si="1"/>
        <v>13</v>
      </c>
      <c r="B17" s="520" t="s">
        <v>3649</v>
      </c>
      <c r="C17" s="724"/>
      <c r="D17" s="725"/>
      <c r="E17" s="731"/>
      <c r="F17" s="724"/>
      <c r="G17" s="725"/>
      <c r="H17" s="731"/>
      <c r="I17" s="724"/>
      <c r="J17" s="725"/>
      <c r="K17" s="731"/>
      <c r="L17" s="724"/>
      <c r="M17" s="725"/>
      <c r="N17" s="731"/>
      <c r="O17" s="724"/>
      <c r="P17" s="725"/>
      <c r="Q17" s="731"/>
      <c r="R17" s="724"/>
      <c r="S17" s="725"/>
      <c r="T17" s="731"/>
      <c r="U17" s="724"/>
      <c r="V17" s="725"/>
      <c r="W17" s="731"/>
      <c r="X17" s="724"/>
      <c r="Y17" s="725"/>
      <c r="Z17" s="731"/>
      <c r="AA17" s="724"/>
      <c r="AB17" s="725"/>
      <c r="AC17" s="731"/>
      <c r="AD17" s="724"/>
      <c r="AE17" s="725"/>
      <c r="AF17" s="731"/>
      <c r="AG17" s="724"/>
      <c r="AH17" s="725"/>
      <c r="AI17" s="731"/>
      <c r="AJ17" s="724"/>
      <c r="AK17" s="725"/>
      <c r="AL17" s="731"/>
      <c r="AM17" s="724"/>
      <c r="AN17" s="725"/>
      <c r="AO17" s="726"/>
    </row>
    <row r="18" spans="1:41" ht="31.5" customHeight="1" thickBot="1" x14ac:dyDescent="0.3">
      <c r="A18" s="515">
        <f t="shared" si="1"/>
        <v>14</v>
      </c>
      <c r="B18" s="521" t="s">
        <v>3650</v>
      </c>
      <c r="C18" s="727" t="str">
        <f>IF(OR(C11="",C17=""),"",C11/SUM(C11,C17))</f>
        <v/>
      </c>
      <c r="D18" s="727"/>
      <c r="E18" s="727"/>
      <c r="F18" s="727" t="str">
        <f>IF(OR(F11="",F17=""),"",F11/SUM(F11,F17))</f>
        <v/>
      </c>
      <c r="G18" s="727"/>
      <c r="H18" s="727"/>
      <c r="I18" s="727" t="str">
        <f>IF(OR(I11="",I17=""),"",I11/SUM(I11,I17))</f>
        <v/>
      </c>
      <c r="J18" s="727"/>
      <c r="K18" s="727"/>
      <c r="L18" s="727" t="str">
        <f>IF(OR(L11="",L17=""),"",L11/SUM(L11,L17))</f>
        <v/>
      </c>
      <c r="M18" s="727"/>
      <c r="N18" s="727"/>
      <c r="O18" s="727" t="str">
        <f>IF(OR(O11="",O17=""),"",O11/SUM(O11,O17))</f>
        <v/>
      </c>
      <c r="P18" s="727"/>
      <c r="Q18" s="727"/>
      <c r="R18" s="727" t="str">
        <f>IF(OR(R11="",R17=""),"",R11/SUM(R11,R17))</f>
        <v/>
      </c>
      <c r="S18" s="727"/>
      <c r="T18" s="727"/>
      <c r="U18" s="727" t="str">
        <f>IF(OR(U11="",U17=""),"",U11/SUM(U11,U17))</f>
        <v/>
      </c>
      <c r="V18" s="727"/>
      <c r="W18" s="727"/>
      <c r="X18" s="727" t="str">
        <f>IF(OR(X11="",X17=""),"",X11/SUM(X11,X17))</f>
        <v/>
      </c>
      <c r="Y18" s="727"/>
      <c r="Z18" s="727"/>
      <c r="AA18" s="728" t="str">
        <f>IF(OR(AA11="",AA17=""),"",AA11/SUM(AA11,AA17))</f>
        <v/>
      </c>
      <c r="AB18" s="729"/>
      <c r="AC18" s="730"/>
      <c r="AD18" s="728" t="str">
        <f>IF(OR(AD11="",AD17=""),"",AD11/SUM(AD11,AD17))</f>
        <v/>
      </c>
      <c r="AE18" s="729"/>
      <c r="AF18" s="730"/>
      <c r="AG18" s="728" t="str">
        <f>IF(OR(AG11="",AG17=""),"",AG11/SUM(AG11,AG17))</f>
        <v/>
      </c>
      <c r="AH18" s="729"/>
      <c r="AI18" s="730"/>
      <c r="AJ18" s="728" t="str">
        <f>IF(OR(AJ11="",AJ17=""),"",AJ11/SUM(AJ11,AJ17))</f>
        <v/>
      </c>
      <c r="AK18" s="729"/>
      <c r="AL18" s="730"/>
      <c r="AM18" s="728" t="str">
        <f>IF(OR(AM11="",AM17=""),"",AM11/SUM(AM11,AM17))</f>
        <v/>
      </c>
      <c r="AN18" s="729"/>
      <c r="AO18" s="737"/>
    </row>
    <row r="19" spans="1:41" ht="30" customHeight="1" thickBot="1" x14ac:dyDescent="0.3">
      <c r="A19" s="515">
        <f t="shared" si="1"/>
        <v>15</v>
      </c>
      <c r="B19" s="517"/>
      <c r="C19" s="523" t="s">
        <v>3651</v>
      </c>
      <c r="D19" s="523" t="s">
        <v>3652</v>
      </c>
      <c r="E19" s="523" t="s">
        <v>3653</v>
      </c>
      <c r="F19" s="523" t="s">
        <v>3651</v>
      </c>
      <c r="G19" s="523" t="s">
        <v>3652</v>
      </c>
      <c r="H19" s="523" t="s">
        <v>3653</v>
      </c>
      <c r="I19" s="523" t="s">
        <v>3651</v>
      </c>
      <c r="J19" s="523" t="s">
        <v>3652</v>
      </c>
      <c r="K19" s="523" t="s">
        <v>3653</v>
      </c>
      <c r="L19" s="523" t="s">
        <v>3651</v>
      </c>
      <c r="M19" s="523" t="s">
        <v>3652</v>
      </c>
      <c r="N19" s="523" t="s">
        <v>3653</v>
      </c>
      <c r="O19" s="523" t="s">
        <v>3651</v>
      </c>
      <c r="P19" s="523" t="s">
        <v>3652</v>
      </c>
      <c r="Q19" s="523" t="s">
        <v>3653</v>
      </c>
      <c r="R19" s="523" t="s">
        <v>3651</v>
      </c>
      <c r="S19" s="523" t="s">
        <v>3652</v>
      </c>
      <c r="T19" s="523" t="s">
        <v>3653</v>
      </c>
      <c r="U19" s="523" t="s">
        <v>3651</v>
      </c>
      <c r="V19" s="523" t="s">
        <v>3652</v>
      </c>
      <c r="W19" s="523" t="s">
        <v>3653</v>
      </c>
      <c r="X19" s="523" t="s">
        <v>3651</v>
      </c>
      <c r="Y19" s="523" t="s">
        <v>3652</v>
      </c>
      <c r="Z19" s="523" t="s">
        <v>3653</v>
      </c>
      <c r="AA19" s="523" t="s">
        <v>3651</v>
      </c>
      <c r="AB19" s="523" t="s">
        <v>3652</v>
      </c>
      <c r="AC19" s="523" t="s">
        <v>3653</v>
      </c>
      <c r="AD19" s="523" t="s">
        <v>3651</v>
      </c>
      <c r="AE19" s="523" t="s">
        <v>3652</v>
      </c>
      <c r="AF19" s="523" t="s">
        <v>3653</v>
      </c>
      <c r="AG19" s="523" t="s">
        <v>3651</v>
      </c>
      <c r="AH19" s="523" t="s">
        <v>3652</v>
      </c>
      <c r="AI19" s="523" t="s">
        <v>3653</v>
      </c>
      <c r="AJ19" s="523" t="s">
        <v>3651</v>
      </c>
      <c r="AK19" s="523" t="s">
        <v>3652</v>
      </c>
      <c r="AL19" s="523" t="s">
        <v>3653</v>
      </c>
      <c r="AM19" s="523" t="s">
        <v>3651</v>
      </c>
      <c r="AN19" s="523" t="s">
        <v>3652</v>
      </c>
      <c r="AO19" s="524" t="s">
        <v>3653</v>
      </c>
    </row>
    <row r="20" spans="1:41" ht="31.5" x14ac:dyDescent="0.25">
      <c r="A20" s="515">
        <f t="shared" si="1"/>
        <v>16</v>
      </c>
      <c r="B20" s="519" t="s">
        <v>3654</v>
      </c>
      <c r="C20" s="548"/>
      <c r="D20" s="548"/>
      <c r="E20" s="525" t="str">
        <f>IF(AND(C20="",D20=""),"",C20+D20/12)</f>
        <v/>
      </c>
      <c r="F20" s="548"/>
      <c r="G20" s="548"/>
      <c r="H20" s="525" t="str">
        <f>IF(AND(F20="",G20=""),"",F20+G20/12)</f>
        <v/>
      </c>
      <c r="I20" s="548"/>
      <c r="J20" s="548"/>
      <c r="K20" s="525" t="str">
        <f>IF(AND(I20="",J20=""),"",I20+J20/12)</f>
        <v/>
      </c>
      <c r="L20" s="548"/>
      <c r="M20" s="548"/>
      <c r="N20" s="525" t="str">
        <f>IF(AND(L20="",M20=""),"",L20+M20/12)</f>
        <v/>
      </c>
      <c r="O20" s="548"/>
      <c r="P20" s="548"/>
      <c r="Q20" s="525" t="str">
        <f>IF(AND(O20="",P20=""),"",O20+P20/12)</f>
        <v/>
      </c>
      <c r="R20" s="548"/>
      <c r="S20" s="548"/>
      <c r="T20" s="525" t="str">
        <f>IF(AND(R20="",S20=""),"",R20+S20/12)</f>
        <v/>
      </c>
      <c r="U20" s="548"/>
      <c r="V20" s="548"/>
      <c r="W20" s="525" t="str">
        <f>IF(AND(U20="",V20=""),"",U20+V20/12)</f>
        <v/>
      </c>
      <c r="X20" s="548"/>
      <c r="Y20" s="548"/>
      <c r="Z20" s="525" t="str">
        <f>IF(AND(X20="",Y20=""),"",X20+Y20/12)</f>
        <v/>
      </c>
      <c r="AA20" s="548"/>
      <c r="AB20" s="548"/>
      <c r="AC20" s="525" t="str">
        <f>IF(AND(AA20="",AB20=""),"",AA20+AB20/12)</f>
        <v/>
      </c>
      <c r="AD20" s="548"/>
      <c r="AE20" s="548"/>
      <c r="AF20" s="525" t="str">
        <f>IF(AND(AD20="",AE20=""),"",AD20+AE20/12)</f>
        <v/>
      </c>
      <c r="AG20" s="548"/>
      <c r="AH20" s="548"/>
      <c r="AI20" s="525" t="str">
        <f>IF(AND(AG20="",AH20=""),"",AG20+AH20/12)</f>
        <v/>
      </c>
      <c r="AJ20" s="548"/>
      <c r="AK20" s="548"/>
      <c r="AL20" s="525" t="str">
        <f>IF(AND(AJ20="",AK20=""),"",AJ20+AK20/12)</f>
        <v/>
      </c>
      <c r="AM20" s="548"/>
      <c r="AN20" s="548"/>
      <c r="AO20" s="526" t="str">
        <f>IF(AND(AM20="",AN20=""),"",AM20+AN20/12)</f>
        <v/>
      </c>
    </row>
    <row r="21" spans="1:41" ht="47.25" x14ac:dyDescent="0.25">
      <c r="A21" s="515">
        <f t="shared" si="1"/>
        <v>17</v>
      </c>
      <c r="B21" s="520" t="s">
        <v>3655</v>
      </c>
      <c r="C21" s="724"/>
      <c r="D21" s="725"/>
      <c r="E21" s="731"/>
      <c r="F21" s="724"/>
      <c r="G21" s="725"/>
      <c r="H21" s="731"/>
      <c r="I21" s="724"/>
      <c r="J21" s="725"/>
      <c r="K21" s="731"/>
      <c r="L21" s="724"/>
      <c r="M21" s="725"/>
      <c r="N21" s="731"/>
      <c r="O21" s="724"/>
      <c r="P21" s="725"/>
      <c r="Q21" s="731"/>
      <c r="R21" s="724"/>
      <c r="S21" s="725"/>
      <c r="T21" s="731"/>
      <c r="U21" s="724"/>
      <c r="V21" s="725"/>
      <c r="W21" s="731"/>
      <c r="X21" s="724"/>
      <c r="Y21" s="725"/>
      <c r="Z21" s="731"/>
      <c r="AA21" s="724"/>
      <c r="AB21" s="725"/>
      <c r="AC21" s="731"/>
      <c r="AD21" s="724"/>
      <c r="AE21" s="725"/>
      <c r="AF21" s="731"/>
      <c r="AG21" s="724"/>
      <c r="AH21" s="725"/>
      <c r="AI21" s="731"/>
      <c r="AJ21" s="724"/>
      <c r="AK21" s="725"/>
      <c r="AL21" s="731"/>
      <c r="AM21" s="724"/>
      <c r="AN21" s="725"/>
      <c r="AO21" s="726"/>
    </row>
    <row r="22" spans="1:41" ht="30" customHeight="1" x14ac:dyDescent="0.25">
      <c r="A22" s="515">
        <f>A21+1</f>
        <v>18</v>
      </c>
      <c r="B22" s="520" t="s">
        <v>3656</v>
      </c>
      <c r="C22" s="724"/>
      <c r="D22" s="725"/>
      <c r="E22" s="731"/>
      <c r="F22" s="724"/>
      <c r="G22" s="725"/>
      <c r="H22" s="731"/>
      <c r="I22" s="724"/>
      <c r="J22" s="725"/>
      <c r="K22" s="731"/>
      <c r="L22" s="724"/>
      <c r="M22" s="725"/>
      <c r="N22" s="731"/>
      <c r="O22" s="724"/>
      <c r="P22" s="725"/>
      <c r="Q22" s="731"/>
      <c r="R22" s="724"/>
      <c r="S22" s="725"/>
      <c r="T22" s="731"/>
      <c r="U22" s="724"/>
      <c r="V22" s="725"/>
      <c r="W22" s="731"/>
      <c r="X22" s="724"/>
      <c r="Y22" s="725"/>
      <c r="Z22" s="731"/>
      <c r="AA22" s="724"/>
      <c r="AB22" s="725"/>
      <c r="AC22" s="731"/>
      <c r="AD22" s="724"/>
      <c r="AE22" s="725"/>
      <c r="AF22" s="731"/>
      <c r="AG22" s="724"/>
      <c r="AH22" s="725"/>
      <c r="AI22" s="731"/>
      <c r="AJ22" s="724"/>
      <c r="AK22" s="725"/>
      <c r="AL22" s="731"/>
      <c r="AM22" s="724"/>
      <c r="AN22" s="725"/>
      <c r="AO22" s="726"/>
    </row>
    <row r="23" spans="1:41" ht="33.75" customHeight="1" x14ac:dyDescent="0.25">
      <c r="A23" s="515">
        <f t="shared" si="1"/>
        <v>19</v>
      </c>
      <c r="B23" s="520" t="s">
        <v>3657</v>
      </c>
      <c r="C23" s="736" t="str">
        <f>IF(OR(C11="",C22="",C24=""),"",C22/SUM(C11,C22,C24))</f>
        <v/>
      </c>
      <c r="D23" s="736"/>
      <c r="E23" s="736"/>
      <c r="F23" s="736" t="str">
        <f>IF(OR(F11="",F22=""),"",F22/SUM(F11,F22))</f>
        <v/>
      </c>
      <c r="G23" s="736"/>
      <c r="H23" s="736"/>
      <c r="I23" s="736" t="str">
        <f>IF(OR(I11="",I22=""),"",I22/SUM(I11,I22))</f>
        <v/>
      </c>
      <c r="J23" s="736"/>
      <c r="K23" s="736"/>
      <c r="L23" s="736" t="str">
        <f>IF(OR(L11="",L22=""),"",L22/SUM(L11,L22))</f>
        <v/>
      </c>
      <c r="M23" s="736"/>
      <c r="N23" s="736"/>
      <c r="O23" s="736" t="str">
        <f>IF(OR(O11="",O22=""),"",O22/SUM(O11,O22))</f>
        <v/>
      </c>
      <c r="P23" s="736"/>
      <c r="Q23" s="736"/>
      <c r="R23" s="736" t="str">
        <f>IF(OR(R11="",R22=""),"",R22/SUM(R11,R22))</f>
        <v/>
      </c>
      <c r="S23" s="736"/>
      <c r="T23" s="736"/>
      <c r="U23" s="736" t="str">
        <f>IF(OR(U11="",U22=""),"",U22/SUM(U11,U22))</f>
        <v/>
      </c>
      <c r="V23" s="736"/>
      <c r="W23" s="736"/>
      <c r="X23" s="736" t="str">
        <f>IF(OR(X11="",X22=""),"",X22/SUM(X11,X22))</f>
        <v/>
      </c>
      <c r="Y23" s="736"/>
      <c r="Z23" s="736"/>
      <c r="AA23" s="732" t="str">
        <f>IF(OR(AA11="",AA22=""),"",AA22/SUM(AA11,AA22))</f>
        <v/>
      </c>
      <c r="AB23" s="733"/>
      <c r="AC23" s="734"/>
      <c r="AD23" s="732" t="str">
        <f>IF(OR(AD11="",AD22=""),"",AD22/SUM(AD11,AD22))</f>
        <v/>
      </c>
      <c r="AE23" s="733"/>
      <c r="AF23" s="734"/>
      <c r="AG23" s="732" t="str">
        <f>IF(OR(AG11="",AG22=""),"",AG22/SUM(AG11,AG22))</f>
        <v/>
      </c>
      <c r="AH23" s="733"/>
      <c r="AI23" s="734"/>
      <c r="AJ23" s="732" t="str">
        <f>IF(OR(AJ11="",AJ22=""),"",AJ22/SUM(AJ11,AJ22))</f>
        <v/>
      </c>
      <c r="AK23" s="733"/>
      <c r="AL23" s="734"/>
      <c r="AM23" s="732" t="str">
        <f>IF(OR(AM11="",AM22=""),"",AM22/SUM(AM11,AM22))</f>
        <v/>
      </c>
      <c r="AN23" s="733"/>
      <c r="AO23" s="735"/>
    </row>
    <row r="24" spans="1:41" s="379" customFormat="1" ht="47.25" x14ac:dyDescent="0.25">
      <c r="A24" s="515">
        <f t="shared" si="1"/>
        <v>20</v>
      </c>
      <c r="B24" s="520" t="s">
        <v>3658</v>
      </c>
      <c r="C24" s="724"/>
      <c r="D24" s="725"/>
      <c r="E24" s="731"/>
      <c r="F24" s="724"/>
      <c r="G24" s="725"/>
      <c r="H24" s="731"/>
      <c r="I24" s="724"/>
      <c r="J24" s="725"/>
      <c r="K24" s="731"/>
      <c r="L24" s="724"/>
      <c r="M24" s="725"/>
      <c r="N24" s="731"/>
      <c r="O24" s="724"/>
      <c r="P24" s="725"/>
      <c r="Q24" s="731"/>
      <c r="R24" s="724"/>
      <c r="S24" s="725"/>
      <c r="T24" s="731"/>
      <c r="U24" s="724"/>
      <c r="V24" s="725"/>
      <c r="W24" s="731"/>
      <c r="X24" s="724"/>
      <c r="Y24" s="725"/>
      <c r="Z24" s="731"/>
      <c r="AA24" s="724"/>
      <c r="AB24" s="725"/>
      <c r="AC24" s="731"/>
      <c r="AD24" s="724"/>
      <c r="AE24" s="725"/>
      <c r="AF24" s="731"/>
      <c r="AG24" s="724"/>
      <c r="AH24" s="725"/>
      <c r="AI24" s="731"/>
      <c r="AJ24" s="724"/>
      <c r="AK24" s="725"/>
      <c r="AL24" s="731"/>
      <c r="AM24" s="724"/>
      <c r="AN24" s="725"/>
      <c r="AO24" s="726"/>
    </row>
    <row r="25" spans="1:41" s="379" customFormat="1" ht="48" thickBot="1" x14ac:dyDescent="0.3">
      <c r="A25" s="515">
        <f t="shared" si="1"/>
        <v>21</v>
      </c>
      <c r="B25" s="521" t="s">
        <v>3659</v>
      </c>
      <c r="C25" s="727" t="str">
        <f>IF(OR(C11="",C22="",C24=""),"",C24/SUM(C11,C22,C24))</f>
        <v/>
      </c>
      <c r="D25" s="727"/>
      <c r="E25" s="727"/>
      <c r="F25" s="727" t="str">
        <f>IF(OR(F11="",F24=""),"",F24/SUM(F11,F24))</f>
        <v/>
      </c>
      <c r="G25" s="727"/>
      <c r="H25" s="727"/>
      <c r="I25" s="727" t="str">
        <f>IF(OR(I11="",I24=""),"",I24/SUM(I11,I24))</f>
        <v/>
      </c>
      <c r="J25" s="727"/>
      <c r="K25" s="727"/>
      <c r="L25" s="727" t="str">
        <f>IF(OR(L11="",L24=""),"",L24/SUM(L11,L24))</f>
        <v/>
      </c>
      <c r="M25" s="727"/>
      <c r="N25" s="727"/>
      <c r="O25" s="727" t="str">
        <f>IF(OR(O11="",O24=""),"",O24/SUM(O11,O24))</f>
        <v/>
      </c>
      <c r="P25" s="727"/>
      <c r="Q25" s="727"/>
      <c r="R25" s="727" t="str">
        <f>IF(OR(R11="",R24=""),"",R24/SUM(R11,R24))</f>
        <v/>
      </c>
      <c r="S25" s="727"/>
      <c r="T25" s="727"/>
      <c r="U25" s="727" t="str">
        <f>IF(OR(U11="",U24=""),"",U24/SUM(U11,U24))</f>
        <v/>
      </c>
      <c r="V25" s="727"/>
      <c r="W25" s="727"/>
      <c r="X25" s="727" t="str">
        <f>IF(OR(X11="",X24=""),"",X24/SUM(X11,X24))</f>
        <v/>
      </c>
      <c r="Y25" s="727"/>
      <c r="Z25" s="727"/>
      <c r="AA25" s="728" t="str">
        <f>IF(OR(AA11="",AA24=""),"",AA24/SUM(AA11,AA24))</f>
        <v/>
      </c>
      <c r="AB25" s="729"/>
      <c r="AC25" s="730"/>
      <c r="AD25" s="728" t="str">
        <f>IF(OR(AD11="",AD24=""),"",AD24/SUM(AD11,AD24))</f>
        <v/>
      </c>
      <c r="AE25" s="729"/>
      <c r="AF25" s="730"/>
      <c r="AG25" s="728" t="str">
        <f>IF(OR(AG11="",AG24=""),"",AG24/SUM(AG11,AG24))</f>
        <v/>
      </c>
      <c r="AH25" s="729"/>
      <c r="AI25" s="730"/>
      <c r="AJ25" s="728" t="str">
        <f>IF(OR(AJ11="",AJ24=""),"",AJ24/SUM(AJ11,AJ24))</f>
        <v/>
      </c>
      <c r="AK25" s="729"/>
      <c r="AL25" s="730"/>
      <c r="AM25" s="728" t="str">
        <f>IF(OR(AM11="",AM24=""),"",AM24/SUM(AM11,AM24))</f>
        <v/>
      </c>
      <c r="AN25" s="729"/>
      <c r="AO25" s="737"/>
    </row>
    <row r="26" spans="1:41" ht="30" customHeight="1" thickBot="1" x14ac:dyDescent="0.3">
      <c r="A26" s="515">
        <f t="shared" si="1"/>
        <v>22</v>
      </c>
      <c r="B26" s="517"/>
      <c r="C26" s="523" t="s">
        <v>3651</v>
      </c>
      <c r="D26" s="523" t="s">
        <v>3652</v>
      </c>
      <c r="E26" s="523" t="s">
        <v>3653</v>
      </c>
      <c r="F26" s="523" t="s">
        <v>3651</v>
      </c>
      <c r="G26" s="523" t="s">
        <v>3652</v>
      </c>
      <c r="H26" s="523" t="s">
        <v>3653</v>
      </c>
      <c r="I26" s="523" t="s">
        <v>3651</v>
      </c>
      <c r="J26" s="523" t="s">
        <v>3652</v>
      </c>
      <c r="K26" s="523" t="s">
        <v>3653</v>
      </c>
      <c r="L26" s="523" t="s">
        <v>3651</v>
      </c>
      <c r="M26" s="523" t="s">
        <v>3652</v>
      </c>
      <c r="N26" s="523" t="s">
        <v>3653</v>
      </c>
      <c r="O26" s="523" t="s">
        <v>3651</v>
      </c>
      <c r="P26" s="523" t="s">
        <v>3652</v>
      </c>
      <c r="Q26" s="523" t="s">
        <v>3653</v>
      </c>
      <c r="R26" s="523" t="s">
        <v>3651</v>
      </c>
      <c r="S26" s="523" t="s">
        <v>3652</v>
      </c>
      <c r="T26" s="523" t="s">
        <v>3653</v>
      </c>
      <c r="U26" s="523" t="s">
        <v>3651</v>
      </c>
      <c r="V26" s="523" t="s">
        <v>3652</v>
      </c>
      <c r="W26" s="523" t="s">
        <v>3653</v>
      </c>
      <c r="X26" s="523" t="s">
        <v>3651</v>
      </c>
      <c r="Y26" s="523" t="s">
        <v>3652</v>
      </c>
      <c r="Z26" s="523" t="s">
        <v>3653</v>
      </c>
      <c r="AA26" s="523" t="s">
        <v>3651</v>
      </c>
      <c r="AB26" s="523" t="s">
        <v>3652</v>
      </c>
      <c r="AC26" s="523" t="s">
        <v>3653</v>
      </c>
      <c r="AD26" s="523" t="s">
        <v>3651</v>
      </c>
      <c r="AE26" s="523" t="s">
        <v>3652</v>
      </c>
      <c r="AF26" s="523" t="s">
        <v>3653</v>
      </c>
      <c r="AG26" s="523" t="s">
        <v>3651</v>
      </c>
      <c r="AH26" s="523" t="s">
        <v>3652</v>
      </c>
      <c r="AI26" s="523" t="s">
        <v>3653</v>
      </c>
      <c r="AJ26" s="523" t="s">
        <v>3651</v>
      </c>
      <c r="AK26" s="523" t="s">
        <v>3652</v>
      </c>
      <c r="AL26" s="523" t="s">
        <v>3653</v>
      </c>
      <c r="AM26" s="523" t="s">
        <v>3651</v>
      </c>
      <c r="AN26" s="523" t="s">
        <v>3652</v>
      </c>
      <c r="AO26" s="524" t="s">
        <v>3653</v>
      </c>
    </row>
    <row r="27" spans="1:41" s="379" customFormat="1" ht="32.25" thickBot="1" x14ac:dyDescent="0.3">
      <c r="A27" s="527">
        <f t="shared" si="1"/>
        <v>23</v>
      </c>
      <c r="B27" s="528" t="s">
        <v>3660</v>
      </c>
      <c r="C27" s="529"/>
      <c r="D27" s="529"/>
      <c r="E27" s="530" t="str">
        <f>IF(AND(C27="",D27=""),"",C27+D27/12)</f>
        <v/>
      </c>
      <c r="F27" s="529"/>
      <c r="G27" s="529"/>
      <c r="H27" s="530" t="str">
        <f>IF(AND(F27="",G27=""),"",F27+G27/12)</f>
        <v/>
      </c>
      <c r="I27" s="529"/>
      <c r="J27" s="529"/>
      <c r="K27" s="530" t="str">
        <f>IF(AND(I27="",J27=""),"",I27+J27/12)</f>
        <v/>
      </c>
      <c r="L27" s="529"/>
      <c r="M27" s="529"/>
      <c r="N27" s="530" t="str">
        <f>IF(AND(L27="",M27=""),"",L27+M27/12)</f>
        <v/>
      </c>
      <c r="O27" s="529"/>
      <c r="P27" s="529"/>
      <c r="Q27" s="530" t="str">
        <f>IF(AND(O27="",P27=""),"",O27+P27/12)</f>
        <v/>
      </c>
      <c r="R27" s="529"/>
      <c r="S27" s="529"/>
      <c r="T27" s="530" t="str">
        <f>IF(AND(R27="",S27=""),"",R27+S27/12)</f>
        <v/>
      </c>
      <c r="U27" s="529"/>
      <c r="V27" s="529"/>
      <c r="W27" s="530" t="str">
        <f>IF(AND(U27="",V27=""),"",U27+V27/12)</f>
        <v/>
      </c>
      <c r="X27" s="529"/>
      <c r="Y27" s="529"/>
      <c r="Z27" s="530" t="str">
        <f>IF(AND(X27="",Y27=""),"",X27+Y27/12)</f>
        <v/>
      </c>
      <c r="AA27" s="529"/>
      <c r="AB27" s="529"/>
      <c r="AC27" s="530" t="str">
        <f>IF(AND(AA27="",AB27=""),"",AA27+AB27/12)</f>
        <v/>
      </c>
      <c r="AD27" s="529"/>
      <c r="AE27" s="529"/>
      <c r="AF27" s="530" t="str">
        <f>IF(AND(AD27="",AE27=""),"",AD27+AE27/12)</f>
        <v/>
      </c>
      <c r="AG27" s="529"/>
      <c r="AH27" s="529"/>
      <c r="AI27" s="530" t="str">
        <f>IF(AND(AG27="",AH27=""),"",AG27+AH27/12)</f>
        <v/>
      </c>
      <c r="AJ27" s="529"/>
      <c r="AK27" s="529"/>
      <c r="AL27" s="530" t="str">
        <f>IF(AND(AJ27="",AK27=""),"",AJ27+AK27/12)</f>
        <v/>
      </c>
      <c r="AM27" s="529"/>
      <c r="AN27" s="529"/>
      <c r="AO27" s="531" t="str">
        <f>IF(AND(AM27="",AN27=""),"",AM27+AN27/12)</f>
        <v/>
      </c>
    </row>
    <row r="28" spans="1:41" s="379" customFormat="1" ht="37.5" customHeight="1" x14ac:dyDescent="0.25">
      <c r="A28" s="532"/>
      <c r="B28" s="310"/>
      <c r="C28" s="533"/>
      <c r="D28" s="533"/>
      <c r="E28" s="533"/>
      <c r="F28" s="533"/>
      <c r="G28" s="533"/>
      <c r="H28" s="533"/>
      <c r="I28" s="533"/>
      <c r="J28" s="533"/>
      <c r="K28" s="533"/>
      <c r="L28" s="533"/>
      <c r="M28" s="533"/>
      <c r="N28" s="533"/>
      <c r="O28" s="533"/>
      <c r="P28" s="533"/>
      <c r="Q28" s="533"/>
      <c r="R28" s="533"/>
      <c r="S28" s="533"/>
      <c r="T28" s="533"/>
      <c r="U28" s="533"/>
      <c r="V28" s="533"/>
      <c r="W28" s="533"/>
      <c r="X28" s="533"/>
      <c r="Y28" s="533"/>
      <c r="Z28" s="533"/>
      <c r="AA28" s="533"/>
      <c r="AB28" s="533"/>
      <c r="AC28" s="533"/>
      <c r="AD28" s="533"/>
      <c r="AE28" s="533"/>
      <c r="AF28" s="533"/>
      <c r="AG28" s="533"/>
      <c r="AH28" s="533"/>
      <c r="AI28" s="533"/>
      <c r="AJ28" s="533"/>
      <c r="AK28" s="533"/>
      <c r="AL28" s="533"/>
      <c r="AM28" s="533"/>
      <c r="AN28" s="533"/>
      <c r="AO28" s="533"/>
    </row>
  </sheetData>
  <sheetProtection password="D8E9" sheet="1" objects="1" scenarios="1"/>
  <mergeCells count="249">
    <mergeCell ref="AD5:AF5"/>
    <mergeCell ref="AG5:AI5"/>
    <mergeCell ref="AJ5:AL5"/>
    <mergeCell ref="AM5:AO5"/>
    <mergeCell ref="C5:E5"/>
    <mergeCell ref="F5:H5"/>
    <mergeCell ref="I5:K5"/>
    <mergeCell ref="L5:N5"/>
    <mergeCell ref="O5:Q5"/>
    <mergeCell ref="R5:T5"/>
    <mergeCell ref="U5:W5"/>
    <mergeCell ref="X5:Z5"/>
    <mergeCell ref="AA5:AC5"/>
    <mergeCell ref="C1:AO1"/>
    <mergeCell ref="F2:AO2"/>
    <mergeCell ref="C3:E3"/>
    <mergeCell ref="F3:H3"/>
    <mergeCell ref="I3:K3"/>
    <mergeCell ref="L3:N3"/>
    <mergeCell ref="O3:Q3"/>
    <mergeCell ref="R3:T3"/>
    <mergeCell ref="U3:W3"/>
    <mergeCell ref="X3:Z3"/>
    <mergeCell ref="AA3:AC3"/>
    <mergeCell ref="AD3:AF3"/>
    <mergeCell ref="AG3:AI3"/>
    <mergeCell ref="AJ3:AL3"/>
    <mergeCell ref="AM3:AO3"/>
    <mergeCell ref="C4:E4"/>
    <mergeCell ref="F4:H4"/>
    <mergeCell ref="I4:K4"/>
    <mergeCell ref="L4:N4"/>
    <mergeCell ref="O4:Q4"/>
    <mergeCell ref="AJ4:AL4"/>
    <mergeCell ref="AM4:AO4"/>
    <mergeCell ref="C7:E7"/>
    <mergeCell ref="F7:H7"/>
    <mergeCell ref="I7:K7"/>
    <mergeCell ref="L7:N7"/>
    <mergeCell ref="O7:Q7"/>
    <mergeCell ref="R7:T7"/>
    <mergeCell ref="U7:W7"/>
    <mergeCell ref="X7:Z7"/>
    <mergeCell ref="R4:T4"/>
    <mergeCell ref="U4:W4"/>
    <mergeCell ref="X4:Z4"/>
    <mergeCell ref="AA4:AC4"/>
    <mergeCell ref="AD4:AF4"/>
    <mergeCell ref="AG4:AI4"/>
    <mergeCell ref="AA7:AC7"/>
    <mergeCell ref="AD7:AF7"/>
    <mergeCell ref="AG7:AI7"/>
    <mergeCell ref="U9:W9"/>
    <mergeCell ref="X9:Z9"/>
    <mergeCell ref="R8:T8"/>
    <mergeCell ref="U8:W8"/>
    <mergeCell ref="X8:Z8"/>
    <mergeCell ref="AJ7:AL7"/>
    <mergeCell ref="AM7:AO7"/>
    <mergeCell ref="C8:E8"/>
    <mergeCell ref="F8:H8"/>
    <mergeCell ref="I8:K8"/>
    <mergeCell ref="L8:N8"/>
    <mergeCell ref="O8:Q8"/>
    <mergeCell ref="AJ8:AL8"/>
    <mergeCell ref="AM8:AO8"/>
    <mergeCell ref="AA8:AC8"/>
    <mergeCell ref="AD8:AF8"/>
    <mergeCell ref="AG8:AI8"/>
    <mergeCell ref="R11:T11"/>
    <mergeCell ref="U11:W11"/>
    <mergeCell ref="X11:Z11"/>
    <mergeCell ref="AA9:AC9"/>
    <mergeCell ref="AD9:AF9"/>
    <mergeCell ref="AG9:AI9"/>
    <mergeCell ref="AJ9:AL9"/>
    <mergeCell ref="AM9:AO9"/>
    <mergeCell ref="C11:E11"/>
    <mergeCell ref="F11:H11"/>
    <mergeCell ref="I11:K11"/>
    <mergeCell ref="L11:N11"/>
    <mergeCell ref="O11:Q11"/>
    <mergeCell ref="AJ11:AL11"/>
    <mergeCell ref="AM11:AO11"/>
    <mergeCell ref="AA11:AC11"/>
    <mergeCell ref="AD11:AF11"/>
    <mergeCell ref="AG11:AI11"/>
    <mergeCell ref="C9:E9"/>
    <mergeCell ref="F9:H9"/>
    <mergeCell ref="I9:K9"/>
    <mergeCell ref="L9:N9"/>
    <mergeCell ref="O9:Q9"/>
    <mergeCell ref="R9:T9"/>
    <mergeCell ref="AM12:AO12"/>
    <mergeCell ref="C13:E13"/>
    <mergeCell ref="F13:H13"/>
    <mergeCell ref="I13:K13"/>
    <mergeCell ref="L13:N13"/>
    <mergeCell ref="O13:Q13"/>
    <mergeCell ref="AJ13:AL13"/>
    <mergeCell ref="AM13:AO13"/>
    <mergeCell ref="AA13:AC13"/>
    <mergeCell ref="AD13:AF13"/>
    <mergeCell ref="AG13:AI13"/>
    <mergeCell ref="C12:E12"/>
    <mergeCell ref="F12:H12"/>
    <mergeCell ref="I12:K12"/>
    <mergeCell ref="L12:N12"/>
    <mergeCell ref="O12:Q12"/>
    <mergeCell ref="R12:T12"/>
    <mergeCell ref="U12:W12"/>
    <mergeCell ref="X12:Z12"/>
    <mergeCell ref="U14:W14"/>
    <mergeCell ref="X14:Z14"/>
    <mergeCell ref="R13:T13"/>
    <mergeCell ref="U13:W13"/>
    <mergeCell ref="X13:Z13"/>
    <mergeCell ref="AA12:AC12"/>
    <mergeCell ref="AD12:AF12"/>
    <mergeCell ref="AG12:AI12"/>
    <mergeCell ref="AJ12:AL12"/>
    <mergeCell ref="R15:T15"/>
    <mergeCell ref="U15:W15"/>
    <mergeCell ref="X15:Z15"/>
    <mergeCell ref="AA14:AC14"/>
    <mergeCell ref="AD14:AF14"/>
    <mergeCell ref="AG14:AI14"/>
    <mergeCell ref="AJ14:AL14"/>
    <mergeCell ref="AM14:AO14"/>
    <mergeCell ref="C15:E15"/>
    <mergeCell ref="F15:H15"/>
    <mergeCell ref="I15:K15"/>
    <mergeCell ref="L15:N15"/>
    <mergeCell ref="O15:Q15"/>
    <mergeCell ref="AJ15:AL15"/>
    <mergeCell ref="AM15:AO15"/>
    <mergeCell ref="AA15:AC15"/>
    <mergeCell ref="AD15:AF15"/>
    <mergeCell ref="AG15:AI15"/>
    <mergeCell ref="C14:E14"/>
    <mergeCell ref="F14:H14"/>
    <mergeCell ref="I14:K14"/>
    <mergeCell ref="L14:N14"/>
    <mergeCell ref="O14:Q14"/>
    <mergeCell ref="R14:T14"/>
    <mergeCell ref="AM16:AO16"/>
    <mergeCell ref="C17:E17"/>
    <mergeCell ref="F17:H17"/>
    <mergeCell ref="I17:K17"/>
    <mergeCell ref="L17:N17"/>
    <mergeCell ref="O17:Q17"/>
    <mergeCell ref="AJ17:AL17"/>
    <mergeCell ref="AM17:AO17"/>
    <mergeCell ref="AA17:AC17"/>
    <mergeCell ref="AD17:AF17"/>
    <mergeCell ref="AG17:AI17"/>
    <mergeCell ref="C16:E16"/>
    <mergeCell ref="F16:H16"/>
    <mergeCell ref="I16:K16"/>
    <mergeCell ref="L16:N16"/>
    <mergeCell ref="O16:Q16"/>
    <mergeCell ref="R16:T16"/>
    <mergeCell ref="U16:W16"/>
    <mergeCell ref="X16:Z16"/>
    <mergeCell ref="U18:W18"/>
    <mergeCell ref="X18:Z18"/>
    <mergeCell ref="R17:T17"/>
    <mergeCell ref="U17:W17"/>
    <mergeCell ref="X17:Z17"/>
    <mergeCell ref="AA16:AC16"/>
    <mergeCell ref="AD16:AF16"/>
    <mergeCell ref="AG16:AI16"/>
    <mergeCell ref="AJ16:AL16"/>
    <mergeCell ref="R21:T21"/>
    <mergeCell ref="U21:W21"/>
    <mergeCell ref="X21:Z21"/>
    <mergeCell ref="AA18:AC18"/>
    <mergeCell ref="AD18:AF18"/>
    <mergeCell ref="AG18:AI18"/>
    <mergeCell ref="AJ18:AL18"/>
    <mergeCell ref="AM18:AO18"/>
    <mergeCell ref="C21:E21"/>
    <mergeCell ref="F21:H21"/>
    <mergeCell ref="I21:K21"/>
    <mergeCell ref="L21:N21"/>
    <mergeCell ref="O21:Q21"/>
    <mergeCell ref="AJ21:AL21"/>
    <mergeCell ref="AM21:AO21"/>
    <mergeCell ref="AA21:AC21"/>
    <mergeCell ref="AD21:AF21"/>
    <mergeCell ref="AG21:AI21"/>
    <mergeCell ref="C18:E18"/>
    <mergeCell ref="F18:H18"/>
    <mergeCell ref="I18:K18"/>
    <mergeCell ref="L18:N18"/>
    <mergeCell ref="O18:Q18"/>
    <mergeCell ref="R18:T18"/>
    <mergeCell ref="AA22:AC22"/>
    <mergeCell ref="AD22:AF22"/>
    <mergeCell ref="AG22:AI22"/>
    <mergeCell ref="AJ22:AL22"/>
    <mergeCell ref="AM22:AO22"/>
    <mergeCell ref="C23:E23"/>
    <mergeCell ref="F23:H23"/>
    <mergeCell ref="I23:K23"/>
    <mergeCell ref="L23:N23"/>
    <mergeCell ref="O23:Q23"/>
    <mergeCell ref="C22:E22"/>
    <mergeCell ref="F22:H22"/>
    <mergeCell ref="I22:K22"/>
    <mergeCell ref="L22:N22"/>
    <mergeCell ref="O22:Q22"/>
    <mergeCell ref="R22:T22"/>
    <mergeCell ref="U22:W22"/>
    <mergeCell ref="X22:Z22"/>
    <mergeCell ref="C25:E25"/>
    <mergeCell ref="F25:H25"/>
    <mergeCell ref="I25:K25"/>
    <mergeCell ref="L25:N25"/>
    <mergeCell ref="O25:Q25"/>
    <mergeCell ref="AJ23:AL23"/>
    <mergeCell ref="AM23:AO23"/>
    <mergeCell ref="C24:E24"/>
    <mergeCell ref="F24:H24"/>
    <mergeCell ref="I24:K24"/>
    <mergeCell ref="L24:N24"/>
    <mergeCell ref="O24:Q24"/>
    <mergeCell ref="R24:T24"/>
    <mergeCell ref="U24:W24"/>
    <mergeCell ref="X24:Z24"/>
    <mergeCell ref="R23:T23"/>
    <mergeCell ref="U23:W23"/>
    <mergeCell ref="X23:Z23"/>
    <mergeCell ref="AA23:AC23"/>
    <mergeCell ref="AD23:AF23"/>
    <mergeCell ref="AG23:AI23"/>
    <mergeCell ref="AJ25:AL25"/>
    <mergeCell ref="AM25:AO25"/>
    <mergeCell ref="R25:T25"/>
    <mergeCell ref="AM24:AO24"/>
    <mergeCell ref="U25:W25"/>
    <mergeCell ref="X25:Z25"/>
    <mergeCell ref="AA25:AC25"/>
    <mergeCell ref="AD25:AF25"/>
    <mergeCell ref="AG25:AI25"/>
    <mergeCell ref="AA24:AC24"/>
    <mergeCell ref="AD24:AF24"/>
    <mergeCell ref="AG24:AI24"/>
    <mergeCell ref="AJ24:AL24"/>
  </mergeCells>
  <conditionalFormatting sqref="A2">
    <cfRule type="cellIs" dxfId="192" priority="134" operator="lessThan">
      <formula>0</formula>
    </cfRule>
  </conditionalFormatting>
  <conditionalFormatting sqref="D20">
    <cfRule type="cellIs" dxfId="191" priority="127" operator="greaterThan">
      <formula>12</formula>
    </cfRule>
  </conditionalFormatting>
  <conditionalFormatting sqref="G20 J20 M20 P20 S20 V20 Y20 AB20 AE20 AH20 AK20 AN20 D27 G27 J27 M27 P27 S27 V27 Y27 AB27 AE27 AH27 AK27 AN27">
    <cfRule type="cellIs" dxfId="190" priority="126" operator="greaterThan">
      <formula>12</formula>
    </cfRule>
  </conditionalFormatting>
  <conditionalFormatting sqref="C7:AO9">
    <cfRule type="cellIs" dxfId="189" priority="125" operator="lessThan">
      <formula>0</formula>
    </cfRule>
  </conditionalFormatting>
  <conditionalFormatting sqref="C20:D20 F20:G20 I20:J20 L20:M20 O20:P20 R20:S20 U20:V20 X20:Y20 AA20:AB20 AD20:AE20 AG20:AH20 AJ20:AK20 AM20:AN20 C27:D27 F27:G27 I27:J27 L27:M27 O27:P27 R27:S27 U27:V27 X27:Y27 AA27:AB27 AD27:AE27 AG27:AH27 AJ27:AK27 AM27:AN27">
    <cfRule type="cellIs" dxfId="188" priority="123" operator="lessThan">
      <formula>0</formula>
    </cfRule>
  </conditionalFormatting>
  <conditionalFormatting sqref="C5:AO5">
    <cfRule type="cellIs" dxfId="187" priority="120" operator="lessThan">
      <formula>0</formula>
    </cfRule>
  </conditionalFormatting>
  <conditionalFormatting sqref="C7:E7">
    <cfRule type="expression" dxfId="186" priority="119">
      <formula>ISTEXT(C7)</formula>
    </cfRule>
  </conditionalFormatting>
  <conditionalFormatting sqref="F7:AL7">
    <cfRule type="expression" dxfId="185" priority="118">
      <formula>ISTEXT(F7)</formula>
    </cfRule>
  </conditionalFormatting>
  <conditionalFormatting sqref="AM7:AO7">
    <cfRule type="expression" dxfId="184" priority="117">
      <formula>ISTEXT(AM7)</formula>
    </cfRule>
  </conditionalFormatting>
  <conditionalFormatting sqref="C8:E8">
    <cfRule type="expression" dxfId="183" priority="116">
      <formula>ISTEXT(C8)</formula>
    </cfRule>
  </conditionalFormatting>
  <conditionalFormatting sqref="C9:E9">
    <cfRule type="expression" dxfId="182" priority="115">
      <formula>ISTEXT(C9)</formula>
    </cfRule>
  </conditionalFormatting>
  <conditionalFormatting sqref="F8:AO8">
    <cfRule type="expression" dxfId="181" priority="114">
      <formula>ISTEXT(F8)</formula>
    </cfRule>
  </conditionalFormatting>
  <conditionalFormatting sqref="F9:AO9">
    <cfRule type="expression" dxfId="180" priority="113">
      <formula>ISTEXT(F9)</formula>
    </cfRule>
  </conditionalFormatting>
  <conditionalFormatting sqref="C11:E11">
    <cfRule type="expression" dxfId="179" priority="4">
      <formula>IF(C$11&lt;SUM(C$12:E$16),1,0)</formula>
    </cfRule>
    <cfRule type="cellIs" dxfId="178" priority="112" operator="lessThan">
      <formula>0</formula>
    </cfRule>
  </conditionalFormatting>
  <conditionalFormatting sqref="C11:E11">
    <cfRule type="expression" dxfId="177" priority="111">
      <formula>ISTEXT(C11)</formula>
    </cfRule>
  </conditionalFormatting>
  <conditionalFormatting sqref="C12:E17">
    <cfRule type="cellIs" dxfId="176" priority="108" operator="lessThan">
      <formula>0</formula>
    </cfRule>
  </conditionalFormatting>
  <conditionalFormatting sqref="C12:E17">
    <cfRule type="expression" dxfId="175" priority="107">
      <formula>ISTEXT(C12)</formula>
    </cfRule>
  </conditionalFormatting>
  <conditionalFormatting sqref="F17:AO17">
    <cfRule type="cellIs" dxfId="174" priority="106" operator="lessThan">
      <formula>0</formula>
    </cfRule>
  </conditionalFormatting>
  <conditionalFormatting sqref="F17:AO17">
    <cfRule type="expression" dxfId="173" priority="105">
      <formula>ISTEXT(F17)</formula>
    </cfRule>
  </conditionalFormatting>
  <conditionalFormatting sqref="C20">
    <cfRule type="expression" dxfId="172" priority="104">
      <formula>ISTEXT(C20)</formula>
    </cfRule>
  </conditionalFormatting>
  <conditionalFormatting sqref="D20">
    <cfRule type="expression" dxfId="171" priority="103">
      <formula>ISTEXT(D20)</formula>
    </cfRule>
  </conditionalFormatting>
  <conditionalFormatting sqref="F20">
    <cfRule type="cellIs" dxfId="170" priority="102" operator="greaterThan">
      <formula>12</formula>
    </cfRule>
  </conditionalFormatting>
  <conditionalFormatting sqref="F20">
    <cfRule type="expression" dxfId="169" priority="101">
      <formula>ISTEXT(F20)</formula>
    </cfRule>
  </conditionalFormatting>
  <conditionalFormatting sqref="G20">
    <cfRule type="cellIs" dxfId="168" priority="100" operator="greaterThan">
      <formula>12</formula>
    </cfRule>
  </conditionalFormatting>
  <conditionalFormatting sqref="G20">
    <cfRule type="expression" dxfId="167" priority="99">
      <formula>ISTEXT(G20)</formula>
    </cfRule>
  </conditionalFormatting>
  <conditionalFormatting sqref="I20">
    <cfRule type="cellIs" dxfId="166" priority="98" operator="greaterThan">
      <formula>12</formula>
    </cfRule>
  </conditionalFormatting>
  <conditionalFormatting sqref="I20">
    <cfRule type="expression" dxfId="165" priority="97">
      <formula>ISTEXT(I20)</formula>
    </cfRule>
  </conditionalFormatting>
  <conditionalFormatting sqref="J20">
    <cfRule type="cellIs" dxfId="164" priority="96" operator="greaterThan">
      <formula>12</formula>
    </cfRule>
  </conditionalFormatting>
  <conditionalFormatting sqref="J20">
    <cfRule type="expression" dxfId="163" priority="95">
      <formula>ISTEXT(J20)</formula>
    </cfRule>
  </conditionalFormatting>
  <conditionalFormatting sqref="L20">
    <cfRule type="cellIs" dxfId="162" priority="94" operator="greaterThan">
      <formula>12</formula>
    </cfRule>
  </conditionalFormatting>
  <conditionalFormatting sqref="L20">
    <cfRule type="expression" dxfId="161" priority="93">
      <formula>ISTEXT(L20)</formula>
    </cfRule>
  </conditionalFormatting>
  <conditionalFormatting sqref="M20">
    <cfRule type="cellIs" dxfId="160" priority="92" operator="greaterThan">
      <formula>12</formula>
    </cfRule>
  </conditionalFormatting>
  <conditionalFormatting sqref="M20">
    <cfRule type="expression" dxfId="159" priority="91">
      <formula>ISTEXT(M20)</formula>
    </cfRule>
  </conditionalFormatting>
  <conditionalFormatting sqref="O20">
    <cfRule type="cellIs" dxfId="158" priority="90" operator="greaterThan">
      <formula>12</formula>
    </cfRule>
  </conditionalFormatting>
  <conditionalFormatting sqref="O20">
    <cfRule type="expression" dxfId="157" priority="89">
      <formula>ISTEXT(O20)</formula>
    </cfRule>
  </conditionalFormatting>
  <conditionalFormatting sqref="P20">
    <cfRule type="cellIs" dxfId="156" priority="88" operator="greaterThan">
      <formula>12</formula>
    </cfRule>
  </conditionalFormatting>
  <conditionalFormatting sqref="P20">
    <cfRule type="expression" dxfId="155" priority="87">
      <formula>ISTEXT(P20)</formula>
    </cfRule>
  </conditionalFormatting>
  <conditionalFormatting sqref="R20">
    <cfRule type="cellIs" dxfId="154" priority="86" operator="greaterThan">
      <formula>12</formula>
    </cfRule>
  </conditionalFormatting>
  <conditionalFormatting sqref="R20">
    <cfRule type="expression" dxfId="153" priority="85">
      <formula>ISTEXT(R20)</formula>
    </cfRule>
  </conditionalFormatting>
  <conditionalFormatting sqref="S20">
    <cfRule type="cellIs" dxfId="152" priority="84" operator="greaterThan">
      <formula>12</formula>
    </cfRule>
  </conditionalFormatting>
  <conditionalFormatting sqref="S20">
    <cfRule type="expression" dxfId="151" priority="83">
      <formula>ISTEXT(S20)</formula>
    </cfRule>
  </conditionalFormatting>
  <conditionalFormatting sqref="U20">
    <cfRule type="cellIs" dxfId="150" priority="82" operator="greaterThan">
      <formula>12</formula>
    </cfRule>
  </conditionalFormatting>
  <conditionalFormatting sqref="U20">
    <cfRule type="expression" dxfId="149" priority="81">
      <formula>ISTEXT(U20)</formula>
    </cfRule>
  </conditionalFormatting>
  <conditionalFormatting sqref="V20">
    <cfRule type="cellIs" dxfId="148" priority="80" operator="greaterThan">
      <formula>12</formula>
    </cfRule>
  </conditionalFormatting>
  <conditionalFormatting sqref="V20">
    <cfRule type="expression" dxfId="147" priority="79">
      <formula>ISTEXT(V20)</formula>
    </cfRule>
  </conditionalFormatting>
  <conditionalFormatting sqref="X20">
    <cfRule type="cellIs" dxfId="146" priority="78" operator="greaterThan">
      <formula>12</formula>
    </cfRule>
  </conditionalFormatting>
  <conditionalFormatting sqref="X20">
    <cfRule type="expression" dxfId="145" priority="77">
      <formula>ISTEXT(X20)</formula>
    </cfRule>
  </conditionalFormatting>
  <conditionalFormatting sqref="Y20">
    <cfRule type="cellIs" dxfId="144" priority="76" operator="greaterThan">
      <formula>12</formula>
    </cfRule>
  </conditionalFormatting>
  <conditionalFormatting sqref="Y20">
    <cfRule type="expression" dxfId="143" priority="75">
      <formula>ISTEXT(Y20)</formula>
    </cfRule>
  </conditionalFormatting>
  <conditionalFormatting sqref="AA20">
    <cfRule type="cellIs" dxfId="142" priority="74" operator="greaterThan">
      <formula>12</formula>
    </cfRule>
  </conditionalFormatting>
  <conditionalFormatting sqref="AA20">
    <cfRule type="expression" dxfId="141" priority="73">
      <formula>ISTEXT(AA20)</formula>
    </cfRule>
  </conditionalFormatting>
  <conditionalFormatting sqref="AB20">
    <cfRule type="cellIs" dxfId="140" priority="72" operator="greaterThan">
      <formula>12</formula>
    </cfRule>
  </conditionalFormatting>
  <conditionalFormatting sqref="AB20">
    <cfRule type="expression" dxfId="139" priority="71">
      <formula>ISTEXT(AB20)</formula>
    </cfRule>
  </conditionalFormatting>
  <conditionalFormatting sqref="AD20">
    <cfRule type="cellIs" dxfId="138" priority="70" operator="greaterThan">
      <formula>12</formula>
    </cfRule>
  </conditionalFormatting>
  <conditionalFormatting sqref="AD20">
    <cfRule type="expression" dxfId="137" priority="69">
      <formula>ISTEXT(AD20)</formula>
    </cfRule>
  </conditionalFormatting>
  <conditionalFormatting sqref="AE20">
    <cfRule type="cellIs" dxfId="136" priority="68" operator="greaterThan">
      <formula>12</formula>
    </cfRule>
  </conditionalFormatting>
  <conditionalFormatting sqref="AE20">
    <cfRule type="expression" dxfId="135" priority="67">
      <formula>ISTEXT(AE20)</formula>
    </cfRule>
  </conditionalFormatting>
  <conditionalFormatting sqref="AG20">
    <cfRule type="cellIs" dxfId="134" priority="66" operator="greaterThan">
      <formula>12</formula>
    </cfRule>
  </conditionalFormatting>
  <conditionalFormatting sqref="AG20">
    <cfRule type="expression" dxfId="133" priority="65">
      <formula>ISTEXT(AG20)</formula>
    </cfRule>
  </conditionalFormatting>
  <conditionalFormatting sqref="AH20">
    <cfRule type="cellIs" dxfId="132" priority="64" operator="greaterThan">
      <formula>12</formula>
    </cfRule>
  </conditionalFormatting>
  <conditionalFormatting sqref="AH20">
    <cfRule type="expression" dxfId="131" priority="63">
      <formula>ISTEXT(AH20)</formula>
    </cfRule>
  </conditionalFormatting>
  <conditionalFormatting sqref="AJ20">
    <cfRule type="cellIs" dxfId="130" priority="62" operator="greaterThan">
      <formula>12</formula>
    </cfRule>
  </conditionalFormatting>
  <conditionalFormatting sqref="AJ20">
    <cfRule type="expression" dxfId="129" priority="61">
      <formula>ISTEXT(AJ20)</formula>
    </cfRule>
  </conditionalFormatting>
  <conditionalFormatting sqref="AK20">
    <cfRule type="cellIs" dxfId="128" priority="60" operator="greaterThan">
      <formula>12</formula>
    </cfRule>
  </conditionalFormatting>
  <conditionalFormatting sqref="AK20">
    <cfRule type="expression" dxfId="127" priority="59">
      <formula>ISTEXT(AK20)</formula>
    </cfRule>
  </conditionalFormatting>
  <conditionalFormatting sqref="AM20">
    <cfRule type="cellIs" dxfId="126" priority="58" operator="greaterThan">
      <formula>12</formula>
    </cfRule>
  </conditionalFormatting>
  <conditionalFormatting sqref="AM20">
    <cfRule type="expression" dxfId="125" priority="57">
      <formula>ISTEXT(AM20)</formula>
    </cfRule>
  </conditionalFormatting>
  <conditionalFormatting sqref="AN20">
    <cfRule type="cellIs" dxfId="124" priority="56" operator="greaterThan">
      <formula>12</formula>
    </cfRule>
  </conditionalFormatting>
  <conditionalFormatting sqref="AN20">
    <cfRule type="expression" dxfId="123" priority="55">
      <formula>ISTEXT(AN20)</formula>
    </cfRule>
  </conditionalFormatting>
  <conditionalFormatting sqref="C21:AO22">
    <cfRule type="cellIs" dxfId="122" priority="54" operator="lessThan">
      <formula>0</formula>
    </cfRule>
  </conditionalFormatting>
  <conditionalFormatting sqref="C21:AO22">
    <cfRule type="expression" dxfId="121" priority="53">
      <formula>ISTEXT(C21)</formula>
    </cfRule>
  </conditionalFormatting>
  <conditionalFormatting sqref="C24:AO24">
    <cfRule type="cellIs" dxfId="120" priority="52" operator="lessThan">
      <formula>0</formula>
    </cfRule>
  </conditionalFormatting>
  <conditionalFormatting sqref="C24:AO24">
    <cfRule type="expression" dxfId="119" priority="51">
      <formula>ISTEXT(C24)</formula>
    </cfRule>
  </conditionalFormatting>
  <conditionalFormatting sqref="D27">
    <cfRule type="cellIs" dxfId="118" priority="50" operator="greaterThan">
      <formula>12</formula>
    </cfRule>
  </conditionalFormatting>
  <conditionalFormatting sqref="C27">
    <cfRule type="expression" dxfId="117" priority="49">
      <formula>ISTEXT(C27)</formula>
    </cfRule>
  </conditionalFormatting>
  <conditionalFormatting sqref="D27">
    <cfRule type="expression" dxfId="116" priority="48">
      <formula>ISTEXT(D27)</formula>
    </cfRule>
  </conditionalFormatting>
  <conditionalFormatting sqref="G27">
    <cfRule type="cellIs" dxfId="115" priority="47" operator="greaterThan">
      <formula>12</formula>
    </cfRule>
  </conditionalFormatting>
  <conditionalFormatting sqref="F27">
    <cfRule type="expression" dxfId="114" priority="46">
      <formula>ISTEXT(F27)</formula>
    </cfRule>
  </conditionalFormatting>
  <conditionalFormatting sqref="G27">
    <cfRule type="expression" dxfId="113" priority="45">
      <formula>ISTEXT(G27)</formula>
    </cfRule>
  </conditionalFormatting>
  <conditionalFormatting sqref="J27">
    <cfRule type="cellIs" dxfId="112" priority="44" operator="greaterThan">
      <formula>12</formula>
    </cfRule>
  </conditionalFormatting>
  <conditionalFormatting sqref="I27">
    <cfRule type="expression" dxfId="111" priority="43">
      <formula>ISTEXT(I27)</formula>
    </cfRule>
  </conditionalFormatting>
  <conditionalFormatting sqref="J27">
    <cfRule type="expression" dxfId="110" priority="42">
      <formula>ISTEXT(J27)</formula>
    </cfRule>
  </conditionalFormatting>
  <conditionalFormatting sqref="M27">
    <cfRule type="cellIs" dxfId="109" priority="41" operator="greaterThan">
      <formula>12</formula>
    </cfRule>
  </conditionalFormatting>
  <conditionalFormatting sqref="L27">
    <cfRule type="expression" dxfId="108" priority="40">
      <formula>ISTEXT(L27)</formula>
    </cfRule>
  </conditionalFormatting>
  <conditionalFormatting sqref="M27">
    <cfRule type="expression" dxfId="107" priority="39">
      <formula>ISTEXT(M27)</formula>
    </cfRule>
  </conditionalFormatting>
  <conditionalFormatting sqref="P27">
    <cfRule type="cellIs" dxfId="106" priority="38" operator="greaterThan">
      <formula>12</formula>
    </cfRule>
  </conditionalFormatting>
  <conditionalFormatting sqref="O27">
    <cfRule type="expression" dxfId="105" priority="37">
      <formula>ISTEXT(O27)</formula>
    </cfRule>
  </conditionalFormatting>
  <conditionalFormatting sqref="P27">
    <cfRule type="expression" dxfId="104" priority="36">
      <formula>ISTEXT(P27)</formula>
    </cfRule>
  </conditionalFormatting>
  <conditionalFormatting sqref="S27">
    <cfRule type="cellIs" dxfId="103" priority="35" operator="greaterThan">
      <formula>12</formula>
    </cfRule>
  </conditionalFormatting>
  <conditionalFormatting sqref="R27">
    <cfRule type="expression" dxfId="102" priority="34">
      <formula>ISTEXT(R27)</formula>
    </cfRule>
  </conditionalFormatting>
  <conditionalFormatting sqref="S27">
    <cfRule type="expression" dxfId="101" priority="33">
      <formula>ISTEXT(S27)</formula>
    </cfRule>
  </conditionalFormatting>
  <conditionalFormatting sqref="V27">
    <cfRule type="cellIs" dxfId="100" priority="32" operator="greaterThan">
      <formula>12</formula>
    </cfRule>
  </conditionalFormatting>
  <conditionalFormatting sqref="U27">
    <cfRule type="expression" dxfId="99" priority="31">
      <formula>ISTEXT(U27)</formula>
    </cfRule>
  </conditionalFormatting>
  <conditionalFormatting sqref="V27">
    <cfRule type="expression" dxfId="98" priority="30">
      <formula>ISTEXT(V27)</formula>
    </cfRule>
  </conditionalFormatting>
  <conditionalFormatting sqref="Y27">
    <cfRule type="cellIs" dxfId="97" priority="29" operator="greaterThan">
      <formula>12</formula>
    </cfRule>
  </conditionalFormatting>
  <conditionalFormatting sqref="X27">
    <cfRule type="expression" dxfId="96" priority="28">
      <formula>ISTEXT(X27)</formula>
    </cfRule>
  </conditionalFormatting>
  <conditionalFormatting sqref="Y27">
    <cfRule type="expression" dxfId="95" priority="27">
      <formula>ISTEXT(Y27)</formula>
    </cfRule>
  </conditionalFormatting>
  <conditionalFormatting sqref="AB27">
    <cfRule type="cellIs" dxfId="94" priority="26" operator="greaterThan">
      <formula>12</formula>
    </cfRule>
  </conditionalFormatting>
  <conditionalFormatting sqref="AA27">
    <cfRule type="expression" dxfId="93" priority="25">
      <formula>ISTEXT(AA27)</formula>
    </cfRule>
  </conditionalFormatting>
  <conditionalFormatting sqref="AB27">
    <cfRule type="expression" dxfId="92" priority="24">
      <formula>ISTEXT(AB27)</formula>
    </cfRule>
  </conditionalFormatting>
  <conditionalFormatting sqref="AE27">
    <cfRule type="cellIs" dxfId="91" priority="23" operator="greaterThan">
      <formula>12</formula>
    </cfRule>
  </conditionalFormatting>
  <conditionalFormatting sqref="AD27">
    <cfRule type="expression" dxfId="90" priority="22">
      <formula>ISTEXT(AD27)</formula>
    </cfRule>
  </conditionalFormatting>
  <conditionalFormatting sqref="AE27">
    <cfRule type="expression" dxfId="89" priority="21">
      <formula>ISTEXT(AE27)</formula>
    </cfRule>
  </conditionalFormatting>
  <conditionalFormatting sqref="AH27">
    <cfRule type="cellIs" dxfId="88" priority="20" operator="greaterThan">
      <formula>12</formula>
    </cfRule>
  </conditionalFormatting>
  <conditionalFormatting sqref="AG27">
    <cfRule type="expression" dxfId="87" priority="19">
      <formula>ISTEXT(AG27)</formula>
    </cfRule>
  </conditionalFormatting>
  <conditionalFormatting sqref="AH27">
    <cfRule type="expression" dxfId="86" priority="18">
      <formula>ISTEXT(AH27)</formula>
    </cfRule>
  </conditionalFormatting>
  <conditionalFormatting sqref="AK27">
    <cfRule type="cellIs" dxfId="85" priority="17" operator="greaterThan">
      <formula>12</formula>
    </cfRule>
  </conditionalFormatting>
  <conditionalFormatting sqref="AJ27">
    <cfRule type="expression" dxfId="84" priority="16">
      <formula>ISTEXT(AJ27)</formula>
    </cfRule>
  </conditionalFormatting>
  <conditionalFormatting sqref="AK27">
    <cfRule type="expression" dxfId="83" priority="15">
      <formula>ISTEXT(AK27)</formula>
    </cfRule>
  </conditionalFormatting>
  <conditionalFormatting sqref="AN27">
    <cfRule type="cellIs" dxfId="82" priority="14" operator="greaterThan">
      <formula>12</formula>
    </cfRule>
  </conditionalFormatting>
  <conditionalFormatting sqref="AM27">
    <cfRule type="expression" dxfId="81" priority="13">
      <formula>ISTEXT(AM27)</formula>
    </cfRule>
  </conditionalFormatting>
  <conditionalFormatting sqref="AN27">
    <cfRule type="expression" dxfId="80" priority="12">
      <formula>ISTEXT(AN27)</formula>
    </cfRule>
  </conditionalFormatting>
  <conditionalFormatting sqref="C12:E12">
    <cfRule type="cellIs" dxfId="79" priority="10" operator="greaterThan">
      <formula>C$11</formula>
    </cfRule>
  </conditionalFormatting>
  <conditionalFormatting sqref="C13:E16">
    <cfRule type="cellIs" dxfId="78" priority="9" operator="greaterThan">
      <formula>C$11</formula>
    </cfRule>
  </conditionalFormatting>
  <conditionalFormatting sqref="F12:AO16">
    <cfRule type="cellIs" dxfId="77" priority="8" operator="lessThan">
      <formula>0</formula>
    </cfRule>
  </conditionalFormatting>
  <conditionalFormatting sqref="F12:AO16">
    <cfRule type="expression" dxfId="76" priority="7">
      <formula>ISTEXT(F12)</formula>
    </cfRule>
  </conditionalFormatting>
  <conditionalFormatting sqref="F12:AO12">
    <cfRule type="cellIs" dxfId="75" priority="6" operator="greaterThan">
      <formula>F$11</formula>
    </cfRule>
  </conditionalFormatting>
  <conditionalFormatting sqref="F13:AO16">
    <cfRule type="cellIs" dxfId="74" priority="5" operator="greaterThan">
      <formula>F$11</formula>
    </cfRule>
  </conditionalFormatting>
  <conditionalFormatting sqref="F11:AO11">
    <cfRule type="expression" dxfId="73" priority="1">
      <formula>IF(F$11&lt;SUM(F$12:H$16),1,0)</formula>
    </cfRule>
    <cfRule type="cellIs" dxfId="72" priority="3" operator="lessThan">
      <formula>0</formula>
    </cfRule>
  </conditionalFormatting>
  <conditionalFormatting sqref="F11:AO11">
    <cfRule type="expression" dxfId="71" priority="2">
      <formula>ISTEXT(F11)</formula>
    </cfRule>
  </conditionalFormatting>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9"/>
  <sheetViews>
    <sheetView zoomScale="80" zoomScaleNormal="80" workbookViewId="0">
      <selection activeCell="D3" sqref="D3"/>
    </sheetView>
  </sheetViews>
  <sheetFormatPr defaultRowHeight="15" x14ac:dyDescent="0.25"/>
  <cols>
    <col min="1" max="1" width="4.5703125" customWidth="1"/>
    <col min="2" max="2" width="17.5703125" style="1" customWidth="1"/>
    <col min="3" max="3" width="41.28515625" customWidth="1"/>
    <col min="4" max="4" width="219.5703125" customWidth="1"/>
  </cols>
  <sheetData>
    <row r="1" spans="1:4" ht="56.25" x14ac:dyDescent="0.25">
      <c r="B1" s="763" t="s">
        <v>212</v>
      </c>
      <c r="C1" s="763"/>
      <c r="D1" s="236" t="s">
        <v>218</v>
      </c>
    </row>
    <row r="2" spans="1:4" ht="18.75" x14ac:dyDescent="0.3">
      <c r="B2" s="762" t="s">
        <v>214</v>
      </c>
      <c r="C2" s="762"/>
      <c r="D2" s="618"/>
    </row>
    <row r="3" spans="1:4" ht="18.75" x14ac:dyDescent="0.3">
      <c r="B3" s="762" t="s">
        <v>213</v>
      </c>
      <c r="C3" s="762"/>
      <c r="D3" s="619">
        <v>42388</v>
      </c>
    </row>
    <row r="4" spans="1:4" ht="31.5" x14ac:dyDescent="0.25">
      <c r="A4" s="45" t="s">
        <v>3</v>
      </c>
      <c r="B4" s="205" t="s">
        <v>215</v>
      </c>
      <c r="C4" s="45" t="s">
        <v>216</v>
      </c>
      <c r="D4" s="45" t="s">
        <v>217</v>
      </c>
    </row>
    <row r="5" spans="1:4" s="34" customFormat="1" ht="13.5" customHeight="1" x14ac:dyDescent="0.25">
      <c r="A5" s="237">
        <f>1</f>
        <v>1</v>
      </c>
      <c r="B5" s="238">
        <f>A5+1</f>
        <v>2</v>
      </c>
      <c r="C5" s="238">
        <f t="shared" ref="C5:D5" si="0">B5+1</f>
        <v>3</v>
      </c>
      <c r="D5" s="238">
        <f t="shared" si="0"/>
        <v>4</v>
      </c>
    </row>
    <row r="6" spans="1:4" ht="90" x14ac:dyDescent="0.25">
      <c r="A6" s="237">
        <f>A5+1</f>
        <v>2</v>
      </c>
      <c r="B6" s="235" t="s">
        <v>219</v>
      </c>
      <c r="C6" s="204" t="s">
        <v>220</v>
      </c>
      <c r="D6" s="418"/>
    </row>
    <row r="7" spans="1:4" ht="45" x14ac:dyDescent="0.25">
      <c r="A7" s="237">
        <f t="shared" ref="A7:A9" si="1">A6+1</f>
        <v>3</v>
      </c>
      <c r="B7" s="235" t="s">
        <v>221</v>
      </c>
      <c r="C7" s="204" t="s">
        <v>222</v>
      </c>
      <c r="D7" s="418"/>
    </row>
    <row r="8" spans="1:4" ht="90" x14ac:dyDescent="0.25">
      <c r="A8" s="237">
        <f t="shared" si="1"/>
        <v>4</v>
      </c>
      <c r="B8" s="235" t="s">
        <v>223</v>
      </c>
      <c r="C8" s="204" t="s">
        <v>224</v>
      </c>
      <c r="D8" s="418"/>
    </row>
    <row r="9" spans="1:4" ht="105" x14ac:dyDescent="0.25">
      <c r="A9" s="237">
        <f t="shared" si="1"/>
        <v>5</v>
      </c>
      <c r="B9" s="235" t="s">
        <v>1612</v>
      </c>
      <c r="C9" s="367" t="s">
        <v>1666</v>
      </c>
      <c r="D9" s="418"/>
    </row>
  </sheetData>
  <sheetProtection password="D8E9" sheet="1" objects="1" scenarios="1"/>
  <mergeCells count="3">
    <mergeCell ref="B2:C2"/>
    <mergeCell ref="B3:C3"/>
    <mergeCell ref="B1:C1"/>
  </mergeCells>
  <conditionalFormatting sqref="D3">
    <cfRule type="expression" dxfId="70" priority="1">
      <formula>ISTEXT($D$3)</formula>
    </cfRule>
  </conditionalFormatting>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D44"/>
  <sheetViews>
    <sheetView zoomScale="80" zoomScaleNormal="80" workbookViewId="0">
      <selection activeCell="D11" sqref="D11"/>
    </sheetView>
  </sheetViews>
  <sheetFormatPr defaultRowHeight="15" x14ac:dyDescent="0.25"/>
  <cols>
    <col min="1" max="1" width="3.7109375" bestFit="1" customWidth="1"/>
    <col min="2" max="2" width="47.85546875" customWidth="1"/>
    <col min="3" max="3" width="49.28515625" customWidth="1"/>
    <col min="4" max="4" width="66.42578125" customWidth="1"/>
  </cols>
  <sheetData>
    <row r="1" spans="1:4" ht="21" x14ac:dyDescent="0.35">
      <c r="B1" s="275" t="s">
        <v>269</v>
      </c>
      <c r="C1" s="556" t="s">
        <v>282</v>
      </c>
      <c r="D1" s="556"/>
    </row>
    <row r="2" spans="1:4" ht="21" x14ac:dyDescent="0.35">
      <c r="B2" s="275" t="s">
        <v>1685</v>
      </c>
      <c r="C2" s="773"/>
      <c r="D2" s="773"/>
    </row>
    <row r="3" spans="1:4" ht="21.75" thickBot="1" x14ac:dyDescent="0.4">
      <c r="B3" s="275" t="s">
        <v>88</v>
      </c>
      <c r="C3" s="774"/>
      <c r="D3" s="774"/>
    </row>
    <row r="4" spans="1:4" ht="15.75" x14ac:dyDescent="0.25">
      <c r="A4" s="73" t="s">
        <v>3</v>
      </c>
      <c r="B4" s="775" t="s">
        <v>7444</v>
      </c>
      <c r="C4" s="775"/>
      <c r="D4" s="50" t="s">
        <v>7442</v>
      </c>
    </row>
    <row r="5" spans="1:4" x14ac:dyDescent="0.25">
      <c r="A5" s="87">
        <v>1</v>
      </c>
      <c r="B5" s="551">
        <f>A5+1</f>
        <v>2</v>
      </c>
      <c r="C5" s="551">
        <f>B5+1</f>
        <v>3</v>
      </c>
      <c r="D5" s="557">
        <f t="shared" ref="D5" si="0">C5+1</f>
        <v>4</v>
      </c>
    </row>
    <row r="6" spans="1:4" ht="27" thickBot="1" x14ac:dyDescent="0.3">
      <c r="A6" s="376">
        <v>2</v>
      </c>
      <c r="B6" s="113" t="s">
        <v>69</v>
      </c>
      <c r="C6" s="114"/>
      <c r="D6" s="201"/>
    </row>
    <row r="7" spans="1:4" x14ac:dyDescent="0.25">
      <c r="A7" s="116">
        <f>A6+1</f>
        <v>3</v>
      </c>
      <c r="B7" s="764" t="s">
        <v>273</v>
      </c>
      <c r="C7" s="273" t="s">
        <v>270</v>
      </c>
      <c r="D7" s="342"/>
    </row>
    <row r="8" spans="1:4" x14ac:dyDescent="0.25">
      <c r="A8" s="87">
        <f t="shared" ref="A8:A44" si="1">A7+1</f>
        <v>4</v>
      </c>
      <c r="B8" s="765"/>
      <c r="C8" s="181" t="s">
        <v>271</v>
      </c>
      <c r="D8" s="344" t="e">
        <f>D7/'3-к'!D8</f>
        <v>#DIV/0!</v>
      </c>
    </row>
    <row r="9" spans="1:4" ht="15.75" thickBot="1" x14ac:dyDescent="0.3">
      <c r="A9" s="88">
        <f t="shared" si="1"/>
        <v>5</v>
      </c>
      <c r="B9" s="766"/>
      <c r="C9" s="189" t="s">
        <v>272</v>
      </c>
      <c r="D9" s="172"/>
    </row>
    <row r="10" spans="1:4" x14ac:dyDescent="0.25">
      <c r="A10" s="116">
        <f t="shared" si="1"/>
        <v>6</v>
      </c>
      <c r="B10" s="764" t="s">
        <v>274</v>
      </c>
      <c r="C10" s="273" t="s">
        <v>270</v>
      </c>
      <c r="D10" s="342"/>
    </row>
    <row r="11" spans="1:4" x14ac:dyDescent="0.25">
      <c r="A11" s="87">
        <f t="shared" si="1"/>
        <v>7</v>
      </c>
      <c r="B11" s="765"/>
      <c r="C11" s="181" t="s">
        <v>271</v>
      </c>
      <c r="D11" s="344" t="e">
        <f>D10/'3-к'!D8</f>
        <v>#DIV/0!</v>
      </c>
    </row>
    <row r="12" spans="1:4" ht="15.75" thickBot="1" x14ac:dyDescent="0.3">
      <c r="A12" s="88">
        <f t="shared" si="1"/>
        <v>8</v>
      </c>
      <c r="B12" s="766"/>
      <c r="C12" s="189" t="s">
        <v>272</v>
      </c>
      <c r="D12" s="172"/>
    </row>
    <row r="13" spans="1:4" x14ac:dyDescent="0.25">
      <c r="A13" s="116">
        <f t="shared" si="1"/>
        <v>9</v>
      </c>
      <c r="B13" s="764" t="s">
        <v>1613</v>
      </c>
      <c r="C13" s="549" t="s">
        <v>285</v>
      </c>
      <c r="D13" s="342"/>
    </row>
    <row r="14" spans="1:4" x14ac:dyDescent="0.25">
      <c r="A14" s="87">
        <f t="shared" si="1"/>
        <v>10</v>
      </c>
      <c r="B14" s="765"/>
      <c r="C14" s="269" t="s">
        <v>284</v>
      </c>
      <c r="D14" s="414">
        <f>IF((D$7+D$10)=0,0,D13/(D$7+D$10))</f>
        <v>0</v>
      </c>
    </row>
    <row r="15" spans="1:4" x14ac:dyDescent="0.25">
      <c r="A15" s="87">
        <f t="shared" si="1"/>
        <v>11</v>
      </c>
      <c r="B15" s="765"/>
      <c r="C15" s="274" t="s">
        <v>275</v>
      </c>
      <c r="D15" s="345"/>
    </row>
    <row r="16" spans="1:4" x14ac:dyDescent="0.25">
      <c r="A16" s="87">
        <f t="shared" si="1"/>
        <v>12</v>
      </c>
      <c r="B16" s="765"/>
      <c r="C16" s="269" t="s">
        <v>284</v>
      </c>
      <c r="D16" s="414">
        <f>IF((D$7+D$10)=0,0,D15/(D$7+D$10))</f>
        <v>0</v>
      </c>
    </row>
    <row r="17" spans="1:4" x14ac:dyDescent="0.25">
      <c r="A17" s="87">
        <f t="shared" si="1"/>
        <v>13</v>
      </c>
      <c r="B17" s="765"/>
      <c r="C17" s="274" t="s">
        <v>278</v>
      </c>
      <c r="D17" s="138"/>
    </row>
    <row r="18" spans="1:4" x14ac:dyDescent="0.25">
      <c r="A18" s="87">
        <f t="shared" si="1"/>
        <v>14</v>
      </c>
      <c r="B18" s="765"/>
      <c r="C18" s="269" t="s">
        <v>284</v>
      </c>
      <c r="D18" s="81">
        <f t="shared" ref="D18" si="2">IF((D$7+D$10)=0,0,D17/(D$7+D$10))</f>
        <v>0</v>
      </c>
    </row>
    <row r="19" spans="1:4" x14ac:dyDescent="0.25">
      <c r="A19" s="87">
        <f t="shared" si="1"/>
        <v>15</v>
      </c>
      <c r="B19" s="765"/>
      <c r="C19" s="274" t="s">
        <v>276</v>
      </c>
      <c r="D19" s="138"/>
    </row>
    <row r="20" spans="1:4" x14ac:dyDescent="0.25">
      <c r="A20" s="87">
        <f t="shared" si="1"/>
        <v>16</v>
      </c>
      <c r="B20" s="765"/>
      <c r="C20" s="269" t="s">
        <v>284</v>
      </c>
      <c r="D20" s="81">
        <f t="shared" ref="D20" si="3">IF((D$7+D$10)=0,0,D19/(D$7+D$10))</f>
        <v>0</v>
      </c>
    </row>
    <row r="21" spans="1:4" x14ac:dyDescent="0.25">
      <c r="A21" s="87">
        <f t="shared" si="1"/>
        <v>17</v>
      </c>
      <c r="B21" s="765"/>
      <c r="C21" s="550" t="s">
        <v>277</v>
      </c>
      <c r="D21" s="138"/>
    </row>
    <row r="22" spans="1:4" x14ac:dyDescent="0.25">
      <c r="A22" s="87">
        <f t="shared" si="1"/>
        <v>18</v>
      </c>
      <c r="B22" s="765"/>
      <c r="C22" s="269" t="s">
        <v>284</v>
      </c>
      <c r="D22" s="81">
        <f t="shared" ref="D22" si="4">IF((D$7+D$10)=0,0,D21/(D$7+D$10))</f>
        <v>0</v>
      </c>
    </row>
    <row r="23" spans="1:4" x14ac:dyDescent="0.25">
      <c r="A23" s="87">
        <f t="shared" si="1"/>
        <v>19</v>
      </c>
      <c r="B23" s="765"/>
      <c r="C23" s="550" t="s">
        <v>279</v>
      </c>
      <c r="D23" s="138"/>
    </row>
    <row r="24" spans="1:4" ht="15.75" thickBot="1" x14ac:dyDescent="0.3">
      <c r="A24" s="88">
        <f t="shared" si="1"/>
        <v>20</v>
      </c>
      <c r="B24" s="766"/>
      <c r="C24" s="271" t="s">
        <v>284</v>
      </c>
      <c r="D24" s="414">
        <f>IF((D$7+D$10)=0,0,D23/(D$7+D$10))</f>
        <v>0</v>
      </c>
    </row>
    <row r="25" spans="1:4" ht="15" customHeight="1" x14ac:dyDescent="0.25">
      <c r="A25" s="116">
        <f t="shared" si="1"/>
        <v>21</v>
      </c>
      <c r="B25" s="764" t="s">
        <v>1614</v>
      </c>
      <c r="C25" s="183" t="s">
        <v>281</v>
      </c>
      <c r="D25" s="140"/>
    </row>
    <row r="26" spans="1:4" x14ac:dyDescent="0.25">
      <c r="A26" s="87">
        <f t="shared" si="1"/>
        <v>22</v>
      </c>
      <c r="B26" s="765"/>
      <c r="C26" s="269" t="s">
        <v>284</v>
      </c>
      <c r="D26" s="81">
        <f>IF((D$7+D$10)=0,0,D25/(D$7+D$10))</f>
        <v>0</v>
      </c>
    </row>
    <row r="27" spans="1:4" x14ac:dyDescent="0.25">
      <c r="A27" s="87">
        <f t="shared" si="1"/>
        <v>23</v>
      </c>
      <c r="B27" s="765"/>
      <c r="C27" s="274" t="s">
        <v>280</v>
      </c>
      <c r="D27" s="138"/>
    </row>
    <row r="28" spans="1:4" ht="15.75" thickBot="1" x14ac:dyDescent="0.3">
      <c r="A28" s="88">
        <f t="shared" si="1"/>
        <v>24</v>
      </c>
      <c r="B28" s="766"/>
      <c r="C28" s="271" t="s">
        <v>284</v>
      </c>
      <c r="D28" s="84">
        <f t="shared" ref="D28" si="5">IF((D$7+D$10)=0,0,D27/(D$7+D$10))</f>
        <v>0</v>
      </c>
    </row>
    <row r="29" spans="1:4" ht="15" customHeight="1" x14ac:dyDescent="0.25">
      <c r="A29" s="116">
        <f t="shared" si="1"/>
        <v>25</v>
      </c>
      <c r="B29" s="764" t="s">
        <v>1615</v>
      </c>
      <c r="C29" s="183" t="s">
        <v>297</v>
      </c>
      <c r="D29" s="140"/>
    </row>
    <row r="30" spans="1:4" x14ac:dyDescent="0.25">
      <c r="A30" s="87">
        <f t="shared" si="1"/>
        <v>26</v>
      </c>
      <c r="B30" s="765"/>
      <c r="C30" s="269" t="s">
        <v>284</v>
      </c>
      <c r="D30" s="81">
        <f t="shared" ref="D30" si="6">IF((D$7+D$10)=0,0,D29/(D$7+D$10))</f>
        <v>0</v>
      </c>
    </row>
    <row r="31" spans="1:4" x14ac:dyDescent="0.25">
      <c r="A31" s="87">
        <f t="shared" si="1"/>
        <v>27</v>
      </c>
      <c r="B31" s="765"/>
      <c r="C31" s="274" t="s">
        <v>298</v>
      </c>
      <c r="D31" s="138"/>
    </row>
    <row r="32" spans="1:4" x14ac:dyDescent="0.25">
      <c r="A32" s="87">
        <f t="shared" si="1"/>
        <v>28</v>
      </c>
      <c r="B32" s="765"/>
      <c r="C32" s="269" t="s">
        <v>284</v>
      </c>
      <c r="D32" s="81">
        <f>IF((D$7+D$10)=0,0,D31/(D$7+D$10))</f>
        <v>0</v>
      </c>
    </row>
    <row r="33" spans="1:4" x14ac:dyDescent="0.25">
      <c r="A33" s="87">
        <f t="shared" si="1"/>
        <v>29</v>
      </c>
      <c r="B33" s="765"/>
      <c r="C33" s="274" t="s">
        <v>301</v>
      </c>
      <c r="D33" s="138"/>
    </row>
    <row r="34" spans="1:4" ht="15.75" thickBot="1" x14ac:dyDescent="0.3">
      <c r="A34" s="88">
        <f t="shared" si="1"/>
        <v>30</v>
      </c>
      <c r="B34" s="766"/>
      <c r="C34" s="271" t="s">
        <v>284</v>
      </c>
      <c r="D34" s="84">
        <f t="shared" ref="D34" si="7">IF((D$7+D$10)=0,0,D33/(D$7+D$10))</f>
        <v>0</v>
      </c>
    </row>
    <row r="35" spans="1:4" ht="15.75" thickBot="1" x14ac:dyDescent="0.3">
      <c r="A35" s="290">
        <f t="shared" si="1"/>
        <v>31</v>
      </c>
      <c r="B35" s="291" t="s">
        <v>1647</v>
      </c>
      <c r="C35" s="292"/>
      <c r="D35" s="357"/>
    </row>
    <row r="36" spans="1:4" x14ac:dyDescent="0.25">
      <c r="A36" s="116">
        <f t="shared" si="1"/>
        <v>32</v>
      </c>
      <c r="B36" s="764" t="s">
        <v>1616</v>
      </c>
      <c r="C36" s="767"/>
      <c r="D36" s="770"/>
    </row>
    <row r="37" spans="1:4" x14ac:dyDescent="0.25">
      <c r="A37" s="87">
        <f t="shared" si="1"/>
        <v>33</v>
      </c>
      <c r="B37" s="765"/>
      <c r="C37" s="768"/>
      <c r="D37" s="771"/>
    </row>
    <row r="38" spans="1:4" x14ac:dyDescent="0.25">
      <c r="A38" s="87">
        <f t="shared" si="1"/>
        <v>34</v>
      </c>
      <c r="B38" s="765"/>
      <c r="C38" s="768"/>
      <c r="D38" s="771"/>
    </row>
    <row r="39" spans="1:4" x14ac:dyDescent="0.25">
      <c r="A39" s="87">
        <f t="shared" si="1"/>
        <v>35</v>
      </c>
      <c r="B39" s="765"/>
      <c r="C39" s="768"/>
      <c r="D39" s="771"/>
    </row>
    <row r="40" spans="1:4" x14ac:dyDescent="0.25">
      <c r="A40" s="87">
        <f t="shared" si="1"/>
        <v>36</v>
      </c>
      <c r="B40" s="765"/>
      <c r="C40" s="768"/>
      <c r="D40" s="771"/>
    </row>
    <row r="41" spans="1:4" x14ac:dyDescent="0.25">
      <c r="A41" s="87">
        <f t="shared" si="1"/>
        <v>37</v>
      </c>
      <c r="B41" s="765"/>
      <c r="C41" s="768"/>
      <c r="D41" s="771"/>
    </row>
    <row r="42" spans="1:4" x14ac:dyDescent="0.25">
      <c r="A42" s="87">
        <f t="shared" si="1"/>
        <v>38</v>
      </c>
      <c r="B42" s="765"/>
      <c r="C42" s="768"/>
      <c r="D42" s="771"/>
    </row>
    <row r="43" spans="1:4" x14ac:dyDescent="0.25">
      <c r="A43" s="87">
        <f t="shared" si="1"/>
        <v>39</v>
      </c>
      <c r="B43" s="765"/>
      <c r="C43" s="768"/>
      <c r="D43" s="771"/>
    </row>
    <row r="44" spans="1:4" ht="15.75" thickBot="1" x14ac:dyDescent="0.3">
      <c r="A44" s="88">
        <f t="shared" si="1"/>
        <v>40</v>
      </c>
      <c r="B44" s="766"/>
      <c r="C44" s="769"/>
      <c r="D44" s="772"/>
    </row>
  </sheetData>
  <sheetProtection password="D8E9" sheet="1" objects="1" scenarios="1"/>
  <mergeCells count="11">
    <mergeCell ref="C2:D2"/>
    <mergeCell ref="C3:D3"/>
    <mergeCell ref="B4:C4"/>
    <mergeCell ref="B7:B9"/>
    <mergeCell ref="B10:B12"/>
    <mergeCell ref="B29:B34"/>
    <mergeCell ref="B13:B24"/>
    <mergeCell ref="B36:B44"/>
    <mergeCell ref="C36:C44"/>
    <mergeCell ref="D36:D44"/>
    <mergeCell ref="B25:B28"/>
  </mergeCells>
  <conditionalFormatting sqref="D13">
    <cfRule type="cellIs" dxfId="69" priority="62" operator="greaterThan">
      <formula>$D$7+$D$10</formula>
    </cfRule>
  </conditionalFormatting>
  <conditionalFormatting sqref="D15">
    <cfRule type="cellIs" dxfId="68" priority="60" operator="greaterThan">
      <formula>$D$7+$D$10</formula>
    </cfRule>
  </conditionalFormatting>
  <conditionalFormatting sqref="D15 D13 D17 D19 D21 D23">
    <cfRule type="expression" dxfId="67" priority="57">
      <formula>($D$13+$D$15+$D$17+$D$19+$D$21+$D$23)&gt;($D$7+$D$10)</formula>
    </cfRule>
  </conditionalFormatting>
  <conditionalFormatting sqref="D25 D27">
    <cfRule type="expression" dxfId="66" priority="24">
      <formula>(D$25+D$27)&gt;(D$7+D$10)</formula>
    </cfRule>
  </conditionalFormatting>
  <conditionalFormatting sqref="D29 D31 D33">
    <cfRule type="expression" dxfId="65" priority="21">
      <formula>(D$29+D$31+D$33)&gt;(D$7+D$10)</formula>
    </cfRule>
  </conditionalFormatting>
  <pageMargins left="0.51181102362204722" right="0.51181102362204722" top="0.55118110236220474" bottom="0.55118110236220474" header="0.31496062992125984" footer="0.31496062992125984"/>
  <pageSetup paperSize="9" scale="39"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D83"/>
  <sheetViews>
    <sheetView zoomScale="80" zoomScaleNormal="80" workbookViewId="0">
      <selection activeCell="D11" sqref="D11"/>
    </sheetView>
  </sheetViews>
  <sheetFormatPr defaultRowHeight="15" x14ac:dyDescent="0.25"/>
  <cols>
    <col min="1" max="1" width="3.7109375" bestFit="1" customWidth="1"/>
    <col min="2" max="2" width="47.85546875" customWidth="1"/>
    <col min="3" max="3" width="49.28515625" customWidth="1"/>
    <col min="4" max="4" width="66.7109375" customWidth="1"/>
  </cols>
  <sheetData>
    <row r="1" spans="1:4" ht="21" x14ac:dyDescent="0.35">
      <c r="B1" s="275" t="s">
        <v>287</v>
      </c>
      <c r="C1" s="556" t="s">
        <v>286</v>
      </c>
      <c r="D1" s="556"/>
    </row>
    <row r="2" spans="1:4" ht="21" x14ac:dyDescent="0.35">
      <c r="B2" s="275" t="s">
        <v>1685</v>
      </c>
      <c r="C2" s="773"/>
      <c r="D2" s="773"/>
    </row>
    <row r="3" spans="1:4" ht="21.75" thickBot="1" x14ac:dyDescent="0.4">
      <c r="B3" s="275" t="s">
        <v>88</v>
      </c>
      <c r="C3" s="774"/>
      <c r="D3" s="774"/>
    </row>
    <row r="4" spans="1:4" ht="15.75" x14ac:dyDescent="0.25">
      <c r="A4" s="73" t="s">
        <v>3</v>
      </c>
      <c r="B4" s="775" t="s">
        <v>7444</v>
      </c>
      <c r="C4" s="775"/>
      <c r="D4" s="50" t="s">
        <v>7442</v>
      </c>
    </row>
    <row r="5" spans="1:4" x14ac:dyDescent="0.25">
      <c r="A5" s="87">
        <v>1</v>
      </c>
      <c r="B5" s="114">
        <f>A5+1</f>
        <v>2</v>
      </c>
      <c r="C5" s="114">
        <f>B5+1</f>
        <v>3</v>
      </c>
      <c r="D5" s="270">
        <f t="shared" ref="D5" si="0">C5+1</f>
        <v>4</v>
      </c>
    </row>
    <row r="6" spans="1:4" ht="27" thickBot="1" x14ac:dyDescent="0.3">
      <c r="A6" s="376">
        <f>A5+1</f>
        <v>2</v>
      </c>
      <c r="B6" s="113" t="s">
        <v>69</v>
      </c>
      <c r="C6" s="114"/>
      <c r="D6" s="201"/>
    </row>
    <row r="7" spans="1:4" ht="15" customHeight="1" x14ac:dyDescent="0.25">
      <c r="A7" s="116">
        <f>A6+1</f>
        <v>3</v>
      </c>
      <c r="B7" s="776" t="s">
        <v>288</v>
      </c>
      <c r="C7" s="273" t="s">
        <v>270</v>
      </c>
      <c r="D7" s="342"/>
    </row>
    <row r="8" spans="1:4" x14ac:dyDescent="0.25">
      <c r="A8" s="87">
        <f t="shared" ref="A8:A71" si="1">A7+1</f>
        <v>4</v>
      </c>
      <c r="B8" s="777"/>
      <c r="C8" s="181" t="s">
        <v>271</v>
      </c>
      <c r="D8" s="344" t="e">
        <f>D7/'3-к'!D8</f>
        <v>#DIV/0!</v>
      </c>
    </row>
    <row r="9" spans="1:4" x14ac:dyDescent="0.25">
      <c r="A9" s="112">
        <f t="shared" si="1"/>
        <v>5</v>
      </c>
      <c r="B9" s="777"/>
      <c r="C9" s="181" t="s">
        <v>272</v>
      </c>
      <c r="D9" s="350"/>
    </row>
    <row r="10" spans="1:4" x14ac:dyDescent="0.25">
      <c r="A10" s="112">
        <f t="shared" si="1"/>
        <v>6</v>
      </c>
      <c r="B10" s="777"/>
      <c r="C10" s="286" t="s">
        <v>1622</v>
      </c>
      <c r="D10" s="445"/>
    </row>
    <row r="11" spans="1:4" x14ac:dyDescent="0.25">
      <c r="A11" s="112">
        <f t="shared" si="1"/>
        <v>7</v>
      </c>
      <c r="B11" s="777"/>
      <c r="C11" s="181" t="s">
        <v>272</v>
      </c>
      <c r="D11" s="171"/>
    </row>
    <row r="12" spans="1:4" x14ac:dyDescent="0.25">
      <c r="A12" s="112">
        <f t="shared" si="1"/>
        <v>8</v>
      </c>
      <c r="B12" s="777"/>
      <c r="C12" s="286" t="s">
        <v>1623</v>
      </c>
      <c r="D12" s="445"/>
    </row>
    <row r="13" spans="1:4" x14ac:dyDescent="0.25">
      <c r="A13" s="112">
        <f t="shared" si="1"/>
        <v>9</v>
      </c>
      <c r="B13" s="777"/>
      <c r="C13" s="181" t="s">
        <v>272</v>
      </c>
      <c r="D13" s="171"/>
    </row>
    <row r="14" spans="1:4" x14ac:dyDescent="0.25">
      <c r="A14" s="112">
        <f t="shared" si="1"/>
        <v>10</v>
      </c>
      <c r="B14" s="777"/>
      <c r="C14" s="286" t="s">
        <v>1624</v>
      </c>
      <c r="D14" s="445"/>
    </row>
    <row r="15" spans="1:4" x14ac:dyDescent="0.25">
      <c r="A15" s="112">
        <f t="shared" si="1"/>
        <v>11</v>
      </c>
      <c r="B15" s="777"/>
      <c r="C15" s="181" t="s">
        <v>272</v>
      </c>
      <c r="D15" s="171"/>
    </row>
    <row r="16" spans="1:4" x14ac:dyDescent="0.25">
      <c r="A16" s="112">
        <f t="shared" si="1"/>
        <v>12</v>
      </c>
      <c r="B16" s="777"/>
      <c r="C16" s="286" t="s">
        <v>1625</v>
      </c>
      <c r="D16" s="445"/>
    </row>
    <row r="17" spans="1:4" ht="15.75" thickBot="1" x14ac:dyDescent="0.3">
      <c r="A17" s="88">
        <f t="shared" si="1"/>
        <v>13</v>
      </c>
      <c r="B17" s="778"/>
      <c r="C17" s="189" t="s">
        <v>272</v>
      </c>
      <c r="D17" s="172"/>
    </row>
    <row r="18" spans="1:4" ht="15" customHeight="1" x14ac:dyDescent="0.25">
      <c r="A18" s="272">
        <f t="shared" si="1"/>
        <v>14</v>
      </c>
      <c r="B18" s="764" t="s">
        <v>289</v>
      </c>
      <c r="C18" s="273" t="s">
        <v>270</v>
      </c>
      <c r="D18" s="140"/>
    </row>
    <row r="19" spans="1:4" x14ac:dyDescent="0.25">
      <c r="A19" s="112">
        <f t="shared" si="1"/>
        <v>15</v>
      </c>
      <c r="B19" s="765"/>
      <c r="C19" s="181" t="s">
        <v>271</v>
      </c>
      <c r="D19" s="446" t="e">
        <f>D18/'3-к'!D8</f>
        <v>#DIV/0!</v>
      </c>
    </row>
    <row r="20" spans="1:4" ht="15.75" thickBot="1" x14ac:dyDescent="0.3">
      <c r="A20" s="88">
        <f t="shared" si="1"/>
        <v>16</v>
      </c>
      <c r="B20" s="766"/>
      <c r="C20" s="189" t="s">
        <v>272</v>
      </c>
      <c r="D20" s="356"/>
    </row>
    <row r="21" spans="1:4" ht="15" customHeight="1" x14ac:dyDescent="0.25">
      <c r="A21" s="272">
        <f t="shared" si="1"/>
        <v>17</v>
      </c>
      <c r="B21" s="776" t="s">
        <v>1617</v>
      </c>
      <c r="C21" s="280" t="s">
        <v>290</v>
      </c>
      <c r="D21" s="342"/>
    </row>
    <row r="22" spans="1:4" x14ac:dyDescent="0.25">
      <c r="A22" s="112">
        <f t="shared" si="1"/>
        <v>18</v>
      </c>
      <c r="B22" s="777"/>
      <c r="C22" s="281" t="s">
        <v>293</v>
      </c>
      <c r="D22" s="351"/>
    </row>
    <row r="23" spans="1:4" x14ac:dyDescent="0.25">
      <c r="A23" s="112">
        <f t="shared" si="1"/>
        <v>19</v>
      </c>
      <c r="B23" s="777"/>
      <c r="C23" s="282" t="s">
        <v>291</v>
      </c>
      <c r="D23" s="352"/>
    </row>
    <row r="24" spans="1:4" ht="15.75" thickBot="1" x14ac:dyDescent="0.3">
      <c r="A24" s="112">
        <f t="shared" si="1"/>
        <v>20</v>
      </c>
      <c r="B24" s="777"/>
      <c r="C24" s="283" t="s">
        <v>292</v>
      </c>
      <c r="D24" s="84">
        <f>IF(D$7=0,0,D21/D$7)</f>
        <v>0</v>
      </c>
    </row>
    <row r="25" spans="1:4" ht="30" x14ac:dyDescent="0.25">
      <c r="A25" s="112">
        <f t="shared" si="1"/>
        <v>21</v>
      </c>
      <c r="B25" s="777"/>
      <c r="C25" s="284" t="s">
        <v>302</v>
      </c>
      <c r="D25" s="342"/>
    </row>
    <row r="26" spans="1:4" x14ac:dyDescent="0.25">
      <c r="A26" s="112">
        <f t="shared" si="1"/>
        <v>22</v>
      </c>
      <c r="B26" s="777"/>
      <c r="C26" s="281" t="s">
        <v>293</v>
      </c>
      <c r="D26" s="353"/>
    </row>
    <row r="27" spans="1:4" x14ac:dyDescent="0.25">
      <c r="A27" s="112">
        <f t="shared" si="1"/>
        <v>23</v>
      </c>
      <c r="B27" s="777"/>
      <c r="C27" s="282" t="s">
        <v>291</v>
      </c>
      <c r="D27" s="195"/>
    </row>
    <row r="28" spans="1:4" ht="15.75" thickBot="1" x14ac:dyDescent="0.3">
      <c r="A28" s="112">
        <f t="shared" si="1"/>
        <v>24</v>
      </c>
      <c r="B28" s="777"/>
      <c r="C28" s="283" t="s">
        <v>292</v>
      </c>
      <c r="D28" s="336">
        <f>IF(D$7=0,0,D25/D$7)</f>
        <v>0</v>
      </c>
    </row>
    <row r="29" spans="1:4" x14ac:dyDescent="0.25">
      <c r="A29" s="112">
        <f t="shared" si="1"/>
        <v>25</v>
      </c>
      <c r="B29" s="777"/>
      <c r="C29" s="284" t="s">
        <v>307</v>
      </c>
      <c r="D29" s="342"/>
    </row>
    <row r="30" spans="1:4" x14ac:dyDescent="0.25">
      <c r="A30" s="112">
        <f t="shared" si="1"/>
        <v>26</v>
      </c>
      <c r="B30" s="777"/>
      <c r="C30" s="281" t="s">
        <v>293</v>
      </c>
      <c r="D30" s="354"/>
    </row>
    <row r="31" spans="1:4" x14ac:dyDescent="0.25">
      <c r="A31" s="112">
        <f t="shared" si="1"/>
        <v>27</v>
      </c>
      <c r="B31" s="777"/>
      <c r="C31" s="282" t="s">
        <v>291</v>
      </c>
      <c r="D31" s="355"/>
    </row>
    <row r="32" spans="1:4" ht="15.75" thickBot="1" x14ac:dyDescent="0.3">
      <c r="A32" s="112">
        <f t="shared" si="1"/>
        <v>28</v>
      </c>
      <c r="B32" s="777"/>
      <c r="C32" s="283" t="s">
        <v>292</v>
      </c>
      <c r="D32" s="336">
        <f>IF(D$7=0,0,D29/D$7)</f>
        <v>0</v>
      </c>
    </row>
    <row r="33" spans="1:4" x14ac:dyDescent="0.25">
      <c r="A33" s="112">
        <f t="shared" si="1"/>
        <v>29</v>
      </c>
      <c r="B33" s="777"/>
      <c r="C33" s="284" t="s">
        <v>308</v>
      </c>
      <c r="D33" s="342"/>
    </row>
    <row r="34" spans="1:4" x14ac:dyDescent="0.25">
      <c r="A34" s="112">
        <f t="shared" si="1"/>
        <v>30</v>
      </c>
      <c r="B34" s="777"/>
      <c r="C34" s="281" t="s">
        <v>293</v>
      </c>
      <c r="D34" s="354"/>
    </row>
    <row r="35" spans="1:4" x14ac:dyDescent="0.25">
      <c r="A35" s="112">
        <f t="shared" si="1"/>
        <v>31</v>
      </c>
      <c r="B35" s="777"/>
      <c r="C35" s="282" t="s">
        <v>291</v>
      </c>
      <c r="D35" s="195"/>
    </row>
    <row r="36" spans="1:4" ht="15.75" thickBot="1" x14ac:dyDescent="0.3">
      <c r="A36" s="112">
        <f t="shared" si="1"/>
        <v>32</v>
      </c>
      <c r="B36" s="777"/>
      <c r="C36" s="283" t="s">
        <v>292</v>
      </c>
      <c r="D36" s="84">
        <f>IF(D$7=0,0,D33/D$7)</f>
        <v>0</v>
      </c>
    </row>
    <row r="37" spans="1:4" x14ac:dyDescent="0.25">
      <c r="A37" s="112">
        <f t="shared" si="1"/>
        <v>33</v>
      </c>
      <c r="B37" s="777"/>
      <c r="C37" s="280" t="s">
        <v>309</v>
      </c>
      <c r="D37" s="342"/>
    </row>
    <row r="38" spans="1:4" x14ac:dyDescent="0.25">
      <c r="A38" s="112">
        <f t="shared" si="1"/>
        <v>34</v>
      </c>
      <c r="B38" s="777"/>
      <c r="C38" s="281" t="s">
        <v>293</v>
      </c>
      <c r="D38" s="354"/>
    </row>
    <row r="39" spans="1:4" x14ac:dyDescent="0.25">
      <c r="A39" s="112">
        <f t="shared" si="1"/>
        <v>35</v>
      </c>
      <c r="B39" s="777"/>
      <c r="C39" s="282" t="s">
        <v>291</v>
      </c>
      <c r="D39" s="195"/>
    </row>
    <row r="40" spans="1:4" ht="15.75" thickBot="1" x14ac:dyDescent="0.3">
      <c r="A40" s="88">
        <f t="shared" si="1"/>
        <v>36</v>
      </c>
      <c r="B40" s="778"/>
      <c r="C40" s="271" t="s">
        <v>292</v>
      </c>
      <c r="D40" s="84">
        <f>IF(D$7=0,0,D37/D$7)</f>
        <v>0</v>
      </c>
    </row>
    <row r="41" spans="1:4" ht="15" customHeight="1" x14ac:dyDescent="0.25">
      <c r="A41" s="116">
        <f t="shared" si="1"/>
        <v>37</v>
      </c>
      <c r="B41" s="764" t="s">
        <v>1618</v>
      </c>
      <c r="C41" s="183" t="s">
        <v>294</v>
      </c>
      <c r="D41" s="447"/>
    </row>
    <row r="42" spans="1:4" x14ac:dyDescent="0.25">
      <c r="A42" s="87">
        <f t="shared" si="1"/>
        <v>38</v>
      </c>
      <c r="B42" s="765"/>
      <c r="C42" s="269" t="s">
        <v>292</v>
      </c>
      <c r="D42" s="346">
        <f>IF(D$7=0,0,D41/D$7)</f>
        <v>0</v>
      </c>
    </row>
    <row r="43" spans="1:4" x14ac:dyDescent="0.25">
      <c r="A43" s="87">
        <f t="shared" si="1"/>
        <v>39</v>
      </c>
      <c r="B43" s="782"/>
      <c r="C43" s="278" t="s">
        <v>272</v>
      </c>
      <c r="D43" s="350"/>
    </row>
    <row r="44" spans="1:4" x14ac:dyDescent="0.25">
      <c r="A44" s="87">
        <f t="shared" si="1"/>
        <v>40</v>
      </c>
      <c r="B44" s="765"/>
      <c r="C44" s="279" t="s">
        <v>295</v>
      </c>
      <c r="D44" s="448"/>
    </row>
    <row r="45" spans="1:4" x14ac:dyDescent="0.25">
      <c r="A45" s="87">
        <f t="shared" si="1"/>
        <v>41</v>
      </c>
      <c r="B45" s="765"/>
      <c r="C45" s="269" t="s">
        <v>292</v>
      </c>
      <c r="D45" s="346">
        <f>IF(D$7=0,0,D44/D$7)</f>
        <v>0</v>
      </c>
    </row>
    <row r="46" spans="1:4" x14ac:dyDescent="0.25">
      <c r="A46" s="87">
        <f t="shared" si="1"/>
        <v>42</v>
      </c>
      <c r="B46" s="765"/>
      <c r="C46" s="278" t="s">
        <v>272</v>
      </c>
      <c r="D46" s="350"/>
    </row>
    <row r="47" spans="1:4" x14ac:dyDescent="0.25">
      <c r="A47" s="87">
        <f t="shared" si="1"/>
        <v>43</v>
      </c>
      <c r="B47" s="765"/>
      <c r="C47" s="274" t="s">
        <v>296</v>
      </c>
      <c r="D47" s="449"/>
    </row>
    <row r="48" spans="1:4" x14ac:dyDescent="0.25">
      <c r="A48" s="87">
        <f t="shared" si="1"/>
        <v>44</v>
      </c>
      <c r="B48" s="783"/>
      <c r="C48" s="269" t="s">
        <v>292</v>
      </c>
      <c r="D48" s="346">
        <f>IF(D$7=0,0,D47/D$7)</f>
        <v>0</v>
      </c>
    </row>
    <row r="49" spans="1:4" ht="15.75" thickBot="1" x14ac:dyDescent="0.3">
      <c r="A49" s="88">
        <f t="shared" si="1"/>
        <v>45</v>
      </c>
      <c r="B49" s="766"/>
      <c r="C49" s="271" t="s">
        <v>272</v>
      </c>
      <c r="D49" s="356"/>
    </row>
    <row r="50" spans="1:4" ht="15" customHeight="1" x14ac:dyDescent="0.25">
      <c r="A50" s="116">
        <f t="shared" si="1"/>
        <v>46</v>
      </c>
      <c r="B50" s="764" t="s">
        <v>1619</v>
      </c>
      <c r="C50" s="183" t="s">
        <v>297</v>
      </c>
      <c r="D50" s="342"/>
    </row>
    <row r="51" spans="1:4" x14ac:dyDescent="0.25">
      <c r="A51" s="87">
        <f t="shared" si="1"/>
        <v>47</v>
      </c>
      <c r="B51" s="765"/>
      <c r="C51" s="269" t="s">
        <v>292</v>
      </c>
      <c r="D51" s="81">
        <f>IF(D$7=0,0,D50/D$7)</f>
        <v>0</v>
      </c>
    </row>
    <row r="52" spans="1:4" x14ac:dyDescent="0.25">
      <c r="A52" s="87">
        <f t="shared" si="1"/>
        <v>48</v>
      </c>
      <c r="B52" s="765"/>
      <c r="C52" s="278" t="s">
        <v>272</v>
      </c>
      <c r="D52" s="171"/>
    </row>
    <row r="53" spans="1:4" x14ac:dyDescent="0.25">
      <c r="A53" s="87">
        <f t="shared" si="1"/>
        <v>49</v>
      </c>
      <c r="B53" s="765"/>
      <c r="C53" s="274" t="s">
        <v>298</v>
      </c>
      <c r="D53" s="345"/>
    </row>
    <row r="54" spans="1:4" x14ac:dyDescent="0.25">
      <c r="A54" s="87">
        <f t="shared" si="1"/>
        <v>50</v>
      </c>
      <c r="B54" s="765"/>
      <c r="C54" s="269" t="s">
        <v>292</v>
      </c>
      <c r="D54" s="81">
        <f t="shared" ref="D54" si="2">IF(D$7=0,0,D53/D$7)</f>
        <v>0</v>
      </c>
    </row>
    <row r="55" spans="1:4" x14ac:dyDescent="0.25">
      <c r="A55" s="87">
        <f t="shared" si="1"/>
        <v>51</v>
      </c>
      <c r="B55" s="765"/>
      <c r="C55" s="278" t="s">
        <v>272</v>
      </c>
      <c r="D55" s="171"/>
    </row>
    <row r="56" spans="1:4" x14ac:dyDescent="0.25">
      <c r="A56" s="87">
        <f t="shared" si="1"/>
        <v>52</v>
      </c>
      <c r="B56" s="765"/>
      <c r="C56" s="274" t="s">
        <v>299</v>
      </c>
      <c r="D56" s="345"/>
    </row>
    <row r="57" spans="1:4" x14ac:dyDescent="0.25">
      <c r="A57" s="87">
        <f t="shared" si="1"/>
        <v>53</v>
      </c>
      <c r="B57" s="783"/>
      <c r="C57" s="269" t="s">
        <v>292</v>
      </c>
      <c r="D57" s="81">
        <f t="shared" ref="D57" si="3">IF(D$7=0,0,D56/D$7)</f>
        <v>0</v>
      </c>
    </row>
    <row r="58" spans="1:4" x14ac:dyDescent="0.25">
      <c r="A58" s="87">
        <f t="shared" si="1"/>
        <v>54</v>
      </c>
      <c r="B58" s="783"/>
      <c r="C58" s="278" t="s">
        <v>272</v>
      </c>
      <c r="D58" s="199"/>
    </row>
    <row r="59" spans="1:4" x14ac:dyDescent="0.25">
      <c r="A59" s="87">
        <f t="shared" si="1"/>
        <v>55</v>
      </c>
      <c r="B59" s="783"/>
      <c r="C59" s="552" t="s">
        <v>300</v>
      </c>
      <c r="D59" s="450"/>
    </row>
    <row r="60" spans="1:4" x14ac:dyDescent="0.25">
      <c r="A60" s="87">
        <f t="shared" si="1"/>
        <v>56</v>
      </c>
      <c r="B60" s="783"/>
      <c r="C60" s="269" t="s">
        <v>292</v>
      </c>
      <c r="D60" s="81">
        <f t="shared" ref="D60" si="4">IF(D$7=0,0,D59/D$7)</f>
        <v>0</v>
      </c>
    </row>
    <row r="61" spans="1:4" ht="15.75" thickBot="1" x14ac:dyDescent="0.3">
      <c r="A61" s="88">
        <f t="shared" si="1"/>
        <v>57</v>
      </c>
      <c r="B61" s="766"/>
      <c r="C61" s="288" t="s">
        <v>272</v>
      </c>
      <c r="D61" s="172"/>
    </row>
    <row r="62" spans="1:4" ht="15.75" thickBot="1" x14ac:dyDescent="0.3">
      <c r="A62" s="290">
        <f t="shared" si="1"/>
        <v>58</v>
      </c>
      <c r="B62" s="291" t="s">
        <v>1645</v>
      </c>
      <c r="C62" s="292"/>
      <c r="D62" s="357"/>
    </row>
    <row r="63" spans="1:4" x14ac:dyDescent="0.25">
      <c r="A63" s="116">
        <f t="shared" si="1"/>
        <v>59</v>
      </c>
      <c r="B63" s="779" t="s">
        <v>1620</v>
      </c>
      <c r="C63" s="287" t="s">
        <v>303</v>
      </c>
      <c r="D63" s="406"/>
    </row>
    <row r="64" spans="1:4" x14ac:dyDescent="0.25">
      <c r="A64" s="87">
        <f t="shared" si="1"/>
        <v>60</v>
      </c>
      <c r="B64" s="780"/>
      <c r="C64" s="278" t="s">
        <v>272</v>
      </c>
      <c r="D64" s="195"/>
    </row>
    <row r="65" spans="1:4" x14ac:dyDescent="0.25">
      <c r="A65" s="87">
        <f t="shared" si="1"/>
        <v>61</v>
      </c>
      <c r="B65" s="780"/>
      <c r="C65" s="260" t="s">
        <v>304</v>
      </c>
      <c r="D65" s="407"/>
    </row>
    <row r="66" spans="1:4" x14ac:dyDescent="0.25">
      <c r="A66" s="87">
        <f t="shared" si="1"/>
        <v>62</v>
      </c>
      <c r="B66" s="780"/>
      <c r="C66" s="278" t="s">
        <v>272</v>
      </c>
      <c r="D66" s="195"/>
    </row>
    <row r="67" spans="1:4" x14ac:dyDescent="0.25">
      <c r="A67" s="87">
        <f t="shared" si="1"/>
        <v>63</v>
      </c>
      <c r="B67" s="780"/>
      <c r="C67" s="260" t="s">
        <v>305</v>
      </c>
      <c r="D67" s="407"/>
    </row>
    <row r="68" spans="1:4" x14ac:dyDescent="0.25">
      <c r="A68" s="87">
        <f t="shared" si="1"/>
        <v>64</v>
      </c>
      <c r="B68" s="780"/>
      <c r="C68" s="278" t="s">
        <v>272</v>
      </c>
      <c r="D68" s="195"/>
    </row>
    <row r="69" spans="1:4" x14ac:dyDescent="0.25">
      <c r="A69" s="87">
        <f t="shared" si="1"/>
        <v>65</v>
      </c>
      <c r="B69" s="780"/>
      <c r="C69" s="260" t="s">
        <v>306</v>
      </c>
      <c r="D69" s="407"/>
    </row>
    <row r="70" spans="1:4" ht="15.75" thickBot="1" x14ac:dyDescent="0.3">
      <c r="A70" s="88">
        <f t="shared" si="1"/>
        <v>66</v>
      </c>
      <c r="B70" s="781"/>
      <c r="C70" s="288" t="s">
        <v>272</v>
      </c>
      <c r="D70" s="197"/>
    </row>
    <row r="71" spans="1:4" x14ac:dyDescent="0.25">
      <c r="A71" s="116">
        <f t="shared" si="1"/>
        <v>67</v>
      </c>
      <c r="B71" s="764" t="s">
        <v>1621</v>
      </c>
      <c r="C71" s="293" t="s">
        <v>1667</v>
      </c>
      <c r="D71" s="342"/>
    </row>
    <row r="72" spans="1:4" x14ac:dyDescent="0.25">
      <c r="A72" s="87">
        <f t="shared" ref="A72:A83" si="5">A71+1</f>
        <v>68</v>
      </c>
      <c r="B72" s="765"/>
      <c r="C72" s="278" t="s">
        <v>272</v>
      </c>
      <c r="D72" s="171"/>
    </row>
    <row r="73" spans="1:4" x14ac:dyDescent="0.25">
      <c r="A73" s="87">
        <f t="shared" si="5"/>
        <v>69</v>
      </c>
      <c r="B73" s="765"/>
      <c r="C73" s="550" t="s">
        <v>1676</v>
      </c>
      <c r="D73" s="345"/>
    </row>
    <row r="74" spans="1:4" x14ac:dyDescent="0.25">
      <c r="A74" s="87">
        <f t="shared" si="5"/>
        <v>70</v>
      </c>
      <c r="B74" s="765"/>
      <c r="C74" s="278" t="s">
        <v>272</v>
      </c>
      <c r="D74" s="171"/>
    </row>
    <row r="75" spans="1:4" x14ac:dyDescent="0.25">
      <c r="A75" s="87">
        <f t="shared" si="5"/>
        <v>71</v>
      </c>
      <c r="B75" s="765"/>
      <c r="C75" s="279" t="s">
        <v>310</v>
      </c>
      <c r="D75" s="345"/>
    </row>
    <row r="76" spans="1:4" x14ac:dyDescent="0.25">
      <c r="A76" s="87">
        <f t="shared" si="5"/>
        <v>72</v>
      </c>
      <c r="B76" s="765"/>
      <c r="C76" s="278" t="s">
        <v>272</v>
      </c>
      <c r="D76" s="171"/>
    </row>
    <row r="77" spans="1:4" x14ac:dyDescent="0.25">
      <c r="A77" s="87">
        <f t="shared" si="5"/>
        <v>73</v>
      </c>
      <c r="B77" s="765"/>
      <c r="C77" s="279" t="s">
        <v>1677</v>
      </c>
      <c r="D77" s="345"/>
    </row>
    <row r="78" spans="1:4" x14ac:dyDescent="0.25">
      <c r="A78" s="87">
        <f t="shared" si="5"/>
        <v>74</v>
      </c>
      <c r="B78" s="765"/>
      <c r="C78" s="278" t="s">
        <v>272</v>
      </c>
      <c r="D78" s="171"/>
    </row>
    <row r="79" spans="1:4" x14ac:dyDescent="0.25">
      <c r="A79" s="87">
        <f t="shared" si="5"/>
        <v>75</v>
      </c>
      <c r="B79" s="765"/>
      <c r="C79" s="279" t="s">
        <v>311</v>
      </c>
      <c r="D79" s="345"/>
    </row>
    <row r="80" spans="1:4" x14ac:dyDescent="0.25">
      <c r="A80" s="87">
        <f t="shared" si="5"/>
        <v>76</v>
      </c>
      <c r="B80" s="765"/>
      <c r="C80" s="278" t="s">
        <v>272</v>
      </c>
      <c r="D80" s="171"/>
    </row>
    <row r="81" spans="1:4" x14ac:dyDescent="0.25">
      <c r="A81" s="87">
        <f t="shared" si="5"/>
        <v>77</v>
      </c>
      <c r="B81" s="765"/>
      <c r="C81" s="279" t="s">
        <v>312</v>
      </c>
      <c r="D81" s="345"/>
    </row>
    <row r="82" spans="1:4" x14ac:dyDescent="0.25">
      <c r="A82" s="87">
        <f t="shared" si="5"/>
        <v>78</v>
      </c>
      <c r="B82" s="765"/>
      <c r="C82" s="278" t="s">
        <v>272</v>
      </c>
      <c r="D82" s="171"/>
    </row>
    <row r="83" spans="1:4" ht="15.75" thickBot="1" x14ac:dyDescent="0.3">
      <c r="A83" s="88">
        <f t="shared" si="5"/>
        <v>79</v>
      </c>
      <c r="B83" s="766"/>
      <c r="C83" s="289" t="s">
        <v>313</v>
      </c>
      <c r="D83" s="444"/>
    </row>
  </sheetData>
  <sheetProtection password="D8E9" sheet="1" objects="1" scenarios="1"/>
  <mergeCells count="10">
    <mergeCell ref="C2:D2"/>
    <mergeCell ref="B71:B83"/>
    <mergeCell ref="C3:D3"/>
    <mergeCell ref="B4:C4"/>
    <mergeCell ref="B18:B20"/>
    <mergeCell ref="B7:B17"/>
    <mergeCell ref="B63:B70"/>
    <mergeCell ref="B21:B40"/>
    <mergeCell ref="B41:B49"/>
    <mergeCell ref="B50:B61"/>
  </mergeCells>
  <conditionalFormatting sqref="D10 D12 D14 D16">
    <cfRule type="expression" dxfId="64" priority="66">
      <formula>(D$10+D$12+D$14+D$16)&gt;D$7</formula>
    </cfRule>
  </conditionalFormatting>
  <conditionalFormatting sqref="D18">
    <cfRule type="cellIs" dxfId="63" priority="61" operator="greaterThan">
      <formula>D$7</formula>
    </cfRule>
  </conditionalFormatting>
  <conditionalFormatting sqref="D63 D65 D67 D69">
    <cfRule type="expression" dxfId="62" priority="43">
      <formula>(D$63+D$65+D$67+D$69)&gt;D$25</formula>
    </cfRule>
  </conditionalFormatting>
  <conditionalFormatting sqref="D71 D75 D79 D81 D83">
    <cfRule type="expression" dxfId="61" priority="38">
      <formula>(D$71+D$73+D$75+D$77+D$79+D$81+D$83)&gt;D$37</formula>
    </cfRule>
  </conditionalFormatting>
  <conditionalFormatting sqref="D73">
    <cfRule type="expression" dxfId="60" priority="32">
      <formula>(D$71+D$73+D$75+D$77+D$79+D$81+D$83)&gt;D$37</formula>
    </cfRule>
  </conditionalFormatting>
  <conditionalFormatting sqref="D77">
    <cfRule type="expression" dxfId="59" priority="30">
      <formula>(D$71+D$73+D$75+D$77+D$79+D$81+D$83)&gt;D$37</formula>
    </cfRule>
  </conditionalFormatting>
  <pageMargins left="0.51181102362204722" right="0.51181102362204722" top="0.55118110236220474" bottom="0.55118110236220474" header="0.31496062992125984" footer="0.31496062992125984"/>
  <pageSetup paperSize="9" scale="39"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T70"/>
  <sheetViews>
    <sheetView zoomScale="80" zoomScaleNormal="80" workbookViewId="0">
      <pane xSplit="3" ySplit="7" topLeftCell="D8" activePane="bottomRight" state="frozen"/>
      <selection pane="topRight" activeCell="D1" sqref="D1"/>
      <selection pane="bottomLeft" activeCell="A8" sqref="A8"/>
      <selection pane="bottomRight" activeCell="F14" sqref="F14"/>
    </sheetView>
  </sheetViews>
  <sheetFormatPr defaultRowHeight="15" x14ac:dyDescent="0.25"/>
  <cols>
    <col min="1" max="1" width="3.42578125" bestFit="1" customWidth="1"/>
    <col min="2" max="2" width="33.85546875" bestFit="1" customWidth="1"/>
    <col min="3" max="3" width="56.28515625" bestFit="1" customWidth="1"/>
    <col min="4" max="15" width="14.5703125" customWidth="1"/>
    <col min="16" max="20" width="16.7109375" style="1" customWidth="1"/>
  </cols>
  <sheetData>
    <row r="1" spans="1:20" ht="21" x14ac:dyDescent="0.35">
      <c r="A1" s="784" t="s">
        <v>314</v>
      </c>
      <c r="B1" s="784"/>
      <c r="C1" s="784"/>
      <c r="D1" s="558" t="s">
        <v>1633</v>
      </c>
      <c r="E1" s="558"/>
      <c r="F1" s="558"/>
      <c r="G1" s="558"/>
      <c r="H1" s="558"/>
      <c r="I1" s="558"/>
      <c r="J1" s="558"/>
      <c r="K1" s="558"/>
      <c r="L1" s="558"/>
      <c r="M1" s="558"/>
      <c r="N1" s="558"/>
      <c r="O1" s="558"/>
      <c r="P1" s="558"/>
      <c r="Q1" s="558"/>
      <c r="R1" s="558"/>
      <c r="S1" s="558"/>
      <c r="T1" s="558"/>
    </row>
    <row r="2" spans="1:20" ht="21" x14ac:dyDescent="0.35">
      <c r="A2" s="675" t="s">
        <v>1685</v>
      </c>
      <c r="B2" s="675"/>
      <c r="C2" s="675"/>
      <c r="D2" s="676"/>
      <c r="E2" s="677"/>
      <c r="F2" s="677"/>
      <c r="G2" s="677"/>
      <c r="H2" s="677"/>
      <c r="I2" s="677"/>
      <c r="J2" s="677"/>
      <c r="K2" s="677"/>
      <c r="L2" s="677"/>
      <c r="M2" s="677"/>
      <c r="N2" s="677"/>
      <c r="O2" s="677"/>
      <c r="P2" s="677"/>
      <c r="Q2" s="677"/>
      <c r="R2" s="677"/>
      <c r="S2" s="677"/>
      <c r="T2" s="678"/>
    </row>
    <row r="3" spans="1:20" ht="21.75" thickBot="1" x14ac:dyDescent="0.4">
      <c r="A3" s="675" t="s">
        <v>88</v>
      </c>
      <c r="B3" s="675"/>
      <c r="C3" s="675"/>
      <c r="D3" s="671"/>
      <c r="E3" s="672"/>
      <c r="F3" s="672"/>
      <c r="G3" s="672"/>
      <c r="H3" s="672"/>
      <c r="I3" s="672"/>
      <c r="J3" s="672"/>
      <c r="K3" s="672"/>
      <c r="L3" s="672"/>
      <c r="M3" s="672"/>
      <c r="N3" s="672"/>
      <c r="O3" s="672"/>
      <c r="P3" s="672"/>
      <c r="Q3" s="672"/>
      <c r="R3" s="672"/>
      <c r="S3" s="672"/>
      <c r="T3" s="673"/>
    </row>
    <row r="4" spans="1:20" ht="35.25" customHeight="1" x14ac:dyDescent="0.25">
      <c r="A4" s="785" t="s">
        <v>3</v>
      </c>
      <c r="B4" s="788" t="s">
        <v>57</v>
      </c>
      <c r="C4" s="789"/>
      <c r="D4" s="792" t="s">
        <v>318</v>
      </c>
      <c r="E4" s="793"/>
      <c r="F4" s="794"/>
      <c r="G4" s="798" t="s">
        <v>7445</v>
      </c>
      <c r="H4" s="799"/>
      <c r="I4" s="799"/>
      <c r="J4" s="799"/>
      <c r="K4" s="800"/>
      <c r="L4" s="812" t="s">
        <v>7446</v>
      </c>
      <c r="M4" s="813"/>
      <c r="N4" s="813"/>
      <c r="O4" s="814"/>
      <c r="P4" s="806" t="s">
        <v>4</v>
      </c>
      <c r="Q4" s="779" t="s">
        <v>5</v>
      </c>
      <c r="R4" s="779" t="s">
        <v>6</v>
      </c>
      <c r="S4" s="779" t="s">
        <v>7</v>
      </c>
      <c r="T4" s="803" t="s">
        <v>8</v>
      </c>
    </row>
    <row r="5" spans="1:20" ht="46.5" customHeight="1" x14ac:dyDescent="0.25">
      <c r="A5" s="786"/>
      <c r="B5" s="790"/>
      <c r="C5" s="791"/>
      <c r="D5" s="795"/>
      <c r="E5" s="796"/>
      <c r="F5" s="797"/>
      <c r="G5" s="809" t="s">
        <v>7449</v>
      </c>
      <c r="H5" s="650"/>
      <c r="I5" s="801" t="s">
        <v>2</v>
      </c>
      <c r="J5" s="637" t="s">
        <v>125</v>
      </c>
      <c r="K5" s="810" t="s">
        <v>124</v>
      </c>
      <c r="L5" s="815"/>
      <c r="M5" s="816"/>
      <c r="N5" s="816"/>
      <c r="O5" s="817"/>
      <c r="P5" s="807"/>
      <c r="Q5" s="780"/>
      <c r="R5" s="780"/>
      <c r="S5" s="780"/>
      <c r="T5" s="804"/>
    </row>
    <row r="6" spans="1:20" ht="15" customHeight="1" x14ac:dyDescent="0.25">
      <c r="A6" s="787"/>
      <c r="B6" s="790"/>
      <c r="C6" s="791"/>
      <c r="D6" s="587" t="s">
        <v>11</v>
      </c>
      <c r="E6" s="561" t="s">
        <v>10</v>
      </c>
      <c r="F6" s="588" t="s">
        <v>9</v>
      </c>
      <c r="G6" s="593" t="s">
        <v>11</v>
      </c>
      <c r="H6" s="561" t="s">
        <v>10</v>
      </c>
      <c r="I6" s="658"/>
      <c r="J6" s="636"/>
      <c r="K6" s="811"/>
      <c r="L6" s="587" t="s">
        <v>11</v>
      </c>
      <c r="M6" s="561" t="s">
        <v>10</v>
      </c>
      <c r="N6" s="561" t="s">
        <v>9</v>
      </c>
      <c r="O6" s="588" t="s">
        <v>12</v>
      </c>
      <c r="P6" s="808"/>
      <c r="Q6" s="802"/>
      <c r="R6" s="802"/>
      <c r="S6" s="802"/>
      <c r="T6" s="805"/>
    </row>
    <row r="7" spans="1:20" ht="15.75" thickBot="1" x14ac:dyDescent="0.3">
      <c r="A7" s="294">
        <v>1</v>
      </c>
      <c r="B7" s="114">
        <f>A7+1</f>
        <v>2</v>
      </c>
      <c r="C7" s="295">
        <f t="shared" ref="C7:K7" si="0">B7+1</f>
        <v>3</v>
      </c>
      <c r="D7" s="294">
        <f t="shared" si="0"/>
        <v>4</v>
      </c>
      <c r="E7" s="114">
        <f t="shared" si="0"/>
        <v>5</v>
      </c>
      <c r="F7" s="270">
        <f t="shared" si="0"/>
        <v>6</v>
      </c>
      <c r="G7" s="294">
        <f t="shared" si="0"/>
        <v>7</v>
      </c>
      <c r="H7" s="114">
        <f t="shared" si="0"/>
        <v>8</v>
      </c>
      <c r="I7" s="114">
        <f>H7+1</f>
        <v>9</v>
      </c>
      <c r="J7" s="114">
        <f t="shared" si="0"/>
        <v>10</v>
      </c>
      <c r="K7" s="270">
        <f t="shared" si="0"/>
        <v>11</v>
      </c>
      <c r="L7" s="577">
        <f t="shared" ref="L7" si="1">K7+1</f>
        <v>12</v>
      </c>
      <c r="M7" s="295">
        <f t="shared" ref="M7" si="2">L7+1</f>
        <v>13</v>
      </c>
      <c r="N7" s="295">
        <f t="shared" ref="N7" si="3">M7+1</f>
        <v>14</v>
      </c>
      <c r="O7" s="270">
        <f t="shared" ref="O7" si="4">N7+1</f>
        <v>15</v>
      </c>
      <c r="P7" s="577">
        <f t="shared" ref="P7" si="5">O7+1</f>
        <v>16</v>
      </c>
      <c r="Q7" s="295">
        <f t="shared" ref="Q7" si="6">P7+1</f>
        <v>17</v>
      </c>
      <c r="R7" s="295">
        <f t="shared" ref="R7" si="7">Q7+1</f>
        <v>18</v>
      </c>
      <c r="S7" s="295">
        <f t="shared" ref="S7" si="8">R7+1</f>
        <v>19</v>
      </c>
      <c r="T7" s="270">
        <f t="shared" ref="T7" si="9">S7+1</f>
        <v>20</v>
      </c>
    </row>
    <row r="8" spans="1:20" ht="15.75" x14ac:dyDescent="0.25">
      <c r="A8" s="567">
        <f>A7+1</f>
        <v>2</v>
      </c>
      <c r="B8" s="692" t="s">
        <v>319</v>
      </c>
      <c r="C8" s="594" t="s">
        <v>315</v>
      </c>
      <c r="D8" s="589"/>
      <c r="E8" s="568"/>
      <c r="F8" s="342"/>
      <c r="G8" s="589"/>
      <c r="H8" s="568"/>
      <c r="I8" s="568"/>
      <c r="J8" s="568"/>
      <c r="K8" s="342"/>
      <c r="L8" s="589"/>
      <c r="M8" s="568"/>
      <c r="N8" s="568"/>
      <c r="O8" s="342"/>
      <c r="P8" s="578">
        <f>SUM(Q8:T8)</f>
        <v>0</v>
      </c>
      <c r="Q8" s="185">
        <f>SUM(D8,G8,L8)</f>
        <v>0</v>
      </c>
      <c r="R8" s="185">
        <f>SUM(E8,H8,M8)</f>
        <v>0</v>
      </c>
      <c r="S8" s="185">
        <f>SUM(F8,N8)</f>
        <v>0</v>
      </c>
      <c r="T8" s="186">
        <f>SUM(I8:K8,O8)</f>
        <v>0</v>
      </c>
    </row>
    <row r="9" spans="1:20" ht="15.75" x14ac:dyDescent="0.25">
      <c r="A9" s="569">
        <f t="shared" ref="A9:A37" si="10">A8+1</f>
        <v>3</v>
      </c>
      <c r="B9" s="693"/>
      <c r="C9" s="595" t="s">
        <v>17</v>
      </c>
      <c r="D9" s="579">
        <f>IF(Q8=0,0,D8/Q8)</f>
        <v>0</v>
      </c>
      <c r="E9" s="82">
        <f>IF(R8=0,0,E8/R8)</f>
        <v>0</v>
      </c>
      <c r="F9" s="83">
        <f>IF(S8=0,0,F8/S8)</f>
        <v>0</v>
      </c>
      <c r="G9" s="579">
        <f>IF(Q8=0,0,G8/Q8)</f>
        <v>0</v>
      </c>
      <c r="H9" s="82">
        <f>IF(R8=0,0,H8/R8)</f>
        <v>0</v>
      </c>
      <c r="I9" s="82">
        <f>IF($T8=0,0,I8/$T8)</f>
        <v>0</v>
      </c>
      <c r="J9" s="82">
        <f>IF($T8=0,0,J8/$T8)</f>
        <v>0</v>
      </c>
      <c r="K9" s="83">
        <f>IF($T8=0,0,K8/$T8)</f>
        <v>0</v>
      </c>
      <c r="L9" s="579">
        <f>IF($Q8=0,0,L8/$Q8)</f>
        <v>0</v>
      </c>
      <c r="M9" s="82">
        <f>IF($R8=0,0,M8/$R8)</f>
        <v>0</v>
      </c>
      <c r="N9" s="82">
        <f>IF($S8=0,0,N8/$S8)</f>
        <v>0</v>
      </c>
      <c r="O9" s="83">
        <f>IF($T8=0,0,O8/$T8)</f>
        <v>0</v>
      </c>
      <c r="P9" s="579">
        <f>IF((P$8+P$11+P$14)=0,0,P8/(P$8+P$11+P$14))</f>
        <v>0</v>
      </c>
      <c r="Q9" s="82">
        <f>IF((Q$8+Q$11)=0,0,Q8/(Q$8+Q$11+Q$14))</f>
        <v>0</v>
      </c>
      <c r="R9" s="82">
        <f>IF((R$8+R$11+R$14)=0,0,R8/(R$8+R$11+R$14))</f>
        <v>0</v>
      </c>
      <c r="S9" s="82">
        <f>IF((S$8+S$11+S$14)=0,0,S8/(S$8+S$11+S$14))</f>
        <v>0</v>
      </c>
      <c r="T9" s="83">
        <f>IF((T$8+T$11+T$14)=0,0,T8/(T$8+T$11+T$14))</f>
        <v>0</v>
      </c>
    </row>
    <row r="10" spans="1:20" x14ac:dyDescent="0.25">
      <c r="A10" s="569">
        <f t="shared" si="10"/>
        <v>4</v>
      </c>
      <c r="B10" s="693"/>
      <c r="C10" s="596" t="s">
        <v>59</v>
      </c>
      <c r="D10" s="584"/>
      <c r="E10" s="194"/>
      <c r="F10" s="195"/>
      <c r="G10" s="584"/>
      <c r="H10" s="194"/>
      <c r="I10" s="194"/>
      <c r="J10" s="194"/>
      <c r="K10" s="195"/>
      <c r="L10" s="584"/>
      <c r="M10" s="194"/>
      <c r="N10" s="194"/>
      <c r="O10" s="195"/>
      <c r="P10" s="580"/>
      <c r="Q10" s="559"/>
      <c r="R10" s="559"/>
      <c r="S10" s="559"/>
      <c r="T10" s="570"/>
    </row>
    <row r="11" spans="1:20" ht="15.75" x14ac:dyDescent="0.25">
      <c r="A11" s="569">
        <f t="shared" si="10"/>
        <v>5</v>
      </c>
      <c r="B11" s="693"/>
      <c r="C11" s="597" t="s">
        <v>316</v>
      </c>
      <c r="D11" s="590"/>
      <c r="E11" s="343"/>
      <c r="F11" s="345"/>
      <c r="G11" s="590"/>
      <c r="H11" s="343"/>
      <c r="I11" s="343"/>
      <c r="J11" s="343"/>
      <c r="K11" s="345"/>
      <c r="L11" s="590"/>
      <c r="M11" s="343"/>
      <c r="N11" s="343"/>
      <c r="O11" s="345"/>
      <c r="P11" s="581">
        <f>SUM(Q11:T11)</f>
        <v>0</v>
      </c>
      <c r="Q11" s="180">
        <f>SUM(D11,G11,L11)</f>
        <v>0</v>
      </c>
      <c r="R11" s="180">
        <f>SUM(E11,H11,M11)</f>
        <v>0</v>
      </c>
      <c r="S11" s="180">
        <f>SUM(F11,N11)</f>
        <v>0</v>
      </c>
      <c r="T11" s="188">
        <f>SUM(I11:K11,O11)</f>
        <v>0</v>
      </c>
    </row>
    <row r="12" spans="1:20" ht="15.75" x14ac:dyDescent="0.25">
      <c r="A12" s="569">
        <f t="shared" si="10"/>
        <v>6</v>
      </c>
      <c r="B12" s="693"/>
      <c r="C12" s="595" t="s">
        <v>17</v>
      </c>
      <c r="D12" s="579">
        <f>IF(Q11=0,0,D11/Q11)</f>
        <v>0</v>
      </c>
      <c r="E12" s="82">
        <f>IF(R11=0,0,E11/R11)</f>
        <v>0</v>
      </c>
      <c r="F12" s="83">
        <f>IF(S11=0,0,F11/S11)</f>
        <v>0</v>
      </c>
      <c r="G12" s="579">
        <f>IF(Q11=0,0,G11/Q11)</f>
        <v>0</v>
      </c>
      <c r="H12" s="82">
        <f>IF(R11=0,0,H11/R11)</f>
        <v>0</v>
      </c>
      <c r="I12" s="82">
        <f>IF($T11=0,0,I11/$T11)</f>
        <v>0</v>
      </c>
      <c r="J12" s="82">
        <f>IF($T11=0,0,J11/$T11)</f>
        <v>0</v>
      </c>
      <c r="K12" s="83">
        <f>IF($T11=0,0,K11/$T11)</f>
        <v>0</v>
      </c>
      <c r="L12" s="579">
        <f>IF($Q11=0,0,L11/$Q11)</f>
        <v>0</v>
      </c>
      <c r="M12" s="82">
        <f>IF($R11=0,0,M11/$R11)</f>
        <v>0</v>
      </c>
      <c r="N12" s="82">
        <f>IF($S11=0,0,N11/$S11)</f>
        <v>0</v>
      </c>
      <c r="O12" s="83">
        <f>IF($T11=0,0,O11/$T11)</f>
        <v>0</v>
      </c>
      <c r="P12" s="579">
        <f>IF((P$8+P$11+P$14)=0,0,P11/(P$8+P$11+P$14))</f>
        <v>0</v>
      </c>
      <c r="Q12" s="82">
        <f>IF((Q$8+Q$11)=0,0,Q11/(Q$8+Q$11+Q$14))</f>
        <v>0</v>
      </c>
      <c r="R12" s="82">
        <f>IF((R$8+R$11+R$14)=0,0,R11/(R$8+R$11+R$14))</f>
        <v>0</v>
      </c>
      <c r="S12" s="82">
        <f>IF((S$8+S$11+S$14)=0,0,S11/(S$8+S$11+S$14))</f>
        <v>0</v>
      </c>
      <c r="T12" s="83">
        <f>IF((T$8+T$11+T$14)=0,0,T11/(T$8+T$11+T$14))</f>
        <v>0</v>
      </c>
    </row>
    <row r="13" spans="1:20" x14ac:dyDescent="0.25">
      <c r="A13" s="569">
        <f t="shared" si="10"/>
        <v>7</v>
      </c>
      <c r="B13" s="693"/>
      <c r="C13" s="596" t="s">
        <v>59</v>
      </c>
      <c r="D13" s="584"/>
      <c r="E13" s="194"/>
      <c r="F13" s="195"/>
      <c r="G13" s="584"/>
      <c r="H13" s="194"/>
      <c r="I13" s="194"/>
      <c r="J13" s="194"/>
      <c r="K13" s="195"/>
      <c r="L13" s="584"/>
      <c r="M13" s="194"/>
      <c r="N13" s="194"/>
      <c r="O13" s="195"/>
      <c r="P13" s="580"/>
      <c r="Q13" s="559"/>
      <c r="R13" s="559"/>
      <c r="S13" s="559"/>
      <c r="T13" s="570"/>
    </row>
    <row r="14" spans="1:20" ht="15.75" x14ac:dyDescent="0.25">
      <c r="A14" s="569">
        <f t="shared" si="10"/>
        <v>8</v>
      </c>
      <c r="B14" s="693"/>
      <c r="C14" s="597" t="s">
        <v>317</v>
      </c>
      <c r="D14" s="590"/>
      <c r="E14" s="343"/>
      <c r="F14" s="345"/>
      <c r="G14" s="590"/>
      <c r="H14" s="343"/>
      <c r="I14" s="343"/>
      <c r="J14" s="343"/>
      <c r="K14" s="345"/>
      <c r="L14" s="590"/>
      <c r="M14" s="343"/>
      <c r="N14" s="343"/>
      <c r="O14" s="345"/>
      <c r="P14" s="581">
        <f>SUM(Q14:T14)</f>
        <v>0</v>
      </c>
      <c r="Q14" s="180">
        <f>SUM(D14,G14,L14)</f>
        <v>0</v>
      </c>
      <c r="R14" s="180">
        <f>SUM(E14,H14,M14)</f>
        <v>0</v>
      </c>
      <c r="S14" s="180">
        <f>SUM(F14,N14)</f>
        <v>0</v>
      </c>
      <c r="T14" s="188">
        <f>SUM(I14:K14,O14)</f>
        <v>0</v>
      </c>
    </row>
    <row r="15" spans="1:20" ht="15.75" x14ac:dyDescent="0.25">
      <c r="A15" s="569">
        <f t="shared" si="10"/>
        <v>9</v>
      </c>
      <c r="B15" s="693"/>
      <c r="C15" s="595" t="s">
        <v>17</v>
      </c>
      <c r="D15" s="579">
        <f>IF(Q14=0,0,D14/Q14)</f>
        <v>0</v>
      </c>
      <c r="E15" s="82">
        <f>IF(R14=0,0,E14/R14)</f>
        <v>0</v>
      </c>
      <c r="F15" s="83">
        <f>IF(S14=0,0,F14/S14)</f>
        <v>0</v>
      </c>
      <c r="G15" s="579">
        <f>IF(Q14=0,0,G14/Q14)</f>
        <v>0</v>
      </c>
      <c r="H15" s="82">
        <f>IF(R14=0,0,H14/R14)</f>
        <v>0</v>
      </c>
      <c r="I15" s="82">
        <f>IF($T14=0,0,I14/$T14)</f>
        <v>0</v>
      </c>
      <c r="J15" s="82">
        <f>IF($T14=0,0,J14/$T14)</f>
        <v>0</v>
      </c>
      <c r="K15" s="83">
        <f>IF($T14=0,0,K14/$T14)</f>
        <v>0</v>
      </c>
      <c r="L15" s="579">
        <f>IF($Q14=0,0,L14/$Q14)</f>
        <v>0</v>
      </c>
      <c r="M15" s="82">
        <f>IF($R14=0,0,M14/$R14)</f>
        <v>0</v>
      </c>
      <c r="N15" s="82">
        <f>IF($S14=0,0,N14/$S14)</f>
        <v>0</v>
      </c>
      <c r="O15" s="83">
        <f>IF($T14=0,0,O14/$T14)</f>
        <v>0</v>
      </c>
      <c r="P15" s="579">
        <f>IF((P$8+P$11+P$14)=0,0,P14/(P$8+P$11+P$14))</f>
        <v>0</v>
      </c>
      <c r="Q15" s="82">
        <f>IF((Q$8+Q$11)=0,0,Q14/(Q$8+Q$11+Q$14))</f>
        <v>0</v>
      </c>
      <c r="R15" s="82">
        <f>IF((R$8+R$11+R$14)=0,0,R14/(R$8+R$11+R$14))</f>
        <v>0</v>
      </c>
      <c r="S15" s="82">
        <f>IF((S$8+S$11+S$14)=0,0,S14/(S$8+S$11+S$14))</f>
        <v>0</v>
      </c>
      <c r="T15" s="83">
        <f>IF((T$8+T$11+T$14)=0,0,T14/(T$8+T$11+T$14))</f>
        <v>0</v>
      </c>
    </row>
    <row r="16" spans="1:20" x14ac:dyDescent="0.25">
      <c r="A16" s="569">
        <f t="shared" si="10"/>
        <v>10</v>
      </c>
      <c r="B16" s="693"/>
      <c r="C16" s="596" t="s">
        <v>59</v>
      </c>
      <c r="D16" s="584"/>
      <c r="E16" s="194"/>
      <c r="F16" s="195"/>
      <c r="G16" s="584"/>
      <c r="H16" s="194"/>
      <c r="I16" s="194"/>
      <c r="J16" s="194"/>
      <c r="K16" s="195"/>
      <c r="L16" s="584"/>
      <c r="M16" s="194"/>
      <c r="N16" s="194"/>
      <c r="O16" s="195"/>
      <c r="P16" s="580"/>
      <c r="Q16" s="559"/>
      <c r="R16" s="559"/>
      <c r="S16" s="559"/>
      <c r="T16" s="570"/>
    </row>
    <row r="17" spans="1:20" ht="15.75" x14ac:dyDescent="0.25">
      <c r="A17" s="569">
        <f t="shared" si="10"/>
        <v>11</v>
      </c>
      <c r="B17" s="693"/>
      <c r="C17" s="598" t="s">
        <v>7447</v>
      </c>
      <c r="D17" s="590"/>
      <c r="E17" s="343"/>
      <c r="F17" s="345"/>
      <c r="G17" s="590"/>
      <c r="H17" s="343"/>
      <c r="I17" s="343"/>
      <c r="J17" s="343"/>
      <c r="K17" s="345"/>
      <c r="L17" s="590"/>
      <c r="M17" s="343"/>
      <c r="N17" s="343"/>
      <c r="O17" s="345"/>
      <c r="P17" s="581">
        <f>SUM(Q17:T17)</f>
        <v>0</v>
      </c>
      <c r="Q17" s="180">
        <f>SUM(D17,G17,L17)</f>
        <v>0</v>
      </c>
      <c r="R17" s="180">
        <f>SUM(E17,H17,M17)</f>
        <v>0</v>
      </c>
      <c r="S17" s="180">
        <f>SUM(F17,N17)</f>
        <v>0</v>
      </c>
      <c r="T17" s="188">
        <f>SUM(I17:K17,O17)</f>
        <v>0</v>
      </c>
    </row>
    <row r="18" spans="1:20" ht="15.75" x14ac:dyDescent="0.25">
      <c r="A18" s="569">
        <f t="shared" si="10"/>
        <v>12</v>
      </c>
      <c r="B18" s="693"/>
      <c r="C18" s="595" t="s">
        <v>17</v>
      </c>
      <c r="D18" s="579">
        <f>IF(Q17=0,0,D17/Q17)</f>
        <v>0</v>
      </c>
      <c r="E18" s="82">
        <f>IF(R17=0,0,E17/R17)</f>
        <v>0</v>
      </c>
      <c r="F18" s="83">
        <f>IF(S17=0,0,F17/S17)</f>
        <v>0</v>
      </c>
      <c r="G18" s="579">
        <f>IF(Q17=0,0,G17/Q17)</f>
        <v>0</v>
      </c>
      <c r="H18" s="82">
        <f>IF(R17=0,0,H17/R17)</f>
        <v>0</v>
      </c>
      <c r="I18" s="82">
        <f>IF($T17=0,0,I17/$T17)</f>
        <v>0</v>
      </c>
      <c r="J18" s="82">
        <f>IF($T17=0,0,J17/$T17)</f>
        <v>0</v>
      </c>
      <c r="K18" s="83">
        <f>IF($T17=0,0,K17/$T17)</f>
        <v>0</v>
      </c>
      <c r="L18" s="579">
        <f>IF($Q17=0,0,L17/$Q17)</f>
        <v>0</v>
      </c>
      <c r="M18" s="82">
        <f>IF($R17=0,0,M17/$R17)</f>
        <v>0</v>
      </c>
      <c r="N18" s="82">
        <f>IF($S17=0,0,N17/$S17)</f>
        <v>0</v>
      </c>
      <c r="O18" s="83">
        <f>IF($T17=0,0,O17/$T17)</f>
        <v>0</v>
      </c>
      <c r="P18" s="579">
        <f>IF((P$8+P$11+P$14)=0,0,P17/(P$8+P$11+P$14))</f>
        <v>0</v>
      </c>
      <c r="Q18" s="82">
        <f>IF((Q$8+Q$11)=0,0,Q17/(Q$8+Q$11+Q$14))</f>
        <v>0</v>
      </c>
      <c r="R18" s="82">
        <f>IF((R$8+R$11+R$14)=0,0,R17/(R$8+R$11+R$14))</f>
        <v>0</v>
      </c>
      <c r="S18" s="82">
        <f>IF((S$8+S$11+S$14)=0,0,S17/(S$8+S$11+S$14))</f>
        <v>0</v>
      </c>
      <c r="T18" s="83">
        <f>IF((T$8+T$11+T$14)=0,0,T17/(T$8+T$11+T$14))</f>
        <v>0</v>
      </c>
    </row>
    <row r="19" spans="1:20" x14ac:dyDescent="0.25">
      <c r="A19" s="569">
        <f t="shared" si="10"/>
        <v>13</v>
      </c>
      <c r="B19" s="693"/>
      <c r="C19" s="599" t="s">
        <v>59</v>
      </c>
      <c r="D19" s="584"/>
      <c r="E19" s="194"/>
      <c r="F19" s="195"/>
      <c r="G19" s="584"/>
      <c r="H19" s="194"/>
      <c r="I19" s="194"/>
      <c r="J19" s="194"/>
      <c r="K19" s="195"/>
      <c r="L19" s="584"/>
      <c r="M19" s="194"/>
      <c r="N19" s="194"/>
      <c r="O19" s="195"/>
      <c r="P19" s="580"/>
      <c r="Q19" s="559"/>
      <c r="R19" s="559"/>
      <c r="S19" s="559"/>
      <c r="T19" s="570"/>
    </row>
    <row r="20" spans="1:20" ht="15.75" x14ac:dyDescent="0.25">
      <c r="A20" s="569">
        <f t="shared" si="10"/>
        <v>14</v>
      </c>
      <c r="B20" s="693"/>
      <c r="C20" s="598" t="s">
        <v>7448</v>
      </c>
      <c r="D20" s="590"/>
      <c r="E20" s="343"/>
      <c r="F20" s="345"/>
      <c r="G20" s="590"/>
      <c r="H20" s="343"/>
      <c r="I20" s="343"/>
      <c r="J20" s="343"/>
      <c r="K20" s="345"/>
      <c r="L20" s="590"/>
      <c r="M20" s="343"/>
      <c r="N20" s="343"/>
      <c r="O20" s="345"/>
      <c r="P20" s="581">
        <f>SUM(Q20:T20)</f>
        <v>0</v>
      </c>
      <c r="Q20" s="180">
        <f>SUM(D20,G20,L20)</f>
        <v>0</v>
      </c>
      <c r="R20" s="180">
        <f>SUM(E20,H20,M20)</f>
        <v>0</v>
      </c>
      <c r="S20" s="180">
        <f>SUM(F20,N20)</f>
        <v>0</v>
      </c>
      <c r="T20" s="188">
        <f>SUM(I20:K20,O20)</f>
        <v>0</v>
      </c>
    </row>
    <row r="21" spans="1:20" ht="15.75" x14ac:dyDescent="0.25">
      <c r="A21" s="569">
        <f t="shared" si="10"/>
        <v>15</v>
      </c>
      <c r="B21" s="693"/>
      <c r="C21" s="595" t="s">
        <v>17</v>
      </c>
      <c r="D21" s="579">
        <f>IF(Q20=0,0,D20/Q20)</f>
        <v>0</v>
      </c>
      <c r="E21" s="82">
        <f>IF(R20=0,0,E20/R20)</f>
        <v>0</v>
      </c>
      <c r="F21" s="83">
        <f>IF(S20=0,0,F20/S20)</f>
        <v>0</v>
      </c>
      <c r="G21" s="579">
        <f>IF(Q20=0,0,G20/Q20)</f>
        <v>0</v>
      </c>
      <c r="H21" s="82">
        <f>IF(R20=0,0,H20/R20)</f>
        <v>0</v>
      </c>
      <c r="I21" s="82">
        <f>IF($T20=0,0,I20/$T20)</f>
        <v>0</v>
      </c>
      <c r="J21" s="82">
        <f>IF($T20=0,0,J20/$T20)</f>
        <v>0</v>
      </c>
      <c r="K21" s="83">
        <f>IF($T20=0,0,K20/$T20)</f>
        <v>0</v>
      </c>
      <c r="L21" s="579">
        <f>IF($Q20=0,0,L20/$Q20)</f>
        <v>0</v>
      </c>
      <c r="M21" s="82">
        <f>IF($R20=0,0,M20/$R20)</f>
        <v>0</v>
      </c>
      <c r="N21" s="82">
        <f>IF($S20=0,0,N20/$S20)</f>
        <v>0</v>
      </c>
      <c r="O21" s="83">
        <f>IF($T20=0,0,O20/$T20)</f>
        <v>0</v>
      </c>
      <c r="P21" s="579">
        <f>IF((P$8+P$11+P$14)=0,0,P20/(P$8+P$11+P$14))</f>
        <v>0</v>
      </c>
      <c r="Q21" s="82">
        <f>IF((Q$8+Q$11)=0,0,Q20/(Q$8+Q$11+Q$14))</f>
        <v>0</v>
      </c>
      <c r="R21" s="82">
        <f>IF((R$8+R$11+R$14)=0,0,R20/(R$8+R$11+R$14))</f>
        <v>0</v>
      </c>
      <c r="S21" s="82">
        <f>IF((S$8+S$11+S$14)=0,0,S20/(S$8+S$11+S$14))</f>
        <v>0</v>
      </c>
      <c r="T21" s="83">
        <f>IF((T$8+T$11+T$14)=0,0,T20/(T$8+T$11+T$14))</f>
        <v>0</v>
      </c>
    </row>
    <row r="22" spans="1:20" ht="15.75" thickBot="1" x14ac:dyDescent="0.3">
      <c r="A22" s="571">
        <f t="shared" si="10"/>
        <v>16</v>
      </c>
      <c r="B22" s="694"/>
      <c r="C22" s="600" t="s">
        <v>59</v>
      </c>
      <c r="D22" s="586"/>
      <c r="E22" s="196"/>
      <c r="F22" s="197"/>
      <c r="G22" s="586"/>
      <c r="H22" s="196"/>
      <c r="I22" s="196"/>
      <c r="J22" s="196"/>
      <c r="K22" s="197"/>
      <c r="L22" s="586"/>
      <c r="M22" s="196"/>
      <c r="N22" s="196"/>
      <c r="O22" s="197"/>
      <c r="P22" s="582"/>
      <c r="Q22" s="572"/>
      <c r="R22" s="572"/>
      <c r="S22" s="572"/>
      <c r="T22" s="573"/>
    </row>
    <row r="23" spans="1:20" ht="15.75" x14ac:dyDescent="0.25">
      <c r="A23" s="567">
        <f t="shared" si="10"/>
        <v>17</v>
      </c>
      <c r="B23" s="764" t="s">
        <v>320</v>
      </c>
      <c r="C23" s="594" t="s">
        <v>315</v>
      </c>
      <c r="D23" s="589"/>
      <c r="E23" s="568"/>
      <c r="F23" s="342"/>
      <c r="G23" s="589"/>
      <c r="H23" s="568"/>
      <c r="I23" s="568"/>
      <c r="J23" s="568"/>
      <c r="K23" s="342"/>
      <c r="L23" s="589"/>
      <c r="M23" s="568"/>
      <c r="N23" s="568"/>
      <c r="O23" s="342"/>
      <c r="P23" s="578">
        <f>SUM(Q23:T23)</f>
        <v>0</v>
      </c>
      <c r="Q23" s="185">
        <f>SUM(D23,G23,L23)</f>
        <v>0</v>
      </c>
      <c r="R23" s="185">
        <f>SUM(E23,H23,M23)</f>
        <v>0</v>
      </c>
      <c r="S23" s="185">
        <f>SUM(F23,N23)</f>
        <v>0</v>
      </c>
      <c r="T23" s="186">
        <f>SUM(I23:K23,O23)</f>
        <v>0</v>
      </c>
    </row>
    <row r="24" spans="1:20" ht="15.75" x14ac:dyDescent="0.25">
      <c r="A24" s="569">
        <f t="shared" si="10"/>
        <v>18</v>
      </c>
      <c r="B24" s="765"/>
      <c r="C24" s="595" t="s">
        <v>17</v>
      </c>
      <c r="D24" s="579">
        <f>IF(Q23=0,0,D23/Q23)</f>
        <v>0</v>
      </c>
      <c r="E24" s="82">
        <f>IF(R23=0,0,E23/R23)</f>
        <v>0</v>
      </c>
      <c r="F24" s="83">
        <f>IF(S23=0,0,F23/S23)</f>
        <v>0</v>
      </c>
      <c r="G24" s="579">
        <f>IF(Q23=0,0,G23/Q23)</f>
        <v>0</v>
      </c>
      <c r="H24" s="82">
        <f>IF(R23=0,0,H23/R23)</f>
        <v>0</v>
      </c>
      <c r="I24" s="82">
        <f>IF($T23=0,0,I23/$T23)</f>
        <v>0</v>
      </c>
      <c r="J24" s="82">
        <f>IF($T23=0,0,J23/$T23)</f>
        <v>0</v>
      </c>
      <c r="K24" s="83">
        <f>IF($T23=0,0,K23/$T23)</f>
        <v>0</v>
      </c>
      <c r="L24" s="579">
        <f>IF($Q23=0,0,L23/$Q23)</f>
        <v>0</v>
      </c>
      <c r="M24" s="82">
        <f>IF($R23=0,0,M23/$R23)</f>
        <v>0</v>
      </c>
      <c r="N24" s="82">
        <f>IF($S23=0,0,N23/$S23)</f>
        <v>0</v>
      </c>
      <c r="O24" s="83">
        <f>IF($T23=0,0,O23/$T23)</f>
        <v>0</v>
      </c>
      <c r="P24" s="579">
        <f>IF((P$23+P$26+P$29)=0,0,P23/(P$23+P$26+P$29))</f>
        <v>0</v>
      </c>
      <c r="Q24" s="82">
        <f>IF((Q$23+Q$26+Q$29)=0,0,Q23/(Q$23+Q$26+Q$29))</f>
        <v>0</v>
      </c>
      <c r="R24" s="82">
        <f>IF((R$23+R$26+R$29)=0,0,R23/(R$23+R$26+R$29))</f>
        <v>0</v>
      </c>
      <c r="S24" s="82">
        <f>IF((S$23+S$26+S$29)=0,0,S23/(S$23+S$26+S$29))</f>
        <v>0</v>
      </c>
      <c r="T24" s="83">
        <f>IF((T$23+T$26+T$29)=0,0,T23/(T$23+T$26+T$29))</f>
        <v>0</v>
      </c>
    </row>
    <row r="25" spans="1:20" x14ac:dyDescent="0.25">
      <c r="A25" s="569">
        <f t="shared" si="10"/>
        <v>19</v>
      </c>
      <c r="B25" s="765"/>
      <c r="C25" s="596" t="s">
        <v>59</v>
      </c>
      <c r="D25" s="584"/>
      <c r="E25" s="194"/>
      <c r="F25" s="195"/>
      <c r="G25" s="584"/>
      <c r="H25" s="194"/>
      <c r="I25" s="194"/>
      <c r="J25" s="194"/>
      <c r="K25" s="195"/>
      <c r="L25" s="584"/>
      <c r="M25" s="194"/>
      <c r="N25" s="194"/>
      <c r="O25" s="195"/>
      <c r="P25" s="580"/>
      <c r="Q25" s="559"/>
      <c r="R25" s="559"/>
      <c r="S25" s="559"/>
      <c r="T25" s="570"/>
    </row>
    <row r="26" spans="1:20" ht="15.75" x14ac:dyDescent="0.25">
      <c r="A26" s="569">
        <f t="shared" si="10"/>
        <v>20</v>
      </c>
      <c r="B26" s="765"/>
      <c r="C26" s="597" t="s">
        <v>316</v>
      </c>
      <c r="D26" s="590"/>
      <c r="E26" s="343"/>
      <c r="F26" s="345"/>
      <c r="G26" s="590"/>
      <c r="H26" s="343"/>
      <c r="I26" s="343"/>
      <c r="J26" s="343"/>
      <c r="K26" s="345"/>
      <c r="L26" s="590"/>
      <c r="M26" s="343"/>
      <c r="N26" s="343"/>
      <c r="O26" s="345"/>
      <c r="P26" s="581">
        <f>SUM(Q26:T26)</f>
        <v>0</v>
      </c>
      <c r="Q26" s="180">
        <f>SUM(D26,G26,L26)</f>
        <v>0</v>
      </c>
      <c r="R26" s="180">
        <f>SUM(E26,H26,M26)</f>
        <v>0</v>
      </c>
      <c r="S26" s="180">
        <f>SUM(F26,N26)</f>
        <v>0</v>
      </c>
      <c r="T26" s="188">
        <f>SUM(I26:K26,O26)</f>
        <v>0</v>
      </c>
    </row>
    <row r="27" spans="1:20" ht="15.75" x14ac:dyDescent="0.25">
      <c r="A27" s="569">
        <f t="shared" si="10"/>
        <v>21</v>
      </c>
      <c r="B27" s="765"/>
      <c r="C27" s="595" t="s">
        <v>17</v>
      </c>
      <c r="D27" s="579">
        <f>IF(Q26=0,0,D26/Q26)</f>
        <v>0</v>
      </c>
      <c r="E27" s="82">
        <f>IF(R26=0,0,E26/R26)</f>
        <v>0</v>
      </c>
      <c r="F27" s="83">
        <f>IF(S26=0,0,F26/S26)</f>
        <v>0</v>
      </c>
      <c r="G27" s="579">
        <f>IF(Q26=0,0,G26/Q26)</f>
        <v>0</v>
      </c>
      <c r="H27" s="82">
        <f>IF(R26=0,0,H26/R26)</f>
        <v>0</v>
      </c>
      <c r="I27" s="82">
        <f>IF($T26=0,0,I26/$T26)</f>
        <v>0</v>
      </c>
      <c r="J27" s="82">
        <f>IF($T26=0,0,J26/$T26)</f>
        <v>0</v>
      </c>
      <c r="K27" s="83">
        <f>IF($T26=0,0,K26/$T26)</f>
        <v>0</v>
      </c>
      <c r="L27" s="579">
        <f>IF($Q26=0,0,L26/$Q26)</f>
        <v>0</v>
      </c>
      <c r="M27" s="82">
        <f>IF($R26=0,0,M26/$R26)</f>
        <v>0</v>
      </c>
      <c r="N27" s="82">
        <f>IF($S26=0,0,N26/$S26)</f>
        <v>0</v>
      </c>
      <c r="O27" s="83">
        <f>IF($T26=0,0,O26/$T26)</f>
        <v>0</v>
      </c>
      <c r="P27" s="579">
        <f>IF((P$23+P$26+P$29)=0,0,P26/(P$23+P$26+P$29))</f>
        <v>0</v>
      </c>
      <c r="Q27" s="82">
        <f>IF((Q$23+Q$26+Q$29)=0,0,Q26/(Q$23+Q$26+Q$29))</f>
        <v>0</v>
      </c>
      <c r="R27" s="82">
        <f>IF((R$23+R$26+R$29)=0,0,R26/(R$23+R$26+R$29))</f>
        <v>0</v>
      </c>
      <c r="S27" s="82">
        <f>IF((S$23+S$26+S$29)=0,0,S26/(S$23+S$26+S$29))</f>
        <v>0</v>
      </c>
      <c r="T27" s="83">
        <f>IF((T$23+T$26+T$29)=0,0,T26/(T$23+T$26+T$29))</f>
        <v>0</v>
      </c>
    </row>
    <row r="28" spans="1:20" x14ac:dyDescent="0.25">
      <c r="A28" s="569">
        <f t="shared" si="10"/>
        <v>22</v>
      </c>
      <c r="B28" s="765"/>
      <c r="C28" s="596" t="s">
        <v>59</v>
      </c>
      <c r="D28" s="584"/>
      <c r="E28" s="194"/>
      <c r="F28" s="195"/>
      <c r="G28" s="584"/>
      <c r="H28" s="194"/>
      <c r="I28" s="194"/>
      <c r="J28" s="194"/>
      <c r="K28" s="195"/>
      <c r="L28" s="584"/>
      <c r="M28" s="194"/>
      <c r="N28" s="194"/>
      <c r="O28" s="195"/>
      <c r="P28" s="580"/>
      <c r="Q28" s="559"/>
      <c r="R28" s="559"/>
      <c r="S28" s="559"/>
      <c r="T28" s="570"/>
    </row>
    <row r="29" spans="1:20" ht="15.75" x14ac:dyDescent="0.25">
      <c r="A29" s="569">
        <f t="shared" si="10"/>
        <v>23</v>
      </c>
      <c r="B29" s="765"/>
      <c r="C29" s="597" t="s">
        <v>317</v>
      </c>
      <c r="D29" s="590"/>
      <c r="E29" s="343"/>
      <c r="F29" s="345"/>
      <c r="G29" s="590"/>
      <c r="H29" s="343"/>
      <c r="I29" s="343"/>
      <c r="J29" s="343"/>
      <c r="K29" s="345"/>
      <c r="L29" s="590"/>
      <c r="M29" s="343"/>
      <c r="N29" s="343"/>
      <c r="O29" s="345"/>
      <c r="P29" s="581">
        <f>SUM(Q29:T29)</f>
        <v>0</v>
      </c>
      <c r="Q29" s="180">
        <f>SUM(D29,G29,L29)</f>
        <v>0</v>
      </c>
      <c r="R29" s="180">
        <f>SUM(E29,H29,M29)</f>
        <v>0</v>
      </c>
      <c r="S29" s="180">
        <f>SUM(F29,N29)</f>
        <v>0</v>
      </c>
      <c r="T29" s="188">
        <f>SUM(I29:K29,O29)</f>
        <v>0</v>
      </c>
    </row>
    <row r="30" spans="1:20" ht="15.75" x14ac:dyDescent="0.25">
      <c r="A30" s="569">
        <f t="shared" si="10"/>
        <v>24</v>
      </c>
      <c r="B30" s="765"/>
      <c r="C30" s="595" t="s">
        <v>17</v>
      </c>
      <c r="D30" s="579">
        <f>IF(Q29=0,0,D29/Q29)</f>
        <v>0</v>
      </c>
      <c r="E30" s="82">
        <f>IF(R29=0,0,E29/R29)</f>
        <v>0</v>
      </c>
      <c r="F30" s="83">
        <f>IF(S29=0,0,F29/S29)</f>
        <v>0</v>
      </c>
      <c r="G30" s="579">
        <f>IF(Q29=0,0,G29/Q29)</f>
        <v>0</v>
      </c>
      <c r="H30" s="82">
        <f>IF(R29=0,0,H29/R29)</f>
        <v>0</v>
      </c>
      <c r="I30" s="82">
        <f>IF($T29=0,0,I29/$T29)</f>
        <v>0</v>
      </c>
      <c r="J30" s="82">
        <f>IF($T29=0,0,J29/$T29)</f>
        <v>0</v>
      </c>
      <c r="K30" s="83">
        <f>IF($T29=0,0,K29/$T29)</f>
        <v>0</v>
      </c>
      <c r="L30" s="579">
        <f>IF($Q29=0,0,L29/$Q29)</f>
        <v>0</v>
      </c>
      <c r="M30" s="82">
        <f>IF($R29=0,0,M29/$R29)</f>
        <v>0</v>
      </c>
      <c r="N30" s="82">
        <f>IF($S29=0,0,N29/$S29)</f>
        <v>0</v>
      </c>
      <c r="O30" s="83">
        <f>IF($T29=0,0,O29/$T29)</f>
        <v>0</v>
      </c>
      <c r="P30" s="579">
        <f>IF((P$23+P$26+P$29)=0,0,P29/(P$23+P$26+P$29))</f>
        <v>0</v>
      </c>
      <c r="Q30" s="82">
        <f>IF((Q$23+Q$26+Q$29)=0,0,Q29/(Q$23+Q$26+Q$29))</f>
        <v>0</v>
      </c>
      <c r="R30" s="82">
        <f>IF((R$23+R$26+R$29)=0,0,R29/(R$23+R$26+R$29))</f>
        <v>0</v>
      </c>
      <c r="S30" s="82">
        <f>IF((S$23+S$26+S$29)=0,0,S29/(S$23+S$26+S$29))</f>
        <v>0</v>
      </c>
      <c r="T30" s="83">
        <f>IF((T$23+T$26+T$29)=0,0,T29/(T$23+T$26+T$29))</f>
        <v>0</v>
      </c>
    </row>
    <row r="31" spans="1:20" x14ac:dyDescent="0.25">
      <c r="A31" s="569">
        <f t="shared" si="10"/>
        <v>25</v>
      </c>
      <c r="B31" s="765"/>
      <c r="C31" s="596" t="s">
        <v>59</v>
      </c>
      <c r="D31" s="584"/>
      <c r="E31" s="194"/>
      <c r="F31" s="195"/>
      <c r="G31" s="584"/>
      <c r="H31" s="194"/>
      <c r="I31" s="194"/>
      <c r="J31" s="194"/>
      <c r="K31" s="195"/>
      <c r="L31" s="584"/>
      <c r="M31" s="194"/>
      <c r="N31" s="194"/>
      <c r="O31" s="195"/>
      <c r="P31" s="580"/>
      <c r="Q31" s="559"/>
      <c r="R31" s="559"/>
      <c r="S31" s="559"/>
      <c r="T31" s="570"/>
    </row>
    <row r="32" spans="1:20" ht="15.75" x14ac:dyDescent="0.25">
      <c r="A32" s="569">
        <f t="shared" si="10"/>
        <v>26</v>
      </c>
      <c r="B32" s="765"/>
      <c r="C32" s="598" t="s">
        <v>7450</v>
      </c>
      <c r="D32" s="590"/>
      <c r="E32" s="343"/>
      <c r="F32" s="345"/>
      <c r="G32" s="590"/>
      <c r="H32" s="343"/>
      <c r="I32" s="343"/>
      <c r="J32" s="343"/>
      <c r="K32" s="345"/>
      <c r="L32" s="590"/>
      <c r="M32" s="343"/>
      <c r="N32" s="343"/>
      <c r="O32" s="345"/>
      <c r="P32" s="581">
        <f>SUM(Q32:T32)</f>
        <v>0</v>
      </c>
      <c r="Q32" s="180">
        <f>SUM(D32,G32,L32)</f>
        <v>0</v>
      </c>
      <c r="R32" s="180">
        <f>SUM(E32,H32,M32)</f>
        <v>0</v>
      </c>
      <c r="S32" s="180">
        <f>SUM(F32,N32)</f>
        <v>0</v>
      </c>
      <c r="T32" s="188">
        <f>SUM(I32:K32,O32)</f>
        <v>0</v>
      </c>
    </row>
    <row r="33" spans="1:20" ht="15.75" x14ac:dyDescent="0.25">
      <c r="A33" s="569">
        <f t="shared" si="10"/>
        <v>27</v>
      </c>
      <c r="B33" s="765"/>
      <c r="C33" s="595" t="s">
        <v>17</v>
      </c>
      <c r="D33" s="579">
        <f>IF(Q32=0,0,D32/Q32)</f>
        <v>0</v>
      </c>
      <c r="E33" s="82">
        <f>IF(R32=0,0,E32/R32)</f>
        <v>0</v>
      </c>
      <c r="F33" s="83">
        <f>IF(S32=0,0,F32/S32)</f>
        <v>0</v>
      </c>
      <c r="G33" s="579">
        <f>IF(Q32=0,0,G32/Q32)</f>
        <v>0</v>
      </c>
      <c r="H33" s="82">
        <f>IF(R32=0,0,H32/R32)</f>
        <v>0</v>
      </c>
      <c r="I33" s="82">
        <f>IF($T32=0,0,I32/$T32)</f>
        <v>0</v>
      </c>
      <c r="J33" s="82">
        <f>IF($T32=0,0,J32/$T32)</f>
        <v>0</v>
      </c>
      <c r="K33" s="83">
        <f>IF($T32=0,0,K32/$T32)</f>
        <v>0</v>
      </c>
      <c r="L33" s="579">
        <f>IF($Q32=0,0,L32/$Q32)</f>
        <v>0</v>
      </c>
      <c r="M33" s="82">
        <f>IF($R32=0,0,M32/$R32)</f>
        <v>0</v>
      </c>
      <c r="N33" s="82">
        <f>IF($S32=0,0,N32/$S32)</f>
        <v>0</v>
      </c>
      <c r="O33" s="83">
        <f>IF($T32=0,0,O32/$T32)</f>
        <v>0</v>
      </c>
      <c r="P33" s="579">
        <f>IF((P$23+P$26+P$29)=0,0,P32/(P$23+P$26+P$29))</f>
        <v>0</v>
      </c>
      <c r="Q33" s="82">
        <f>IF((Q$23+Q$26+Q$29)=0,0,Q32/(Q$23+Q$26+Q$29))</f>
        <v>0</v>
      </c>
      <c r="R33" s="82">
        <f>IF((R$23+R$26+R$29)=0,0,R32/(R$23+R$26+R$29))</f>
        <v>0</v>
      </c>
      <c r="S33" s="82">
        <f>IF((S$23+S$26+S$29)=0,0,S32/(S$23+S$26+S$29))</f>
        <v>0</v>
      </c>
      <c r="T33" s="83">
        <f>IF((T$23+T$26+T$29)=0,0,T32/(T$23+T$26+T$29))</f>
        <v>0</v>
      </c>
    </row>
    <row r="34" spans="1:20" x14ac:dyDescent="0.25">
      <c r="A34" s="569">
        <f t="shared" si="10"/>
        <v>28</v>
      </c>
      <c r="B34" s="765"/>
      <c r="C34" s="599" t="s">
        <v>59</v>
      </c>
      <c r="D34" s="584"/>
      <c r="E34" s="194"/>
      <c r="F34" s="195"/>
      <c r="G34" s="584"/>
      <c r="H34" s="194"/>
      <c r="I34" s="194"/>
      <c r="J34" s="194"/>
      <c r="K34" s="195"/>
      <c r="L34" s="584"/>
      <c r="M34" s="194"/>
      <c r="N34" s="194"/>
      <c r="O34" s="195"/>
      <c r="P34" s="580"/>
      <c r="Q34" s="559"/>
      <c r="R34" s="559"/>
      <c r="S34" s="559"/>
      <c r="T34" s="570"/>
    </row>
    <row r="35" spans="1:20" ht="15.75" x14ac:dyDescent="0.25">
      <c r="A35" s="569">
        <f t="shared" si="10"/>
        <v>29</v>
      </c>
      <c r="B35" s="765"/>
      <c r="C35" s="598" t="s">
        <v>7451</v>
      </c>
      <c r="D35" s="590"/>
      <c r="E35" s="343"/>
      <c r="F35" s="345"/>
      <c r="G35" s="590"/>
      <c r="H35" s="343"/>
      <c r="I35" s="343"/>
      <c r="J35" s="343"/>
      <c r="K35" s="345"/>
      <c r="L35" s="590"/>
      <c r="M35" s="343"/>
      <c r="N35" s="343"/>
      <c r="O35" s="345"/>
      <c r="P35" s="581">
        <f>SUM(Q35:T35)</f>
        <v>0</v>
      </c>
      <c r="Q35" s="180">
        <f>SUM(D35,G35,L35)</f>
        <v>0</v>
      </c>
      <c r="R35" s="180">
        <f>SUM(E35,H35,M35)</f>
        <v>0</v>
      </c>
      <c r="S35" s="180">
        <f>SUM(F35,N35)</f>
        <v>0</v>
      </c>
      <c r="T35" s="188">
        <f>SUM(I35:K35,O35)</f>
        <v>0</v>
      </c>
    </row>
    <row r="36" spans="1:20" ht="15.75" x14ac:dyDescent="0.25">
      <c r="A36" s="569">
        <f t="shared" si="10"/>
        <v>30</v>
      </c>
      <c r="B36" s="765"/>
      <c r="C36" s="595" t="s">
        <v>17</v>
      </c>
      <c r="D36" s="579">
        <f>IF(Q35=0,0,D35/Q35)</f>
        <v>0</v>
      </c>
      <c r="E36" s="82">
        <f>IF(R35=0,0,E35/R35)</f>
        <v>0</v>
      </c>
      <c r="F36" s="83">
        <f>IF(S35=0,0,F35/S35)</f>
        <v>0</v>
      </c>
      <c r="G36" s="579">
        <f>IF(Q35=0,0,G35/Q35)</f>
        <v>0</v>
      </c>
      <c r="H36" s="82">
        <f>IF(R35=0,0,H35/R35)</f>
        <v>0</v>
      </c>
      <c r="I36" s="82">
        <f>IF($T35=0,0,I35/$T35)</f>
        <v>0</v>
      </c>
      <c r="J36" s="82">
        <f>IF($T35=0,0,J35/$T35)</f>
        <v>0</v>
      </c>
      <c r="K36" s="83">
        <f>IF($T35=0,0,K35/$T35)</f>
        <v>0</v>
      </c>
      <c r="L36" s="579">
        <f>IF($Q35=0,0,L35/$Q35)</f>
        <v>0</v>
      </c>
      <c r="M36" s="82">
        <f>IF($R35=0,0,M35/$R35)</f>
        <v>0</v>
      </c>
      <c r="N36" s="82">
        <f>IF($S35=0,0,N35/$S35)</f>
        <v>0</v>
      </c>
      <c r="O36" s="83">
        <f>IF($T35=0,0,O35/$T35)</f>
        <v>0</v>
      </c>
      <c r="P36" s="579">
        <f>IF((P$23+P$26+P$29)=0,0,P35/(P$23+P$26+P$29))</f>
        <v>0</v>
      </c>
      <c r="Q36" s="82">
        <f>IF((Q$23+Q$26+Q$29)=0,0,Q35/(Q$23+Q$26+Q$29))</f>
        <v>0</v>
      </c>
      <c r="R36" s="82">
        <f>IF((R$23+R$26+R$29)=0,0,R35/(R$23+R$26+R$29))</f>
        <v>0</v>
      </c>
      <c r="S36" s="82">
        <f>IF((S$23+S$26+S$29)=0,0,S35/(S$23+S$26+S$29))</f>
        <v>0</v>
      </c>
      <c r="T36" s="83">
        <f>IF((T$23+T$26+T$29)=0,0,T35/(T$23+T$26+T$29))</f>
        <v>0</v>
      </c>
    </row>
    <row r="37" spans="1:20" ht="15.75" thickBot="1" x14ac:dyDescent="0.3">
      <c r="A37" s="571">
        <f t="shared" si="10"/>
        <v>31</v>
      </c>
      <c r="B37" s="766"/>
      <c r="C37" s="600" t="s">
        <v>59</v>
      </c>
      <c r="D37" s="586"/>
      <c r="E37" s="196"/>
      <c r="F37" s="197"/>
      <c r="G37" s="586"/>
      <c r="H37" s="196"/>
      <c r="I37" s="196"/>
      <c r="J37" s="196"/>
      <c r="K37" s="197"/>
      <c r="L37" s="586"/>
      <c r="M37" s="196"/>
      <c r="N37" s="196"/>
      <c r="O37" s="197"/>
      <c r="P37" s="582"/>
      <c r="Q37" s="572"/>
      <c r="R37" s="572"/>
      <c r="S37" s="572"/>
      <c r="T37" s="573"/>
    </row>
    <row r="38" spans="1:20" ht="15.75" x14ac:dyDescent="0.25">
      <c r="A38" s="567">
        <f t="shared" ref="A38:A67" si="11">A37+1</f>
        <v>32</v>
      </c>
      <c r="B38" s="764" t="s">
        <v>1639</v>
      </c>
      <c r="C38" s="594" t="s">
        <v>315</v>
      </c>
      <c r="D38" s="589"/>
      <c r="E38" s="568"/>
      <c r="F38" s="342"/>
      <c r="G38" s="589"/>
      <c r="H38" s="568"/>
      <c r="I38" s="568"/>
      <c r="J38" s="568"/>
      <c r="K38" s="342"/>
      <c r="L38" s="589"/>
      <c r="M38" s="568"/>
      <c r="N38" s="568"/>
      <c r="O38" s="342"/>
      <c r="P38" s="578">
        <f>SUM(Q38:T38)</f>
        <v>0</v>
      </c>
      <c r="Q38" s="185">
        <f>SUM(D38,G38,L38)</f>
        <v>0</v>
      </c>
      <c r="R38" s="185">
        <f>SUM(E38,H38,M38)</f>
        <v>0</v>
      </c>
      <c r="S38" s="185">
        <f>SUM(F38,N38)</f>
        <v>0</v>
      </c>
      <c r="T38" s="186">
        <f>SUM(I38:K38,O38)</f>
        <v>0</v>
      </c>
    </row>
    <row r="39" spans="1:20" ht="15.75" x14ac:dyDescent="0.25">
      <c r="A39" s="569">
        <f t="shared" si="11"/>
        <v>33</v>
      </c>
      <c r="B39" s="765"/>
      <c r="C39" s="595" t="s">
        <v>17</v>
      </c>
      <c r="D39" s="579">
        <f>IF(Q38=0,0,D38/Q38)</f>
        <v>0</v>
      </c>
      <c r="E39" s="82">
        <f>IF(R38=0,0,E38/R38)</f>
        <v>0</v>
      </c>
      <c r="F39" s="83">
        <f>IF(S38=0,0,F38/S38)</f>
        <v>0</v>
      </c>
      <c r="G39" s="579">
        <f>IF(Q38=0,0,G38/Q38)</f>
        <v>0</v>
      </c>
      <c r="H39" s="82">
        <f>IF(R38=0,0,H38/R38)</f>
        <v>0</v>
      </c>
      <c r="I39" s="82">
        <f>IF($T38=0,0,I38/$T38)</f>
        <v>0</v>
      </c>
      <c r="J39" s="82">
        <f>IF($T38=0,0,J38/$T38)</f>
        <v>0</v>
      </c>
      <c r="K39" s="83">
        <f>IF($T38=0,0,K38/$T38)</f>
        <v>0</v>
      </c>
      <c r="L39" s="579">
        <f>IF($Q38=0,0,L38/$Q38)</f>
        <v>0</v>
      </c>
      <c r="M39" s="82">
        <f>IF($R38=0,0,M38/$R38)</f>
        <v>0</v>
      </c>
      <c r="N39" s="82">
        <f>IF($S38=0,0,N38/$S38)</f>
        <v>0</v>
      </c>
      <c r="O39" s="83">
        <f>IF($T38=0,0,O38/$T38)</f>
        <v>0</v>
      </c>
      <c r="P39" s="579">
        <f>IF((P$38+P$41+P$44)=0,0,P38/(P$38+P$41+P$44))</f>
        <v>0</v>
      </c>
      <c r="Q39" s="82">
        <f t="shared" ref="Q39:R39" si="12">IF((Q$38+Q$41+Q$44)=0,0,Q38/(Q$38+Q$41+Q$44))</f>
        <v>0</v>
      </c>
      <c r="R39" s="82">
        <f t="shared" si="12"/>
        <v>0</v>
      </c>
      <c r="S39" s="82">
        <f>IF((S$38+S$41+S$44)=0,0,S38/(S$38+S$41+S$44))</f>
        <v>0</v>
      </c>
      <c r="T39" s="83">
        <f>IF((T$38+T$41+T$44)=0,0,T38/(T$38+T$41+T$44))</f>
        <v>0</v>
      </c>
    </row>
    <row r="40" spans="1:20" x14ac:dyDescent="0.25">
      <c r="A40" s="569">
        <f t="shared" si="11"/>
        <v>34</v>
      </c>
      <c r="B40" s="765"/>
      <c r="C40" s="596" t="s">
        <v>59</v>
      </c>
      <c r="D40" s="584"/>
      <c r="E40" s="194"/>
      <c r="F40" s="195"/>
      <c r="G40" s="584"/>
      <c r="H40" s="194"/>
      <c r="I40" s="194"/>
      <c r="J40" s="194"/>
      <c r="K40" s="195"/>
      <c r="L40" s="584"/>
      <c r="M40" s="194"/>
      <c r="N40" s="194"/>
      <c r="O40" s="195"/>
      <c r="P40" s="580"/>
      <c r="Q40" s="559"/>
      <c r="R40" s="559"/>
      <c r="S40" s="559"/>
      <c r="T40" s="570"/>
    </row>
    <row r="41" spans="1:20" ht="15.75" x14ac:dyDescent="0.25">
      <c r="A41" s="569">
        <f t="shared" si="11"/>
        <v>35</v>
      </c>
      <c r="B41" s="765"/>
      <c r="C41" s="597" t="s">
        <v>316</v>
      </c>
      <c r="D41" s="590"/>
      <c r="E41" s="343"/>
      <c r="F41" s="345"/>
      <c r="G41" s="590"/>
      <c r="H41" s="343"/>
      <c r="I41" s="343"/>
      <c r="J41" s="343"/>
      <c r="K41" s="345"/>
      <c r="L41" s="590"/>
      <c r="M41" s="343"/>
      <c r="N41" s="343"/>
      <c r="O41" s="345"/>
      <c r="P41" s="581">
        <f>SUM(Q41:T41)</f>
        <v>0</v>
      </c>
      <c r="Q41" s="180">
        <f>SUM(D41,G41,L41)</f>
        <v>0</v>
      </c>
      <c r="R41" s="180">
        <f>SUM(E41,H41,M41)</f>
        <v>0</v>
      </c>
      <c r="S41" s="180">
        <f>SUM(F41,N41)</f>
        <v>0</v>
      </c>
      <c r="T41" s="188">
        <f>SUM(I41:K41,O41)</f>
        <v>0</v>
      </c>
    </row>
    <row r="42" spans="1:20" ht="15.75" x14ac:dyDescent="0.25">
      <c r="A42" s="569">
        <f t="shared" si="11"/>
        <v>36</v>
      </c>
      <c r="B42" s="765"/>
      <c r="C42" s="595" t="s">
        <v>17</v>
      </c>
      <c r="D42" s="579">
        <f>IF(Q41=0,0,D41/Q41)</f>
        <v>0</v>
      </c>
      <c r="E42" s="82">
        <f>IF(R41=0,0,E41/R41)</f>
        <v>0</v>
      </c>
      <c r="F42" s="83">
        <f>IF(S41=0,0,F41/S41)</f>
        <v>0</v>
      </c>
      <c r="G42" s="579">
        <f>IF(Q41=0,0,G41/Q41)</f>
        <v>0</v>
      </c>
      <c r="H42" s="82">
        <f>IF(R41=0,0,H41/R41)</f>
        <v>0</v>
      </c>
      <c r="I42" s="82">
        <f>IF($T41=0,0,I41/$T41)</f>
        <v>0</v>
      </c>
      <c r="J42" s="82">
        <f>IF($T41=0,0,J41/$T41)</f>
        <v>0</v>
      </c>
      <c r="K42" s="83">
        <f>IF($T41=0,0,K41/$T41)</f>
        <v>0</v>
      </c>
      <c r="L42" s="579">
        <f>IF($Q41=0,0,L41/$Q41)</f>
        <v>0</v>
      </c>
      <c r="M42" s="82">
        <f>IF($R41=0,0,M41/$R41)</f>
        <v>0</v>
      </c>
      <c r="N42" s="82">
        <f>IF($S41=0,0,N41/$S41)</f>
        <v>0</v>
      </c>
      <c r="O42" s="83">
        <f>IF($T41=0,0,O41/$T41)</f>
        <v>0</v>
      </c>
      <c r="P42" s="579">
        <f>IF((P$38+P$41+P$44)=0,0,P41/(P$38+P$41+P$44))</f>
        <v>0</v>
      </c>
      <c r="Q42" s="82">
        <f t="shared" ref="Q42" si="13">IF((Q$38+Q$41+Q$44)=0,0,Q41/(Q$38+Q$41+Q$44))</f>
        <v>0</v>
      </c>
      <c r="R42" s="82">
        <f t="shared" ref="R42" si="14">IF((R$38+R$41+R$44)=0,0,R41/(R$38+R$41+R$44))</f>
        <v>0</v>
      </c>
      <c r="S42" s="82">
        <f>IF((S$38+S$41+S$44)=0,0,S41/(S$38+S$41+S$44))</f>
        <v>0</v>
      </c>
      <c r="T42" s="83">
        <f>IF((T$38+T$41+T$44)=0,0,T41/(T$38+T$41+T$44))</f>
        <v>0</v>
      </c>
    </row>
    <row r="43" spans="1:20" x14ac:dyDescent="0.25">
      <c r="A43" s="569">
        <f t="shared" si="11"/>
        <v>37</v>
      </c>
      <c r="B43" s="765"/>
      <c r="C43" s="596" t="s">
        <v>59</v>
      </c>
      <c r="D43" s="584"/>
      <c r="E43" s="194"/>
      <c r="F43" s="195"/>
      <c r="G43" s="584"/>
      <c r="H43" s="194"/>
      <c r="I43" s="194"/>
      <c r="J43" s="194"/>
      <c r="K43" s="195"/>
      <c r="L43" s="584"/>
      <c r="M43" s="194"/>
      <c r="N43" s="194"/>
      <c r="O43" s="195"/>
      <c r="P43" s="580"/>
      <c r="Q43" s="559"/>
      <c r="R43" s="559"/>
      <c r="S43" s="559"/>
      <c r="T43" s="570"/>
    </row>
    <row r="44" spans="1:20" ht="15.75" x14ac:dyDescent="0.25">
      <c r="A44" s="569">
        <f t="shared" si="11"/>
        <v>38</v>
      </c>
      <c r="B44" s="765"/>
      <c r="C44" s="597" t="s">
        <v>317</v>
      </c>
      <c r="D44" s="591"/>
      <c r="E44" s="358"/>
      <c r="F44" s="592"/>
      <c r="G44" s="591"/>
      <c r="H44" s="358"/>
      <c r="I44" s="358"/>
      <c r="J44" s="358"/>
      <c r="K44" s="592"/>
      <c r="L44" s="591"/>
      <c r="M44" s="358"/>
      <c r="N44" s="358"/>
      <c r="O44" s="592"/>
      <c r="P44" s="581">
        <f>SUM(Q44:T44)</f>
        <v>0</v>
      </c>
      <c r="Q44" s="180">
        <f>SUM(D44,G44,L44)</f>
        <v>0</v>
      </c>
      <c r="R44" s="180">
        <f>SUM(E44,H44,M44)</f>
        <v>0</v>
      </c>
      <c r="S44" s="180">
        <f>SUM(F44,N44)</f>
        <v>0</v>
      </c>
      <c r="T44" s="188">
        <f>SUM(I44:K44,O44)</f>
        <v>0</v>
      </c>
    </row>
    <row r="45" spans="1:20" ht="15.75" x14ac:dyDescent="0.25">
      <c r="A45" s="569">
        <f t="shared" si="11"/>
        <v>39</v>
      </c>
      <c r="B45" s="765"/>
      <c r="C45" s="595" t="s">
        <v>17</v>
      </c>
      <c r="D45" s="579">
        <f>IF(Q44=0,0,D44/Q44)</f>
        <v>0</v>
      </c>
      <c r="E45" s="82">
        <f>IF(R44=0,0,E44/R44)</f>
        <v>0</v>
      </c>
      <c r="F45" s="83">
        <f>IF(S44=0,0,F44/S44)</f>
        <v>0</v>
      </c>
      <c r="G45" s="579">
        <f>IF(Q44=0,0,G44/Q44)</f>
        <v>0</v>
      </c>
      <c r="H45" s="82">
        <f>IF(R44=0,0,H44/R44)</f>
        <v>0</v>
      </c>
      <c r="I45" s="82">
        <f>IF($T44=0,0,I44/$T44)</f>
        <v>0</v>
      </c>
      <c r="J45" s="82">
        <f>IF($T44=0,0,J44/$T44)</f>
        <v>0</v>
      </c>
      <c r="K45" s="83">
        <f>IF($T44=0,0,K44/$T44)</f>
        <v>0</v>
      </c>
      <c r="L45" s="579">
        <f>IF($Q44=0,0,L44/$Q44)</f>
        <v>0</v>
      </c>
      <c r="M45" s="82">
        <f>IF($R44=0,0,M44/$R44)</f>
        <v>0</v>
      </c>
      <c r="N45" s="82">
        <f>IF($S44=0,0,N44/$S44)</f>
        <v>0</v>
      </c>
      <c r="O45" s="83">
        <f>IF($T44=0,0,O44/$T44)</f>
        <v>0</v>
      </c>
      <c r="P45" s="579">
        <f>IF((P$38+P$41+P$44)=0,0,P44/(P$38+P$41+P$44))</f>
        <v>0</v>
      </c>
      <c r="Q45" s="82">
        <f t="shared" ref="Q45" si="15">IF((Q$38+Q$41+Q$44)=0,0,Q44/(Q$38+Q$41+Q$44))</f>
        <v>0</v>
      </c>
      <c r="R45" s="82">
        <f t="shared" ref="R45" si="16">IF((R$38+R$41+R$44)=0,0,R44/(R$38+R$41+R$44))</f>
        <v>0</v>
      </c>
      <c r="S45" s="82">
        <f t="shared" ref="S45" si="17">IF((S$38+S$41+S$44)=0,0,S44/(S$38+S$41+S$44))</f>
        <v>0</v>
      </c>
      <c r="T45" s="83">
        <f>IF((T$38+T$41+T$44)=0,0,T44/(T$38+T$41+T$44))</f>
        <v>0</v>
      </c>
    </row>
    <row r="46" spans="1:20" x14ac:dyDescent="0.25">
      <c r="A46" s="569">
        <f t="shared" si="11"/>
        <v>40</v>
      </c>
      <c r="B46" s="765"/>
      <c r="C46" s="596" t="s">
        <v>59</v>
      </c>
      <c r="D46" s="584"/>
      <c r="E46" s="194"/>
      <c r="F46" s="195"/>
      <c r="G46" s="584"/>
      <c r="H46" s="194"/>
      <c r="I46" s="194"/>
      <c r="J46" s="194"/>
      <c r="K46" s="195"/>
      <c r="L46" s="584"/>
      <c r="M46" s="194"/>
      <c r="N46" s="194"/>
      <c r="O46" s="195"/>
      <c r="P46" s="580"/>
      <c r="Q46" s="559"/>
      <c r="R46" s="559"/>
      <c r="S46" s="559"/>
      <c r="T46" s="570"/>
    </row>
    <row r="47" spans="1:20" ht="15.75" x14ac:dyDescent="0.25">
      <c r="A47" s="569">
        <f t="shared" si="11"/>
        <v>41</v>
      </c>
      <c r="B47" s="765"/>
      <c r="C47" s="598" t="s">
        <v>7452</v>
      </c>
      <c r="D47" s="591"/>
      <c r="E47" s="358"/>
      <c r="F47" s="592"/>
      <c r="G47" s="591"/>
      <c r="H47" s="358"/>
      <c r="I47" s="358"/>
      <c r="J47" s="358"/>
      <c r="K47" s="592"/>
      <c r="L47" s="591"/>
      <c r="M47" s="358"/>
      <c r="N47" s="358"/>
      <c r="O47" s="592"/>
      <c r="P47" s="581">
        <f>SUM(Q47:T47)</f>
        <v>0</v>
      </c>
      <c r="Q47" s="180">
        <f>SUM(D47,G47,L47)</f>
        <v>0</v>
      </c>
      <c r="R47" s="180">
        <f>SUM(E47,H47,M47)</f>
        <v>0</v>
      </c>
      <c r="S47" s="180">
        <f>SUM(F47,N47)</f>
        <v>0</v>
      </c>
      <c r="T47" s="188">
        <f>SUM(I47:K47,O47)</f>
        <v>0</v>
      </c>
    </row>
    <row r="48" spans="1:20" ht="15.75" x14ac:dyDescent="0.25">
      <c r="A48" s="569">
        <f t="shared" si="11"/>
        <v>42</v>
      </c>
      <c r="B48" s="765"/>
      <c r="C48" s="595" t="s">
        <v>17</v>
      </c>
      <c r="D48" s="579">
        <f>IF(Q47=0,0,D47/Q47)</f>
        <v>0</v>
      </c>
      <c r="E48" s="82">
        <f>IF(R47=0,0,E47/R47)</f>
        <v>0</v>
      </c>
      <c r="F48" s="83">
        <f>IF(S47=0,0,F47/S47)</f>
        <v>0</v>
      </c>
      <c r="G48" s="579">
        <f>IF(Q47=0,0,G47/Q47)</f>
        <v>0</v>
      </c>
      <c r="H48" s="82">
        <f>IF(R47=0,0,H47/R47)</f>
        <v>0</v>
      </c>
      <c r="I48" s="82">
        <f>IF($T47=0,0,I47/$T47)</f>
        <v>0</v>
      </c>
      <c r="J48" s="82">
        <f>IF($T47=0,0,J47/$T47)</f>
        <v>0</v>
      </c>
      <c r="K48" s="83">
        <f>IF($T47=0,0,K47/$T47)</f>
        <v>0</v>
      </c>
      <c r="L48" s="579">
        <f>IF($Q47=0,0,L47/$Q47)</f>
        <v>0</v>
      </c>
      <c r="M48" s="82">
        <f>IF($R47=0,0,M47/$R47)</f>
        <v>0</v>
      </c>
      <c r="N48" s="82">
        <f>IF($S47=0,0,N47/$S47)</f>
        <v>0</v>
      </c>
      <c r="O48" s="83">
        <f>IF($T47=0,0,O47/$T47)</f>
        <v>0</v>
      </c>
      <c r="P48" s="579">
        <f>IF((P$38+P$41+P$44)=0,0,P47/(P$38+P$41+P$44))</f>
        <v>0</v>
      </c>
      <c r="Q48" s="82">
        <f t="shared" ref="Q48" si="18">IF((Q$38+Q$41+Q$44)=0,0,Q47/(Q$38+Q$41+Q$44))</f>
        <v>0</v>
      </c>
      <c r="R48" s="82">
        <f t="shared" ref="R48" si="19">IF((R$38+R$41+R$44)=0,0,R47/(R$38+R$41+R$44))</f>
        <v>0</v>
      </c>
      <c r="S48" s="82">
        <f t="shared" ref="S48" si="20">IF((S$38+S$41+S$44)=0,0,S47/(S$38+S$41+S$44))</f>
        <v>0</v>
      </c>
      <c r="T48" s="83">
        <f>IF((T$38+T$41+T$44)=0,0,T47/(T$38+T$41+T$44))</f>
        <v>0</v>
      </c>
    </row>
    <row r="49" spans="1:20" x14ac:dyDescent="0.25">
      <c r="A49" s="569">
        <f t="shared" si="11"/>
        <v>43</v>
      </c>
      <c r="B49" s="765"/>
      <c r="C49" s="599" t="s">
        <v>59</v>
      </c>
      <c r="D49" s="584"/>
      <c r="E49" s="194"/>
      <c r="F49" s="195"/>
      <c r="G49" s="584"/>
      <c r="H49" s="194"/>
      <c r="I49" s="194"/>
      <c r="J49" s="194"/>
      <c r="K49" s="195"/>
      <c r="L49" s="584"/>
      <c r="M49" s="194"/>
      <c r="N49" s="194"/>
      <c r="O49" s="195"/>
      <c r="P49" s="580"/>
      <c r="Q49" s="559"/>
      <c r="R49" s="559"/>
      <c r="S49" s="559"/>
      <c r="T49" s="570"/>
    </row>
    <row r="50" spans="1:20" ht="15.75" x14ac:dyDescent="0.25">
      <c r="A50" s="569">
        <f t="shared" si="11"/>
        <v>44</v>
      </c>
      <c r="B50" s="765"/>
      <c r="C50" s="598" t="s">
        <v>7453</v>
      </c>
      <c r="D50" s="591"/>
      <c r="E50" s="358"/>
      <c r="F50" s="592"/>
      <c r="G50" s="591"/>
      <c r="H50" s="358"/>
      <c r="I50" s="358"/>
      <c r="J50" s="358"/>
      <c r="K50" s="592"/>
      <c r="L50" s="591"/>
      <c r="M50" s="358"/>
      <c r="N50" s="358"/>
      <c r="O50" s="592"/>
      <c r="P50" s="581">
        <f>SUM(Q50:T50)</f>
        <v>0</v>
      </c>
      <c r="Q50" s="180">
        <f>SUM(D50,G50,L50)</f>
        <v>0</v>
      </c>
      <c r="R50" s="180">
        <f>SUM(E50,H50,M50)</f>
        <v>0</v>
      </c>
      <c r="S50" s="180">
        <f>SUM(F50,N50)</f>
        <v>0</v>
      </c>
      <c r="T50" s="188">
        <f>SUM(I50:K50,O50)</f>
        <v>0</v>
      </c>
    </row>
    <row r="51" spans="1:20" ht="15.75" x14ac:dyDescent="0.25">
      <c r="A51" s="569">
        <f t="shared" si="11"/>
        <v>45</v>
      </c>
      <c r="B51" s="765"/>
      <c r="C51" s="595" t="s">
        <v>17</v>
      </c>
      <c r="D51" s="579">
        <f>IF(Q50=0,0,D50/Q50)</f>
        <v>0</v>
      </c>
      <c r="E51" s="82">
        <f>IF(R50=0,0,E50/R50)</f>
        <v>0</v>
      </c>
      <c r="F51" s="83">
        <f>IF(S50=0,0,F50/S50)</f>
        <v>0</v>
      </c>
      <c r="G51" s="579">
        <f>IF(Q50=0,0,G50/Q50)</f>
        <v>0</v>
      </c>
      <c r="H51" s="82">
        <f>IF(R50=0,0,H50/R50)</f>
        <v>0</v>
      </c>
      <c r="I51" s="82">
        <f>IF($T50=0,0,I50/$T50)</f>
        <v>0</v>
      </c>
      <c r="J51" s="82">
        <f>IF($T50=0,0,J50/$T50)</f>
        <v>0</v>
      </c>
      <c r="K51" s="83">
        <f>IF($T50=0,0,K50/$T50)</f>
        <v>0</v>
      </c>
      <c r="L51" s="579">
        <f>IF($Q50=0,0,L50/$Q50)</f>
        <v>0</v>
      </c>
      <c r="M51" s="82">
        <f>IF($R50=0,0,M50/$R50)</f>
        <v>0</v>
      </c>
      <c r="N51" s="82">
        <f>IF($S50=0,0,N50/$S50)</f>
        <v>0</v>
      </c>
      <c r="O51" s="83">
        <f>IF($T50=0,0,O50/$T50)</f>
        <v>0</v>
      </c>
      <c r="P51" s="579">
        <f>IF((P$38+P$41+P$44)=0,0,P50/(P$38+P$41+P$44))</f>
        <v>0</v>
      </c>
      <c r="Q51" s="82">
        <f t="shared" ref="Q51" si="21">IF((Q$38+Q$41+Q$44)=0,0,Q50/(Q$38+Q$41+Q$44))</f>
        <v>0</v>
      </c>
      <c r="R51" s="82">
        <f>IF((R$38+R$41+R$44)=0,0,R50/(R$38+R$41+R$44))</f>
        <v>0</v>
      </c>
      <c r="S51" s="82">
        <f t="shared" ref="S51" si="22">IF((S$38+S$41+S$44)=0,0,S50/(S$38+S$41+S$44))</f>
        <v>0</v>
      </c>
      <c r="T51" s="83">
        <f>IF((T$38+T$41+T$44)=0,0,T50/(T$38+T$41+T$44))</f>
        <v>0</v>
      </c>
    </row>
    <row r="52" spans="1:20" ht="15.75" thickBot="1" x14ac:dyDescent="0.3">
      <c r="A52" s="571">
        <f t="shared" si="11"/>
        <v>46</v>
      </c>
      <c r="B52" s="766"/>
      <c r="C52" s="600" t="s">
        <v>59</v>
      </c>
      <c r="D52" s="586"/>
      <c r="E52" s="196"/>
      <c r="F52" s="197"/>
      <c r="G52" s="586"/>
      <c r="H52" s="196"/>
      <c r="I52" s="196"/>
      <c r="J52" s="196"/>
      <c r="K52" s="197"/>
      <c r="L52" s="586"/>
      <c r="M52" s="196"/>
      <c r="N52" s="196"/>
      <c r="O52" s="197"/>
      <c r="P52" s="582"/>
      <c r="Q52" s="572"/>
      <c r="R52" s="572"/>
      <c r="S52" s="572"/>
      <c r="T52" s="573"/>
    </row>
    <row r="53" spans="1:20" ht="15.75" x14ac:dyDescent="0.25">
      <c r="A53" s="567">
        <f t="shared" si="11"/>
        <v>47</v>
      </c>
      <c r="B53" s="764" t="s">
        <v>321</v>
      </c>
      <c r="C53" s="594" t="s">
        <v>315</v>
      </c>
      <c r="D53" s="578">
        <f>D8+D23</f>
        <v>0</v>
      </c>
      <c r="E53" s="185">
        <f t="shared" ref="E53:O53" si="23">E8+E23</f>
        <v>0</v>
      </c>
      <c r="F53" s="186">
        <f t="shared" si="23"/>
        <v>0</v>
      </c>
      <c r="G53" s="578">
        <f>G8+G23</f>
        <v>0</v>
      </c>
      <c r="H53" s="185">
        <f>H8+H23</f>
        <v>0</v>
      </c>
      <c r="I53" s="185">
        <f t="shared" si="23"/>
        <v>0</v>
      </c>
      <c r="J53" s="185">
        <f t="shared" si="23"/>
        <v>0</v>
      </c>
      <c r="K53" s="186">
        <f t="shared" si="23"/>
        <v>0</v>
      </c>
      <c r="L53" s="578">
        <f>L8+L23</f>
        <v>0</v>
      </c>
      <c r="M53" s="185">
        <f t="shared" si="23"/>
        <v>0</v>
      </c>
      <c r="N53" s="185">
        <f t="shared" si="23"/>
        <v>0</v>
      </c>
      <c r="O53" s="186">
        <f t="shared" si="23"/>
        <v>0</v>
      </c>
      <c r="P53" s="583">
        <f>SUM(Q53:T53)</f>
        <v>0</v>
      </c>
      <c r="Q53" s="574">
        <f>SUM(D53,G53,L53)</f>
        <v>0</v>
      </c>
      <c r="R53" s="574">
        <f>SUM(E53,H53,M53)</f>
        <v>0</v>
      </c>
      <c r="S53" s="574">
        <f>SUM(F53,N53)</f>
        <v>0</v>
      </c>
      <c r="T53" s="575">
        <f>SUM(I53:K53,O53)</f>
        <v>0</v>
      </c>
    </row>
    <row r="54" spans="1:20" ht="15.75" x14ac:dyDescent="0.25">
      <c r="A54" s="569">
        <f t="shared" si="11"/>
        <v>48</v>
      </c>
      <c r="B54" s="765"/>
      <c r="C54" s="595" t="s">
        <v>17</v>
      </c>
      <c r="D54" s="579">
        <f>IF(Q53=0,0,D53/Q53)</f>
        <v>0</v>
      </c>
      <c r="E54" s="82">
        <f>IF(R53=0,0,E53/R53)</f>
        <v>0</v>
      </c>
      <c r="F54" s="83">
        <f>IF(S53=0,0,F53/S53)</f>
        <v>0</v>
      </c>
      <c r="G54" s="579">
        <f>IF(Q53=0,0,G53/Q53)</f>
        <v>0</v>
      </c>
      <c r="H54" s="82">
        <f>IF(R53=0,0,H53/R53)</f>
        <v>0</v>
      </c>
      <c r="I54" s="82">
        <f>IF($T53=0,0,I53/$T53)</f>
        <v>0</v>
      </c>
      <c r="J54" s="82">
        <f>IF($T53=0,0,J53/$T53)</f>
        <v>0</v>
      </c>
      <c r="K54" s="83">
        <f>IF($T53=0,0,K53/$T53)</f>
        <v>0</v>
      </c>
      <c r="L54" s="579">
        <f>IF($Q53=0,0,L53/$Q53)</f>
        <v>0</v>
      </c>
      <c r="M54" s="82">
        <f>IF($R53=0,0,M53/$R53)</f>
        <v>0</v>
      </c>
      <c r="N54" s="82">
        <f>IF($S53=0,0,N53/$S53)</f>
        <v>0</v>
      </c>
      <c r="O54" s="83">
        <f>IF($T53=0,0,O53/$T53)</f>
        <v>0</v>
      </c>
      <c r="P54" s="579">
        <f>IF((P$53+P$56+P$59)=0,0,P53/(P$53+P$56+P$59))</f>
        <v>0</v>
      </c>
      <c r="Q54" s="82">
        <f t="shared" ref="Q54:T54" si="24">IF((Q$53+Q$56+Q$59)=0,0,Q53/(Q$53+Q$56+Q$59))</f>
        <v>0</v>
      </c>
      <c r="R54" s="82">
        <f t="shared" si="24"/>
        <v>0</v>
      </c>
      <c r="S54" s="82">
        <f t="shared" si="24"/>
        <v>0</v>
      </c>
      <c r="T54" s="83">
        <f t="shared" si="24"/>
        <v>0</v>
      </c>
    </row>
    <row r="55" spans="1:20" x14ac:dyDescent="0.25">
      <c r="A55" s="569">
        <f t="shared" si="11"/>
        <v>49</v>
      </c>
      <c r="B55" s="765"/>
      <c r="C55" s="596" t="s">
        <v>59</v>
      </c>
      <c r="D55" s="584"/>
      <c r="E55" s="194"/>
      <c r="F55" s="195"/>
      <c r="G55" s="584"/>
      <c r="H55" s="194"/>
      <c r="I55" s="194"/>
      <c r="J55" s="194"/>
      <c r="K55" s="195"/>
      <c r="L55" s="584"/>
      <c r="M55" s="194"/>
      <c r="N55" s="194"/>
      <c r="O55" s="195"/>
      <c r="P55" s="584"/>
      <c r="Q55" s="194"/>
      <c r="R55" s="194"/>
      <c r="S55" s="194"/>
      <c r="T55" s="195"/>
    </row>
    <row r="56" spans="1:20" ht="15.75" x14ac:dyDescent="0.25">
      <c r="A56" s="569">
        <f t="shared" si="11"/>
        <v>50</v>
      </c>
      <c r="B56" s="765"/>
      <c r="C56" s="597" t="s">
        <v>316</v>
      </c>
      <c r="D56" s="581">
        <f>D11+D26</f>
        <v>0</v>
      </c>
      <c r="E56" s="180">
        <f t="shared" ref="E56:O56" si="25">E11+E26</f>
        <v>0</v>
      </c>
      <c r="F56" s="188">
        <f t="shared" si="25"/>
        <v>0</v>
      </c>
      <c r="G56" s="581">
        <f t="shared" si="25"/>
        <v>0</v>
      </c>
      <c r="H56" s="180">
        <f t="shared" si="25"/>
        <v>0</v>
      </c>
      <c r="I56" s="180">
        <f t="shared" si="25"/>
        <v>0</v>
      </c>
      <c r="J56" s="180">
        <f t="shared" si="25"/>
        <v>0</v>
      </c>
      <c r="K56" s="188">
        <f t="shared" si="25"/>
        <v>0</v>
      </c>
      <c r="L56" s="581">
        <f t="shared" si="25"/>
        <v>0</v>
      </c>
      <c r="M56" s="180">
        <f t="shared" si="25"/>
        <v>0</v>
      </c>
      <c r="N56" s="180">
        <f t="shared" si="25"/>
        <v>0</v>
      </c>
      <c r="O56" s="188">
        <f t="shared" si="25"/>
        <v>0</v>
      </c>
      <c r="P56" s="585">
        <f>SUM(Q56:T56)</f>
        <v>0</v>
      </c>
      <c r="Q56" s="328">
        <f>SUM(D56,G56,L56)</f>
        <v>0</v>
      </c>
      <c r="R56" s="328">
        <f>SUM(E56,H56,M56)</f>
        <v>0</v>
      </c>
      <c r="S56" s="328">
        <f>SUM(F56,N56)</f>
        <v>0</v>
      </c>
      <c r="T56" s="576">
        <f>SUM(I56:K56,O56)</f>
        <v>0</v>
      </c>
    </row>
    <row r="57" spans="1:20" ht="15.75" x14ac:dyDescent="0.25">
      <c r="A57" s="569">
        <f t="shared" si="11"/>
        <v>51</v>
      </c>
      <c r="B57" s="765"/>
      <c r="C57" s="595" t="s">
        <v>17</v>
      </c>
      <c r="D57" s="579">
        <f>IF(Q56=0,0,D56/Q56)</f>
        <v>0</v>
      </c>
      <c r="E57" s="82">
        <f>IF(R56=0,0,E56/R56)</f>
        <v>0</v>
      </c>
      <c r="F57" s="83">
        <f>IF(S56=0,0,F56/S56)</f>
        <v>0</v>
      </c>
      <c r="G57" s="579">
        <f>IF(Q56=0,0,G56/Q56)</f>
        <v>0</v>
      </c>
      <c r="H57" s="82">
        <f>IF(R56=0,0,H56/R56)</f>
        <v>0</v>
      </c>
      <c r="I57" s="82">
        <f>IF($T56=0,0,I56/$T56)</f>
        <v>0</v>
      </c>
      <c r="J57" s="82">
        <f>IF($T56=0,0,J56/$T56)</f>
        <v>0</v>
      </c>
      <c r="K57" s="83">
        <f>IF($T56=0,0,K56/$T56)</f>
        <v>0</v>
      </c>
      <c r="L57" s="579">
        <f>IF($Q56=0,0,L56/$Q56)</f>
        <v>0</v>
      </c>
      <c r="M57" s="82">
        <f>IF($R56=0,0,M56/$R56)</f>
        <v>0</v>
      </c>
      <c r="N57" s="82">
        <f>IF($S56=0,0,N56/$S56)</f>
        <v>0</v>
      </c>
      <c r="O57" s="83">
        <f>IF($T56=0,0,O56/$T56)</f>
        <v>0</v>
      </c>
      <c r="P57" s="579">
        <f t="shared" ref="P57:T57" si="26">IF((P$53+P$56+P$59)=0,0,P56/(P$53+P$56+P$59))</f>
        <v>0</v>
      </c>
      <c r="Q57" s="82">
        <f t="shared" si="26"/>
        <v>0</v>
      </c>
      <c r="R57" s="82">
        <f t="shared" si="26"/>
        <v>0</v>
      </c>
      <c r="S57" s="82">
        <f>IF((S$53+S$56+S$59)=0,0,S56/(S$53+S$56+S$59))</f>
        <v>0</v>
      </c>
      <c r="T57" s="83">
        <f t="shared" si="26"/>
        <v>0</v>
      </c>
    </row>
    <row r="58" spans="1:20" x14ac:dyDescent="0.25">
      <c r="A58" s="569">
        <f t="shared" si="11"/>
        <v>52</v>
      </c>
      <c r="B58" s="765"/>
      <c r="C58" s="596" t="s">
        <v>59</v>
      </c>
      <c r="D58" s="584"/>
      <c r="E58" s="194"/>
      <c r="F58" s="195"/>
      <c r="G58" s="584"/>
      <c r="H58" s="194"/>
      <c r="I58" s="194"/>
      <c r="J58" s="194"/>
      <c r="K58" s="195"/>
      <c r="L58" s="584"/>
      <c r="M58" s="194"/>
      <c r="N58" s="194"/>
      <c r="O58" s="195"/>
      <c r="P58" s="584"/>
      <c r="Q58" s="194"/>
      <c r="R58" s="194"/>
      <c r="S58" s="194"/>
      <c r="T58" s="195"/>
    </row>
    <row r="59" spans="1:20" ht="15.75" x14ac:dyDescent="0.25">
      <c r="A59" s="569">
        <f t="shared" si="11"/>
        <v>53</v>
      </c>
      <c r="B59" s="765"/>
      <c r="C59" s="597" t="s">
        <v>317</v>
      </c>
      <c r="D59" s="581">
        <f>D14+D29</f>
        <v>0</v>
      </c>
      <c r="E59" s="180">
        <f t="shared" ref="E59:O59" si="27">E14+E29</f>
        <v>0</v>
      </c>
      <c r="F59" s="188">
        <f t="shared" si="27"/>
        <v>0</v>
      </c>
      <c r="G59" s="581">
        <f t="shared" si="27"/>
        <v>0</v>
      </c>
      <c r="H59" s="180">
        <f t="shared" si="27"/>
        <v>0</v>
      </c>
      <c r="I59" s="180">
        <f t="shared" si="27"/>
        <v>0</v>
      </c>
      <c r="J59" s="180">
        <f t="shared" si="27"/>
        <v>0</v>
      </c>
      <c r="K59" s="188">
        <f t="shared" si="27"/>
        <v>0</v>
      </c>
      <c r="L59" s="581">
        <f>L14+L29</f>
        <v>0</v>
      </c>
      <c r="M59" s="180">
        <f t="shared" ref="M59:N59" si="28">M14+M29</f>
        <v>0</v>
      </c>
      <c r="N59" s="180">
        <f t="shared" si="28"/>
        <v>0</v>
      </c>
      <c r="O59" s="188">
        <f t="shared" si="27"/>
        <v>0</v>
      </c>
      <c r="P59" s="585">
        <f>SUM(Q59:T59)</f>
        <v>0</v>
      </c>
      <c r="Q59" s="328">
        <f>SUM(D59,G59,L59)</f>
        <v>0</v>
      </c>
      <c r="R59" s="328">
        <f>SUM(E59,H59,M59)</f>
        <v>0</v>
      </c>
      <c r="S59" s="328">
        <f>SUM(F59,N59)</f>
        <v>0</v>
      </c>
      <c r="T59" s="576">
        <f>SUM(I59:K59,O59)</f>
        <v>0</v>
      </c>
    </row>
    <row r="60" spans="1:20" ht="15.75" x14ac:dyDescent="0.25">
      <c r="A60" s="569">
        <f t="shared" si="11"/>
        <v>54</v>
      </c>
      <c r="B60" s="765"/>
      <c r="C60" s="595" t="s">
        <v>17</v>
      </c>
      <c r="D60" s="579">
        <f>IF(Q59=0,0,D59/Q59)</f>
        <v>0</v>
      </c>
      <c r="E60" s="82">
        <f>IF(R59=0,0,E59/R59)</f>
        <v>0</v>
      </c>
      <c r="F60" s="83">
        <f>IF(S59=0,0,F59/S59)</f>
        <v>0</v>
      </c>
      <c r="G60" s="579">
        <f>IF(Q59=0,0,G59/Q59)</f>
        <v>0</v>
      </c>
      <c r="H60" s="82">
        <f>IF(R59=0,0,H59/R59)</f>
        <v>0</v>
      </c>
      <c r="I60" s="82">
        <f>IF($T59=0,0,I59/$T59)</f>
        <v>0</v>
      </c>
      <c r="J60" s="82">
        <f>IF($T59=0,0,J59/$T59)</f>
        <v>0</v>
      </c>
      <c r="K60" s="83">
        <f>IF($T59=0,0,K59/$T59)</f>
        <v>0</v>
      </c>
      <c r="L60" s="579">
        <f>IF($Q59=0,0,L59/$Q59)</f>
        <v>0</v>
      </c>
      <c r="M60" s="82">
        <f>IF($R59=0,0,M59/$R59)</f>
        <v>0</v>
      </c>
      <c r="N60" s="82">
        <f>IF($S59=0,0,N59/$S59)</f>
        <v>0</v>
      </c>
      <c r="O60" s="83">
        <f>IF($T59=0,0,O59/$T59)</f>
        <v>0</v>
      </c>
      <c r="P60" s="579">
        <f t="shared" ref="P60:T60" si="29">IF((P$53+P$56+P$59)=0,0,P59/(P$53+P$56+P$59))</f>
        <v>0</v>
      </c>
      <c r="Q60" s="82">
        <f t="shared" si="29"/>
        <v>0</v>
      </c>
      <c r="R60" s="82">
        <f t="shared" si="29"/>
        <v>0</v>
      </c>
      <c r="S60" s="82">
        <f t="shared" si="29"/>
        <v>0</v>
      </c>
      <c r="T60" s="83">
        <f t="shared" si="29"/>
        <v>0</v>
      </c>
    </row>
    <row r="61" spans="1:20" x14ac:dyDescent="0.25">
      <c r="A61" s="569">
        <f t="shared" si="11"/>
        <v>55</v>
      </c>
      <c r="B61" s="765"/>
      <c r="C61" s="596" t="s">
        <v>59</v>
      </c>
      <c r="D61" s="584"/>
      <c r="E61" s="194"/>
      <c r="F61" s="195"/>
      <c r="G61" s="584"/>
      <c r="H61" s="194"/>
      <c r="I61" s="194"/>
      <c r="J61" s="194"/>
      <c r="K61" s="195"/>
      <c r="L61" s="584"/>
      <c r="M61" s="194"/>
      <c r="N61" s="194"/>
      <c r="O61" s="195"/>
      <c r="P61" s="584"/>
      <c r="Q61" s="194"/>
      <c r="R61" s="194"/>
      <c r="S61" s="194"/>
      <c r="T61" s="195"/>
    </row>
    <row r="62" spans="1:20" ht="15.75" x14ac:dyDescent="0.25">
      <c r="A62" s="569">
        <f t="shared" si="11"/>
        <v>56</v>
      </c>
      <c r="B62" s="765"/>
      <c r="C62" s="598" t="s">
        <v>7454</v>
      </c>
      <c r="D62" s="581">
        <f>D17+D32</f>
        <v>0</v>
      </c>
      <c r="E62" s="180">
        <f t="shared" ref="E62:O62" si="30">E17+E32</f>
        <v>0</v>
      </c>
      <c r="F62" s="188">
        <f t="shared" si="30"/>
        <v>0</v>
      </c>
      <c r="G62" s="581">
        <f t="shared" si="30"/>
        <v>0</v>
      </c>
      <c r="H62" s="180">
        <f t="shared" si="30"/>
        <v>0</v>
      </c>
      <c r="I62" s="180">
        <f t="shared" si="30"/>
        <v>0</v>
      </c>
      <c r="J62" s="180">
        <f t="shared" si="30"/>
        <v>0</v>
      </c>
      <c r="K62" s="188">
        <f t="shared" si="30"/>
        <v>0</v>
      </c>
      <c r="L62" s="581">
        <f t="shared" si="30"/>
        <v>0</v>
      </c>
      <c r="M62" s="180">
        <f t="shared" si="30"/>
        <v>0</v>
      </c>
      <c r="N62" s="180">
        <f t="shared" si="30"/>
        <v>0</v>
      </c>
      <c r="O62" s="188">
        <f t="shared" si="30"/>
        <v>0</v>
      </c>
      <c r="P62" s="585">
        <f>SUM(Q62:T62)</f>
        <v>0</v>
      </c>
      <c r="Q62" s="328">
        <f>SUM(D62,G62,L62)</f>
        <v>0</v>
      </c>
      <c r="R62" s="328">
        <f>SUM(E62,H62,M62)</f>
        <v>0</v>
      </c>
      <c r="S62" s="328">
        <f>SUM(F62,N62)</f>
        <v>0</v>
      </c>
      <c r="T62" s="576">
        <f>SUM(I62:K62,O62)</f>
        <v>0</v>
      </c>
    </row>
    <row r="63" spans="1:20" ht="15.75" x14ac:dyDescent="0.25">
      <c r="A63" s="569">
        <f t="shared" si="11"/>
        <v>57</v>
      </c>
      <c r="B63" s="765"/>
      <c r="C63" s="595" t="s">
        <v>17</v>
      </c>
      <c r="D63" s="579">
        <f>IF(Q62=0,0,D62/Q62)</f>
        <v>0</v>
      </c>
      <c r="E63" s="82">
        <f>IF(R62=0,0,E62/R62)</f>
        <v>0</v>
      </c>
      <c r="F63" s="83">
        <f>IF(S62=0,0,F62/S62)</f>
        <v>0</v>
      </c>
      <c r="G63" s="579">
        <f>IF(Q62=0,0,G62/Q62)</f>
        <v>0</v>
      </c>
      <c r="H63" s="82">
        <f>IF(R62=0,0,H62/R62)</f>
        <v>0</v>
      </c>
      <c r="I63" s="82">
        <f>IF($T62=0,0,I62/$T62)</f>
        <v>0</v>
      </c>
      <c r="J63" s="82">
        <f>IF($T62=0,0,J62/$T62)</f>
        <v>0</v>
      </c>
      <c r="K63" s="83">
        <f>IF($T62=0,0,K62/$T62)</f>
        <v>0</v>
      </c>
      <c r="L63" s="579">
        <f>IF($Q62=0,0,L62/$Q62)</f>
        <v>0</v>
      </c>
      <c r="M63" s="82">
        <f>IF($R62=0,0,M62/$R62)</f>
        <v>0</v>
      </c>
      <c r="N63" s="82">
        <f>IF($S62=0,0,N62/$S62)</f>
        <v>0</v>
      </c>
      <c r="O63" s="83">
        <f>IF($T62=0,0,O62/$T62)</f>
        <v>0</v>
      </c>
      <c r="P63" s="579">
        <f t="shared" ref="P63:T63" si="31">IF((P$53+P$56+P$59)=0,0,P62/(P$53+P$56+P$59))</f>
        <v>0</v>
      </c>
      <c r="Q63" s="82">
        <f t="shared" si="31"/>
        <v>0</v>
      </c>
      <c r="R63" s="82">
        <f t="shared" si="31"/>
        <v>0</v>
      </c>
      <c r="S63" s="82">
        <f>IF((S$53+S$56+S$59)=0,0,S62/(S$53+S$56+S$59))</f>
        <v>0</v>
      </c>
      <c r="T63" s="83">
        <f t="shared" si="31"/>
        <v>0</v>
      </c>
    </row>
    <row r="64" spans="1:20" x14ac:dyDescent="0.25">
      <c r="A64" s="569">
        <f t="shared" si="11"/>
        <v>58</v>
      </c>
      <c r="B64" s="765"/>
      <c r="C64" s="599" t="s">
        <v>59</v>
      </c>
      <c r="D64" s="584"/>
      <c r="E64" s="194"/>
      <c r="F64" s="195"/>
      <c r="G64" s="584"/>
      <c r="H64" s="194"/>
      <c r="I64" s="194"/>
      <c r="J64" s="194"/>
      <c r="K64" s="195"/>
      <c r="L64" s="584"/>
      <c r="M64" s="194"/>
      <c r="N64" s="194"/>
      <c r="O64" s="195"/>
      <c r="P64" s="584"/>
      <c r="Q64" s="194"/>
      <c r="R64" s="194"/>
      <c r="S64" s="194"/>
      <c r="T64" s="195"/>
    </row>
    <row r="65" spans="1:20" ht="15.75" x14ac:dyDescent="0.25">
      <c r="A65" s="569">
        <f t="shared" si="11"/>
        <v>59</v>
      </c>
      <c r="B65" s="765"/>
      <c r="C65" s="598" t="s">
        <v>7455</v>
      </c>
      <c r="D65" s="581">
        <f>D20+D35</f>
        <v>0</v>
      </c>
      <c r="E65" s="180">
        <f t="shared" ref="E65:O65" si="32">E20+E35</f>
        <v>0</v>
      </c>
      <c r="F65" s="188">
        <f t="shared" si="32"/>
        <v>0</v>
      </c>
      <c r="G65" s="581">
        <f t="shared" si="32"/>
        <v>0</v>
      </c>
      <c r="H65" s="180">
        <f t="shared" si="32"/>
        <v>0</v>
      </c>
      <c r="I65" s="180">
        <f t="shared" si="32"/>
        <v>0</v>
      </c>
      <c r="J65" s="180">
        <f t="shared" si="32"/>
        <v>0</v>
      </c>
      <c r="K65" s="188">
        <f t="shared" si="32"/>
        <v>0</v>
      </c>
      <c r="L65" s="581">
        <f t="shared" si="32"/>
        <v>0</v>
      </c>
      <c r="M65" s="180">
        <f t="shared" si="32"/>
        <v>0</v>
      </c>
      <c r="N65" s="180">
        <f t="shared" si="32"/>
        <v>0</v>
      </c>
      <c r="O65" s="188">
        <f t="shared" si="32"/>
        <v>0</v>
      </c>
      <c r="P65" s="585">
        <f>SUM(Q65:T65)</f>
        <v>0</v>
      </c>
      <c r="Q65" s="328">
        <f>SUM(D65,G65,L65)</f>
        <v>0</v>
      </c>
      <c r="R65" s="328">
        <f>SUM(E65,H65,M65)</f>
        <v>0</v>
      </c>
      <c r="S65" s="328">
        <f>SUM(F65,N65)</f>
        <v>0</v>
      </c>
      <c r="T65" s="576">
        <f>SUM(I65:K65,O65)</f>
        <v>0</v>
      </c>
    </row>
    <row r="66" spans="1:20" ht="15.75" x14ac:dyDescent="0.25">
      <c r="A66" s="569">
        <f t="shared" si="11"/>
        <v>60</v>
      </c>
      <c r="B66" s="765"/>
      <c r="C66" s="595" t="s">
        <v>17</v>
      </c>
      <c r="D66" s="579">
        <f>IF(Q65=0,0,D65/Q65)</f>
        <v>0</v>
      </c>
      <c r="E66" s="82">
        <f>IF(R65=0,0,E65/R65)</f>
        <v>0</v>
      </c>
      <c r="F66" s="83">
        <f>IF(S65=0,0,F65/S65)</f>
        <v>0</v>
      </c>
      <c r="G66" s="579">
        <f>IF(Q65=0,0,G65/Q65)</f>
        <v>0</v>
      </c>
      <c r="H66" s="82">
        <f>IF(R65=0,0,H65/R65)</f>
        <v>0</v>
      </c>
      <c r="I66" s="82">
        <f>IF($T65=0,0,I65/$T65)</f>
        <v>0</v>
      </c>
      <c r="J66" s="82">
        <f>IF($T65=0,0,J65/$T65)</f>
        <v>0</v>
      </c>
      <c r="K66" s="83">
        <f>IF($T65=0,0,K65/$T65)</f>
        <v>0</v>
      </c>
      <c r="L66" s="579">
        <f>IF($Q65=0,0,L65/$Q65)</f>
        <v>0</v>
      </c>
      <c r="M66" s="82">
        <f>IF($R65=0,0,M65/$R65)</f>
        <v>0</v>
      </c>
      <c r="N66" s="82">
        <f>IF($S65=0,0,N65/$S65)</f>
        <v>0</v>
      </c>
      <c r="O66" s="83">
        <f>IF($T65=0,0,O65/$T65)</f>
        <v>0</v>
      </c>
      <c r="P66" s="579">
        <f t="shared" ref="P66:T66" si="33">IF((P$53+P$56+P$59)=0,0,P65/(P$53+P$56+P$59))</f>
        <v>0</v>
      </c>
      <c r="Q66" s="82">
        <f t="shared" si="33"/>
        <v>0</v>
      </c>
      <c r="R66" s="82">
        <f t="shared" si="33"/>
        <v>0</v>
      </c>
      <c r="S66" s="82">
        <f>IF((S$53+S$56+S$59)=0,0,S65/(S$53+S$56+S$59))</f>
        <v>0</v>
      </c>
      <c r="T66" s="83">
        <f t="shared" si="33"/>
        <v>0</v>
      </c>
    </row>
    <row r="67" spans="1:20" ht="15.75" thickBot="1" x14ac:dyDescent="0.3">
      <c r="A67" s="571">
        <f t="shared" si="11"/>
        <v>61</v>
      </c>
      <c r="B67" s="766"/>
      <c r="C67" s="600" t="s">
        <v>59</v>
      </c>
      <c r="D67" s="586"/>
      <c r="E67" s="196"/>
      <c r="F67" s="197"/>
      <c r="G67" s="586"/>
      <c r="H67" s="196"/>
      <c r="I67" s="196"/>
      <c r="J67" s="196"/>
      <c r="K67" s="197"/>
      <c r="L67" s="586"/>
      <c r="M67" s="196"/>
      <c r="N67" s="196"/>
      <c r="O67" s="197"/>
      <c r="P67" s="586"/>
      <c r="Q67" s="196"/>
      <c r="R67" s="196"/>
      <c r="S67" s="196"/>
      <c r="T67" s="197"/>
    </row>
    <row r="70" spans="1:20" x14ac:dyDescent="0.25">
      <c r="P70" s="560"/>
      <c r="Q70" s="560"/>
      <c r="R70" s="560"/>
      <c r="S70" s="560"/>
      <c r="T70" s="560"/>
    </row>
  </sheetData>
  <sheetProtection password="D8E9" sheet="1" objects="1" scenarios="1"/>
  <mergeCells count="23">
    <mergeCell ref="D4:F5"/>
    <mergeCell ref="G4:K4"/>
    <mergeCell ref="I5:I6"/>
    <mergeCell ref="J5:J6"/>
    <mergeCell ref="D2:T2"/>
    <mergeCell ref="D3:T3"/>
    <mergeCell ref="R4:R6"/>
    <mergeCell ref="S4:S6"/>
    <mergeCell ref="T4:T6"/>
    <mergeCell ref="P4:P6"/>
    <mergeCell ref="Q4:Q6"/>
    <mergeCell ref="G5:H5"/>
    <mergeCell ref="K5:K6"/>
    <mergeCell ref="L4:O5"/>
    <mergeCell ref="B53:B67"/>
    <mergeCell ref="B8:B22"/>
    <mergeCell ref="B23:B37"/>
    <mergeCell ref="A1:C1"/>
    <mergeCell ref="A2:C2"/>
    <mergeCell ref="A3:C3"/>
    <mergeCell ref="A4:A6"/>
    <mergeCell ref="B38:B52"/>
    <mergeCell ref="B4:C6"/>
  </mergeCells>
  <conditionalFormatting sqref="P17">
    <cfRule type="cellIs" dxfId="58" priority="66" operator="greaterThan">
      <formula>P$14</formula>
    </cfRule>
  </conditionalFormatting>
  <conditionalFormatting sqref="Q17:T17">
    <cfRule type="cellIs" dxfId="57" priority="64" operator="greaterThan">
      <formula>Q$14</formula>
    </cfRule>
  </conditionalFormatting>
  <conditionalFormatting sqref="P20">
    <cfRule type="cellIs" dxfId="56" priority="63" operator="greaterThan">
      <formula>P$14</formula>
    </cfRule>
  </conditionalFormatting>
  <conditionalFormatting sqref="Q20:T20">
    <cfRule type="cellIs" dxfId="55" priority="62" operator="greaterThan">
      <formula>Q$14</formula>
    </cfRule>
  </conditionalFormatting>
  <conditionalFormatting sqref="P14">
    <cfRule type="expression" dxfId="54" priority="61">
      <formula>IF(P$14&lt;SUM(P$17,P$20),1,0)</formula>
    </cfRule>
  </conditionalFormatting>
  <conditionalFormatting sqref="P32">
    <cfRule type="cellIs" dxfId="53" priority="57" operator="greaterThan">
      <formula>P$29</formula>
    </cfRule>
  </conditionalFormatting>
  <conditionalFormatting sqref="P35">
    <cfRule type="cellIs" dxfId="52" priority="55" operator="greaterThan">
      <formula>P$29</formula>
    </cfRule>
  </conditionalFormatting>
  <conditionalFormatting sqref="P29">
    <cfRule type="expression" dxfId="51" priority="53">
      <formula>IF(P$29&lt;SUM(P$32,P$35),1,0)</formula>
    </cfRule>
  </conditionalFormatting>
  <conditionalFormatting sqref="Q32:T32">
    <cfRule type="cellIs" dxfId="50" priority="50" operator="greaterThan">
      <formula>Q$29</formula>
    </cfRule>
  </conditionalFormatting>
  <conditionalFormatting sqref="Q35:T35">
    <cfRule type="cellIs" dxfId="49" priority="49" operator="greaterThan">
      <formula>Q$29</formula>
    </cfRule>
  </conditionalFormatting>
  <conditionalFormatting sqref="P44">
    <cfRule type="expression" dxfId="48" priority="47">
      <formula>IF(P$44&lt;SUM(Q$47,P$50),1,0)</formula>
    </cfRule>
  </conditionalFormatting>
  <conditionalFormatting sqref="P47">
    <cfRule type="cellIs" dxfId="47" priority="44" operator="greaterThan">
      <formula>P$44</formula>
    </cfRule>
  </conditionalFormatting>
  <conditionalFormatting sqref="P50">
    <cfRule type="cellIs" dxfId="46" priority="42" operator="greaterThan">
      <formula>P$44</formula>
    </cfRule>
  </conditionalFormatting>
  <conditionalFormatting sqref="Q47:T47">
    <cfRule type="cellIs" dxfId="45" priority="40" operator="greaterThan">
      <formula>Q$44</formula>
    </cfRule>
  </conditionalFormatting>
  <conditionalFormatting sqref="Q50:T50">
    <cfRule type="cellIs" dxfId="44" priority="39" operator="greaterThan">
      <formula>Q$44</formula>
    </cfRule>
  </conditionalFormatting>
  <conditionalFormatting sqref="Q14:T14">
    <cfRule type="expression" dxfId="43" priority="35">
      <formula>IF(Q$14&lt;SUM(Q$17,Q$20),1,0)</formula>
    </cfRule>
  </conditionalFormatting>
  <conditionalFormatting sqref="Q29:T29">
    <cfRule type="expression" dxfId="42" priority="34">
      <formula>IF(Q$29&lt;SUM(Q$32,Q$35),1,0)</formula>
    </cfRule>
  </conditionalFormatting>
  <conditionalFormatting sqref="Q44:T44">
    <cfRule type="expression" dxfId="41" priority="32">
      <formula>IF(Q$44&lt;SUM(R$47,Q$50),1,0)</formula>
    </cfRule>
  </conditionalFormatting>
  <conditionalFormatting sqref="Q59">
    <cfRule type="expression" dxfId="40" priority="29">
      <formula>IF(Q$59&lt;SUM(R$62,Q$65),1,0)</formula>
    </cfRule>
  </conditionalFormatting>
  <conditionalFormatting sqref="P62">
    <cfRule type="cellIs" dxfId="39" priority="26" operator="greaterThan">
      <formula>P$59</formula>
    </cfRule>
  </conditionalFormatting>
  <conditionalFormatting sqref="P65">
    <cfRule type="cellIs" dxfId="38" priority="24" operator="greaterThan">
      <formula>P$59</formula>
    </cfRule>
  </conditionalFormatting>
  <conditionalFormatting sqref="Q62:T62">
    <cfRule type="cellIs" dxfId="37" priority="22" operator="greaterThan">
      <formula>Q$59</formula>
    </cfRule>
  </conditionalFormatting>
  <conditionalFormatting sqref="Q65:T65">
    <cfRule type="cellIs" dxfId="36" priority="21" operator="greaterThan">
      <formula>Q$59</formula>
    </cfRule>
  </conditionalFormatting>
  <conditionalFormatting sqref="P59">
    <cfRule type="expression" dxfId="35" priority="8">
      <formula>IF(P$59&lt;SUM(Q$62,P$65),1,0)</formula>
    </cfRule>
  </conditionalFormatting>
  <conditionalFormatting sqref="R59">
    <cfRule type="expression" dxfId="34" priority="5">
      <formula>IF(R$59&lt;SUM(R$62,R$65),1,0)</formula>
    </cfRule>
  </conditionalFormatting>
  <conditionalFormatting sqref="S59:T59">
    <cfRule type="expression" dxfId="33" priority="3">
      <formula>IF(S$59&lt;SUM(S$62,S$65),1,0)</formula>
    </cfRule>
  </conditionalFormatting>
  <pageMargins left="0.70866141732283472" right="0.70866141732283472" top="0.74803149606299213" bottom="0.74803149606299213" header="0.31496062992125984" footer="0.31496062992125984"/>
  <pageSetup paperSize="9" scale="45"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0" id="{393A978B-BF1F-46E4-89AA-FB3C695E5A1B}">
            <xm:f>IF(SUM(Q$53,Q$56,Q$59)&gt;'1-к'!$X$45,1,0)</xm:f>
            <x14:dxf>
              <font>
                <color rgb="FF9C0006"/>
              </font>
              <fill>
                <patternFill>
                  <bgColor rgb="FFFFC7CE"/>
                </patternFill>
              </fill>
            </x14:dxf>
          </x14:cfRule>
          <xm:sqref>Q53 Q56 Q59</xm:sqref>
        </x14:conditionalFormatting>
        <x14:conditionalFormatting xmlns:xm="http://schemas.microsoft.com/office/excel/2006/main">
          <x14:cfRule type="expression" priority="19" id="{7246AEC4-0EBF-4A9C-BE91-BA07EECD5274}">
            <xm:f>IF(SUM(R$53,R$56,R$59)&gt;'1-к'!$X$46,1,0)</xm:f>
            <x14:dxf>
              <font>
                <color rgb="FF9C0006"/>
              </font>
              <fill>
                <patternFill>
                  <bgColor rgb="FFFFC7CE"/>
                </patternFill>
              </fill>
            </x14:dxf>
          </x14:cfRule>
          <xm:sqref>R53</xm:sqref>
        </x14:conditionalFormatting>
        <x14:conditionalFormatting xmlns:xm="http://schemas.microsoft.com/office/excel/2006/main">
          <x14:cfRule type="expression" priority="18" id="{A9C601E4-66A7-40B3-AFB3-FC908753153C}">
            <xm:f>IF(SUM(S$53,S$56,S$59)&gt;'1-к'!$X$47,1,0)</xm:f>
            <x14:dxf>
              <font>
                <color rgb="FF9C0006"/>
              </font>
              <fill>
                <patternFill>
                  <bgColor rgb="FFFFC7CE"/>
                </patternFill>
              </fill>
            </x14:dxf>
          </x14:cfRule>
          <xm:sqref>S53</xm:sqref>
        </x14:conditionalFormatting>
        <x14:conditionalFormatting xmlns:xm="http://schemas.microsoft.com/office/excel/2006/main">
          <x14:cfRule type="expression" priority="17" id="{E91C4247-EEFF-4531-9DB1-95E2A681DE46}">
            <xm:f>IF(SUM(T$53,T$56,T$59)&gt;'1-к'!$X$48,1,0)</xm:f>
            <x14:dxf>
              <font>
                <color rgb="FF9C0006"/>
              </font>
              <fill>
                <patternFill>
                  <bgColor rgb="FFFFC7CE"/>
                </patternFill>
              </fill>
            </x14:dxf>
          </x14:cfRule>
          <xm:sqref>T53</xm:sqref>
        </x14:conditionalFormatting>
        <x14:conditionalFormatting xmlns:xm="http://schemas.microsoft.com/office/excel/2006/main">
          <x14:cfRule type="expression" priority="16" id="{A33D5463-D632-43CA-BDA0-2F132B6CC7E6}">
            <xm:f>IF(SUM(R$53,R$56,R$59)&gt;'1-к'!$X$46,1,0)</xm:f>
            <x14:dxf>
              <font>
                <color rgb="FF9C0006"/>
              </font>
              <fill>
                <patternFill>
                  <bgColor rgb="FFFFC7CE"/>
                </patternFill>
              </fill>
            </x14:dxf>
          </x14:cfRule>
          <xm:sqref>R56</xm:sqref>
        </x14:conditionalFormatting>
        <x14:conditionalFormatting xmlns:xm="http://schemas.microsoft.com/office/excel/2006/main">
          <x14:cfRule type="expression" priority="15" id="{091CCE61-0B1D-4BA6-B311-6159E8B4D7FF}">
            <xm:f>IF(SUM(S$53,S$56,S$59)&gt;'1-к'!$X$47,1,0)</xm:f>
            <x14:dxf>
              <font>
                <color rgb="FF9C0006"/>
              </font>
              <fill>
                <patternFill>
                  <bgColor rgb="FFFFC7CE"/>
                </patternFill>
              </fill>
            </x14:dxf>
          </x14:cfRule>
          <xm:sqref>S56</xm:sqref>
        </x14:conditionalFormatting>
        <x14:conditionalFormatting xmlns:xm="http://schemas.microsoft.com/office/excel/2006/main">
          <x14:cfRule type="expression" priority="14" id="{3D798B1E-6A37-4C07-9880-F8ED6B3B1E93}">
            <xm:f>IF(SUM(T$53,T$56,T$59)&gt;'1-к'!$X$48,1,0)</xm:f>
            <x14:dxf>
              <font>
                <color rgb="FF9C0006"/>
              </font>
              <fill>
                <patternFill>
                  <bgColor rgb="FFFFC7CE"/>
                </patternFill>
              </fill>
            </x14:dxf>
          </x14:cfRule>
          <xm:sqref>T56</xm:sqref>
        </x14:conditionalFormatting>
        <x14:conditionalFormatting xmlns:xm="http://schemas.microsoft.com/office/excel/2006/main">
          <x14:cfRule type="expression" priority="10" id="{B7570689-788F-4176-B54D-5B0607993C97}">
            <xm:f>IF(SUM(P$53,P$56,P$59)&gt;'1-к'!$X$44,1,0)</xm:f>
            <x14:dxf>
              <font>
                <color rgb="FF9C0006"/>
              </font>
              <fill>
                <patternFill>
                  <bgColor rgb="FFFFC7CE"/>
                </patternFill>
              </fill>
            </x14:dxf>
          </x14:cfRule>
          <xm:sqref>P53</xm:sqref>
        </x14:conditionalFormatting>
        <x14:conditionalFormatting xmlns:xm="http://schemas.microsoft.com/office/excel/2006/main">
          <x14:cfRule type="expression" priority="9" id="{2DA311B8-E3B5-419E-B89F-3F6F43FDBCB8}">
            <xm:f>IF(SUM(P$53,P$56,P$59)&gt;'1-к'!$X$44,1,0)</xm:f>
            <x14:dxf>
              <font>
                <color rgb="FF9C0006"/>
              </font>
              <fill>
                <patternFill>
                  <bgColor rgb="FFFFC7CE"/>
                </patternFill>
              </fill>
            </x14:dxf>
          </x14:cfRule>
          <xm:sqref>P56</xm:sqref>
        </x14:conditionalFormatting>
        <x14:conditionalFormatting xmlns:xm="http://schemas.microsoft.com/office/excel/2006/main">
          <x14:cfRule type="expression" priority="7" id="{C5450FE2-5C9E-45CA-A9C8-2D382A356F52}">
            <xm:f>IF(SUM(P$53,P$56,P$59)&gt;'1-к'!$X$44,1,0)</xm:f>
            <x14:dxf>
              <font>
                <color rgb="FF9C0006"/>
              </font>
              <fill>
                <patternFill>
                  <bgColor rgb="FFFFC7CE"/>
                </patternFill>
              </fill>
            </x14:dxf>
          </x14:cfRule>
          <xm:sqref>P59</xm:sqref>
        </x14:conditionalFormatting>
        <x14:conditionalFormatting xmlns:xm="http://schemas.microsoft.com/office/excel/2006/main">
          <x14:cfRule type="expression" priority="4" id="{6C290C0D-E35E-41DF-834C-467851E1CCEF}">
            <xm:f>IF(SUM(R$53,R$56,R$59)&gt;'1-к'!$X$46,1,0)</xm:f>
            <x14:dxf>
              <font>
                <color rgb="FF9C0006"/>
              </font>
              <fill>
                <patternFill>
                  <bgColor rgb="FFFFC7CE"/>
                </patternFill>
              </fill>
            </x14:dxf>
          </x14:cfRule>
          <xm:sqref>R59</xm:sqref>
        </x14:conditionalFormatting>
        <x14:conditionalFormatting xmlns:xm="http://schemas.microsoft.com/office/excel/2006/main">
          <x14:cfRule type="expression" priority="2" id="{5B9B38C5-DA94-412B-B6A5-27683BCF0DDE}">
            <xm:f>IF(SUM(S$53,S$56,S$59)&gt;'1-к'!$X$47,1,0)</xm:f>
            <x14:dxf>
              <font>
                <color rgb="FF9C0006"/>
              </font>
              <fill>
                <patternFill>
                  <bgColor rgb="FFFFC7CE"/>
                </patternFill>
              </fill>
            </x14:dxf>
          </x14:cfRule>
          <xm:sqref>S59</xm:sqref>
        </x14:conditionalFormatting>
        <x14:conditionalFormatting xmlns:xm="http://schemas.microsoft.com/office/excel/2006/main">
          <x14:cfRule type="expression" priority="1" id="{1465A296-A8B1-41D0-833E-8B0C6D0FD540}">
            <xm:f>IF(SUM(T$53,T$56,T$59)&gt;'1-к'!$X$48,1,0)</xm:f>
            <x14:dxf>
              <font>
                <color rgb="FF9C0006"/>
              </font>
              <fill>
                <patternFill>
                  <bgColor rgb="FFFFC7CE"/>
                </patternFill>
              </fill>
            </x14:dxf>
          </x14:cfRule>
          <xm:sqref>T59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P106"/>
  <sheetViews>
    <sheetView zoomScale="80" zoomScaleNormal="80" workbookViewId="0">
      <selection activeCell="B18" sqref="B18"/>
    </sheetView>
  </sheetViews>
  <sheetFormatPr defaultRowHeight="15" x14ac:dyDescent="0.25"/>
  <cols>
    <col min="1" max="1" width="4.42578125" style="308" bestFit="1" customWidth="1"/>
    <col min="2" max="2" width="84.7109375" style="34" customWidth="1"/>
    <col min="3" max="3" width="14.7109375" style="319" customWidth="1"/>
    <col min="4" max="4" width="156.5703125" style="321" bestFit="1" customWidth="1"/>
    <col min="5" max="7" width="20.85546875" style="34" customWidth="1"/>
    <col min="8" max="9" width="14" style="34" customWidth="1"/>
    <col min="10" max="10" width="20.7109375" style="34" customWidth="1"/>
    <col min="11" max="11" width="15.42578125" style="34" customWidth="1"/>
    <col min="12" max="12" width="22.7109375" style="34" customWidth="1"/>
    <col min="13" max="16" width="14" style="34" customWidth="1"/>
    <col min="17" max="16384" width="9.140625" style="34"/>
  </cols>
  <sheetData>
    <row r="1" spans="1:16" ht="21" x14ac:dyDescent="0.35">
      <c r="B1" s="297" t="s">
        <v>481</v>
      </c>
      <c r="C1" s="674" t="s">
        <v>3666</v>
      </c>
      <c r="D1" s="674"/>
      <c r="E1" s="674"/>
      <c r="F1" s="674"/>
      <c r="G1" s="674"/>
      <c r="H1" s="674"/>
      <c r="I1" s="674"/>
      <c r="J1" s="674"/>
      <c r="K1" s="674"/>
      <c r="L1" s="674"/>
      <c r="M1" s="674"/>
      <c r="N1" s="674"/>
      <c r="O1" s="674"/>
      <c r="P1" s="674"/>
    </row>
    <row r="2" spans="1:16" ht="21" x14ac:dyDescent="0.35">
      <c r="B2" s="277" t="s">
        <v>1685</v>
      </c>
      <c r="C2" s="826"/>
      <c r="D2" s="826"/>
      <c r="E2" s="826"/>
      <c r="F2" s="826"/>
      <c r="G2" s="826"/>
      <c r="H2" s="826"/>
      <c r="I2" s="826"/>
      <c r="J2" s="826"/>
      <c r="K2" s="826"/>
      <c r="L2" s="826"/>
      <c r="M2" s="826"/>
      <c r="N2" s="826"/>
      <c r="O2" s="826"/>
      <c r="P2" s="826"/>
    </row>
    <row r="3" spans="1:16" ht="21.75" thickBot="1" x14ac:dyDescent="0.3">
      <c r="A3" s="309"/>
      <c r="B3" s="276" t="s">
        <v>88</v>
      </c>
      <c r="C3" s="827"/>
      <c r="D3" s="828"/>
      <c r="E3" s="828"/>
      <c r="F3" s="828"/>
      <c r="G3" s="828"/>
      <c r="H3" s="828"/>
      <c r="I3" s="828"/>
      <c r="J3" s="828"/>
      <c r="K3" s="828"/>
      <c r="L3" s="828"/>
      <c r="M3" s="828"/>
      <c r="N3" s="828"/>
      <c r="O3" s="828"/>
      <c r="P3" s="828"/>
    </row>
    <row r="4" spans="1:16" ht="82.5" customHeight="1" x14ac:dyDescent="0.25">
      <c r="A4" s="819" t="s">
        <v>3</v>
      </c>
      <c r="B4" s="821" t="s">
        <v>1659</v>
      </c>
      <c r="C4" s="823" t="s">
        <v>983</v>
      </c>
      <c r="D4" s="825" t="s">
        <v>325</v>
      </c>
      <c r="E4" s="825" t="s">
        <v>484</v>
      </c>
      <c r="F4" s="825" t="s">
        <v>485</v>
      </c>
      <c r="G4" s="304" t="s">
        <v>482</v>
      </c>
      <c r="H4" s="822" t="s">
        <v>487</v>
      </c>
      <c r="I4" s="822"/>
      <c r="J4" s="305" t="s">
        <v>488</v>
      </c>
      <c r="K4" s="829" t="s">
        <v>326</v>
      </c>
      <c r="L4" s="830"/>
      <c r="M4" s="822" t="s">
        <v>327</v>
      </c>
      <c r="N4" s="822"/>
      <c r="O4" s="822" t="s">
        <v>483</v>
      </c>
      <c r="P4" s="822"/>
    </row>
    <row r="5" spans="1:16" ht="126" x14ac:dyDescent="0.25">
      <c r="A5" s="820"/>
      <c r="B5" s="822"/>
      <c r="C5" s="824"/>
      <c r="D5" s="822"/>
      <c r="E5" s="822"/>
      <c r="F5" s="822"/>
      <c r="G5" s="304" t="s">
        <v>486</v>
      </c>
      <c r="H5" s="306" t="s">
        <v>1601</v>
      </c>
      <c r="I5" s="307" t="s">
        <v>954</v>
      </c>
      <c r="J5" s="302" t="s">
        <v>955</v>
      </c>
      <c r="K5" s="304" t="s">
        <v>956</v>
      </c>
      <c r="L5" s="304" t="s">
        <v>328</v>
      </c>
      <c r="M5" s="302" t="s">
        <v>957</v>
      </c>
      <c r="N5" s="302" t="s">
        <v>980</v>
      </c>
      <c r="O5" s="302" t="s">
        <v>958</v>
      </c>
      <c r="P5" s="302" t="s">
        <v>1600</v>
      </c>
    </row>
    <row r="6" spans="1:16" x14ac:dyDescent="0.25">
      <c r="A6" s="41">
        <v>1</v>
      </c>
      <c r="B6" s="42">
        <f>A6+1</f>
        <v>2</v>
      </c>
      <c r="C6" s="41">
        <f>B6+1</f>
        <v>3</v>
      </c>
      <c r="D6" s="320">
        <f t="shared" ref="D6:G6" si="0">C6+1</f>
        <v>4</v>
      </c>
      <c r="E6" s="42">
        <f t="shared" si="0"/>
        <v>5</v>
      </c>
      <c r="F6" s="42">
        <f t="shared" si="0"/>
        <v>6</v>
      </c>
      <c r="G6" s="42">
        <f t="shared" si="0"/>
        <v>7</v>
      </c>
      <c r="H6" s="42">
        <f t="shared" ref="H6" si="1">G6+1</f>
        <v>8</v>
      </c>
      <c r="I6" s="42">
        <f t="shared" ref="I6" si="2">H6+1</f>
        <v>9</v>
      </c>
      <c r="J6" s="42">
        <f t="shared" ref="J6" si="3">I6+1</f>
        <v>10</v>
      </c>
      <c r="K6" s="42">
        <f t="shared" ref="K6" si="4">J6+1</f>
        <v>11</v>
      </c>
      <c r="L6" s="42">
        <f t="shared" ref="L6" si="5">K6+1</f>
        <v>12</v>
      </c>
      <c r="M6" s="42">
        <f t="shared" ref="M6" si="6">L6+1</f>
        <v>13</v>
      </c>
      <c r="N6" s="42">
        <f t="shared" ref="N6" si="7">M6+1</f>
        <v>14</v>
      </c>
      <c r="O6" s="42">
        <f t="shared" ref="O6" si="8">N6+1</f>
        <v>15</v>
      </c>
      <c r="P6" s="42">
        <f t="shared" ref="P6" si="9">O6+1</f>
        <v>16</v>
      </c>
    </row>
    <row r="7" spans="1:16" ht="15.75" x14ac:dyDescent="0.25">
      <c r="A7" s="300">
        <f>A6+1</f>
        <v>2</v>
      </c>
      <c r="B7" s="332"/>
      <c r="C7" s="331"/>
      <c r="D7" s="298" t="e">
        <f>VLOOKUP(C7,УЗиНП!$C$3:$D$1464,2,FALSE)</f>
        <v>#N/A</v>
      </c>
      <c r="E7" s="332"/>
      <c r="F7" s="332"/>
      <c r="G7" s="332"/>
      <c r="H7" s="332"/>
      <c r="I7" s="332"/>
      <c r="J7" s="332"/>
      <c r="K7" s="332"/>
      <c r="L7" s="333"/>
      <c r="M7" s="332"/>
      <c r="N7" s="334"/>
      <c r="O7" s="332"/>
      <c r="P7" s="335"/>
    </row>
    <row r="8" spans="1:16" ht="15.75" x14ac:dyDescent="0.25">
      <c r="A8" s="300">
        <f>A7+1</f>
        <v>3</v>
      </c>
      <c r="B8" s="332"/>
      <c r="C8" s="331"/>
      <c r="D8" s="298" t="e">
        <f>VLOOKUP(C8,УЗиНП!$C$3:$D$1464,2,FALSE)</f>
        <v>#N/A</v>
      </c>
      <c r="E8" s="332"/>
      <c r="F8" s="332"/>
      <c r="G8" s="332"/>
      <c r="H8" s="332"/>
      <c r="I8" s="332"/>
      <c r="J8" s="332"/>
      <c r="K8" s="332"/>
      <c r="L8" s="333"/>
      <c r="M8" s="332"/>
      <c r="N8" s="334"/>
      <c r="O8" s="332"/>
      <c r="P8" s="334"/>
    </row>
    <row r="9" spans="1:16" ht="15.75" x14ac:dyDescent="0.25">
      <c r="A9" s="300">
        <f t="shared" ref="A9:A72" si="10">A8+1</f>
        <v>4</v>
      </c>
      <c r="B9" s="332"/>
      <c r="C9" s="331"/>
      <c r="D9" s="298" t="e">
        <f>VLOOKUP(C9,УЗиНП!$C$3:$D$1464,2,FALSE)</f>
        <v>#N/A</v>
      </c>
      <c r="E9" s="332"/>
      <c r="F9" s="332"/>
      <c r="G9" s="332"/>
      <c r="H9" s="332"/>
      <c r="I9" s="332"/>
      <c r="J9" s="332"/>
      <c r="K9" s="332"/>
      <c r="L9" s="333"/>
      <c r="M9" s="332"/>
      <c r="N9" s="334"/>
      <c r="O9" s="332"/>
      <c r="P9" s="334"/>
    </row>
    <row r="10" spans="1:16" ht="15.75" x14ac:dyDescent="0.25">
      <c r="A10" s="300">
        <f t="shared" si="10"/>
        <v>5</v>
      </c>
      <c r="B10" s="332"/>
      <c r="C10" s="331"/>
      <c r="D10" s="298" t="e">
        <f>VLOOKUP(C10,УЗиНП!$C$3:$D$1464,2,FALSE)</f>
        <v>#N/A</v>
      </c>
      <c r="E10" s="332"/>
      <c r="F10" s="332"/>
      <c r="G10" s="332"/>
      <c r="H10" s="332"/>
      <c r="I10" s="332"/>
      <c r="J10" s="332"/>
      <c r="K10" s="332"/>
      <c r="L10" s="333"/>
      <c r="M10" s="332"/>
      <c r="N10" s="334"/>
      <c r="O10" s="332"/>
      <c r="P10" s="334"/>
    </row>
    <row r="11" spans="1:16" ht="15.75" x14ac:dyDescent="0.25">
      <c r="A11" s="300">
        <f t="shared" si="10"/>
        <v>6</v>
      </c>
      <c r="B11" s="332"/>
      <c r="C11" s="331"/>
      <c r="D11" s="298" t="e">
        <f>VLOOKUP(C11,УЗиНП!$C$3:$D$1464,2,FALSE)</f>
        <v>#N/A</v>
      </c>
      <c r="E11" s="332"/>
      <c r="F11" s="332"/>
      <c r="G11" s="332"/>
      <c r="H11" s="332"/>
      <c r="I11" s="332"/>
      <c r="J11" s="332"/>
      <c r="K11" s="332"/>
      <c r="L11" s="333"/>
      <c r="M11" s="332"/>
      <c r="N11" s="334"/>
      <c r="O11" s="332"/>
      <c r="P11" s="334"/>
    </row>
    <row r="12" spans="1:16" ht="15.75" x14ac:dyDescent="0.25">
      <c r="A12" s="300">
        <f t="shared" si="10"/>
        <v>7</v>
      </c>
      <c r="B12" s="332"/>
      <c r="C12" s="331"/>
      <c r="D12" s="298" t="e">
        <f>VLOOKUP(C12,УЗиНП!$C$3:$D$1464,2,FALSE)</f>
        <v>#N/A</v>
      </c>
      <c r="E12" s="332"/>
      <c r="F12" s="332"/>
      <c r="G12" s="332"/>
      <c r="H12" s="332"/>
      <c r="I12" s="332"/>
      <c r="J12" s="332"/>
      <c r="K12" s="332"/>
      <c r="L12" s="333"/>
      <c r="M12" s="332"/>
      <c r="N12" s="334"/>
      <c r="O12" s="332"/>
      <c r="P12" s="334"/>
    </row>
    <row r="13" spans="1:16" ht="15.75" x14ac:dyDescent="0.25">
      <c r="A13" s="300">
        <f t="shared" si="10"/>
        <v>8</v>
      </c>
      <c r="B13" s="332"/>
      <c r="C13" s="331"/>
      <c r="D13" s="298" t="e">
        <f>VLOOKUP(C13,УЗиНП!$C$3:$D$1464,2,FALSE)</f>
        <v>#N/A</v>
      </c>
      <c r="E13" s="332"/>
      <c r="F13" s="332"/>
      <c r="G13" s="332"/>
      <c r="H13" s="332"/>
      <c r="I13" s="332"/>
      <c r="J13" s="332"/>
      <c r="K13" s="332"/>
      <c r="L13" s="333"/>
      <c r="M13" s="332"/>
      <c r="N13" s="334"/>
      <c r="O13" s="332"/>
      <c r="P13" s="334"/>
    </row>
    <row r="14" spans="1:16" ht="15.75" x14ac:dyDescent="0.25">
      <c r="A14" s="300">
        <f t="shared" si="10"/>
        <v>9</v>
      </c>
      <c r="B14" s="332"/>
      <c r="C14" s="331"/>
      <c r="D14" s="298" t="e">
        <f>VLOOKUP(C14,УЗиНП!$C$3:$D$1464,2,FALSE)</f>
        <v>#N/A</v>
      </c>
      <c r="E14" s="332"/>
      <c r="F14" s="332"/>
      <c r="G14" s="332"/>
      <c r="H14" s="332"/>
      <c r="I14" s="332"/>
      <c r="J14" s="332"/>
      <c r="K14" s="332"/>
      <c r="L14" s="333"/>
      <c r="M14" s="332"/>
      <c r="N14" s="334"/>
      <c r="O14" s="332"/>
      <c r="P14" s="334"/>
    </row>
    <row r="15" spans="1:16" ht="15.75" x14ac:dyDescent="0.25">
      <c r="A15" s="300">
        <f t="shared" si="10"/>
        <v>10</v>
      </c>
      <c r="B15" s="332"/>
      <c r="C15" s="331"/>
      <c r="D15" s="298" t="e">
        <f>VLOOKUP(C15,УЗиНП!$C$3:$D$1464,2,FALSE)</f>
        <v>#N/A</v>
      </c>
      <c r="E15" s="332"/>
      <c r="F15" s="332"/>
      <c r="G15" s="332"/>
      <c r="H15" s="332"/>
      <c r="I15" s="332"/>
      <c r="J15" s="332"/>
      <c r="K15" s="332"/>
      <c r="L15" s="333"/>
      <c r="M15" s="332"/>
      <c r="N15" s="334"/>
      <c r="O15" s="332"/>
      <c r="P15" s="334"/>
    </row>
    <row r="16" spans="1:16" ht="15.75" x14ac:dyDescent="0.25">
      <c r="A16" s="300">
        <f t="shared" si="10"/>
        <v>11</v>
      </c>
      <c r="B16" s="332"/>
      <c r="C16" s="331"/>
      <c r="D16" s="298" t="e">
        <f>VLOOKUP(C16,УЗиНП!$C$3:$D$1464,2,FALSE)</f>
        <v>#N/A</v>
      </c>
      <c r="E16" s="332"/>
      <c r="F16" s="332"/>
      <c r="G16" s="332"/>
      <c r="H16" s="332"/>
      <c r="I16" s="332"/>
      <c r="J16" s="332"/>
      <c r="K16" s="332"/>
      <c r="L16" s="333"/>
      <c r="M16" s="332"/>
      <c r="N16" s="334"/>
      <c r="O16" s="332"/>
      <c r="P16" s="334"/>
    </row>
    <row r="17" spans="1:16" ht="15.75" x14ac:dyDescent="0.25">
      <c r="A17" s="300">
        <f t="shared" si="10"/>
        <v>12</v>
      </c>
      <c r="B17" s="332"/>
      <c r="C17" s="331"/>
      <c r="D17" s="298" t="e">
        <f>VLOOKUP(C17,УЗиНП!$C$3:$D$1464,2,FALSE)</f>
        <v>#N/A</v>
      </c>
      <c r="E17" s="332"/>
      <c r="F17" s="332"/>
      <c r="G17" s="332"/>
      <c r="H17" s="332"/>
      <c r="I17" s="332"/>
      <c r="J17" s="332"/>
      <c r="K17" s="332"/>
      <c r="L17" s="333"/>
      <c r="M17" s="332"/>
      <c r="N17" s="334"/>
      <c r="O17" s="332"/>
      <c r="P17" s="334"/>
    </row>
    <row r="18" spans="1:16" ht="15.75" x14ac:dyDescent="0.25">
      <c r="A18" s="300">
        <f t="shared" si="10"/>
        <v>13</v>
      </c>
      <c r="B18" s="332"/>
      <c r="C18" s="331"/>
      <c r="D18" s="298" t="e">
        <f>VLOOKUP(C18,УЗиНП!$C$3:$D$1464,2,FALSE)</f>
        <v>#N/A</v>
      </c>
      <c r="E18" s="332"/>
      <c r="F18" s="332"/>
      <c r="G18" s="332"/>
      <c r="H18" s="332"/>
      <c r="I18" s="332"/>
      <c r="J18" s="332"/>
      <c r="K18" s="332"/>
      <c r="L18" s="333"/>
      <c r="M18" s="332"/>
      <c r="N18" s="334"/>
      <c r="O18" s="332"/>
      <c r="P18" s="334"/>
    </row>
    <row r="19" spans="1:16" ht="15.75" x14ac:dyDescent="0.25">
      <c r="A19" s="300">
        <f t="shared" si="10"/>
        <v>14</v>
      </c>
      <c r="B19" s="332"/>
      <c r="C19" s="331"/>
      <c r="D19" s="298" t="e">
        <f>VLOOKUP(C19,УЗиНП!$C$3:$D$1464,2,FALSE)</f>
        <v>#N/A</v>
      </c>
      <c r="E19" s="332"/>
      <c r="F19" s="332"/>
      <c r="G19" s="332"/>
      <c r="H19" s="332"/>
      <c r="I19" s="332"/>
      <c r="J19" s="332"/>
      <c r="K19" s="332"/>
      <c r="L19" s="333"/>
      <c r="M19" s="332"/>
      <c r="N19" s="334"/>
      <c r="O19" s="332"/>
      <c r="P19" s="334"/>
    </row>
    <row r="20" spans="1:16" ht="15.75" x14ac:dyDescent="0.25">
      <c r="A20" s="300">
        <f t="shared" si="10"/>
        <v>15</v>
      </c>
      <c r="B20" s="332"/>
      <c r="C20" s="331"/>
      <c r="D20" s="298" t="e">
        <f>VLOOKUP(C20,УЗиНП!$C$3:$D$1464,2,FALSE)</f>
        <v>#N/A</v>
      </c>
      <c r="E20" s="332"/>
      <c r="F20" s="332"/>
      <c r="G20" s="332"/>
      <c r="H20" s="332"/>
      <c r="I20" s="332"/>
      <c r="J20" s="332"/>
      <c r="K20" s="332"/>
      <c r="L20" s="333"/>
      <c r="M20" s="332"/>
      <c r="N20" s="334"/>
      <c r="O20" s="332"/>
      <c r="P20" s="334"/>
    </row>
    <row r="21" spans="1:16" ht="15.75" x14ac:dyDescent="0.25">
      <c r="A21" s="300">
        <f t="shared" si="10"/>
        <v>16</v>
      </c>
      <c r="B21" s="332"/>
      <c r="C21" s="331"/>
      <c r="D21" s="298" t="e">
        <f>VLOOKUP(C21,УЗиНП!$C$3:$D$1464,2,FALSE)</f>
        <v>#N/A</v>
      </c>
      <c r="E21" s="332"/>
      <c r="F21" s="332"/>
      <c r="G21" s="332"/>
      <c r="H21" s="332"/>
      <c r="I21" s="332"/>
      <c r="J21" s="332"/>
      <c r="K21" s="332"/>
      <c r="L21" s="333"/>
      <c r="M21" s="332"/>
      <c r="N21" s="334"/>
      <c r="O21" s="332"/>
      <c r="P21" s="334"/>
    </row>
    <row r="22" spans="1:16" ht="15.75" x14ac:dyDescent="0.25">
      <c r="A22" s="300">
        <f t="shared" si="10"/>
        <v>17</v>
      </c>
      <c r="B22" s="332"/>
      <c r="C22" s="331"/>
      <c r="D22" s="298" t="e">
        <f>VLOOKUP(C22,УЗиНП!$C$3:$D$1464,2,FALSE)</f>
        <v>#N/A</v>
      </c>
      <c r="E22" s="332"/>
      <c r="F22" s="332"/>
      <c r="G22" s="332"/>
      <c r="H22" s="332"/>
      <c r="I22" s="332"/>
      <c r="J22" s="332"/>
      <c r="K22" s="332"/>
      <c r="L22" s="333"/>
      <c r="M22" s="332"/>
      <c r="N22" s="334"/>
      <c r="O22" s="332"/>
      <c r="P22" s="334"/>
    </row>
    <row r="23" spans="1:16" ht="15.75" x14ac:dyDescent="0.25">
      <c r="A23" s="300">
        <f t="shared" si="10"/>
        <v>18</v>
      </c>
      <c r="B23" s="332"/>
      <c r="C23" s="331"/>
      <c r="D23" s="298" t="e">
        <f>VLOOKUP(C23,УЗиНП!$C$3:$D$1464,2,FALSE)</f>
        <v>#N/A</v>
      </c>
      <c r="E23" s="332"/>
      <c r="F23" s="332"/>
      <c r="G23" s="332"/>
      <c r="H23" s="332"/>
      <c r="I23" s="332"/>
      <c r="J23" s="332"/>
      <c r="K23" s="332"/>
      <c r="L23" s="333"/>
      <c r="M23" s="332"/>
      <c r="N23" s="334"/>
      <c r="O23" s="332"/>
      <c r="P23" s="334"/>
    </row>
    <row r="24" spans="1:16" ht="15.75" x14ac:dyDescent="0.25">
      <c r="A24" s="300">
        <f t="shared" si="10"/>
        <v>19</v>
      </c>
      <c r="B24" s="332"/>
      <c r="C24" s="331"/>
      <c r="D24" s="298" t="e">
        <f>VLOOKUP(C24,УЗиНП!$C$3:$D$1464,2,FALSE)</f>
        <v>#N/A</v>
      </c>
      <c r="E24" s="332"/>
      <c r="F24" s="332"/>
      <c r="G24" s="332"/>
      <c r="H24" s="332"/>
      <c r="I24" s="332"/>
      <c r="J24" s="332"/>
      <c r="K24" s="332"/>
      <c r="L24" s="333"/>
      <c r="M24" s="332"/>
      <c r="N24" s="334"/>
      <c r="O24" s="332"/>
      <c r="P24" s="334"/>
    </row>
    <row r="25" spans="1:16" ht="15.75" x14ac:dyDescent="0.25">
      <c r="A25" s="300">
        <f t="shared" si="10"/>
        <v>20</v>
      </c>
      <c r="B25" s="332"/>
      <c r="C25" s="331"/>
      <c r="D25" s="298" t="e">
        <f>VLOOKUP(C25,УЗиНП!$C$3:$D$1464,2,FALSE)</f>
        <v>#N/A</v>
      </c>
      <c r="E25" s="332"/>
      <c r="F25" s="332"/>
      <c r="G25" s="332"/>
      <c r="H25" s="332"/>
      <c r="I25" s="332"/>
      <c r="J25" s="332"/>
      <c r="K25" s="332"/>
      <c r="L25" s="333"/>
      <c r="M25" s="332"/>
      <c r="N25" s="334"/>
      <c r="O25" s="332"/>
      <c r="P25" s="334"/>
    </row>
    <row r="26" spans="1:16" ht="15.75" x14ac:dyDescent="0.25">
      <c r="A26" s="300">
        <f t="shared" si="10"/>
        <v>21</v>
      </c>
      <c r="B26" s="332"/>
      <c r="C26" s="331"/>
      <c r="D26" s="298" t="e">
        <f>VLOOKUP(C26,УЗиНП!$C$3:$D$1464,2,FALSE)</f>
        <v>#N/A</v>
      </c>
      <c r="E26" s="332"/>
      <c r="F26" s="332"/>
      <c r="G26" s="332"/>
      <c r="H26" s="332"/>
      <c r="I26" s="332"/>
      <c r="J26" s="332"/>
      <c r="K26" s="332"/>
      <c r="L26" s="333"/>
      <c r="M26" s="332"/>
      <c r="N26" s="334"/>
      <c r="O26" s="332"/>
      <c r="P26" s="334"/>
    </row>
    <row r="27" spans="1:16" ht="15.75" x14ac:dyDescent="0.25">
      <c r="A27" s="300">
        <f t="shared" si="10"/>
        <v>22</v>
      </c>
      <c r="B27" s="332"/>
      <c r="C27" s="331"/>
      <c r="D27" s="298" t="e">
        <f>VLOOKUP(C27,УЗиНП!$C$3:$D$1464,2,FALSE)</f>
        <v>#N/A</v>
      </c>
      <c r="E27" s="332"/>
      <c r="F27" s="332"/>
      <c r="G27" s="332"/>
      <c r="H27" s="332"/>
      <c r="I27" s="332"/>
      <c r="J27" s="332"/>
      <c r="K27" s="332"/>
      <c r="L27" s="333"/>
      <c r="M27" s="332"/>
      <c r="N27" s="334"/>
      <c r="O27" s="332"/>
      <c r="P27" s="334"/>
    </row>
    <row r="28" spans="1:16" ht="15.75" x14ac:dyDescent="0.25">
      <c r="A28" s="300">
        <f t="shared" si="10"/>
        <v>23</v>
      </c>
      <c r="B28" s="332"/>
      <c r="C28" s="331"/>
      <c r="D28" s="298" t="e">
        <f>VLOOKUP(C28,УЗиНП!$C$3:$D$1464,2,FALSE)</f>
        <v>#N/A</v>
      </c>
      <c r="E28" s="332"/>
      <c r="F28" s="332"/>
      <c r="G28" s="332"/>
      <c r="H28" s="332"/>
      <c r="I28" s="332"/>
      <c r="J28" s="332"/>
      <c r="K28" s="332"/>
      <c r="L28" s="333"/>
      <c r="M28" s="332"/>
      <c r="N28" s="334"/>
      <c r="O28" s="332"/>
      <c r="P28" s="334"/>
    </row>
    <row r="29" spans="1:16" ht="15.75" x14ac:dyDescent="0.25">
      <c r="A29" s="300">
        <f t="shared" si="10"/>
        <v>24</v>
      </c>
      <c r="B29" s="332"/>
      <c r="C29" s="331"/>
      <c r="D29" s="298" t="e">
        <f>VLOOKUP(C29,УЗиНП!$C$3:$D$1464,2,FALSE)</f>
        <v>#N/A</v>
      </c>
      <c r="E29" s="332"/>
      <c r="F29" s="332"/>
      <c r="G29" s="332"/>
      <c r="H29" s="332"/>
      <c r="I29" s="332"/>
      <c r="J29" s="332"/>
      <c r="K29" s="332"/>
      <c r="L29" s="333"/>
      <c r="M29" s="332"/>
      <c r="N29" s="334"/>
      <c r="O29" s="332"/>
      <c r="P29" s="334"/>
    </row>
    <row r="30" spans="1:16" ht="15.75" x14ac:dyDescent="0.25">
      <c r="A30" s="300">
        <f t="shared" si="10"/>
        <v>25</v>
      </c>
      <c r="B30" s="332"/>
      <c r="C30" s="331"/>
      <c r="D30" s="298" t="e">
        <f>VLOOKUP(C30,УЗиНП!$C$3:$D$1464,2,FALSE)</f>
        <v>#N/A</v>
      </c>
      <c r="E30" s="332"/>
      <c r="F30" s="332"/>
      <c r="G30" s="332"/>
      <c r="H30" s="332"/>
      <c r="I30" s="332"/>
      <c r="J30" s="332"/>
      <c r="K30" s="332"/>
      <c r="L30" s="333"/>
      <c r="M30" s="332"/>
      <c r="N30" s="334"/>
      <c r="O30" s="332"/>
      <c r="P30" s="334"/>
    </row>
    <row r="31" spans="1:16" ht="15.75" x14ac:dyDescent="0.25">
      <c r="A31" s="300">
        <f t="shared" si="10"/>
        <v>26</v>
      </c>
      <c r="B31" s="332"/>
      <c r="C31" s="331"/>
      <c r="D31" s="298" t="e">
        <f>VLOOKUP(C31,УЗиНП!$C$3:$D$1464,2,FALSE)</f>
        <v>#N/A</v>
      </c>
      <c r="E31" s="332"/>
      <c r="F31" s="332"/>
      <c r="G31" s="332"/>
      <c r="H31" s="332"/>
      <c r="I31" s="332"/>
      <c r="J31" s="332"/>
      <c r="K31" s="332"/>
      <c r="L31" s="333"/>
      <c r="M31" s="332"/>
      <c r="N31" s="334"/>
      <c r="O31" s="332"/>
      <c r="P31" s="334"/>
    </row>
    <row r="32" spans="1:16" ht="15.75" x14ac:dyDescent="0.25">
      <c r="A32" s="300">
        <f t="shared" si="10"/>
        <v>27</v>
      </c>
      <c r="B32" s="332"/>
      <c r="C32" s="331"/>
      <c r="D32" s="298" t="e">
        <f>VLOOKUP(C32,УЗиНП!$C$3:$D$1464,2,FALSE)</f>
        <v>#N/A</v>
      </c>
      <c r="E32" s="332"/>
      <c r="F32" s="332"/>
      <c r="G32" s="332"/>
      <c r="H32" s="332"/>
      <c r="I32" s="332"/>
      <c r="J32" s="332"/>
      <c r="K32" s="332"/>
      <c r="L32" s="333"/>
      <c r="M32" s="332"/>
      <c r="N32" s="334"/>
      <c r="O32" s="332"/>
      <c r="P32" s="334"/>
    </row>
    <row r="33" spans="1:16" ht="15.75" x14ac:dyDescent="0.25">
      <c r="A33" s="300">
        <f t="shared" si="10"/>
        <v>28</v>
      </c>
      <c r="B33" s="332"/>
      <c r="C33" s="331"/>
      <c r="D33" s="298" t="e">
        <f>VLOOKUP(C33,УЗиНП!$C$3:$D$1464,2,FALSE)</f>
        <v>#N/A</v>
      </c>
      <c r="E33" s="332"/>
      <c r="F33" s="332"/>
      <c r="G33" s="332"/>
      <c r="H33" s="332"/>
      <c r="I33" s="332"/>
      <c r="J33" s="332"/>
      <c r="K33" s="332"/>
      <c r="L33" s="333"/>
      <c r="M33" s="332"/>
      <c r="N33" s="334"/>
      <c r="O33" s="332"/>
      <c r="P33" s="334"/>
    </row>
    <row r="34" spans="1:16" ht="15.75" x14ac:dyDescent="0.25">
      <c r="A34" s="300">
        <f t="shared" si="10"/>
        <v>29</v>
      </c>
      <c r="B34" s="332"/>
      <c r="C34" s="331"/>
      <c r="D34" s="298" t="e">
        <f>VLOOKUP(C34,УЗиНП!$C$3:$D$1464,2,FALSE)</f>
        <v>#N/A</v>
      </c>
      <c r="E34" s="332"/>
      <c r="F34" s="332"/>
      <c r="G34" s="332"/>
      <c r="H34" s="332"/>
      <c r="I34" s="332"/>
      <c r="J34" s="332"/>
      <c r="K34" s="332"/>
      <c r="L34" s="333"/>
      <c r="M34" s="332"/>
      <c r="N34" s="334"/>
      <c r="O34" s="332"/>
      <c r="P34" s="334"/>
    </row>
    <row r="35" spans="1:16" ht="15.75" x14ac:dyDescent="0.25">
      <c r="A35" s="300">
        <f t="shared" si="10"/>
        <v>30</v>
      </c>
      <c r="B35" s="332"/>
      <c r="C35" s="331"/>
      <c r="D35" s="298" t="e">
        <f>VLOOKUP(C35,УЗиНП!$C$3:$D$1464,2,FALSE)</f>
        <v>#N/A</v>
      </c>
      <c r="E35" s="332"/>
      <c r="F35" s="332"/>
      <c r="G35" s="332"/>
      <c r="H35" s="332"/>
      <c r="I35" s="332"/>
      <c r="J35" s="332"/>
      <c r="K35" s="332"/>
      <c r="L35" s="333"/>
      <c r="M35" s="332"/>
      <c r="N35" s="334"/>
      <c r="O35" s="332"/>
      <c r="P35" s="334"/>
    </row>
    <row r="36" spans="1:16" ht="15.75" x14ac:dyDescent="0.25">
      <c r="A36" s="300">
        <f t="shared" si="10"/>
        <v>31</v>
      </c>
      <c r="B36" s="332"/>
      <c r="C36" s="331"/>
      <c r="D36" s="298" t="e">
        <f>VLOOKUP(C36,УЗиНП!$C$3:$D$1464,2,FALSE)</f>
        <v>#N/A</v>
      </c>
      <c r="E36" s="332"/>
      <c r="F36" s="332"/>
      <c r="G36" s="332"/>
      <c r="H36" s="332"/>
      <c r="I36" s="332"/>
      <c r="J36" s="332"/>
      <c r="K36" s="332"/>
      <c r="L36" s="333"/>
      <c r="M36" s="332"/>
      <c r="N36" s="334"/>
      <c r="O36" s="332"/>
      <c r="P36" s="334"/>
    </row>
    <row r="37" spans="1:16" ht="15.75" x14ac:dyDescent="0.25">
      <c r="A37" s="300">
        <f t="shared" si="10"/>
        <v>32</v>
      </c>
      <c r="B37" s="332"/>
      <c r="C37" s="331"/>
      <c r="D37" s="298" t="e">
        <f>VLOOKUP(C37,УЗиНП!$C$3:$D$1464,2,FALSE)</f>
        <v>#N/A</v>
      </c>
      <c r="E37" s="332"/>
      <c r="F37" s="332"/>
      <c r="G37" s="332"/>
      <c r="H37" s="332"/>
      <c r="I37" s="332"/>
      <c r="J37" s="332"/>
      <c r="K37" s="332"/>
      <c r="L37" s="333"/>
      <c r="M37" s="332"/>
      <c r="N37" s="334"/>
      <c r="O37" s="332"/>
      <c r="P37" s="334"/>
    </row>
    <row r="38" spans="1:16" ht="15.75" x14ac:dyDescent="0.25">
      <c r="A38" s="300">
        <f t="shared" si="10"/>
        <v>33</v>
      </c>
      <c r="B38" s="332"/>
      <c r="C38" s="331"/>
      <c r="D38" s="298" t="e">
        <f>VLOOKUP(C38,УЗиНП!$C$3:$D$1464,2,FALSE)</f>
        <v>#N/A</v>
      </c>
      <c r="E38" s="332"/>
      <c r="F38" s="332"/>
      <c r="G38" s="332"/>
      <c r="H38" s="332"/>
      <c r="I38" s="332"/>
      <c r="J38" s="332"/>
      <c r="K38" s="332"/>
      <c r="L38" s="333"/>
      <c r="M38" s="332"/>
      <c r="N38" s="334"/>
      <c r="O38" s="332"/>
      <c r="P38" s="334"/>
    </row>
    <row r="39" spans="1:16" ht="15.75" x14ac:dyDescent="0.25">
      <c r="A39" s="300">
        <f t="shared" si="10"/>
        <v>34</v>
      </c>
      <c r="B39" s="332"/>
      <c r="C39" s="331"/>
      <c r="D39" s="298" t="e">
        <f>VLOOKUP(C39,УЗиНП!$C$3:$D$1464,2,FALSE)</f>
        <v>#N/A</v>
      </c>
      <c r="E39" s="332"/>
      <c r="F39" s="332"/>
      <c r="G39" s="332"/>
      <c r="H39" s="332"/>
      <c r="I39" s="332"/>
      <c r="J39" s="332"/>
      <c r="K39" s="332"/>
      <c r="L39" s="333"/>
      <c r="M39" s="332"/>
      <c r="N39" s="334"/>
      <c r="O39" s="332"/>
      <c r="P39" s="334"/>
    </row>
    <row r="40" spans="1:16" ht="15.75" x14ac:dyDescent="0.25">
      <c r="A40" s="300">
        <f t="shared" si="10"/>
        <v>35</v>
      </c>
      <c r="B40" s="332"/>
      <c r="C40" s="331"/>
      <c r="D40" s="298" t="e">
        <f>VLOOKUP(C40,УЗиНП!$C$3:$D$1464,2,FALSE)</f>
        <v>#N/A</v>
      </c>
      <c r="E40" s="332"/>
      <c r="F40" s="332"/>
      <c r="G40" s="332"/>
      <c r="H40" s="332"/>
      <c r="I40" s="332"/>
      <c r="J40" s="332"/>
      <c r="K40" s="332"/>
      <c r="L40" s="333"/>
      <c r="M40" s="332"/>
      <c r="N40" s="334"/>
      <c r="O40" s="332"/>
      <c r="P40" s="334"/>
    </row>
    <row r="41" spans="1:16" ht="15.75" x14ac:dyDescent="0.25">
      <c r="A41" s="300">
        <f t="shared" si="10"/>
        <v>36</v>
      </c>
      <c r="B41" s="332"/>
      <c r="C41" s="331"/>
      <c r="D41" s="298" t="e">
        <f>VLOOKUP(C41,УЗиНП!$C$3:$D$1464,2,FALSE)</f>
        <v>#N/A</v>
      </c>
      <c r="E41" s="332"/>
      <c r="F41" s="332"/>
      <c r="G41" s="332"/>
      <c r="H41" s="332"/>
      <c r="I41" s="332"/>
      <c r="J41" s="332"/>
      <c r="K41" s="332"/>
      <c r="L41" s="333"/>
      <c r="M41" s="332"/>
      <c r="N41" s="334"/>
      <c r="O41" s="332"/>
      <c r="P41" s="334"/>
    </row>
    <row r="42" spans="1:16" ht="15.75" x14ac:dyDescent="0.25">
      <c r="A42" s="300">
        <f t="shared" si="10"/>
        <v>37</v>
      </c>
      <c r="B42" s="332"/>
      <c r="C42" s="331"/>
      <c r="D42" s="298" t="e">
        <f>VLOOKUP(C42,УЗиНП!$C$3:$D$1464,2,FALSE)</f>
        <v>#N/A</v>
      </c>
      <c r="E42" s="332"/>
      <c r="F42" s="332"/>
      <c r="G42" s="332"/>
      <c r="H42" s="332"/>
      <c r="I42" s="332"/>
      <c r="J42" s="332"/>
      <c r="K42" s="332"/>
      <c r="L42" s="333"/>
      <c r="M42" s="332"/>
      <c r="N42" s="334"/>
      <c r="O42" s="332"/>
      <c r="P42" s="334"/>
    </row>
    <row r="43" spans="1:16" ht="15.75" x14ac:dyDescent="0.25">
      <c r="A43" s="300">
        <f t="shared" si="10"/>
        <v>38</v>
      </c>
      <c r="B43" s="332"/>
      <c r="C43" s="331"/>
      <c r="D43" s="298" t="e">
        <f>VLOOKUP(C43,УЗиНП!$C$3:$D$1464,2,FALSE)</f>
        <v>#N/A</v>
      </c>
      <c r="E43" s="332"/>
      <c r="F43" s="332"/>
      <c r="G43" s="332"/>
      <c r="H43" s="332"/>
      <c r="I43" s="332"/>
      <c r="J43" s="332"/>
      <c r="K43" s="332"/>
      <c r="L43" s="333"/>
      <c r="M43" s="332"/>
      <c r="N43" s="334"/>
      <c r="O43" s="332"/>
      <c r="P43" s="334"/>
    </row>
    <row r="44" spans="1:16" ht="15.75" x14ac:dyDescent="0.25">
      <c r="A44" s="300">
        <f t="shared" si="10"/>
        <v>39</v>
      </c>
      <c r="B44" s="332"/>
      <c r="C44" s="331"/>
      <c r="D44" s="298" t="e">
        <f>VLOOKUP(C44,УЗиНП!$C$3:$D$1464,2,FALSE)</f>
        <v>#N/A</v>
      </c>
      <c r="E44" s="332"/>
      <c r="F44" s="332"/>
      <c r="G44" s="332"/>
      <c r="H44" s="332"/>
      <c r="I44" s="332"/>
      <c r="J44" s="332"/>
      <c r="K44" s="332"/>
      <c r="L44" s="333"/>
      <c r="M44" s="332"/>
      <c r="N44" s="334"/>
      <c r="O44" s="332"/>
      <c r="P44" s="334"/>
    </row>
    <row r="45" spans="1:16" ht="15.75" x14ac:dyDescent="0.25">
      <c r="A45" s="300">
        <f t="shared" si="10"/>
        <v>40</v>
      </c>
      <c r="B45" s="332"/>
      <c r="C45" s="331"/>
      <c r="D45" s="298" t="e">
        <f>VLOOKUP(C45,УЗиНП!$C$3:$D$1464,2,FALSE)</f>
        <v>#N/A</v>
      </c>
      <c r="E45" s="332"/>
      <c r="F45" s="332"/>
      <c r="G45" s="332"/>
      <c r="H45" s="332"/>
      <c r="I45" s="332"/>
      <c r="J45" s="332"/>
      <c r="K45" s="332"/>
      <c r="L45" s="333"/>
      <c r="M45" s="332"/>
      <c r="N45" s="334"/>
      <c r="O45" s="332"/>
      <c r="P45" s="334"/>
    </row>
    <row r="46" spans="1:16" ht="15.75" x14ac:dyDescent="0.25">
      <c r="A46" s="300">
        <f t="shared" si="10"/>
        <v>41</v>
      </c>
      <c r="B46" s="332"/>
      <c r="C46" s="331"/>
      <c r="D46" s="298" t="e">
        <f>VLOOKUP(C46,УЗиНП!$C$3:$D$1464,2,FALSE)</f>
        <v>#N/A</v>
      </c>
      <c r="E46" s="332"/>
      <c r="F46" s="332"/>
      <c r="G46" s="332"/>
      <c r="H46" s="332"/>
      <c r="I46" s="332"/>
      <c r="J46" s="332"/>
      <c r="K46" s="332"/>
      <c r="L46" s="333"/>
      <c r="M46" s="332"/>
      <c r="N46" s="334"/>
      <c r="O46" s="332"/>
      <c r="P46" s="334"/>
    </row>
    <row r="47" spans="1:16" ht="15.75" x14ac:dyDescent="0.25">
      <c r="A47" s="300">
        <f t="shared" si="10"/>
        <v>42</v>
      </c>
      <c r="B47" s="332"/>
      <c r="C47" s="331"/>
      <c r="D47" s="298" t="e">
        <f>VLOOKUP(C47,УЗиНП!$C$3:$D$1464,2,FALSE)</f>
        <v>#N/A</v>
      </c>
      <c r="E47" s="332"/>
      <c r="F47" s="332"/>
      <c r="G47" s="332"/>
      <c r="H47" s="332"/>
      <c r="I47" s="332"/>
      <c r="J47" s="332"/>
      <c r="K47" s="332"/>
      <c r="L47" s="333"/>
      <c r="M47" s="332"/>
      <c r="N47" s="334"/>
      <c r="O47" s="332"/>
      <c r="P47" s="334"/>
    </row>
    <row r="48" spans="1:16" ht="15.75" x14ac:dyDescent="0.25">
      <c r="A48" s="300">
        <f t="shared" si="10"/>
        <v>43</v>
      </c>
      <c r="B48" s="332"/>
      <c r="C48" s="331"/>
      <c r="D48" s="298" t="e">
        <f>VLOOKUP(C48,УЗиНП!$C$3:$D$1464,2,FALSE)</f>
        <v>#N/A</v>
      </c>
      <c r="E48" s="332"/>
      <c r="F48" s="332"/>
      <c r="G48" s="332"/>
      <c r="H48" s="332"/>
      <c r="I48" s="332"/>
      <c r="J48" s="332"/>
      <c r="K48" s="332"/>
      <c r="L48" s="333"/>
      <c r="M48" s="332"/>
      <c r="N48" s="334"/>
      <c r="O48" s="332"/>
      <c r="P48" s="334"/>
    </row>
    <row r="49" spans="1:16" ht="15.75" x14ac:dyDescent="0.25">
      <c r="A49" s="300">
        <f t="shared" si="10"/>
        <v>44</v>
      </c>
      <c r="B49" s="332"/>
      <c r="C49" s="331"/>
      <c r="D49" s="298" t="e">
        <f>VLOOKUP(C49,УЗиНП!$C$3:$D$1464,2,FALSE)</f>
        <v>#N/A</v>
      </c>
      <c r="E49" s="332"/>
      <c r="F49" s="332"/>
      <c r="G49" s="332"/>
      <c r="H49" s="332"/>
      <c r="I49" s="332"/>
      <c r="J49" s="332"/>
      <c r="K49" s="332"/>
      <c r="L49" s="333"/>
      <c r="M49" s="332"/>
      <c r="N49" s="334"/>
      <c r="O49" s="332"/>
      <c r="P49" s="334"/>
    </row>
    <row r="50" spans="1:16" ht="15.75" x14ac:dyDescent="0.25">
      <c r="A50" s="300">
        <f t="shared" si="10"/>
        <v>45</v>
      </c>
      <c r="B50" s="332"/>
      <c r="C50" s="331"/>
      <c r="D50" s="298" t="e">
        <f>VLOOKUP(C50,УЗиНП!$C$3:$D$1464,2,FALSE)</f>
        <v>#N/A</v>
      </c>
      <c r="E50" s="332"/>
      <c r="F50" s="332"/>
      <c r="G50" s="332"/>
      <c r="H50" s="332"/>
      <c r="I50" s="332"/>
      <c r="J50" s="332"/>
      <c r="K50" s="332"/>
      <c r="L50" s="333"/>
      <c r="M50" s="332"/>
      <c r="N50" s="334"/>
      <c r="O50" s="332"/>
      <c r="P50" s="334"/>
    </row>
    <row r="51" spans="1:16" ht="15.75" x14ac:dyDescent="0.25">
      <c r="A51" s="300">
        <f t="shared" si="10"/>
        <v>46</v>
      </c>
      <c r="B51" s="332"/>
      <c r="C51" s="331"/>
      <c r="D51" s="298" t="e">
        <f>VLOOKUP(C51,УЗиНП!$C$3:$D$1464,2,FALSE)</f>
        <v>#N/A</v>
      </c>
      <c r="E51" s="332"/>
      <c r="F51" s="332"/>
      <c r="G51" s="332"/>
      <c r="H51" s="332"/>
      <c r="I51" s="332"/>
      <c r="J51" s="332"/>
      <c r="K51" s="332"/>
      <c r="L51" s="333"/>
      <c r="M51" s="332"/>
      <c r="N51" s="334"/>
      <c r="O51" s="332"/>
      <c r="P51" s="334"/>
    </row>
    <row r="52" spans="1:16" ht="15.75" x14ac:dyDescent="0.25">
      <c r="A52" s="300">
        <f t="shared" si="10"/>
        <v>47</v>
      </c>
      <c r="B52" s="332"/>
      <c r="C52" s="331"/>
      <c r="D52" s="298" t="e">
        <f>VLOOKUP(C52,УЗиНП!$C$3:$D$1464,2,FALSE)</f>
        <v>#N/A</v>
      </c>
      <c r="E52" s="332"/>
      <c r="F52" s="332"/>
      <c r="G52" s="332"/>
      <c r="H52" s="332"/>
      <c r="I52" s="332"/>
      <c r="J52" s="332"/>
      <c r="K52" s="332"/>
      <c r="L52" s="333"/>
      <c r="M52" s="332"/>
      <c r="N52" s="334"/>
      <c r="O52" s="332"/>
      <c r="P52" s="334"/>
    </row>
    <row r="53" spans="1:16" ht="15.75" x14ac:dyDescent="0.25">
      <c r="A53" s="300">
        <f t="shared" si="10"/>
        <v>48</v>
      </c>
      <c r="B53" s="332"/>
      <c r="C53" s="331"/>
      <c r="D53" s="298" t="e">
        <f>VLOOKUP(C53,УЗиНП!$C$3:$D$1464,2,FALSE)</f>
        <v>#N/A</v>
      </c>
      <c r="E53" s="332"/>
      <c r="F53" s="332"/>
      <c r="G53" s="332"/>
      <c r="H53" s="332"/>
      <c r="I53" s="332"/>
      <c r="J53" s="332"/>
      <c r="K53" s="332"/>
      <c r="L53" s="333"/>
      <c r="M53" s="332"/>
      <c r="N53" s="334"/>
      <c r="O53" s="332"/>
      <c r="P53" s="334"/>
    </row>
    <row r="54" spans="1:16" ht="15.75" x14ac:dyDescent="0.25">
      <c r="A54" s="300">
        <f t="shared" si="10"/>
        <v>49</v>
      </c>
      <c r="B54" s="332"/>
      <c r="C54" s="331"/>
      <c r="D54" s="298" t="e">
        <f>VLOOKUP(C54,УЗиНП!$C$3:$D$1464,2,FALSE)</f>
        <v>#N/A</v>
      </c>
      <c r="E54" s="332"/>
      <c r="F54" s="332"/>
      <c r="G54" s="332"/>
      <c r="H54" s="332"/>
      <c r="I54" s="332"/>
      <c r="J54" s="332"/>
      <c r="K54" s="332"/>
      <c r="L54" s="333"/>
      <c r="M54" s="332"/>
      <c r="N54" s="334"/>
      <c r="O54" s="332"/>
      <c r="P54" s="334"/>
    </row>
    <row r="55" spans="1:16" ht="15.75" x14ac:dyDescent="0.25">
      <c r="A55" s="300">
        <f t="shared" si="10"/>
        <v>50</v>
      </c>
      <c r="B55" s="332"/>
      <c r="C55" s="331"/>
      <c r="D55" s="298" t="e">
        <f>VLOOKUP(C55,УЗиНП!$C$3:$D$1464,2,FALSE)</f>
        <v>#N/A</v>
      </c>
      <c r="E55" s="332"/>
      <c r="F55" s="332"/>
      <c r="G55" s="332"/>
      <c r="H55" s="332"/>
      <c r="I55" s="332"/>
      <c r="J55" s="332"/>
      <c r="K55" s="332"/>
      <c r="L55" s="333"/>
      <c r="M55" s="332"/>
      <c r="N55" s="334"/>
      <c r="O55" s="332"/>
      <c r="P55" s="334"/>
    </row>
    <row r="56" spans="1:16" ht="15.75" x14ac:dyDescent="0.25">
      <c r="A56" s="300">
        <f t="shared" si="10"/>
        <v>51</v>
      </c>
      <c r="B56" s="332"/>
      <c r="C56" s="331"/>
      <c r="D56" s="298" t="e">
        <f>VLOOKUP(C56,УЗиНП!$C$3:$D$1464,2,FALSE)</f>
        <v>#N/A</v>
      </c>
      <c r="E56" s="332"/>
      <c r="F56" s="332"/>
      <c r="G56" s="332"/>
      <c r="H56" s="332"/>
      <c r="I56" s="332"/>
      <c r="J56" s="332"/>
      <c r="K56" s="332"/>
      <c r="L56" s="333"/>
      <c r="M56" s="332"/>
      <c r="N56" s="334"/>
      <c r="O56" s="332"/>
      <c r="P56" s="334"/>
    </row>
    <row r="57" spans="1:16" ht="15.75" x14ac:dyDescent="0.25">
      <c r="A57" s="300">
        <f t="shared" si="10"/>
        <v>52</v>
      </c>
      <c r="B57" s="332"/>
      <c r="C57" s="331"/>
      <c r="D57" s="298" t="e">
        <f>VLOOKUP(C57,УЗиНП!$C$3:$D$1464,2,FALSE)</f>
        <v>#N/A</v>
      </c>
      <c r="E57" s="332"/>
      <c r="F57" s="332"/>
      <c r="G57" s="332"/>
      <c r="H57" s="332"/>
      <c r="I57" s="332"/>
      <c r="J57" s="332"/>
      <c r="K57" s="332"/>
      <c r="L57" s="333"/>
      <c r="M57" s="332"/>
      <c r="N57" s="334"/>
      <c r="O57" s="332"/>
      <c r="P57" s="334"/>
    </row>
    <row r="58" spans="1:16" ht="15.75" x14ac:dyDescent="0.25">
      <c r="A58" s="300">
        <f t="shared" si="10"/>
        <v>53</v>
      </c>
      <c r="B58" s="332"/>
      <c r="C58" s="331"/>
      <c r="D58" s="298" t="e">
        <f>VLOOKUP(C58,УЗиНП!$C$3:$D$1464,2,FALSE)</f>
        <v>#N/A</v>
      </c>
      <c r="E58" s="332"/>
      <c r="F58" s="332"/>
      <c r="G58" s="332"/>
      <c r="H58" s="332"/>
      <c r="I58" s="332"/>
      <c r="J58" s="332"/>
      <c r="K58" s="332"/>
      <c r="L58" s="333"/>
      <c r="M58" s="332"/>
      <c r="N58" s="334"/>
      <c r="O58" s="332"/>
      <c r="P58" s="334"/>
    </row>
    <row r="59" spans="1:16" ht="15.75" x14ac:dyDescent="0.25">
      <c r="A59" s="300">
        <f t="shared" si="10"/>
        <v>54</v>
      </c>
      <c r="B59" s="332"/>
      <c r="C59" s="331"/>
      <c r="D59" s="298" t="e">
        <f>VLOOKUP(C59,УЗиНП!$C$3:$D$1464,2,FALSE)</f>
        <v>#N/A</v>
      </c>
      <c r="E59" s="332"/>
      <c r="F59" s="332"/>
      <c r="G59" s="332"/>
      <c r="H59" s="332"/>
      <c r="I59" s="332"/>
      <c r="J59" s="332"/>
      <c r="K59" s="332"/>
      <c r="L59" s="333"/>
      <c r="M59" s="332"/>
      <c r="N59" s="334"/>
      <c r="O59" s="332"/>
      <c r="P59" s="334"/>
    </row>
    <row r="60" spans="1:16" ht="15.75" x14ac:dyDescent="0.25">
      <c r="A60" s="300">
        <f t="shared" si="10"/>
        <v>55</v>
      </c>
      <c r="B60" s="332"/>
      <c r="C60" s="331"/>
      <c r="D60" s="298" t="e">
        <f>VLOOKUP(C60,УЗиНП!$C$3:$D$1464,2,FALSE)</f>
        <v>#N/A</v>
      </c>
      <c r="E60" s="332"/>
      <c r="F60" s="332"/>
      <c r="G60" s="332"/>
      <c r="H60" s="332"/>
      <c r="I60" s="332"/>
      <c r="J60" s="332"/>
      <c r="K60" s="332"/>
      <c r="L60" s="333"/>
      <c r="M60" s="332"/>
      <c r="N60" s="334"/>
      <c r="O60" s="332"/>
      <c r="P60" s="334"/>
    </row>
    <row r="61" spans="1:16" ht="15.75" x14ac:dyDescent="0.25">
      <c r="A61" s="300">
        <f t="shared" si="10"/>
        <v>56</v>
      </c>
      <c r="B61" s="332"/>
      <c r="C61" s="331"/>
      <c r="D61" s="298" t="e">
        <f>VLOOKUP(C61,УЗиНП!$C$3:$D$1464,2,FALSE)</f>
        <v>#N/A</v>
      </c>
      <c r="E61" s="332"/>
      <c r="F61" s="332"/>
      <c r="G61" s="332"/>
      <c r="H61" s="332"/>
      <c r="I61" s="332"/>
      <c r="J61" s="332"/>
      <c r="K61" s="332"/>
      <c r="L61" s="333"/>
      <c r="M61" s="332"/>
      <c r="N61" s="334"/>
      <c r="O61" s="332"/>
      <c r="P61" s="334"/>
    </row>
    <row r="62" spans="1:16" ht="15.75" x14ac:dyDescent="0.25">
      <c r="A62" s="300">
        <f t="shared" si="10"/>
        <v>57</v>
      </c>
      <c r="B62" s="332"/>
      <c r="C62" s="331"/>
      <c r="D62" s="298" t="e">
        <f>VLOOKUP(C62,УЗиНП!$C$3:$D$1464,2,FALSE)</f>
        <v>#N/A</v>
      </c>
      <c r="E62" s="332"/>
      <c r="F62" s="332"/>
      <c r="G62" s="332"/>
      <c r="H62" s="332"/>
      <c r="I62" s="332"/>
      <c r="J62" s="332"/>
      <c r="K62" s="332"/>
      <c r="L62" s="333"/>
      <c r="M62" s="332"/>
      <c r="N62" s="334"/>
      <c r="O62" s="332"/>
      <c r="P62" s="334"/>
    </row>
    <row r="63" spans="1:16" ht="15.75" x14ac:dyDescent="0.25">
      <c r="A63" s="300">
        <f t="shared" si="10"/>
        <v>58</v>
      </c>
      <c r="B63" s="332"/>
      <c r="C63" s="331"/>
      <c r="D63" s="298" t="e">
        <f>VLOOKUP(C63,УЗиНП!$C$3:$D$1464,2,FALSE)</f>
        <v>#N/A</v>
      </c>
      <c r="E63" s="332"/>
      <c r="F63" s="332"/>
      <c r="G63" s="332"/>
      <c r="H63" s="332"/>
      <c r="I63" s="332"/>
      <c r="J63" s="332"/>
      <c r="K63" s="332"/>
      <c r="L63" s="333"/>
      <c r="M63" s="332"/>
      <c r="N63" s="334"/>
      <c r="O63" s="332"/>
      <c r="P63" s="334"/>
    </row>
    <row r="64" spans="1:16" ht="15.75" x14ac:dyDescent="0.25">
      <c r="A64" s="300">
        <f t="shared" si="10"/>
        <v>59</v>
      </c>
      <c r="B64" s="332"/>
      <c r="C64" s="331"/>
      <c r="D64" s="298" t="e">
        <f>VLOOKUP(C64,УЗиНП!$C$3:$D$1464,2,FALSE)</f>
        <v>#N/A</v>
      </c>
      <c r="E64" s="332"/>
      <c r="F64" s="332"/>
      <c r="G64" s="332"/>
      <c r="H64" s="332"/>
      <c r="I64" s="332"/>
      <c r="J64" s="332"/>
      <c r="K64" s="332"/>
      <c r="L64" s="333"/>
      <c r="M64" s="332"/>
      <c r="N64" s="334"/>
      <c r="O64" s="332"/>
      <c r="P64" s="334"/>
    </row>
    <row r="65" spans="1:16" ht="15.75" x14ac:dyDescent="0.25">
      <c r="A65" s="300">
        <f t="shared" si="10"/>
        <v>60</v>
      </c>
      <c r="B65" s="332"/>
      <c r="C65" s="331"/>
      <c r="D65" s="298" t="e">
        <f>VLOOKUP(C65,УЗиНП!$C$3:$D$1464,2,FALSE)</f>
        <v>#N/A</v>
      </c>
      <c r="E65" s="332"/>
      <c r="F65" s="332"/>
      <c r="G65" s="332"/>
      <c r="H65" s="332"/>
      <c r="I65" s="332"/>
      <c r="J65" s="332"/>
      <c r="K65" s="332"/>
      <c r="L65" s="333"/>
      <c r="M65" s="332"/>
      <c r="N65" s="334"/>
      <c r="O65" s="332"/>
      <c r="P65" s="334"/>
    </row>
    <row r="66" spans="1:16" ht="15.75" x14ac:dyDescent="0.25">
      <c r="A66" s="300">
        <f t="shared" si="10"/>
        <v>61</v>
      </c>
      <c r="B66" s="332"/>
      <c r="C66" s="331"/>
      <c r="D66" s="298" t="e">
        <f>VLOOKUP(C66,УЗиНП!$C$3:$D$1464,2,FALSE)</f>
        <v>#N/A</v>
      </c>
      <c r="E66" s="332"/>
      <c r="F66" s="332"/>
      <c r="G66" s="332"/>
      <c r="H66" s="332"/>
      <c r="I66" s="332"/>
      <c r="J66" s="332"/>
      <c r="K66" s="332"/>
      <c r="L66" s="333"/>
      <c r="M66" s="332"/>
      <c r="N66" s="334"/>
      <c r="O66" s="332"/>
      <c r="P66" s="334"/>
    </row>
    <row r="67" spans="1:16" ht="15.75" x14ac:dyDescent="0.25">
      <c r="A67" s="300">
        <f t="shared" si="10"/>
        <v>62</v>
      </c>
      <c r="B67" s="332"/>
      <c r="C67" s="331"/>
      <c r="D67" s="298" t="e">
        <f>VLOOKUP(C67,УЗиНП!$C$3:$D$1464,2,FALSE)</f>
        <v>#N/A</v>
      </c>
      <c r="E67" s="332"/>
      <c r="F67" s="332"/>
      <c r="G67" s="332"/>
      <c r="H67" s="332"/>
      <c r="I67" s="332"/>
      <c r="J67" s="332"/>
      <c r="K67" s="332"/>
      <c r="L67" s="333"/>
      <c r="M67" s="332"/>
      <c r="N67" s="334"/>
      <c r="O67" s="332"/>
      <c r="P67" s="334"/>
    </row>
    <row r="68" spans="1:16" ht="15.75" x14ac:dyDescent="0.25">
      <c r="A68" s="300">
        <f t="shared" si="10"/>
        <v>63</v>
      </c>
      <c r="B68" s="332"/>
      <c r="C68" s="331"/>
      <c r="D68" s="298" t="e">
        <f>VLOOKUP(C68,УЗиНП!$C$3:$D$1464,2,FALSE)</f>
        <v>#N/A</v>
      </c>
      <c r="E68" s="332"/>
      <c r="F68" s="332"/>
      <c r="G68" s="332"/>
      <c r="H68" s="332"/>
      <c r="I68" s="332"/>
      <c r="J68" s="332"/>
      <c r="K68" s="332"/>
      <c r="L68" s="333"/>
      <c r="M68" s="332"/>
      <c r="N68" s="334"/>
      <c r="O68" s="332"/>
      <c r="P68" s="334"/>
    </row>
    <row r="69" spans="1:16" ht="15.75" x14ac:dyDescent="0.25">
      <c r="A69" s="300">
        <f t="shared" si="10"/>
        <v>64</v>
      </c>
      <c r="B69" s="332"/>
      <c r="C69" s="331"/>
      <c r="D69" s="298" t="e">
        <f>VLOOKUP(C69,УЗиНП!$C$3:$D$1464,2,FALSE)</f>
        <v>#N/A</v>
      </c>
      <c r="E69" s="332"/>
      <c r="F69" s="332"/>
      <c r="G69" s="332"/>
      <c r="H69" s="332"/>
      <c r="I69" s="332"/>
      <c r="J69" s="332"/>
      <c r="K69" s="332"/>
      <c r="L69" s="333"/>
      <c r="M69" s="332"/>
      <c r="N69" s="334"/>
      <c r="O69" s="332"/>
      <c r="P69" s="334"/>
    </row>
    <row r="70" spans="1:16" ht="15.75" x14ac:dyDescent="0.25">
      <c r="A70" s="300">
        <f t="shared" si="10"/>
        <v>65</v>
      </c>
      <c r="B70" s="332"/>
      <c r="C70" s="331"/>
      <c r="D70" s="298" t="e">
        <f>VLOOKUP(C70,УЗиНП!$C$3:$D$1464,2,FALSE)</f>
        <v>#N/A</v>
      </c>
      <c r="E70" s="332"/>
      <c r="F70" s="332"/>
      <c r="G70" s="332"/>
      <c r="H70" s="332"/>
      <c r="I70" s="332"/>
      <c r="J70" s="332"/>
      <c r="K70" s="332"/>
      <c r="L70" s="333"/>
      <c r="M70" s="332"/>
      <c r="N70" s="334"/>
      <c r="O70" s="332"/>
      <c r="P70" s="334"/>
    </row>
    <row r="71" spans="1:16" ht="15.75" x14ac:dyDescent="0.25">
      <c r="A71" s="300">
        <f t="shared" si="10"/>
        <v>66</v>
      </c>
      <c r="B71" s="332"/>
      <c r="C71" s="331"/>
      <c r="D71" s="298" t="e">
        <f>VLOOKUP(C71,УЗиНП!$C$3:$D$1464,2,FALSE)</f>
        <v>#N/A</v>
      </c>
      <c r="E71" s="332"/>
      <c r="F71" s="332"/>
      <c r="G71" s="332"/>
      <c r="H71" s="332"/>
      <c r="I71" s="332"/>
      <c r="J71" s="332"/>
      <c r="K71" s="332"/>
      <c r="L71" s="333"/>
      <c r="M71" s="332"/>
      <c r="N71" s="334"/>
      <c r="O71" s="332"/>
      <c r="P71" s="334"/>
    </row>
    <row r="72" spans="1:16" ht="15.75" x14ac:dyDescent="0.25">
      <c r="A72" s="300">
        <f t="shared" si="10"/>
        <v>67</v>
      </c>
      <c r="B72" s="332"/>
      <c r="C72" s="331"/>
      <c r="D72" s="298" t="e">
        <f>VLOOKUP(C72,УЗиНП!$C$3:$D$1464,2,FALSE)</f>
        <v>#N/A</v>
      </c>
      <c r="E72" s="332"/>
      <c r="F72" s="332"/>
      <c r="G72" s="332"/>
      <c r="H72" s="332"/>
      <c r="I72" s="332"/>
      <c r="J72" s="332"/>
      <c r="K72" s="332"/>
      <c r="L72" s="333"/>
      <c r="M72" s="332"/>
      <c r="N72" s="334"/>
      <c r="O72" s="332"/>
      <c r="P72" s="334"/>
    </row>
    <row r="73" spans="1:16" ht="15.75" x14ac:dyDescent="0.25">
      <c r="A73" s="300">
        <f t="shared" ref="A73:A105" si="11">A72+1</f>
        <v>68</v>
      </c>
      <c r="B73" s="332"/>
      <c r="C73" s="331"/>
      <c r="D73" s="298" t="e">
        <f>VLOOKUP(C73,УЗиНП!$C$3:$D$1464,2,FALSE)</f>
        <v>#N/A</v>
      </c>
      <c r="E73" s="332"/>
      <c r="F73" s="332"/>
      <c r="G73" s="332"/>
      <c r="H73" s="332"/>
      <c r="I73" s="332"/>
      <c r="J73" s="332"/>
      <c r="K73" s="332"/>
      <c r="L73" s="333"/>
      <c r="M73" s="332"/>
      <c r="N73" s="334"/>
      <c r="O73" s="332"/>
      <c r="P73" s="334"/>
    </row>
    <row r="74" spans="1:16" ht="15.75" x14ac:dyDescent="0.25">
      <c r="A74" s="300">
        <f t="shared" si="11"/>
        <v>69</v>
      </c>
      <c r="B74" s="332"/>
      <c r="C74" s="331"/>
      <c r="D74" s="298" t="e">
        <f>VLOOKUP(C74,УЗиНП!$C$3:$D$1464,2,FALSE)</f>
        <v>#N/A</v>
      </c>
      <c r="E74" s="332"/>
      <c r="F74" s="332"/>
      <c r="G74" s="332"/>
      <c r="H74" s="332"/>
      <c r="I74" s="332"/>
      <c r="J74" s="332"/>
      <c r="K74" s="332"/>
      <c r="L74" s="333"/>
      <c r="M74" s="332"/>
      <c r="N74" s="334"/>
      <c r="O74" s="332"/>
      <c r="P74" s="334"/>
    </row>
    <row r="75" spans="1:16" ht="15.75" x14ac:dyDescent="0.25">
      <c r="A75" s="300">
        <f t="shared" si="11"/>
        <v>70</v>
      </c>
      <c r="B75" s="332"/>
      <c r="C75" s="331"/>
      <c r="D75" s="298" t="e">
        <f>VLOOKUP(C75,УЗиНП!$C$3:$D$1464,2,FALSE)</f>
        <v>#N/A</v>
      </c>
      <c r="E75" s="332"/>
      <c r="F75" s="332"/>
      <c r="G75" s="332"/>
      <c r="H75" s="332"/>
      <c r="I75" s="332"/>
      <c r="J75" s="332"/>
      <c r="K75" s="332"/>
      <c r="L75" s="333"/>
      <c r="M75" s="332"/>
      <c r="N75" s="334"/>
      <c r="O75" s="332"/>
      <c r="P75" s="334"/>
    </row>
    <row r="76" spans="1:16" ht="15.75" x14ac:dyDescent="0.25">
      <c r="A76" s="300">
        <f t="shared" si="11"/>
        <v>71</v>
      </c>
      <c r="B76" s="332"/>
      <c r="C76" s="331"/>
      <c r="D76" s="298" t="e">
        <f>VLOOKUP(C76,УЗиНП!$C$3:$D$1464,2,FALSE)</f>
        <v>#N/A</v>
      </c>
      <c r="E76" s="332"/>
      <c r="F76" s="332"/>
      <c r="G76" s="332"/>
      <c r="H76" s="332"/>
      <c r="I76" s="332"/>
      <c r="J76" s="332"/>
      <c r="K76" s="332"/>
      <c r="L76" s="333"/>
      <c r="M76" s="332"/>
      <c r="N76" s="334"/>
      <c r="O76" s="332"/>
      <c r="P76" s="334"/>
    </row>
    <row r="77" spans="1:16" ht="15.75" x14ac:dyDescent="0.25">
      <c r="A77" s="300">
        <f t="shared" si="11"/>
        <v>72</v>
      </c>
      <c r="B77" s="332"/>
      <c r="C77" s="331"/>
      <c r="D77" s="298" t="e">
        <f>VLOOKUP(C77,УЗиНП!$C$3:$D$1464,2,FALSE)</f>
        <v>#N/A</v>
      </c>
      <c r="E77" s="332"/>
      <c r="F77" s="332"/>
      <c r="G77" s="332"/>
      <c r="H77" s="332"/>
      <c r="I77" s="332"/>
      <c r="J77" s="332"/>
      <c r="K77" s="332"/>
      <c r="L77" s="333"/>
      <c r="M77" s="332"/>
      <c r="N77" s="334"/>
      <c r="O77" s="332"/>
      <c r="P77" s="334"/>
    </row>
    <row r="78" spans="1:16" ht="15.75" x14ac:dyDescent="0.25">
      <c r="A78" s="300">
        <f t="shared" si="11"/>
        <v>73</v>
      </c>
      <c r="B78" s="332"/>
      <c r="C78" s="331"/>
      <c r="D78" s="298" t="e">
        <f>VLOOKUP(C78,УЗиНП!$C$3:$D$1464,2,FALSE)</f>
        <v>#N/A</v>
      </c>
      <c r="E78" s="332"/>
      <c r="F78" s="332"/>
      <c r="G78" s="332"/>
      <c r="H78" s="332"/>
      <c r="I78" s="332"/>
      <c r="J78" s="332"/>
      <c r="K78" s="332"/>
      <c r="L78" s="333"/>
      <c r="M78" s="332"/>
      <c r="N78" s="334"/>
      <c r="O78" s="332"/>
      <c r="P78" s="334"/>
    </row>
    <row r="79" spans="1:16" ht="15.75" x14ac:dyDescent="0.25">
      <c r="A79" s="300">
        <f t="shared" si="11"/>
        <v>74</v>
      </c>
      <c r="B79" s="332"/>
      <c r="C79" s="331"/>
      <c r="D79" s="298" t="e">
        <f>VLOOKUP(C79,УЗиНП!$C$3:$D$1464,2,FALSE)</f>
        <v>#N/A</v>
      </c>
      <c r="E79" s="332"/>
      <c r="F79" s="332"/>
      <c r="G79" s="332"/>
      <c r="H79" s="332"/>
      <c r="I79" s="332"/>
      <c r="J79" s="332"/>
      <c r="K79" s="332"/>
      <c r="L79" s="333"/>
      <c r="M79" s="332"/>
      <c r="N79" s="334"/>
      <c r="O79" s="332"/>
      <c r="P79" s="334"/>
    </row>
    <row r="80" spans="1:16" ht="15.75" x14ac:dyDescent="0.25">
      <c r="A80" s="300">
        <f t="shared" si="11"/>
        <v>75</v>
      </c>
      <c r="B80" s="332"/>
      <c r="C80" s="331"/>
      <c r="D80" s="298" t="e">
        <f>VLOOKUP(C80,УЗиНП!$C$3:$D$1464,2,FALSE)</f>
        <v>#N/A</v>
      </c>
      <c r="E80" s="332"/>
      <c r="F80" s="332"/>
      <c r="G80" s="332"/>
      <c r="H80" s="332"/>
      <c r="I80" s="332"/>
      <c r="J80" s="332"/>
      <c r="K80" s="332"/>
      <c r="L80" s="333"/>
      <c r="M80" s="332"/>
      <c r="N80" s="334"/>
      <c r="O80" s="332"/>
      <c r="P80" s="334"/>
    </row>
    <row r="81" spans="1:16" ht="15.75" x14ac:dyDescent="0.25">
      <c r="A81" s="300">
        <f t="shared" si="11"/>
        <v>76</v>
      </c>
      <c r="B81" s="332"/>
      <c r="C81" s="331"/>
      <c r="D81" s="298" t="e">
        <f>VLOOKUP(C81,УЗиНП!$C$3:$D$1464,2,FALSE)</f>
        <v>#N/A</v>
      </c>
      <c r="E81" s="332"/>
      <c r="F81" s="332"/>
      <c r="G81" s="332"/>
      <c r="H81" s="332"/>
      <c r="I81" s="332"/>
      <c r="J81" s="332"/>
      <c r="K81" s="332"/>
      <c r="L81" s="333"/>
      <c r="M81" s="332"/>
      <c r="N81" s="334"/>
      <c r="O81" s="332"/>
      <c r="P81" s="334"/>
    </row>
    <row r="82" spans="1:16" ht="15.75" x14ac:dyDescent="0.25">
      <c r="A82" s="300">
        <f t="shared" si="11"/>
        <v>77</v>
      </c>
      <c r="B82" s="332"/>
      <c r="C82" s="331"/>
      <c r="D82" s="298" t="e">
        <f>VLOOKUP(C82,УЗиНП!$C$3:$D$1464,2,FALSE)</f>
        <v>#N/A</v>
      </c>
      <c r="E82" s="332"/>
      <c r="F82" s="332"/>
      <c r="G82" s="332"/>
      <c r="H82" s="332"/>
      <c r="I82" s="332"/>
      <c r="J82" s="332"/>
      <c r="K82" s="332"/>
      <c r="L82" s="333"/>
      <c r="M82" s="332"/>
      <c r="N82" s="334"/>
      <c r="O82" s="332"/>
      <c r="P82" s="334"/>
    </row>
    <row r="83" spans="1:16" ht="15.75" x14ac:dyDescent="0.25">
      <c r="A83" s="300">
        <f t="shared" si="11"/>
        <v>78</v>
      </c>
      <c r="B83" s="332"/>
      <c r="C83" s="331"/>
      <c r="D83" s="298" t="e">
        <f>VLOOKUP(C83,УЗиНП!$C$3:$D$1464,2,FALSE)</f>
        <v>#N/A</v>
      </c>
      <c r="E83" s="332"/>
      <c r="F83" s="332"/>
      <c r="G83" s="332"/>
      <c r="H83" s="332"/>
      <c r="I83" s="332"/>
      <c r="J83" s="332"/>
      <c r="K83" s="332"/>
      <c r="L83" s="333"/>
      <c r="M83" s="332"/>
      <c r="N83" s="334"/>
      <c r="O83" s="332"/>
      <c r="P83" s="334"/>
    </row>
    <row r="84" spans="1:16" ht="15.75" x14ac:dyDescent="0.25">
      <c r="A84" s="300">
        <f t="shared" si="11"/>
        <v>79</v>
      </c>
      <c r="B84" s="332"/>
      <c r="C84" s="331"/>
      <c r="D84" s="298" t="e">
        <f>VLOOKUP(C84,УЗиНП!$C$3:$D$1464,2,FALSE)</f>
        <v>#N/A</v>
      </c>
      <c r="E84" s="332"/>
      <c r="F84" s="332"/>
      <c r="G84" s="332"/>
      <c r="H84" s="332"/>
      <c r="I84" s="332"/>
      <c r="J84" s="332"/>
      <c r="K84" s="332"/>
      <c r="L84" s="333"/>
      <c r="M84" s="332"/>
      <c r="N84" s="334"/>
      <c r="O84" s="332"/>
      <c r="P84" s="334"/>
    </row>
    <row r="85" spans="1:16" ht="15.75" x14ac:dyDescent="0.25">
      <c r="A85" s="300">
        <f t="shared" si="11"/>
        <v>80</v>
      </c>
      <c r="B85" s="332"/>
      <c r="C85" s="331"/>
      <c r="D85" s="298" t="e">
        <f>VLOOKUP(C85,УЗиНП!$C$3:$D$1464,2,FALSE)</f>
        <v>#N/A</v>
      </c>
      <c r="E85" s="332"/>
      <c r="F85" s="332"/>
      <c r="G85" s="332"/>
      <c r="H85" s="332"/>
      <c r="I85" s="332"/>
      <c r="J85" s="332"/>
      <c r="K85" s="332"/>
      <c r="L85" s="333"/>
      <c r="M85" s="332"/>
      <c r="N85" s="334"/>
      <c r="O85" s="332"/>
      <c r="P85" s="334"/>
    </row>
    <row r="86" spans="1:16" ht="15.75" x14ac:dyDescent="0.25">
      <c r="A86" s="300">
        <f t="shared" si="11"/>
        <v>81</v>
      </c>
      <c r="B86" s="332"/>
      <c r="C86" s="331"/>
      <c r="D86" s="298" t="e">
        <f>VLOOKUP(C86,УЗиНП!$C$3:$D$1464,2,FALSE)</f>
        <v>#N/A</v>
      </c>
      <c r="E86" s="332"/>
      <c r="F86" s="332"/>
      <c r="G86" s="332"/>
      <c r="H86" s="332"/>
      <c r="I86" s="332"/>
      <c r="J86" s="332"/>
      <c r="K86" s="332"/>
      <c r="L86" s="333"/>
      <c r="M86" s="332"/>
      <c r="N86" s="334"/>
      <c r="O86" s="332"/>
      <c r="P86" s="334"/>
    </row>
    <row r="87" spans="1:16" ht="15.75" x14ac:dyDescent="0.25">
      <c r="A87" s="300">
        <f t="shared" si="11"/>
        <v>82</v>
      </c>
      <c r="B87" s="332"/>
      <c r="C87" s="331"/>
      <c r="D87" s="298" t="e">
        <f>VLOOKUP(C87,УЗиНП!$C$3:$D$1464,2,FALSE)</f>
        <v>#N/A</v>
      </c>
      <c r="E87" s="332"/>
      <c r="F87" s="332"/>
      <c r="G87" s="332"/>
      <c r="H87" s="332"/>
      <c r="I87" s="332"/>
      <c r="J87" s="332"/>
      <c r="K87" s="332"/>
      <c r="L87" s="333"/>
      <c r="M87" s="332"/>
      <c r="N87" s="334"/>
      <c r="O87" s="332"/>
      <c r="P87" s="334"/>
    </row>
    <row r="88" spans="1:16" ht="15.75" x14ac:dyDescent="0.25">
      <c r="A88" s="300">
        <f t="shared" si="11"/>
        <v>83</v>
      </c>
      <c r="B88" s="332"/>
      <c r="C88" s="331"/>
      <c r="D88" s="298" t="e">
        <f>VLOOKUP(C88,УЗиНП!$C$3:$D$1464,2,FALSE)</f>
        <v>#N/A</v>
      </c>
      <c r="E88" s="332"/>
      <c r="F88" s="332"/>
      <c r="G88" s="332"/>
      <c r="H88" s="332"/>
      <c r="I88" s="332"/>
      <c r="J88" s="332"/>
      <c r="K88" s="332"/>
      <c r="L88" s="333"/>
      <c r="M88" s="332"/>
      <c r="N88" s="334"/>
      <c r="O88" s="332"/>
      <c r="P88" s="334"/>
    </row>
    <row r="89" spans="1:16" ht="15.75" x14ac:dyDescent="0.25">
      <c r="A89" s="300">
        <f t="shared" si="11"/>
        <v>84</v>
      </c>
      <c r="B89" s="332"/>
      <c r="C89" s="331"/>
      <c r="D89" s="298" t="e">
        <f>VLOOKUP(C89,УЗиНП!$C$3:$D$1464,2,FALSE)</f>
        <v>#N/A</v>
      </c>
      <c r="E89" s="332"/>
      <c r="F89" s="332"/>
      <c r="G89" s="332"/>
      <c r="H89" s="332"/>
      <c r="I89" s="332"/>
      <c r="J89" s="332"/>
      <c r="K89" s="332"/>
      <c r="L89" s="333"/>
      <c r="M89" s="332"/>
      <c r="N89" s="334"/>
      <c r="O89" s="332"/>
      <c r="P89" s="334"/>
    </row>
    <row r="90" spans="1:16" ht="15.75" x14ac:dyDescent="0.25">
      <c r="A90" s="300">
        <f t="shared" si="11"/>
        <v>85</v>
      </c>
      <c r="B90" s="332"/>
      <c r="C90" s="331"/>
      <c r="D90" s="298" t="e">
        <f>VLOOKUP(C90,УЗиНП!$C$3:$D$1464,2,FALSE)</f>
        <v>#N/A</v>
      </c>
      <c r="E90" s="332"/>
      <c r="F90" s="332"/>
      <c r="G90" s="332"/>
      <c r="H90" s="332"/>
      <c r="I90" s="332"/>
      <c r="J90" s="332"/>
      <c r="K90" s="332"/>
      <c r="L90" s="333"/>
      <c r="M90" s="332"/>
      <c r="N90" s="334"/>
      <c r="O90" s="332"/>
      <c r="P90" s="334"/>
    </row>
    <row r="91" spans="1:16" ht="15.75" x14ac:dyDescent="0.25">
      <c r="A91" s="300">
        <f t="shared" si="11"/>
        <v>86</v>
      </c>
      <c r="B91" s="332"/>
      <c r="C91" s="331"/>
      <c r="D91" s="298" t="e">
        <f>VLOOKUP(C91,УЗиНП!$C$3:$D$1464,2,FALSE)</f>
        <v>#N/A</v>
      </c>
      <c r="E91" s="332"/>
      <c r="F91" s="332"/>
      <c r="G91" s="332"/>
      <c r="H91" s="332"/>
      <c r="I91" s="332"/>
      <c r="J91" s="332"/>
      <c r="K91" s="332"/>
      <c r="L91" s="333"/>
      <c r="M91" s="332"/>
      <c r="N91" s="334"/>
      <c r="O91" s="332"/>
      <c r="P91" s="334"/>
    </row>
    <row r="92" spans="1:16" ht="15.75" x14ac:dyDescent="0.25">
      <c r="A92" s="300">
        <f t="shared" si="11"/>
        <v>87</v>
      </c>
      <c r="B92" s="332"/>
      <c r="C92" s="331"/>
      <c r="D92" s="298" t="e">
        <f>VLOOKUP(C92,УЗиНП!$C$3:$D$1464,2,FALSE)</f>
        <v>#N/A</v>
      </c>
      <c r="E92" s="332"/>
      <c r="F92" s="332"/>
      <c r="G92" s="332"/>
      <c r="H92" s="332"/>
      <c r="I92" s="332"/>
      <c r="J92" s="332"/>
      <c r="K92" s="332"/>
      <c r="L92" s="333"/>
      <c r="M92" s="332"/>
      <c r="N92" s="334"/>
      <c r="O92" s="332"/>
      <c r="P92" s="334"/>
    </row>
    <row r="93" spans="1:16" ht="15.75" x14ac:dyDescent="0.25">
      <c r="A93" s="300">
        <f t="shared" si="11"/>
        <v>88</v>
      </c>
      <c r="B93" s="332"/>
      <c r="C93" s="331"/>
      <c r="D93" s="298" t="e">
        <f>VLOOKUP(C93,УЗиНП!$C$3:$D$1464,2,FALSE)</f>
        <v>#N/A</v>
      </c>
      <c r="E93" s="332"/>
      <c r="F93" s="332"/>
      <c r="G93" s="332"/>
      <c r="H93" s="332"/>
      <c r="I93" s="332"/>
      <c r="J93" s="332"/>
      <c r="K93" s="332"/>
      <c r="L93" s="333"/>
      <c r="M93" s="332"/>
      <c r="N93" s="334"/>
      <c r="O93" s="332"/>
      <c r="P93" s="334"/>
    </row>
    <row r="94" spans="1:16" ht="15.75" x14ac:dyDescent="0.25">
      <c r="A94" s="300">
        <f t="shared" si="11"/>
        <v>89</v>
      </c>
      <c r="B94" s="332"/>
      <c r="C94" s="331"/>
      <c r="D94" s="298" t="e">
        <f>VLOOKUP(C94,УЗиНП!$C$3:$D$1464,2,FALSE)</f>
        <v>#N/A</v>
      </c>
      <c r="E94" s="332"/>
      <c r="F94" s="332"/>
      <c r="G94" s="332"/>
      <c r="H94" s="332"/>
      <c r="I94" s="332"/>
      <c r="J94" s="332"/>
      <c r="K94" s="332"/>
      <c r="L94" s="333"/>
      <c r="M94" s="332"/>
      <c r="N94" s="334"/>
      <c r="O94" s="332"/>
      <c r="P94" s="334"/>
    </row>
    <row r="95" spans="1:16" ht="15.75" x14ac:dyDescent="0.25">
      <c r="A95" s="300">
        <f t="shared" si="11"/>
        <v>90</v>
      </c>
      <c r="B95" s="332"/>
      <c r="C95" s="331"/>
      <c r="D95" s="298" t="e">
        <f>VLOOKUP(C95,УЗиНП!$C$3:$D$1464,2,FALSE)</f>
        <v>#N/A</v>
      </c>
      <c r="E95" s="332"/>
      <c r="F95" s="332"/>
      <c r="G95" s="332"/>
      <c r="H95" s="332"/>
      <c r="I95" s="332"/>
      <c r="J95" s="332"/>
      <c r="K95" s="332"/>
      <c r="L95" s="333"/>
      <c r="M95" s="332"/>
      <c r="N95" s="334"/>
      <c r="O95" s="332"/>
      <c r="P95" s="334"/>
    </row>
    <row r="96" spans="1:16" ht="15.75" x14ac:dyDescent="0.25">
      <c r="A96" s="300">
        <f t="shared" si="11"/>
        <v>91</v>
      </c>
      <c r="B96" s="332"/>
      <c r="C96" s="331"/>
      <c r="D96" s="298" t="e">
        <f>VLOOKUP(C96,УЗиНП!$C$3:$D$1464,2,FALSE)</f>
        <v>#N/A</v>
      </c>
      <c r="E96" s="332"/>
      <c r="F96" s="332"/>
      <c r="G96" s="332"/>
      <c r="H96" s="332"/>
      <c r="I96" s="332"/>
      <c r="J96" s="332"/>
      <c r="K96" s="332"/>
      <c r="L96" s="333"/>
      <c r="M96" s="332"/>
      <c r="N96" s="334"/>
      <c r="O96" s="332"/>
      <c r="P96" s="334"/>
    </row>
    <row r="97" spans="1:16" ht="15.75" x14ac:dyDescent="0.25">
      <c r="A97" s="300">
        <f t="shared" si="11"/>
        <v>92</v>
      </c>
      <c r="B97" s="332"/>
      <c r="C97" s="331"/>
      <c r="D97" s="298" t="e">
        <f>VLOOKUP(C97,УЗиНП!$C$3:$D$1464,2,FALSE)</f>
        <v>#N/A</v>
      </c>
      <c r="E97" s="332"/>
      <c r="F97" s="332"/>
      <c r="G97" s="332"/>
      <c r="H97" s="332"/>
      <c r="I97" s="332"/>
      <c r="J97" s="332"/>
      <c r="K97" s="332"/>
      <c r="L97" s="333"/>
      <c r="M97" s="332"/>
      <c r="N97" s="334"/>
      <c r="O97" s="332"/>
      <c r="P97" s="334"/>
    </row>
    <row r="98" spans="1:16" ht="15.75" x14ac:dyDescent="0.25">
      <c r="A98" s="300">
        <f t="shared" si="11"/>
        <v>93</v>
      </c>
      <c r="B98" s="332"/>
      <c r="C98" s="331"/>
      <c r="D98" s="298" t="e">
        <f>VLOOKUP(C98,УЗиНП!$C$3:$D$1464,2,FALSE)</f>
        <v>#N/A</v>
      </c>
      <c r="E98" s="332"/>
      <c r="F98" s="332"/>
      <c r="G98" s="332"/>
      <c r="H98" s="332"/>
      <c r="I98" s="332"/>
      <c r="J98" s="332"/>
      <c r="K98" s="332"/>
      <c r="L98" s="333"/>
      <c r="M98" s="332"/>
      <c r="N98" s="334"/>
      <c r="O98" s="332"/>
      <c r="P98" s="334"/>
    </row>
    <row r="99" spans="1:16" ht="15.75" x14ac:dyDescent="0.25">
      <c r="A99" s="300">
        <f t="shared" si="11"/>
        <v>94</v>
      </c>
      <c r="B99" s="332"/>
      <c r="C99" s="331"/>
      <c r="D99" s="298" t="e">
        <f>VLOOKUP(C99,УЗиНП!$C$3:$D$1464,2,FALSE)</f>
        <v>#N/A</v>
      </c>
      <c r="E99" s="332"/>
      <c r="F99" s="332"/>
      <c r="G99" s="332"/>
      <c r="H99" s="332"/>
      <c r="I99" s="332"/>
      <c r="J99" s="332"/>
      <c r="K99" s="332"/>
      <c r="L99" s="333"/>
      <c r="M99" s="332"/>
      <c r="N99" s="334"/>
      <c r="O99" s="332"/>
      <c r="P99" s="334"/>
    </row>
    <row r="100" spans="1:16" ht="15.75" x14ac:dyDescent="0.25">
      <c r="A100" s="300">
        <f t="shared" si="11"/>
        <v>95</v>
      </c>
      <c r="B100" s="332"/>
      <c r="C100" s="331"/>
      <c r="D100" s="298" t="e">
        <f>VLOOKUP(C100,УЗиНП!$C$3:$D$1464,2,FALSE)</f>
        <v>#N/A</v>
      </c>
      <c r="E100" s="332"/>
      <c r="F100" s="332"/>
      <c r="G100" s="332"/>
      <c r="H100" s="332"/>
      <c r="I100" s="332"/>
      <c r="J100" s="332"/>
      <c r="K100" s="332"/>
      <c r="L100" s="333"/>
      <c r="M100" s="332"/>
      <c r="N100" s="334"/>
      <c r="O100" s="332"/>
      <c r="P100" s="334"/>
    </row>
    <row r="101" spans="1:16" ht="15.75" x14ac:dyDescent="0.25">
      <c r="A101" s="300">
        <f t="shared" si="11"/>
        <v>96</v>
      </c>
      <c r="B101" s="332"/>
      <c r="C101" s="331"/>
      <c r="D101" s="298" t="e">
        <f>VLOOKUP(C101,УЗиНП!$C$3:$D$1464,2,FALSE)</f>
        <v>#N/A</v>
      </c>
      <c r="E101" s="332"/>
      <c r="F101" s="332"/>
      <c r="G101" s="332"/>
      <c r="H101" s="332"/>
      <c r="I101" s="332"/>
      <c r="J101" s="332"/>
      <c r="K101" s="332"/>
      <c r="L101" s="333"/>
      <c r="M101" s="332"/>
      <c r="N101" s="334"/>
      <c r="O101" s="332"/>
      <c r="P101" s="334"/>
    </row>
    <row r="102" spans="1:16" ht="15.75" x14ac:dyDescent="0.25">
      <c r="A102" s="300">
        <f t="shared" si="11"/>
        <v>97</v>
      </c>
      <c r="B102" s="332"/>
      <c r="C102" s="331"/>
      <c r="D102" s="298" t="e">
        <f>VLOOKUP(C102,УЗиНП!$C$3:$D$1464,2,FALSE)</f>
        <v>#N/A</v>
      </c>
      <c r="E102" s="332"/>
      <c r="F102" s="332"/>
      <c r="G102" s="332"/>
      <c r="H102" s="332"/>
      <c r="I102" s="332"/>
      <c r="J102" s="332"/>
      <c r="K102" s="332"/>
      <c r="L102" s="333"/>
      <c r="M102" s="332"/>
      <c r="N102" s="334"/>
      <c r="O102" s="332"/>
      <c r="P102" s="334"/>
    </row>
    <row r="103" spans="1:16" ht="15.75" x14ac:dyDescent="0.25">
      <c r="A103" s="300">
        <f t="shared" si="11"/>
        <v>98</v>
      </c>
      <c r="B103" s="332"/>
      <c r="C103" s="331"/>
      <c r="D103" s="298" t="e">
        <f>VLOOKUP(C103,УЗиНП!$C$3:$D$1464,2,FALSE)</f>
        <v>#N/A</v>
      </c>
      <c r="E103" s="332"/>
      <c r="F103" s="332"/>
      <c r="G103" s="332"/>
      <c r="H103" s="332"/>
      <c r="I103" s="332"/>
      <c r="J103" s="332"/>
      <c r="K103" s="332"/>
      <c r="L103" s="333"/>
      <c r="M103" s="332"/>
      <c r="N103" s="334"/>
      <c r="O103" s="332"/>
      <c r="P103" s="334"/>
    </row>
    <row r="104" spans="1:16" ht="15.75" x14ac:dyDescent="0.25">
      <c r="A104" s="300">
        <f t="shared" si="11"/>
        <v>99</v>
      </c>
      <c r="B104" s="332"/>
      <c r="C104" s="331"/>
      <c r="D104" s="298" t="e">
        <f>VLOOKUP(C104,УЗиНП!$C$3:$D$1464,2,FALSE)</f>
        <v>#N/A</v>
      </c>
      <c r="E104" s="332"/>
      <c r="F104" s="332"/>
      <c r="G104" s="332"/>
      <c r="H104" s="332"/>
      <c r="I104" s="332"/>
      <c r="J104" s="332"/>
      <c r="K104" s="332"/>
      <c r="L104" s="333"/>
      <c r="M104" s="332"/>
      <c r="N104" s="334"/>
      <c r="O104" s="332"/>
      <c r="P104" s="334"/>
    </row>
    <row r="105" spans="1:16" ht="15.75" x14ac:dyDescent="0.25">
      <c r="A105" s="300">
        <f t="shared" si="11"/>
        <v>100</v>
      </c>
      <c r="B105" s="332"/>
      <c r="C105" s="331"/>
      <c r="D105" s="298" t="e">
        <f>VLOOKUP(C105,УЗиНП!$C$3:$D$1464,2,FALSE)</f>
        <v>#N/A</v>
      </c>
      <c r="E105" s="332"/>
      <c r="F105" s="332"/>
      <c r="G105" s="332"/>
      <c r="H105" s="332"/>
      <c r="I105" s="332"/>
      <c r="J105" s="332"/>
      <c r="K105" s="332"/>
      <c r="L105" s="333"/>
      <c r="M105" s="332"/>
      <c r="N105" s="334"/>
      <c r="O105" s="332"/>
      <c r="P105" s="334"/>
    </row>
    <row r="106" spans="1:16" ht="18.75" x14ac:dyDescent="0.25">
      <c r="A106" s="818" t="s">
        <v>329</v>
      </c>
      <c r="B106" s="818"/>
      <c r="C106" s="818"/>
      <c r="D106" s="818"/>
      <c r="E106" s="326">
        <f>SUM(E7:E105)</f>
        <v>0</v>
      </c>
      <c r="F106" s="326">
        <f t="shared" ref="F106:K106" si="12">SUM(F7:F105)</f>
        <v>0</v>
      </c>
      <c r="G106" s="326">
        <f t="shared" si="12"/>
        <v>0</v>
      </c>
      <c r="H106" s="326">
        <f t="shared" si="12"/>
        <v>0</v>
      </c>
      <c r="I106" s="326">
        <f t="shared" si="12"/>
        <v>0</v>
      </c>
      <c r="J106" s="326">
        <f t="shared" si="12"/>
        <v>0</v>
      </c>
      <c r="K106" s="326">
        <f t="shared" si="12"/>
        <v>0</v>
      </c>
      <c r="L106" s="325">
        <f>SUM(L7:L105)</f>
        <v>0</v>
      </c>
      <c r="M106" s="326">
        <f>SUM(M7:M105)</f>
        <v>0</v>
      </c>
      <c r="N106" s="327">
        <f>SUM(N7:N105)</f>
        <v>0</v>
      </c>
      <c r="O106" s="326">
        <f>SUM(O7:O105)</f>
        <v>0</v>
      </c>
      <c r="P106" s="327">
        <f>SUM(P7:P105)</f>
        <v>0</v>
      </c>
    </row>
  </sheetData>
  <sheetProtection password="D8E9" sheet="1" objects="1" scenarios="1"/>
  <mergeCells count="14">
    <mergeCell ref="H4:I4"/>
    <mergeCell ref="C1:P1"/>
    <mergeCell ref="C2:P2"/>
    <mergeCell ref="C3:P3"/>
    <mergeCell ref="K4:L4"/>
    <mergeCell ref="M4:N4"/>
    <mergeCell ref="O4:P4"/>
    <mergeCell ref="E4:E5"/>
    <mergeCell ref="F4:F5"/>
    <mergeCell ref="A106:D106"/>
    <mergeCell ref="A4:A5"/>
    <mergeCell ref="B4:B5"/>
    <mergeCell ref="C4:C5"/>
    <mergeCell ref="D4:D5"/>
  </mergeCells>
  <pageMargins left="0.51181102362204722" right="0.51181102362204722" top="0.55118110236220474" bottom="0.55118110236220474" header="0.31496062992125984" footer="0.31496062992125984"/>
  <pageSetup paperSize="9" scale="34"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Перечни!$C$2:$C$1858</xm:f>
          </x14:formula1>
          <xm:sqref>B7:B105</xm:sqref>
        </x14:dataValidation>
        <x14:dataValidation type="list" allowBlank="1" showInputMessage="1" showErrorMessage="1">
          <x14:formula1>
            <xm:f>УЗиНП!$C$3:$C$1464</xm:f>
          </x14:formula1>
          <xm:sqref>C7:C105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P71"/>
  <sheetViews>
    <sheetView zoomScale="80" zoomScaleNormal="80" workbookViewId="0">
      <selection activeCell="D24" sqref="A8:D24"/>
    </sheetView>
  </sheetViews>
  <sheetFormatPr defaultRowHeight="15" x14ac:dyDescent="0.25"/>
  <cols>
    <col min="1" max="1" width="3.140625" style="308" bestFit="1" customWidth="1"/>
    <col min="2" max="2" width="84.7109375" style="34" customWidth="1"/>
    <col min="3" max="3" width="14.7109375" style="319" customWidth="1"/>
    <col min="4" max="4" width="156.5703125" style="321" bestFit="1" customWidth="1"/>
    <col min="5" max="7" width="20.85546875" style="34" customWidth="1"/>
    <col min="8" max="9" width="14" style="34" customWidth="1"/>
    <col min="10" max="10" width="20.7109375" style="34" customWidth="1"/>
    <col min="11" max="11" width="15.42578125" style="34" customWidth="1"/>
    <col min="12" max="12" width="22.7109375" style="34" customWidth="1"/>
    <col min="13" max="16" width="14" style="34" customWidth="1"/>
    <col min="17" max="16384" width="9.140625" style="34"/>
  </cols>
  <sheetData>
    <row r="1" spans="1:16" ht="21" x14ac:dyDescent="0.35">
      <c r="B1" s="297" t="s">
        <v>481</v>
      </c>
      <c r="C1" s="674" t="s">
        <v>3667</v>
      </c>
      <c r="D1" s="674"/>
      <c r="E1" s="674"/>
      <c r="F1" s="674"/>
      <c r="G1" s="674"/>
      <c r="H1" s="674"/>
      <c r="I1" s="674"/>
      <c r="J1" s="674"/>
      <c r="K1" s="674"/>
      <c r="L1" s="674"/>
      <c r="M1" s="674"/>
      <c r="N1" s="674"/>
      <c r="O1" s="674"/>
      <c r="P1" s="674"/>
    </row>
    <row r="2" spans="1:16" ht="21" x14ac:dyDescent="0.35">
      <c r="B2" s="535" t="s">
        <v>1685</v>
      </c>
      <c r="C2" s="826"/>
      <c r="D2" s="826"/>
      <c r="E2" s="826"/>
      <c r="F2" s="826"/>
      <c r="G2" s="826"/>
      <c r="H2" s="826"/>
      <c r="I2" s="826"/>
      <c r="J2" s="826"/>
      <c r="K2" s="826"/>
      <c r="L2" s="826"/>
      <c r="M2" s="826"/>
      <c r="N2" s="826"/>
      <c r="O2" s="826"/>
      <c r="P2" s="826"/>
    </row>
    <row r="3" spans="1:16" ht="21.75" thickBot="1" x14ac:dyDescent="0.3">
      <c r="A3" s="309"/>
      <c r="B3" s="534" t="s">
        <v>88</v>
      </c>
      <c r="C3" s="827"/>
      <c r="D3" s="828"/>
      <c r="E3" s="828"/>
      <c r="F3" s="828"/>
      <c r="G3" s="828"/>
      <c r="H3" s="828"/>
      <c r="I3" s="828"/>
      <c r="J3" s="828"/>
      <c r="K3" s="828"/>
      <c r="L3" s="828"/>
      <c r="M3" s="828"/>
      <c r="N3" s="828"/>
      <c r="O3" s="828"/>
      <c r="P3" s="828"/>
    </row>
    <row r="4" spans="1:16" ht="82.5" customHeight="1" x14ac:dyDescent="0.25">
      <c r="A4" s="819" t="s">
        <v>3</v>
      </c>
      <c r="B4" s="821" t="s">
        <v>1659</v>
      </c>
      <c r="C4" s="823" t="s">
        <v>983</v>
      </c>
      <c r="D4" s="825" t="s">
        <v>325</v>
      </c>
      <c r="E4" s="825" t="s">
        <v>484</v>
      </c>
      <c r="F4" s="825" t="s">
        <v>485</v>
      </c>
      <c r="G4" s="536" t="s">
        <v>482</v>
      </c>
      <c r="H4" s="822" t="s">
        <v>487</v>
      </c>
      <c r="I4" s="822"/>
      <c r="J4" s="538" t="s">
        <v>488</v>
      </c>
      <c r="K4" s="829" t="s">
        <v>3664</v>
      </c>
      <c r="L4" s="830"/>
      <c r="M4" s="822" t="s">
        <v>327</v>
      </c>
      <c r="N4" s="822"/>
      <c r="O4" s="822" t="s">
        <v>3665</v>
      </c>
      <c r="P4" s="822"/>
    </row>
    <row r="5" spans="1:16" ht="126" x14ac:dyDescent="0.25">
      <c r="A5" s="820"/>
      <c r="B5" s="822"/>
      <c r="C5" s="824"/>
      <c r="D5" s="822"/>
      <c r="E5" s="822"/>
      <c r="F5" s="822"/>
      <c r="G5" s="536" t="s">
        <v>486</v>
      </c>
      <c r="H5" s="537" t="s">
        <v>1601</v>
      </c>
      <c r="I5" s="307" t="s">
        <v>954</v>
      </c>
      <c r="J5" s="539" t="s">
        <v>955</v>
      </c>
      <c r="K5" s="536" t="s">
        <v>956</v>
      </c>
      <c r="L5" s="536" t="s">
        <v>328</v>
      </c>
      <c r="M5" s="539" t="s">
        <v>957</v>
      </c>
      <c r="N5" s="539" t="s">
        <v>980</v>
      </c>
      <c r="O5" s="539" t="s">
        <v>958</v>
      </c>
      <c r="P5" s="539" t="s">
        <v>1600</v>
      </c>
    </row>
    <row r="6" spans="1:16" x14ac:dyDescent="0.25">
      <c r="A6" s="41">
        <v>1</v>
      </c>
      <c r="B6" s="42">
        <f>A6+1</f>
        <v>2</v>
      </c>
      <c r="C6" s="41">
        <f>B6+1</f>
        <v>3</v>
      </c>
      <c r="D6" s="320">
        <f t="shared" ref="D6:P6" si="0">C6+1</f>
        <v>4</v>
      </c>
      <c r="E6" s="42">
        <f t="shared" si="0"/>
        <v>5</v>
      </c>
      <c r="F6" s="42">
        <f t="shared" si="0"/>
        <v>6</v>
      </c>
      <c r="G6" s="42">
        <f t="shared" si="0"/>
        <v>7</v>
      </c>
      <c r="H6" s="42">
        <f t="shared" si="0"/>
        <v>8</v>
      </c>
      <c r="I6" s="42">
        <f t="shared" si="0"/>
        <v>9</v>
      </c>
      <c r="J6" s="42">
        <f t="shared" si="0"/>
        <v>10</v>
      </c>
      <c r="K6" s="42">
        <f t="shared" si="0"/>
        <v>11</v>
      </c>
      <c r="L6" s="42">
        <f t="shared" si="0"/>
        <v>12</v>
      </c>
      <c r="M6" s="42">
        <f t="shared" si="0"/>
        <v>13</v>
      </c>
      <c r="N6" s="42">
        <f t="shared" si="0"/>
        <v>14</v>
      </c>
      <c r="O6" s="42">
        <f t="shared" si="0"/>
        <v>15</v>
      </c>
      <c r="P6" s="42">
        <f t="shared" si="0"/>
        <v>16</v>
      </c>
    </row>
    <row r="7" spans="1:16" ht="15.75" x14ac:dyDescent="0.25">
      <c r="A7" s="300">
        <f>A6+1</f>
        <v>2</v>
      </c>
      <c r="B7" s="332"/>
      <c r="C7" s="331"/>
      <c r="D7" s="298" t="e">
        <f>VLOOKUP(C7,УЗиНП!$C$3:$D$1464,2,FALSE)</f>
        <v>#N/A</v>
      </c>
      <c r="E7" s="332"/>
      <c r="F7" s="332"/>
      <c r="G7" s="332"/>
      <c r="H7" s="332"/>
      <c r="I7" s="332"/>
      <c r="J7" s="332"/>
      <c r="K7" s="332"/>
      <c r="L7" s="333"/>
      <c r="M7" s="332"/>
      <c r="N7" s="334"/>
      <c r="O7" s="332"/>
      <c r="P7" s="335"/>
    </row>
    <row r="8" spans="1:16" ht="15.75" x14ac:dyDescent="0.25">
      <c r="A8" s="300">
        <f>A7+1</f>
        <v>3</v>
      </c>
      <c r="B8" s="332"/>
      <c r="C8" s="331"/>
      <c r="D8" s="298" t="e">
        <f>VLOOKUP(C8,УЗиНП!$C$3:$D$1464,2,FALSE)</f>
        <v>#N/A</v>
      </c>
      <c r="E8" s="332"/>
      <c r="F8" s="332"/>
      <c r="G8" s="332"/>
      <c r="H8" s="332"/>
      <c r="I8" s="332"/>
      <c r="J8" s="332"/>
      <c r="K8" s="332"/>
      <c r="L8" s="333"/>
      <c r="M8" s="332"/>
      <c r="N8" s="334"/>
      <c r="O8" s="332"/>
      <c r="P8" s="334"/>
    </row>
    <row r="9" spans="1:16" ht="15.75" x14ac:dyDescent="0.25">
      <c r="A9" s="300">
        <f t="shared" ref="A9:A70" si="1">A8+1</f>
        <v>4</v>
      </c>
      <c r="B9" s="332"/>
      <c r="C9" s="331"/>
      <c r="D9" s="298" t="e">
        <f>VLOOKUP(C9,УЗиНП!$C$3:$D$1464,2,FALSE)</f>
        <v>#N/A</v>
      </c>
      <c r="E9" s="332"/>
      <c r="F9" s="332"/>
      <c r="G9" s="332"/>
      <c r="H9" s="332"/>
      <c r="I9" s="332"/>
      <c r="J9" s="332"/>
      <c r="K9" s="332"/>
      <c r="L9" s="333"/>
      <c r="M9" s="332"/>
      <c r="N9" s="334"/>
      <c r="O9" s="332"/>
      <c r="P9" s="334"/>
    </row>
    <row r="10" spans="1:16" ht="15.75" x14ac:dyDescent="0.25">
      <c r="A10" s="300">
        <f t="shared" si="1"/>
        <v>5</v>
      </c>
      <c r="B10" s="332"/>
      <c r="C10" s="331"/>
      <c r="D10" s="298" t="e">
        <f>VLOOKUP(C10,УЗиНП!$C$3:$D$1464,2,FALSE)</f>
        <v>#N/A</v>
      </c>
      <c r="E10" s="332"/>
      <c r="F10" s="332"/>
      <c r="G10" s="332"/>
      <c r="H10" s="332"/>
      <c r="I10" s="332"/>
      <c r="J10" s="332"/>
      <c r="K10" s="332"/>
      <c r="L10" s="333"/>
      <c r="M10" s="332"/>
      <c r="N10" s="334"/>
      <c r="O10" s="332"/>
      <c r="P10" s="334"/>
    </row>
    <row r="11" spans="1:16" ht="15.75" x14ac:dyDescent="0.25">
      <c r="A11" s="300">
        <f t="shared" si="1"/>
        <v>6</v>
      </c>
      <c r="B11" s="332"/>
      <c r="C11" s="331"/>
      <c r="D11" s="298" t="e">
        <f>VLOOKUP(C11,УЗиНП!$C$3:$D$1464,2,FALSE)</f>
        <v>#N/A</v>
      </c>
      <c r="E11" s="332"/>
      <c r="F11" s="332"/>
      <c r="G11" s="332"/>
      <c r="H11" s="332"/>
      <c r="I11" s="332"/>
      <c r="J11" s="332"/>
      <c r="K11" s="332"/>
      <c r="L11" s="333"/>
      <c r="M11" s="332"/>
      <c r="N11" s="334"/>
      <c r="O11" s="332"/>
      <c r="P11" s="334"/>
    </row>
    <row r="12" spans="1:16" ht="15.75" x14ac:dyDescent="0.25">
      <c r="A12" s="300">
        <f t="shared" si="1"/>
        <v>7</v>
      </c>
      <c r="B12" s="332"/>
      <c r="C12" s="331"/>
      <c r="D12" s="298" t="e">
        <f>VLOOKUP(C12,УЗиНП!$C$3:$D$1464,2,FALSE)</f>
        <v>#N/A</v>
      </c>
      <c r="E12" s="332"/>
      <c r="F12" s="332"/>
      <c r="G12" s="332"/>
      <c r="H12" s="332"/>
      <c r="I12" s="332"/>
      <c r="J12" s="332"/>
      <c r="K12" s="332"/>
      <c r="L12" s="333"/>
      <c r="M12" s="332"/>
      <c r="N12" s="334"/>
      <c r="O12" s="332"/>
      <c r="P12" s="334"/>
    </row>
    <row r="13" spans="1:16" ht="15.75" x14ac:dyDescent="0.25">
      <c r="A13" s="300">
        <f t="shared" si="1"/>
        <v>8</v>
      </c>
      <c r="B13" s="332"/>
      <c r="C13" s="331"/>
      <c r="D13" s="298" t="e">
        <f>VLOOKUP(C13,УЗиНП!$C$3:$D$1464,2,FALSE)</f>
        <v>#N/A</v>
      </c>
      <c r="E13" s="332"/>
      <c r="F13" s="332"/>
      <c r="G13" s="332"/>
      <c r="H13" s="332"/>
      <c r="I13" s="332"/>
      <c r="J13" s="332"/>
      <c r="K13" s="332"/>
      <c r="L13" s="333"/>
      <c r="M13" s="332"/>
      <c r="N13" s="334"/>
      <c r="O13" s="332"/>
      <c r="P13" s="334"/>
    </row>
    <row r="14" spans="1:16" ht="15.75" x14ac:dyDescent="0.25">
      <c r="A14" s="300">
        <f t="shared" si="1"/>
        <v>9</v>
      </c>
      <c r="B14" s="332"/>
      <c r="C14" s="331"/>
      <c r="D14" s="298" t="e">
        <f>VLOOKUP(C14,УЗиНП!$C$3:$D$1464,2,FALSE)</f>
        <v>#N/A</v>
      </c>
      <c r="E14" s="332"/>
      <c r="F14" s="332"/>
      <c r="G14" s="332"/>
      <c r="H14" s="332"/>
      <c r="I14" s="332"/>
      <c r="J14" s="332"/>
      <c r="K14" s="332"/>
      <c r="L14" s="333"/>
      <c r="M14" s="332"/>
      <c r="N14" s="334"/>
      <c r="O14" s="332"/>
      <c r="P14" s="334"/>
    </row>
    <row r="15" spans="1:16" ht="15.75" x14ac:dyDescent="0.25">
      <c r="A15" s="300">
        <f t="shared" si="1"/>
        <v>10</v>
      </c>
      <c r="B15" s="332"/>
      <c r="C15" s="331"/>
      <c r="D15" s="298" t="e">
        <f>VLOOKUP(C15,УЗиНП!$C$3:$D$1464,2,FALSE)</f>
        <v>#N/A</v>
      </c>
      <c r="E15" s="332"/>
      <c r="F15" s="332"/>
      <c r="G15" s="332"/>
      <c r="H15" s="332"/>
      <c r="I15" s="332"/>
      <c r="J15" s="332"/>
      <c r="K15" s="332"/>
      <c r="L15" s="333"/>
      <c r="M15" s="332"/>
      <c r="N15" s="334"/>
      <c r="O15" s="332"/>
      <c r="P15" s="334"/>
    </row>
    <row r="16" spans="1:16" ht="15.75" x14ac:dyDescent="0.25">
      <c r="A16" s="300">
        <f t="shared" si="1"/>
        <v>11</v>
      </c>
      <c r="B16" s="332"/>
      <c r="C16" s="331"/>
      <c r="D16" s="298" t="e">
        <f>VLOOKUP(C16,УЗиНП!$C$3:$D$1464,2,FALSE)</f>
        <v>#N/A</v>
      </c>
      <c r="E16" s="332"/>
      <c r="F16" s="332"/>
      <c r="G16" s="332"/>
      <c r="H16" s="332"/>
      <c r="I16" s="332"/>
      <c r="J16" s="332"/>
      <c r="K16" s="332"/>
      <c r="L16" s="333"/>
      <c r="M16" s="332"/>
      <c r="N16" s="334"/>
      <c r="O16" s="332"/>
      <c r="P16" s="334"/>
    </row>
    <row r="17" spans="1:16" ht="15.75" x14ac:dyDescent="0.25">
      <c r="A17" s="300">
        <f t="shared" si="1"/>
        <v>12</v>
      </c>
      <c r="B17" s="332"/>
      <c r="C17" s="331"/>
      <c r="D17" s="298" t="e">
        <f>VLOOKUP(C17,УЗиНП!$C$3:$D$1464,2,FALSE)</f>
        <v>#N/A</v>
      </c>
      <c r="E17" s="332"/>
      <c r="F17" s="332"/>
      <c r="G17" s="332"/>
      <c r="H17" s="332"/>
      <c r="I17" s="332"/>
      <c r="J17" s="332"/>
      <c r="K17" s="332"/>
      <c r="L17" s="333"/>
      <c r="M17" s="332"/>
      <c r="N17" s="334"/>
      <c r="O17" s="332"/>
      <c r="P17" s="334"/>
    </row>
    <row r="18" spans="1:16" ht="15.75" x14ac:dyDescent="0.25">
      <c r="A18" s="300">
        <f t="shared" si="1"/>
        <v>13</v>
      </c>
      <c r="B18" s="332"/>
      <c r="C18" s="331"/>
      <c r="D18" s="298" t="e">
        <f>VLOOKUP(C18,УЗиНП!$C$3:$D$1464,2,FALSE)</f>
        <v>#N/A</v>
      </c>
      <c r="E18" s="332"/>
      <c r="F18" s="332"/>
      <c r="G18" s="332"/>
      <c r="H18" s="332"/>
      <c r="I18" s="332"/>
      <c r="J18" s="332"/>
      <c r="K18" s="332"/>
      <c r="L18" s="333"/>
      <c r="M18" s="332"/>
      <c r="N18" s="334"/>
      <c r="O18" s="332"/>
      <c r="P18" s="334"/>
    </row>
    <row r="19" spans="1:16" ht="15.75" x14ac:dyDescent="0.25">
      <c r="A19" s="300">
        <f t="shared" si="1"/>
        <v>14</v>
      </c>
      <c r="B19" s="332"/>
      <c r="C19" s="331"/>
      <c r="D19" s="298" t="e">
        <f>VLOOKUP(C19,УЗиНП!$C$3:$D$1464,2,FALSE)</f>
        <v>#N/A</v>
      </c>
      <c r="E19" s="332"/>
      <c r="F19" s="332"/>
      <c r="G19" s="332"/>
      <c r="H19" s="332"/>
      <c r="I19" s="332"/>
      <c r="J19" s="332"/>
      <c r="K19" s="332"/>
      <c r="L19" s="333"/>
      <c r="M19" s="332"/>
      <c r="N19" s="334"/>
      <c r="O19" s="332"/>
      <c r="P19" s="334"/>
    </row>
    <row r="20" spans="1:16" ht="15.75" x14ac:dyDescent="0.25">
      <c r="A20" s="300">
        <f t="shared" si="1"/>
        <v>15</v>
      </c>
      <c r="B20" s="332"/>
      <c r="C20" s="331"/>
      <c r="D20" s="298" t="e">
        <f>VLOOKUP(C20,УЗиНП!$C$3:$D$1464,2,FALSE)</f>
        <v>#N/A</v>
      </c>
      <c r="E20" s="332"/>
      <c r="F20" s="332"/>
      <c r="G20" s="332"/>
      <c r="H20" s="332"/>
      <c r="I20" s="332"/>
      <c r="J20" s="332"/>
      <c r="K20" s="332"/>
      <c r="L20" s="333"/>
      <c r="M20" s="332"/>
      <c r="N20" s="334"/>
      <c r="O20" s="332"/>
      <c r="P20" s="334"/>
    </row>
    <row r="21" spans="1:16" ht="15.75" x14ac:dyDescent="0.25">
      <c r="A21" s="300">
        <f t="shared" si="1"/>
        <v>16</v>
      </c>
      <c r="B21" s="332"/>
      <c r="C21" s="331"/>
      <c r="D21" s="298" t="e">
        <f>VLOOKUP(C21,УЗиНП!$C$3:$D$1464,2,FALSE)</f>
        <v>#N/A</v>
      </c>
      <c r="E21" s="332"/>
      <c r="F21" s="332"/>
      <c r="G21" s="332"/>
      <c r="H21" s="332"/>
      <c r="I21" s="332"/>
      <c r="J21" s="332"/>
      <c r="K21" s="332"/>
      <c r="L21" s="333"/>
      <c r="M21" s="332"/>
      <c r="N21" s="334"/>
      <c r="O21" s="332"/>
      <c r="P21" s="334"/>
    </row>
    <row r="22" spans="1:16" ht="15.75" x14ac:dyDescent="0.25">
      <c r="A22" s="300">
        <f t="shared" si="1"/>
        <v>17</v>
      </c>
      <c r="B22" s="332"/>
      <c r="C22" s="331"/>
      <c r="D22" s="298" t="e">
        <f>VLOOKUP(C22,УЗиНП!$C$3:$D$1464,2,FALSE)</f>
        <v>#N/A</v>
      </c>
      <c r="E22" s="332"/>
      <c r="F22" s="332"/>
      <c r="G22" s="332"/>
      <c r="H22" s="332"/>
      <c r="I22" s="332"/>
      <c r="J22" s="332"/>
      <c r="K22" s="332"/>
      <c r="L22" s="333"/>
      <c r="M22" s="332"/>
      <c r="N22" s="334"/>
      <c r="O22" s="332"/>
      <c r="P22" s="334"/>
    </row>
    <row r="23" spans="1:16" ht="15.75" x14ac:dyDescent="0.25">
      <c r="A23" s="300">
        <f t="shared" si="1"/>
        <v>18</v>
      </c>
      <c r="B23" s="332"/>
      <c r="C23" s="331"/>
      <c r="D23" s="298" t="e">
        <f>VLOOKUP(C23,УЗиНП!$C$3:$D$1464,2,FALSE)</f>
        <v>#N/A</v>
      </c>
      <c r="E23" s="332"/>
      <c r="F23" s="332"/>
      <c r="G23" s="332"/>
      <c r="H23" s="332"/>
      <c r="I23" s="332"/>
      <c r="J23" s="332"/>
      <c r="K23" s="332"/>
      <c r="L23" s="333"/>
      <c r="M23" s="332"/>
      <c r="N23" s="334"/>
      <c r="O23" s="332"/>
      <c r="P23" s="334"/>
    </row>
    <row r="24" spans="1:16" ht="15.75" x14ac:dyDescent="0.25">
      <c r="A24" s="300">
        <f t="shared" si="1"/>
        <v>19</v>
      </c>
      <c r="B24" s="332"/>
      <c r="C24" s="331"/>
      <c r="D24" s="298" t="e">
        <f>VLOOKUP(C24,УЗиНП!$C$3:$D$1464,2,FALSE)</f>
        <v>#N/A</v>
      </c>
      <c r="E24" s="332"/>
      <c r="F24" s="332"/>
      <c r="G24" s="332"/>
      <c r="H24" s="332"/>
      <c r="I24" s="332"/>
      <c r="J24" s="332"/>
      <c r="K24" s="332"/>
      <c r="L24" s="333"/>
      <c r="M24" s="332"/>
      <c r="N24" s="334"/>
      <c r="O24" s="332"/>
      <c r="P24" s="334"/>
    </row>
    <row r="25" spans="1:16" ht="15.75" x14ac:dyDescent="0.25">
      <c r="A25" s="300">
        <f t="shared" si="1"/>
        <v>20</v>
      </c>
      <c r="B25" s="332"/>
      <c r="C25" s="331"/>
      <c r="D25" s="298" t="e">
        <f>VLOOKUP(C25,УЗиНП!$C$3:$D$1464,2,FALSE)</f>
        <v>#N/A</v>
      </c>
      <c r="E25" s="332"/>
      <c r="F25" s="332"/>
      <c r="G25" s="332"/>
      <c r="H25" s="332"/>
      <c r="I25" s="332"/>
      <c r="J25" s="332"/>
      <c r="K25" s="332"/>
      <c r="L25" s="333"/>
      <c r="M25" s="332"/>
      <c r="N25" s="334"/>
      <c r="O25" s="332"/>
      <c r="P25" s="334"/>
    </row>
    <row r="26" spans="1:16" ht="15.75" x14ac:dyDescent="0.25">
      <c r="A26" s="300">
        <f t="shared" si="1"/>
        <v>21</v>
      </c>
      <c r="B26" s="332"/>
      <c r="C26" s="331"/>
      <c r="D26" s="298" t="e">
        <f>VLOOKUP(C26,УЗиНП!$C$3:$D$1464,2,FALSE)</f>
        <v>#N/A</v>
      </c>
      <c r="E26" s="332"/>
      <c r="F26" s="332"/>
      <c r="G26" s="332"/>
      <c r="H26" s="332"/>
      <c r="I26" s="332"/>
      <c r="J26" s="332"/>
      <c r="K26" s="332"/>
      <c r="L26" s="333"/>
      <c r="M26" s="332"/>
      <c r="N26" s="334"/>
      <c r="O26" s="332"/>
      <c r="P26" s="334"/>
    </row>
    <row r="27" spans="1:16" ht="15.75" x14ac:dyDescent="0.25">
      <c r="A27" s="300">
        <f t="shared" si="1"/>
        <v>22</v>
      </c>
      <c r="B27" s="332"/>
      <c r="C27" s="331"/>
      <c r="D27" s="298" t="e">
        <f>VLOOKUP(C27,УЗиНП!$C$3:$D$1464,2,FALSE)</f>
        <v>#N/A</v>
      </c>
      <c r="E27" s="332"/>
      <c r="F27" s="332"/>
      <c r="G27" s="332"/>
      <c r="H27" s="332"/>
      <c r="I27" s="332"/>
      <c r="J27" s="332"/>
      <c r="K27" s="332"/>
      <c r="L27" s="333"/>
      <c r="M27" s="332"/>
      <c r="N27" s="334"/>
      <c r="O27" s="332"/>
      <c r="P27" s="334"/>
    </row>
    <row r="28" spans="1:16" ht="15.75" x14ac:dyDescent="0.25">
      <c r="A28" s="300">
        <f t="shared" si="1"/>
        <v>23</v>
      </c>
      <c r="B28" s="332"/>
      <c r="C28" s="331"/>
      <c r="D28" s="298" t="e">
        <f>VLOOKUP(C28,УЗиНП!$C$3:$D$1464,2,FALSE)</f>
        <v>#N/A</v>
      </c>
      <c r="E28" s="332"/>
      <c r="F28" s="332"/>
      <c r="G28" s="332"/>
      <c r="H28" s="332"/>
      <c r="I28" s="332"/>
      <c r="J28" s="332"/>
      <c r="K28" s="332"/>
      <c r="L28" s="333"/>
      <c r="M28" s="332"/>
      <c r="N28" s="334"/>
      <c r="O28" s="332"/>
      <c r="P28" s="334"/>
    </row>
    <row r="29" spans="1:16" ht="15.75" x14ac:dyDescent="0.25">
      <c r="A29" s="300">
        <f t="shared" si="1"/>
        <v>24</v>
      </c>
      <c r="B29" s="332"/>
      <c r="C29" s="331"/>
      <c r="D29" s="298" t="e">
        <f>VLOOKUP(C29,УЗиНП!$C$3:$D$1464,2,FALSE)</f>
        <v>#N/A</v>
      </c>
      <c r="E29" s="332"/>
      <c r="F29" s="332"/>
      <c r="G29" s="332"/>
      <c r="H29" s="332"/>
      <c r="I29" s="332"/>
      <c r="J29" s="332"/>
      <c r="K29" s="332"/>
      <c r="L29" s="333"/>
      <c r="M29" s="332"/>
      <c r="N29" s="334"/>
      <c r="O29" s="332"/>
      <c r="P29" s="334"/>
    </row>
    <row r="30" spans="1:16" ht="15.75" x14ac:dyDescent="0.25">
      <c r="A30" s="300">
        <f t="shared" si="1"/>
        <v>25</v>
      </c>
      <c r="B30" s="332"/>
      <c r="C30" s="331"/>
      <c r="D30" s="298" t="e">
        <f>VLOOKUP(C30,УЗиНП!$C$3:$D$1464,2,FALSE)</f>
        <v>#N/A</v>
      </c>
      <c r="E30" s="332"/>
      <c r="F30" s="332"/>
      <c r="G30" s="332"/>
      <c r="H30" s="332"/>
      <c r="I30" s="332"/>
      <c r="J30" s="332"/>
      <c r="K30" s="332"/>
      <c r="L30" s="333"/>
      <c r="M30" s="332"/>
      <c r="N30" s="334"/>
      <c r="O30" s="332"/>
      <c r="P30" s="334"/>
    </row>
    <row r="31" spans="1:16" ht="15.75" x14ac:dyDescent="0.25">
      <c r="A31" s="300">
        <f t="shared" si="1"/>
        <v>26</v>
      </c>
      <c r="B31" s="332"/>
      <c r="C31" s="331"/>
      <c r="D31" s="298" t="e">
        <f>VLOOKUP(C31,УЗиНП!$C$3:$D$1464,2,FALSE)</f>
        <v>#N/A</v>
      </c>
      <c r="E31" s="332"/>
      <c r="F31" s="332"/>
      <c r="G31" s="332"/>
      <c r="H31" s="332"/>
      <c r="I31" s="332"/>
      <c r="J31" s="332"/>
      <c r="K31" s="332"/>
      <c r="L31" s="333"/>
      <c r="M31" s="332"/>
      <c r="N31" s="334"/>
      <c r="O31" s="332"/>
      <c r="P31" s="334"/>
    </row>
    <row r="32" spans="1:16" ht="15.75" x14ac:dyDescent="0.25">
      <c r="A32" s="300">
        <f t="shared" si="1"/>
        <v>27</v>
      </c>
      <c r="B32" s="332"/>
      <c r="C32" s="331"/>
      <c r="D32" s="298" t="e">
        <f>VLOOKUP(C32,УЗиНП!$C$3:$D$1464,2,FALSE)</f>
        <v>#N/A</v>
      </c>
      <c r="E32" s="332"/>
      <c r="F32" s="332"/>
      <c r="G32" s="332"/>
      <c r="H32" s="332"/>
      <c r="I32" s="332"/>
      <c r="J32" s="332"/>
      <c r="K32" s="332"/>
      <c r="L32" s="333"/>
      <c r="M32" s="332"/>
      <c r="N32" s="334"/>
      <c r="O32" s="332"/>
      <c r="P32" s="334"/>
    </row>
    <row r="33" spans="1:16" ht="15.75" x14ac:dyDescent="0.25">
      <c r="A33" s="300">
        <f t="shared" si="1"/>
        <v>28</v>
      </c>
      <c r="B33" s="332"/>
      <c r="C33" s="331"/>
      <c r="D33" s="298" t="e">
        <f>VLOOKUP(C33,УЗиНП!$C$3:$D$1464,2,FALSE)</f>
        <v>#N/A</v>
      </c>
      <c r="E33" s="332"/>
      <c r="F33" s="332"/>
      <c r="G33" s="332"/>
      <c r="H33" s="332"/>
      <c r="I33" s="332"/>
      <c r="J33" s="332"/>
      <c r="K33" s="332"/>
      <c r="L33" s="333"/>
      <c r="M33" s="332"/>
      <c r="N33" s="334"/>
      <c r="O33" s="332"/>
      <c r="P33" s="334"/>
    </row>
    <row r="34" spans="1:16" ht="15.75" x14ac:dyDescent="0.25">
      <c r="A34" s="300">
        <f t="shared" si="1"/>
        <v>29</v>
      </c>
      <c r="B34" s="332"/>
      <c r="C34" s="331"/>
      <c r="D34" s="298" t="e">
        <f>VLOOKUP(C34,УЗиНП!$C$3:$D$1464,2,FALSE)</f>
        <v>#N/A</v>
      </c>
      <c r="E34" s="332"/>
      <c r="F34" s="332"/>
      <c r="G34" s="332"/>
      <c r="H34" s="332"/>
      <c r="I34" s="332"/>
      <c r="J34" s="332"/>
      <c r="K34" s="332"/>
      <c r="L34" s="333"/>
      <c r="M34" s="332"/>
      <c r="N34" s="334"/>
      <c r="O34" s="332"/>
      <c r="P34" s="334"/>
    </row>
    <row r="35" spans="1:16" ht="15.75" x14ac:dyDescent="0.25">
      <c r="A35" s="300">
        <f t="shared" si="1"/>
        <v>30</v>
      </c>
      <c r="B35" s="332"/>
      <c r="C35" s="331"/>
      <c r="D35" s="298" t="e">
        <f>VLOOKUP(C35,УЗиНП!$C$3:$D$1464,2,FALSE)</f>
        <v>#N/A</v>
      </c>
      <c r="E35" s="332"/>
      <c r="F35" s="332"/>
      <c r="G35" s="332"/>
      <c r="H35" s="332"/>
      <c r="I35" s="332"/>
      <c r="J35" s="332"/>
      <c r="K35" s="332"/>
      <c r="L35" s="333"/>
      <c r="M35" s="332"/>
      <c r="N35" s="334"/>
      <c r="O35" s="332"/>
      <c r="P35" s="334"/>
    </row>
    <row r="36" spans="1:16" ht="15.75" x14ac:dyDescent="0.25">
      <c r="A36" s="300">
        <f t="shared" si="1"/>
        <v>31</v>
      </c>
      <c r="B36" s="332"/>
      <c r="C36" s="331"/>
      <c r="D36" s="298" t="e">
        <f>VLOOKUP(C36,УЗиНП!$C$3:$D$1464,2,FALSE)</f>
        <v>#N/A</v>
      </c>
      <c r="E36" s="332"/>
      <c r="F36" s="332"/>
      <c r="G36" s="332"/>
      <c r="H36" s="332"/>
      <c r="I36" s="332"/>
      <c r="J36" s="332"/>
      <c r="K36" s="332"/>
      <c r="L36" s="333"/>
      <c r="M36" s="332"/>
      <c r="N36" s="334"/>
      <c r="O36" s="332"/>
      <c r="P36" s="334"/>
    </row>
    <row r="37" spans="1:16" ht="15.75" x14ac:dyDescent="0.25">
      <c r="A37" s="300">
        <f t="shared" si="1"/>
        <v>32</v>
      </c>
      <c r="B37" s="332"/>
      <c r="C37" s="331"/>
      <c r="D37" s="298" t="e">
        <f>VLOOKUP(C37,УЗиНП!$C$3:$D$1464,2,FALSE)</f>
        <v>#N/A</v>
      </c>
      <c r="E37" s="332"/>
      <c r="F37" s="332"/>
      <c r="G37" s="332"/>
      <c r="H37" s="332"/>
      <c r="I37" s="332"/>
      <c r="J37" s="332"/>
      <c r="K37" s="332"/>
      <c r="L37" s="333"/>
      <c r="M37" s="332"/>
      <c r="N37" s="334"/>
      <c r="O37" s="332"/>
      <c r="P37" s="334"/>
    </row>
    <row r="38" spans="1:16" ht="15.75" x14ac:dyDescent="0.25">
      <c r="A38" s="300">
        <f t="shared" si="1"/>
        <v>33</v>
      </c>
      <c r="B38" s="332"/>
      <c r="C38" s="331"/>
      <c r="D38" s="298" t="e">
        <f>VLOOKUP(C38,УЗиНП!$C$3:$D$1464,2,FALSE)</f>
        <v>#N/A</v>
      </c>
      <c r="E38" s="332"/>
      <c r="F38" s="332"/>
      <c r="G38" s="332"/>
      <c r="H38" s="332"/>
      <c r="I38" s="332"/>
      <c r="J38" s="332"/>
      <c r="K38" s="332"/>
      <c r="L38" s="333"/>
      <c r="M38" s="332"/>
      <c r="N38" s="334"/>
      <c r="O38" s="332"/>
      <c r="P38" s="334"/>
    </row>
    <row r="39" spans="1:16" ht="15.75" x14ac:dyDescent="0.25">
      <c r="A39" s="300">
        <f t="shared" si="1"/>
        <v>34</v>
      </c>
      <c r="B39" s="332"/>
      <c r="C39" s="331"/>
      <c r="D39" s="298" t="e">
        <f>VLOOKUP(C39,УЗиНП!$C$3:$D$1464,2,FALSE)</f>
        <v>#N/A</v>
      </c>
      <c r="E39" s="332"/>
      <c r="F39" s="332"/>
      <c r="G39" s="332"/>
      <c r="H39" s="332"/>
      <c r="I39" s="332"/>
      <c r="J39" s="332"/>
      <c r="K39" s="332"/>
      <c r="L39" s="333"/>
      <c r="M39" s="332"/>
      <c r="N39" s="334"/>
      <c r="O39" s="332"/>
      <c r="P39" s="334"/>
    </row>
    <row r="40" spans="1:16" ht="15.75" x14ac:dyDescent="0.25">
      <c r="A40" s="300">
        <f t="shared" si="1"/>
        <v>35</v>
      </c>
      <c r="B40" s="332"/>
      <c r="C40" s="331"/>
      <c r="D40" s="298" t="e">
        <f>VLOOKUP(C40,УЗиНП!$C$3:$D$1464,2,FALSE)</f>
        <v>#N/A</v>
      </c>
      <c r="E40" s="332"/>
      <c r="F40" s="332"/>
      <c r="G40" s="332"/>
      <c r="H40" s="332"/>
      <c r="I40" s="332"/>
      <c r="J40" s="332"/>
      <c r="K40" s="332"/>
      <c r="L40" s="333"/>
      <c r="M40" s="332"/>
      <c r="N40" s="334"/>
      <c r="O40" s="332"/>
      <c r="P40" s="334"/>
    </row>
    <row r="41" spans="1:16" ht="15.75" x14ac:dyDescent="0.25">
      <c r="A41" s="300">
        <f t="shared" si="1"/>
        <v>36</v>
      </c>
      <c r="B41" s="332"/>
      <c r="C41" s="331"/>
      <c r="D41" s="298" t="e">
        <f>VLOOKUP(C41,УЗиНП!$C$3:$D$1464,2,FALSE)</f>
        <v>#N/A</v>
      </c>
      <c r="E41" s="332"/>
      <c r="F41" s="332"/>
      <c r="G41" s="332"/>
      <c r="H41" s="332"/>
      <c r="I41" s="332"/>
      <c r="J41" s="332"/>
      <c r="K41" s="332"/>
      <c r="L41" s="333"/>
      <c r="M41" s="332"/>
      <c r="N41" s="334"/>
      <c r="O41" s="332"/>
      <c r="P41" s="334"/>
    </row>
    <row r="42" spans="1:16" ht="15.75" x14ac:dyDescent="0.25">
      <c r="A42" s="300">
        <f t="shared" si="1"/>
        <v>37</v>
      </c>
      <c r="B42" s="332"/>
      <c r="C42" s="331"/>
      <c r="D42" s="298" t="e">
        <f>VLOOKUP(C42,УЗиНП!$C$3:$D$1464,2,FALSE)</f>
        <v>#N/A</v>
      </c>
      <c r="E42" s="332"/>
      <c r="F42" s="332"/>
      <c r="G42" s="332"/>
      <c r="H42" s="332"/>
      <c r="I42" s="332"/>
      <c r="J42" s="332"/>
      <c r="K42" s="332"/>
      <c r="L42" s="333"/>
      <c r="M42" s="332"/>
      <c r="N42" s="334"/>
      <c r="O42" s="332"/>
      <c r="P42" s="334"/>
    </row>
    <row r="43" spans="1:16" ht="15.75" x14ac:dyDescent="0.25">
      <c r="A43" s="300">
        <f t="shared" si="1"/>
        <v>38</v>
      </c>
      <c r="B43" s="332"/>
      <c r="C43" s="331"/>
      <c r="D43" s="298" t="e">
        <f>VLOOKUP(C43,УЗиНП!$C$3:$D$1464,2,FALSE)</f>
        <v>#N/A</v>
      </c>
      <c r="E43" s="332"/>
      <c r="F43" s="332"/>
      <c r="G43" s="332"/>
      <c r="H43" s="332"/>
      <c r="I43" s="332"/>
      <c r="J43" s="332"/>
      <c r="K43" s="332"/>
      <c r="L43" s="333"/>
      <c r="M43" s="332"/>
      <c r="N43" s="334"/>
      <c r="O43" s="332"/>
      <c r="P43" s="334"/>
    </row>
    <row r="44" spans="1:16" ht="15.75" x14ac:dyDescent="0.25">
      <c r="A44" s="300">
        <f t="shared" si="1"/>
        <v>39</v>
      </c>
      <c r="B44" s="332"/>
      <c r="C44" s="331"/>
      <c r="D44" s="298" t="e">
        <f>VLOOKUP(C44,УЗиНП!$C$3:$D$1464,2,FALSE)</f>
        <v>#N/A</v>
      </c>
      <c r="E44" s="332"/>
      <c r="F44" s="332"/>
      <c r="G44" s="332"/>
      <c r="H44" s="332"/>
      <c r="I44" s="332"/>
      <c r="J44" s="332"/>
      <c r="K44" s="332"/>
      <c r="L44" s="333"/>
      <c r="M44" s="332"/>
      <c r="N44" s="334"/>
      <c r="O44" s="332"/>
      <c r="P44" s="334"/>
    </row>
    <row r="45" spans="1:16" ht="15.75" x14ac:dyDescent="0.25">
      <c r="A45" s="300">
        <f t="shared" si="1"/>
        <v>40</v>
      </c>
      <c r="B45" s="332"/>
      <c r="C45" s="331"/>
      <c r="D45" s="298" t="e">
        <f>VLOOKUP(C45,УЗиНП!$C$3:$D$1464,2,FALSE)</f>
        <v>#N/A</v>
      </c>
      <c r="E45" s="332"/>
      <c r="F45" s="332"/>
      <c r="G45" s="332"/>
      <c r="H45" s="332"/>
      <c r="I45" s="332"/>
      <c r="J45" s="332"/>
      <c r="K45" s="332"/>
      <c r="L45" s="333"/>
      <c r="M45" s="332"/>
      <c r="N45" s="334"/>
      <c r="O45" s="332"/>
      <c r="P45" s="334"/>
    </row>
    <row r="46" spans="1:16" ht="15.75" x14ac:dyDescent="0.25">
      <c r="A46" s="300">
        <f t="shared" si="1"/>
        <v>41</v>
      </c>
      <c r="B46" s="332"/>
      <c r="C46" s="331"/>
      <c r="D46" s="298" t="e">
        <f>VLOOKUP(C46,УЗиНП!$C$3:$D$1464,2,FALSE)</f>
        <v>#N/A</v>
      </c>
      <c r="E46" s="332"/>
      <c r="F46" s="332"/>
      <c r="G46" s="332"/>
      <c r="H46" s="332"/>
      <c r="I46" s="332"/>
      <c r="J46" s="332"/>
      <c r="K46" s="332"/>
      <c r="L46" s="333"/>
      <c r="M46" s="332"/>
      <c r="N46" s="334"/>
      <c r="O46" s="332"/>
      <c r="P46" s="334"/>
    </row>
    <row r="47" spans="1:16" ht="15.75" x14ac:dyDescent="0.25">
      <c r="A47" s="300">
        <f t="shared" si="1"/>
        <v>42</v>
      </c>
      <c r="B47" s="332"/>
      <c r="C47" s="331"/>
      <c r="D47" s="298" t="e">
        <f>VLOOKUP(C47,УЗиНП!$C$3:$D$1464,2,FALSE)</f>
        <v>#N/A</v>
      </c>
      <c r="E47" s="332"/>
      <c r="F47" s="332"/>
      <c r="G47" s="332"/>
      <c r="H47" s="332"/>
      <c r="I47" s="332"/>
      <c r="J47" s="332"/>
      <c r="K47" s="332"/>
      <c r="L47" s="333"/>
      <c r="M47" s="332"/>
      <c r="N47" s="334"/>
      <c r="O47" s="332"/>
      <c r="P47" s="334"/>
    </row>
    <row r="48" spans="1:16" ht="15.75" x14ac:dyDescent="0.25">
      <c r="A48" s="300">
        <f t="shared" si="1"/>
        <v>43</v>
      </c>
      <c r="B48" s="332"/>
      <c r="C48" s="331"/>
      <c r="D48" s="298" t="e">
        <f>VLOOKUP(C48,УЗиНП!$C$3:$D$1464,2,FALSE)</f>
        <v>#N/A</v>
      </c>
      <c r="E48" s="332"/>
      <c r="F48" s="332"/>
      <c r="G48" s="332"/>
      <c r="H48" s="332"/>
      <c r="I48" s="332"/>
      <c r="J48" s="332"/>
      <c r="K48" s="332"/>
      <c r="L48" s="333"/>
      <c r="M48" s="332"/>
      <c r="N48" s="334"/>
      <c r="O48" s="332"/>
      <c r="P48" s="334"/>
    </row>
    <row r="49" spans="1:16" ht="15.75" x14ac:dyDescent="0.25">
      <c r="A49" s="300">
        <f t="shared" si="1"/>
        <v>44</v>
      </c>
      <c r="B49" s="332"/>
      <c r="C49" s="331"/>
      <c r="D49" s="298" t="e">
        <f>VLOOKUP(C49,УЗиНП!$C$3:$D$1464,2,FALSE)</f>
        <v>#N/A</v>
      </c>
      <c r="E49" s="332"/>
      <c r="F49" s="332"/>
      <c r="G49" s="332"/>
      <c r="H49" s="332"/>
      <c r="I49" s="332"/>
      <c r="J49" s="332"/>
      <c r="K49" s="332"/>
      <c r="L49" s="333"/>
      <c r="M49" s="332"/>
      <c r="N49" s="334"/>
      <c r="O49" s="332"/>
      <c r="P49" s="334"/>
    </row>
    <row r="50" spans="1:16" ht="15.75" x14ac:dyDescent="0.25">
      <c r="A50" s="300">
        <f t="shared" si="1"/>
        <v>45</v>
      </c>
      <c r="B50" s="332"/>
      <c r="C50" s="331"/>
      <c r="D50" s="298" t="e">
        <f>VLOOKUP(C50,УЗиНП!$C$3:$D$1464,2,FALSE)</f>
        <v>#N/A</v>
      </c>
      <c r="E50" s="332"/>
      <c r="F50" s="332"/>
      <c r="G50" s="332"/>
      <c r="H50" s="332"/>
      <c r="I50" s="332"/>
      <c r="J50" s="332"/>
      <c r="K50" s="332"/>
      <c r="L50" s="333"/>
      <c r="M50" s="332"/>
      <c r="N50" s="334"/>
      <c r="O50" s="332"/>
      <c r="P50" s="334"/>
    </row>
    <row r="51" spans="1:16" ht="15.75" x14ac:dyDescent="0.25">
      <c r="A51" s="300">
        <f t="shared" si="1"/>
        <v>46</v>
      </c>
      <c r="B51" s="332"/>
      <c r="C51" s="331"/>
      <c r="D51" s="298" t="e">
        <f>VLOOKUP(C51,УЗиНП!$C$3:$D$1464,2,FALSE)</f>
        <v>#N/A</v>
      </c>
      <c r="E51" s="332"/>
      <c r="F51" s="332"/>
      <c r="G51" s="332"/>
      <c r="H51" s="332"/>
      <c r="I51" s="332"/>
      <c r="J51" s="332"/>
      <c r="K51" s="332"/>
      <c r="L51" s="333"/>
      <c r="M51" s="332"/>
      <c r="N51" s="334"/>
      <c r="O51" s="332"/>
      <c r="P51" s="334"/>
    </row>
    <row r="52" spans="1:16" ht="15.75" x14ac:dyDescent="0.25">
      <c r="A52" s="300">
        <f t="shared" si="1"/>
        <v>47</v>
      </c>
      <c r="B52" s="332"/>
      <c r="C52" s="331"/>
      <c r="D52" s="298" t="e">
        <f>VLOOKUP(C52,УЗиНП!$C$3:$D$1464,2,FALSE)</f>
        <v>#N/A</v>
      </c>
      <c r="E52" s="332"/>
      <c r="F52" s="332"/>
      <c r="G52" s="332"/>
      <c r="H52" s="332"/>
      <c r="I52" s="332"/>
      <c r="J52" s="332"/>
      <c r="K52" s="332"/>
      <c r="L52" s="333"/>
      <c r="M52" s="332"/>
      <c r="N52" s="334"/>
      <c r="O52" s="332"/>
      <c r="P52" s="334"/>
    </row>
    <row r="53" spans="1:16" ht="15.75" x14ac:dyDescent="0.25">
      <c r="A53" s="300">
        <f t="shared" si="1"/>
        <v>48</v>
      </c>
      <c r="B53" s="332"/>
      <c r="C53" s="331"/>
      <c r="D53" s="298" t="e">
        <f>VLOOKUP(C53,УЗиНП!$C$3:$D$1464,2,FALSE)</f>
        <v>#N/A</v>
      </c>
      <c r="E53" s="332"/>
      <c r="F53" s="332"/>
      <c r="G53" s="332"/>
      <c r="H53" s="332"/>
      <c r="I53" s="332"/>
      <c r="J53" s="332"/>
      <c r="K53" s="332"/>
      <c r="L53" s="333"/>
      <c r="M53" s="332"/>
      <c r="N53" s="334"/>
      <c r="O53" s="332"/>
      <c r="P53" s="334"/>
    </row>
    <row r="54" spans="1:16" ht="15.75" x14ac:dyDescent="0.25">
      <c r="A54" s="300">
        <f t="shared" si="1"/>
        <v>49</v>
      </c>
      <c r="B54" s="332"/>
      <c r="C54" s="331"/>
      <c r="D54" s="298" t="e">
        <f>VLOOKUP(C54,УЗиНП!$C$3:$D$1464,2,FALSE)</f>
        <v>#N/A</v>
      </c>
      <c r="E54" s="332"/>
      <c r="F54" s="332"/>
      <c r="G54" s="332"/>
      <c r="H54" s="332"/>
      <c r="I54" s="332"/>
      <c r="J54" s="332"/>
      <c r="K54" s="332"/>
      <c r="L54" s="333"/>
      <c r="M54" s="332"/>
      <c r="N54" s="334"/>
      <c r="O54" s="332"/>
      <c r="P54" s="334"/>
    </row>
    <row r="55" spans="1:16" ht="15.75" x14ac:dyDescent="0.25">
      <c r="A55" s="300">
        <f t="shared" si="1"/>
        <v>50</v>
      </c>
      <c r="B55" s="332"/>
      <c r="C55" s="331"/>
      <c r="D55" s="298" t="e">
        <f>VLOOKUP(C55,УЗиНП!$C$3:$D$1464,2,FALSE)</f>
        <v>#N/A</v>
      </c>
      <c r="E55" s="332"/>
      <c r="F55" s="332"/>
      <c r="G55" s="332"/>
      <c r="H55" s="332"/>
      <c r="I55" s="332"/>
      <c r="J55" s="332"/>
      <c r="K55" s="332"/>
      <c r="L55" s="333"/>
      <c r="M55" s="332"/>
      <c r="N55" s="334"/>
      <c r="O55" s="332"/>
      <c r="P55" s="334"/>
    </row>
    <row r="56" spans="1:16" ht="15.75" x14ac:dyDescent="0.25">
      <c r="A56" s="300">
        <f t="shared" si="1"/>
        <v>51</v>
      </c>
      <c r="B56" s="544"/>
      <c r="C56" s="331"/>
      <c r="D56" s="298" t="e">
        <f>VLOOKUP(C56,УЗиНП!$C$3:$D$1464,2,FALSE)</f>
        <v>#N/A</v>
      </c>
      <c r="E56" s="332"/>
      <c r="F56" s="332"/>
      <c r="G56" s="332"/>
      <c r="H56" s="332"/>
      <c r="I56" s="332"/>
      <c r="J56" s="332"/>
      <c r="K56" s="332"/>
      <c r="L56" s="333"/>
      <c r="M56" s="332"/>
      <c r="N56" s="334"/>
      <c r="O56" s="332"/>
      <c r="P56" s="334"/>
    </row>
    <row r="57" spans="1:16" ht="15.75" x14ac:dyDescent="0.25">
      <c r="A57" s="300">
        <f t="shared" si="1"/>
        <v>52</v>
      </c>
      <c r="B57" s="544"/>
      <c r="C57" s="331"/>
      <c r="D57" s="298" t="e">
        <f>VLOOKUP(C57,УЗиНП!$C$3:$D$1464,2,FALSE)</f>
        <v>#N/A</v>
      </c>
      <c r="E57" s="332"/>
      <c r="F57" s="332"/>
      <c r="G57" s="332"/>
      <c r="H57" s="332"/>
      <c r="I57" s="332"/>
      <c r="J57" s="332"/>
      <c r="K57" s="332"/>
      <c r="L57" s="333"/>
      <c r="M57" s="332"/>
      <c r="N57" s="334"/>
      <c r="O57" s="332"/>
      <c r="P57" s="334"/>
    </row>
    <row r="58" spans="1:16" ht="15.75" x14ac:dyDescent="0.25">
      <c r="A58" s="300">
        <f t="shared" si="1"/>
        <v>53</v>
      </c>
      <c r="B58" s="544"/>
      <c r="C58" s="331"/>
      <c r="D58" s="298" t="e">
        <f>VLOOKUP(C58,УЗиНП!$C$3:$D$1464,2,FALSE)</f>
        <v>#N/A</v>
      </c>
      <c r="E58" s="332"/>
      <c r="F58" s="332"/>
      <c r="G58" s="332"/>
      <c r="H58" s="332"/>
      <c r="I58" s="332"/>
      <c r="J58" s="332"/>
      <c r="K58" s="332"/>
      <c r="L58" s="333"/>
      <c r="M58" s="332"/>
      <c r="N58" s="334"/>
      <c r="O58" s="332"/>
      <c r="P58" s="334"/>
    </row>
    <row r="59" spans="1:16" ht="15.75" x14ac:dyDescent="0.25">
      <c r="A59" s="300">
        <f t="shared" si="1"/>
        <v>54</v>
      </c>
      <c r="B59" s="544"/>
      <c r="C59" s="331"/>
      <c r="D59" s="298" t="e">
        <f>VLOOKUP(C59,УЗиНП!$C$3:$D$1464,2,FALSE)</f>
        <v>#N/A</v>
      </c>
      <c r="E59" s="332"/>
      <c r="F59" s="332"/>
      <c r="G59" s="332"/>
      <c r="H59" s="332"/>
      <c r="I59" s="332"/>
      <c r="J59" s="332"/>
      <c r="K59" s="332"/>
      <c r="L59" s="333"/>
      <c r="M59" s="332"/>
      <c r="N59" s="334"/>
      <c r="O59" s="332"/>
      <c r="P59" s="334"/>
    </row>
    <row r="60" spans="1:16" ht="15.75" x14ac:dyDescent="0.25">
      <c r="A60" s="300">
        <f t="shared" si="1"/>
        <v>55</v>
      </c>
      <c r="B60" s="544"/>
      <c r="C60" s="331"/>
      <c r="D60" s="298" t="e">
        <f>VLOOKUP(C60,УЗиНП!$C$3:$D$1464,2,FALSE)</f>
        <v>#N/A</v>
      </c>
      <c r="E60" s="332"/>
      <c r="F60" s="332"/>
      <c r="G60" s="332"/>
      <c r="H60" s="332"/>
      <c r="I60" s="332"/>
      <c r="J60" s="332"/>
      <c r="K60" s="332"/>
      <c r="L60" s="333"/>
      <c r="M60" s="332"/>
      <c r="N60" s="334"/>
      <c r="O60" s="332"/>
      <c r="P60" s="334"/>
    </row>
    <row r="61" spans="1:16" ht="15.75" x14ac:dyDescent="0.25">
      <c r="A61" s="300">
        <f t="shared" si="1"/>
        <v>56</v>
      </c>
      <c r="B61" s="544"/>
      <c r="C61" s="331"/>
      <c r="D61" s="298" t="e">
        <f>VLOOKUP(C61,УЗиНП!$C$3:$D$1464,2,FALSE)</f>
        <v>#N/A</v>
      </c>
      <c r="E61" s="332"/>
      <c r="F61" s="332"/>
      <c r="G61" s="332"/>
      <c r="H61" s="332"/>
      <c r="I61" s="332"/>
      <c r="J61" s="332"/>
      <c r="K61" s="332"/>
      <c r="L61" s="333"/>
      <c r="M61" s="332"/>
      <c r="N61" s="334"/>
      <c r="O61" s="332"/>
      <c r="P61" s="334"/>
    </row>
    <row r="62" spans="1:16" ht="15.75" x14ac:dyDescent="0.25">
      <c r="A62" s="300">
        <f t="shared" si="1"/>
        <v>57</v>
      </c>
      <c r="B62" s="544"/>
      <c r="C62" s="331"/>
      <c r="D62" s="298" t="e">
        <f>VLOOKUP(C62,УЗиНП!$C$3:$D$1464,2,FALSE)</f>
        <v>#N/A</v>
      </c>
      <c r="E62" s="332"/>
      <c r="F62" s="332"/>
      <c r="G62" s="332"/>
      <c r="H62" s="332"/>
      <c r="I62" s="332"/>
      <c r="J62" s="332"/>
      <c r="K62" s="332"/>
      <c r="L62" s="333"/>
      <c r="M62" s="332"/>
      <c r="N62" s="334"/>
      <c r="O62" s="332"/>
      <c r="P62" s="334"/>
    </row>
    <row r="63" spans="1:16" ht="15.75" x14ac:dyDescent="0.25">
      <c r="A63" s="300">
        <f t="shared" si="1"/>
        <v>58</v>
      </c>
      <c r="B63" s="544"/>
      <c r="C63" s="331"/>
      <c r="D63" s="298" t="e">
        <f>VLOOKUP(C63,УЗиНП!$C$3:$D$1464,2,FALSE)</f>
        <v>#N/A</v>
      </c>
      <c r="E63" s="332"/>
      <c r="F63" s="332"/>
      <c r="G63" s="332"/>
      <c r="H63" s="332"/>
      <c r="I63" s="332"/>
      <c r="J63" s="332"/>
      <c r="K63" s="332"/>
      <c r="L63" s="333"/>
      <c r="M63" s="332"/>
      <c r="N63" s="334"/>
      <c r="O63" s="332"/>
      <c r="P63" s="334"/>
    </row>
    <row r="64" spans="1:16" ht="15.75" x14ac:dyDescent="0.25">
      <c r="A64" s="300">
        <f t="shared" si="1"/>
        <v>59</v>
      </c>
      <c r="B64" s="544"/>
      <c r="C64" s="331"/>
      <c r="D64" s="298" t="e">
        <f>VLOOKUP(C64,УЗиНП!$C$3:$D$1464,2,FALSE)</f>
        <v>#N/A</v>
      </c>
      <c r="E64" s="332"/>
      <c r="F64" s="332"/>
      <c r="G64" s="332"/>
      <c r="H64" s="332"/>
      <c r="I64" s="332"/>
      <c r="J64" s="332"/>
      <c r="K64" s="332"/>
      <c r="L64" s="333"/>
      <c r="M64" s="332"/>
      <c r="N64" s="334"/>
      <c r="O64" s="332"/>
      <c r="P64" s="334"/>
    </row>
    <row r="65" spans="1:16" ht="15.75" x14ac:dyDescent="0.25">
      <c r="A65" s="300">
        <f t="shared" si="1"/>
        <v>60</v>
      </c>
      <c r="B65" s="544"/>
      <c r="C65" s="331"/>
      <c r="D65" s="298" t="e">
        <f>VLOOKUP(C65,УЗиНП!$C$3:$D$1464,2,FALSE)</f>
        <v>#N/A</v>
      </c>
      <c r="E65" s="332"/>
      <c r="F65" s="332"/>
      <c r="G65" s="332"/>
      <c r="H65" s="332"/>
      <c r="I65" s="332"/>
      <c r="J65" s="332"/>
      <c r="K65" s="332"/>
      <c r="L65" s="333"/>
      <c r="M65" s="332"/>
      <c r="N65" s="334"/>
      <c r="O65" s="332"/>
      <c r="P65" s="334"/>
    </row>
    <row r="66" spans="1:16" ht="15.75" x14ac:dyDescent="0.25">
      <c r="A66" s="300">
        <f t="shared" si="1"/>
        <v>61</v>
      </c>
      <c r="B66" s="544"/>
      <c r="C66" s="331"/>
      <c r="D66" s="298" t="e">
        <f>VLOOKUP(C66,УЗиНП!$C$3:$D$1464,2,FALSE)</f>
        <v>#N/A</v>
      </c>
      <c r="E66" s="332"/>
      <c r="F66" s="332"/>
      <c r="G66" s="332"/>
      <c r="H66" s="332"/>
      <c r="I66" s="332"/>
      <c r="J66" s="332"/>
      <c r="K66" s="332"/>
      <c r="L66" s="333"/>
      <c r="M66" s="332"/>
      <c r="N66" s="334"/>
      <c r="O66" s="332"/>
      <c r="P66" s="334"/>
    </row>
    <row r="67" spans="1:16" ht="15.75" x14ac:dyDescent="0.25">
      <c r="A67" s="300">
        <f t="shared" si="1"/>
        <v>62</v>
      </c>
      <c r="B67" s="544"/>
      <c r="C67" s="331"/>
      <c r="D67" s="298" t="e">
        <f>VLOOKUP(C67,УЗиНП!$C$3:$D$1464,2,FALSE)</f>
        <v>#N/A</v>
      </c>
      <c r="E67" s="332"/>
      <c r="F67" s="332"/>
      <c r="G67" s="332"/>
      <c r="H67" s="332"/>
      <c r="I67" s="332"/>
      <c r="J67" s="332"/>
      <c r="K67" s="332"/>
      <c r="L67" s="333"/>
      <c r="M67" s="332"/>
      <c r="N67" s="334"/>
      <c r="O67" s="332"/>
      <c r="P67" s="334"/>
    </row>
    <row r="68" spans="1:16" ht="15.75" x14ac:dyDescent="0.25">
      <c r="A68" s="300">
        <f t="shared" si="1"/>
        <v>63</v>
      </c>
      <c r="B68" s="544"/>
      <c r="C68" s="331"/>
      <c r="D68" s="298" t="e">
        <f>VLOOKUP(C68,УЗиНП!$C$3:$D$1464,2,FALSE)</f>
        <v>#N/A</v>
      </c>
      <c r="E68" s="332"/>
      <c r="F68" s="332"/>
      <c r="G68" s="332"/>
      <c r="H68" s="332"/>
      <c r="I68" s="332"/>
      <c r="J68" s="332"/>
      <c r="K68" s="332"/>
      <c r="L68" s="333"/>
      <c r="M68" s="332"/>
      <c r="N68" s="334"/>
      <c r="O68" s="332"/>
      <c r="P68" s="334"/>
    </row>
    <row r="69" spans="1:16" ht="15.75" x14ac:dyDescent="0.25">
      <c r="A69" s="300">
        <f t="shared" si="1"/>
        <v>64</v>
      </c>
      <c r="B69" s="544"/>
      <c r="C69" s="331"/>
      <c r="D69" s="298" t="e">
        <f>VLOOKUP(C69,УЗиНП!$C$3:$D$1464,2,FALSE)</f>
        <v>#N/A</v>
      </c>
      <c r="E69" s="332"/>
      <c r="F69" s="332"/>
      <c r="G69" s="332"/>
      <c r="H69" s="332"/>
      <c r="I69" s="332"/>
      <c r="J69" s="332"/>
      <c r="K69" s="332"/>
      <c r="L69" s="333"/>
      <c r="M69" s="332"/>
      <c r="N69" s="334"/>
      <c r="O69" s="332"/>
      <c r="P69" s="334"/>
    </row>
    <row r="70" spans="1:16" ht="15.75" x14ac:dyDescent="0.25">
      <c r="A70" s="300">
        <f t="shared" si="1"/>
        <v>65</v>
      </c>
      <c r="B70" s="544"/>
      <c r="C70" s="331"/>
      <c r="D70" s="298" t="e">
        <f>VLOOKUP(C70,УЗиНП!$C$3:$D$1464,2,FALSE)</f>
        <v>#N/A</v>
      </c>
      <c r="E70" s="332"/>
      <c r="F70" s="332"/>
      <c r="G70" s="332"/>
      <c r="H70" s="332"/>
      <c r="I70" s="332"/>
      <c r="J70" s="332"/>
      <c r="K70" s="332"/>
      <c r="L70" s="333"/>
      <c r="M70" s="332"/>
      <c r="N70" s="334"/>
      <c r="O70" s="332"/>
      <c r="P70" s="334"/>
    </row>
    <row r="71" spans="1:16" ht="18.75" x14ac:dyDescent="0.25">
      <c r="A71" s="818" t="s">
        <v>329</v>
      </c>
      <c r="B71" s="818"/>
      <c r="C71" s="818"/>
      <c r="D71" s="818"/>
      <c r="E71" s="326">
        <f>SUM(E7:E70)</f>
        <v>0</v>
      </c>
      <c r="F71" s="326">
        <f t="shared" ref="F71:P71" si="2">SUM(F7:F70)</f>
        <v>0</v>
      </c>
      <c r="G71" s="326">
        <f t="shared" si="2"/>
        <v>0</v>
      </c>
      <c r="H71" s="326">
        <f t="shared" si="2"/>
        <v>0</v>
      </c>
      <c r="I71" s="326">
        <f t="shared" si="2"/>
        <v>0</v>
      </c>
      <c r="J71" s="326">
        <f t="shared" si="2"/>
        <v>0</v>
      </c>
      <c r="K71" s="326">
        <f t="shared" si="2"/>
        <v>0</v>
      </c>
      <c r="L71" s="325">
        <f t="shared" si="2"/>
        <v>0</v>
      </c>
      <c r="M71" s="326">
        <f t="shared" si="2"/>
        <v>0</v>
      </c>
      <c r="N71" s="327">
        <f t="shared" si="2"/>
        <v>0</v>
      </c>
      <c r="O71" s="326">
        <f t="shared" si="2"/>
        <v>0</v>
      </c>
      <c r="P71" s="327">
        <f t="shared" si="2"/>
        <v>0</v>
      </c>
    </row>
  </sheetData>
  <sheetProtection password="D8E9" sheet="1" objects="1" scenarios="1"/>
  <mergeCells count="14">
    <mergeCell ref="K4:L4"/>
    <mergeCell ref="M4:N4"/>
    <mergeCell ref="O4:P4"/>
    <mergeCell ref="A71:D71"/>
    <mergeCell ref="C1:P1"/>
    <mergeCell ref="C2:P2"/>
    <mergeCell ref="C3:P3"/>
    <mergeCell ref="A4:A5"/>
    <mergeCell ref="B4:B5"/>
    <mergeCell ref="C4:C5"/>
    <mergeCell ref="D4:D5"/>
    <mergeCell ref="E4:E5"/>
    <mergeCell ref="F4:F5"/>
    <mergeCell ref="H4:I4"/>
  </mergeCells>
  <pageMargins left="0.51181102362204722" right="0.51181102362204722" top="0.55118110236220474" bottom="0.55118110236220474" header="0.31496062992125984" footer="0.31496062992125984"/>
  <pageSetup paperSize="9" scale="34"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Перечни!$A$2:$A$176</xm:f>
          </x14:formula1>
          <xm:sqref>B7:B55</xm:sqref>
        </x14:dataValidation>
        <x14:dataValidation type="list" allowBlank="1" showInputMessage="1" showErrorMessage="1">
          <x14:formula1>
            <xm:f>УЗиНП!$C$3:$C$1464</xm:f>
          </x14:formula1>
          <xm:sqref>C7:C70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V306"/>
  <sheetViews>
    <sheetView zoomScale="80" zoomScaleNormal="80" workbookViewId="0">
      <selection activeCell="G306" sqref="G306"/>
    </sheetView>
  </sheetViews>
  <sheetFormatPr defaultRowHeight="15" x14ac:dyDescent="0.25"/>
  <cols>
    <col min="1" max="1" width="4.42578125" style="308" bestFit="1" customWidth="1"/>
    <col min="2" max="2" width="84.7109375" style="34" customWidth="1"/>
    <col min="3" max="3" width="14.7109375" style="319" customWidth="1"/>
    <col min="4" max="4" width="156.5703125" style="34" bestFit="1" customWidth="1"/>
    <col min="5" max="6" width="19.28515625" style="34" customWidth="1"/>
    <col min="7" max="11" width="10.85546875" style="34" customWidth="1"/>
    <col min="12" max="17" width="19.28515625" style="34" customWidth="1"/>
    <col min="18" max="22" width="10.5703125" style="34" customWidth="1"/>
    <col min="23" max="16384" width="9.140625" style="34"/>
  </cols>
  <sheetData>
    <row r="1" spans="1:22" ht="21" x14ac:dyDescent="0.25">
      <c r="B1" s="297" t="s">
        <v>493</v>
      </c>
      <c r="C1" s="834" t="s">
        <v>1610</v>
      </c>
      <c r="D1" s="834"/>
      <c r="E1" s="834"/>
      <c r="F1" s="834"/>
      <c r="G1" s="834"/>
      <c r="H1" s="834"/>
      <c r="I1" s="834"/>
      <c r="J1" s="834"/>
      <c r="K1" s="834"/>
      <c r="L1" s="834"/>
      <c r="M1" s="834"/>
      <c r="N1" s="834"/>
      <c r="O1" s="834"/>
      <c r="P1" s="834"/>
      <c r="Q1" s="834"/>
      <c r="R1" s="834"/>
      <c r="S1" s="834"/>
      <c r="T1" s="834"/>
      <c r="U1" s="834"/>
      <c r="V1" s="834"/>
    </row>
    <row r="2" spans="1:22" ht="21" x14ac:dyDescent="0.35">
      <c r="B2" s="277" t="s">
        <v>1685</v>
      </c>
      <c r="C2" s="826"/>
      <c r="D2" s="826"/>
      <c r="E2" s="826"/>
      <c r="F2" s="826"/>
      <c r="G2" s="826"/>
      <c r="H2" s="826"/>
      <c r="I2" s="826"/>
      <c r="J2" s="826"/>
      <c r="K2" s="826"/>
      <c r="L2" s="826"/>
      <c r="M2" s="826"/>
      <c r="N2" s="826"/>
      <c r="O2" s="826"/>
      <c r="P2" s="826"/>
      <c r="Q2" s="826"/>
      <c r="R2" s="826"/>
      <c r="S2" s="826"/>
      <c r="T2" s="826"/>
      <c r="U2" s="826"/>
      <c r="V2" s="826"/>
    </row>
    <row r="3" spans="1:22" ht="21.75" thickBot="1" x14ac:dyDescent="0.3">
      <c r="A3" s="309"/>
      <c r="B3" s="276" t="s">
        <v>88</v>
      </c>
      <c r="C3" s="828"/>
      <c r="D3" s="828"/>
      <c r="E3" s="828"/>
      <c r="F3" s="828"/>
      <c r="G3" s="828"/>
      <c r="H3" s="828"/>
      <c r="I3" s="828"/>
      <c r="J3" s="828"/>
      <c r="K3" s="828"/>
      <c r="L3" s="828"/>
      <c r="M3" s="828"/>
      <c r="N3" s="828"/>
      <c r="O3" s="828"/>
      <c r="P3" s="828"/>
      <c r="Q3" s="828"/>
      <c r="R3" s="828"/>
      <c r="S3" s="828"/>
      <c r="T3" s="828"/>
      <c r="U3" s="828"/>
      <c r="V3" s="828"/>
    </row>
    <row r="4" spans="1:22" ht="178.5" customHeight="1" x14ac:dyDescent="0.25">
      <c r="A4" s="832" t="s">
        <v>3</v>
      </c>
      <c r="B4" s="825" t="s">
        <v>324</v>
      </c>
      <c r="C4" s="823" t="s">
        <v>983</v>
      </c>
      <c r="D4" s="825" t="s">
        <v>325</v>
      </c>
      <c r="E4" s="825" t="s">
        <v>941</v>
      </c>
      <c r="F4" s="825" t="s">
        <v>942</v>
      </c>
      <c r="G4" s="829" t="s">
        <v>489</v>
      </c>
      <c r="H4" s="835"/>
      <c r="I4" s="835"/>
      <c r="J4" s="835"/>
      <c r="K4" s="830"/>
      <c r="L4" s="825" t="s">
        <v>7439</v>
      </c>
      <c r="M4" s="825" t="s">
        <v>1611</v>
      </c>
      <c r="N4" s="822" t="s">
        <v>947</v>
      </c>
      <c r="O4" s="825" t="s">
        <v>948</v>
      </c>
      <c r="P4" s="825" t="s">
        <v>949</v>
      </c>
      <c r="Q4" s="825" t="s">
        <v>950</v>
      </c>
      <c r="R4" s="822" t="s">
        <v>490</v>
      </c>
      <c r="S4" s="822"/>
      <c r="T4" s="822"/>
      <c r="U4" s="829" t="s">
        <v>491</v>
      </c>
      <c r="V4" s="830"/>
    </row>
    <row r="5" spans="1:22" ht="180.75" customHeight="1" x14ac:dyDescent="0.25">
      <c r="A5" s="833"/>
      <c r="B5" s="822"/>
      <c r="C5" s="824"/>
      <c r="D5" s="822"/>
      <c r="E5" s="822"/>
      <c r="F5" s="822"/>
      <c r="G5" s="302" t="s">
        <v>943</v>
      </c>
      <c r="H5" s="302" t="s">
        <v>944</v>
      </c>
      <c r="I5" s="302" t="s">
        <v>945</v>
      </c>
      <c r="J5" s="392" t="s">
        <v>946</v>
      </c>
      <c r="K5" s="302" t="s">
        <v>1670</v>
      </c>
      <c r="L5" s="822"/>
      <c r="M5" s="822"/>
      <c r="N5" s="836"/>
      <c r="O5" s="822"/>
      <c r="P5" s="822"/>
      <c r="Q5" s="822"/>
      <c r="R5" s="302" t="s">
        <v>952</v>
      </c>
      <c r="S5" s="302" t="s">
        <v>7440</v>
      </c>
      <c r="T5" s="302" t="s">
        <v>951</v>
      </c>
      <c r="U5" s="302" t="s">
        <v>952</v>
      </c>
      <c r="V5" s="302" t="s">
        <v>953</v>
      </c>
    </row>
    <row r="6" spans="1:22" x14ac:dyDescent="0.25">
      <c r="A6" s="299">
        <v>1</v>
      </c>
      <c r="B6" s="299">
        <f>A6+1</f>
        <v>2</v>
      </c>
      <c r="C6" s="299">
        <f>B6+1</f>
        <v>3</v>
      </c>
      <c r="D6" s="299">
        <f t="shared" ref="D6:I6" si="0">C6+1</f>
        <v>4</v>
      </c>
      <c r="E6" s="299">
        <f t="shared" si="0"/>
        <v>5</v>
      </c>
      <c r="F6" s="299">
        <f t="shared" si="0"/>
        <v>6</v>
      </c>
      <c r="G6" s="299">
        <f t="shared" si="0"/>
        <v>7</v>
      </c>
      <c r="H6" s="299">
        <f t="shared" si="0"/>
        <v>8</v>
      </c>
      <c r="I6" s="299">
        <f t="shared" si="0"/>
        <v>9</v>
      </c>
      <c r="J6" s="299">
        <f t="shared" ref="J6" si="1">I6+1</f>
        <v>10</v>
      </c>
      <c r="K6" s="299">
        <f t="shared" ref="K6" si="2">J6+1</f>
        <v>11</v>
      </c>
      <c r="L6" s="299">
        <f t="shared" ref="L6" si="3">K6+1</f>
        <v>12</v>
      </c>
      <c r="M6" s="299">
        <f t="shared" ref="M6" si="4">L6+1</f>
        <v>13</v>
      </c>
      <c r="N6" s="299">
        <f t="shared" ref="N6" si="5">M6+1</f>
        <v>14</v>
      </c>
      <c r="O6" s="299">
        <f t="shared" ref="O6" si="6">N6+1</f>
        <v>15</v>
      </c>
      <c r="P6" s="299">
        <f t="shared" ref="P6" si="7">O6+1</f>
        <v>16</v>
      </c>
      <c r="Q6" s="299">
        <f t="shared" ref="Q6" si="8">P6+1</f>
        <v>17</v>
      </c>
      <c r="R6" s="299">
        <f t="shared" ref="R6" si="9">Q6+1</f>
        <v>18</v>
      </c>
      <c r="S6" s="299">
        <f t="shared" ref="S6" si="10">R6+1</f>
        <v>19</v>
      </c>
      <c r="T6" s="299">
        <f t="shared" ref="T6" si="11">S6+1</f>
        <v>20</v>
      </c>
      <c r="U6" s="299">
        <f t="shared" ref="U6" si="12">T6+1</f>
        <v>21</v>
      </c>
      <c r="V6" s="299">
        <f t="shared" ref="V6" si="13">U6+1</f>
        <v>22</v>
      </c>
    </row>
    <row r="7" spans="1:22" ht="15.75" x14ac:dyDescent="0.25">
      <c r="A7" s="296">
        <f>A6+1</f>
        <v>2</v>
      </c>
      <c r="B7" s="359"/>
      <c r="C7" s="331"/>
      <c r="D7" s="298" t="e">
        <f>VLOOKUP(C7,УЗиНП!$C$3:$D$1464,2,FALSE)</f>
        <v>#N/A</v>
      </c>
      <c r="E7" s="361"/>
      <c r="F7" s="361"/>
      <c r="G7" s="361"/>
      <c r="H7" s="361"/>
      <c r="I7" s="361"/>
      <c r="J7" s="361"/>
      <c r="K7" s="361"/>
      <c r="L7" s="361"/>
      <c r="M7" s="361"/>
      <c r="N7" s="362"/>
      <c r="O7" s="361"/>
      <c r="P7" s="361"/>
      <c r="Q7" s="361"/>
      <c r="R7" s="361"/>
      <c r="S7" s="361"/>
      <c r="T7" s="361"/>
      <c r="U7" s="362"/>
      <c r="V7" s="362"/>
    </row>
    <row r="8" spans="1:22" ht="15.75" x14ac:dyDescent="0.25">
      <c r="A8" s="322">
        <f>A7+1</f>
        <v>3</v>
      </c>
      <c r="B8" s="360"/>
      <c r="C8" s="331"/>
      <c r="D8" s="298" t="e">
        <f>VLOOKUP(C8,УЗиНП!$C$3:$D$1464,2,FALSE)</f>
        <v>#N/A</v>
      </c>
      <c r="E8" s="363"/>
      <c r="F8" s="363"/>
      <c r="G8" s="363"/>
      <c r="H8" s="363"/>
      <c r="I8" s="363"/>
      <c r="J8" s="363"/>
      <c r="K8" s="363"/>
      <c r="L8" s="363"/>
      <c r="M8" s="363"/>
      <c r="N8" s="364"/>
      <c r="O8" s="363"/>
      <c r="P8" s="363"/>
      <c r="Q8" s="363"/>
      <c r="R8" s="363"/>
      <c r="S8" s="363"/>
      <c r="T8" s="363"/>
      <c r="U8" s="364"/>
      <c r="V8" s="364"/>
    </row>
    <row r="9" spans="1:22" ht="15.75" x14ac:dyDescent="0.25">
      <c r="A9" s="322">
        <f t="shared" ref="A9:A72" si="14">A8+1</f>
        <v>4</v>
      </c>
      <c r="B9" s="360"/>
      <c r="C9" s="331"/>
      <c r="D9" s="298" t="e">
        <f>VLOOKUP(C9,УЗиНП!$C$3:$D$1464,2,FALSE)</f>
        <v>#N/A</v>
      </c>
      <c r="E9" s="363"/>
      <c r="F9" s="363"/>
      <c r="G9" s="363"/>
      <c r="H9" s="363"/>
      <c r="I9" s="363"/>
      <c r="J9" s="363"/>
      <c r="K9" s="363"/>
      <c r="L9" s="363"/>
      <c r="M9" s="363"/>
      <c r="N9" s="364"/>
      <c r="O9" s="363"/>
      <c r="P9" s="363"/>
      <c r="Q9" s="363"/>
      <c r="R9" s="363"/>
      <c r="S9" s="363"/>
      <c r="T9" s="363"/>
      <c r="U9" s="364"/>
      <c r="V9" s="364"/>
    </row>
    <row r="10" spans="1:22" ht="15.75" x14ac:dyDescent="0.25">
      <c r="A10" s="322">
        <f t="shared" si="14"/>
        <v>5</v>
      </c>
      <c r="B10" s="360"/>
      <c r="C10" s="331"/>
      <c r="D10" s="298" t="e">
        <f>VLOOKUP(C10,УЗиНП!$C$3:$D$1464,2,FALSE)</f>
        <v>#N/A</v>
      </c>
      <c r="E10" s="363"/>
      <c r="F10" s="363"/>
      <c r="G10" s="363"/>
      <c r="H10" s="363"/>
      <c r="I10" s="363"/>
      <c r="J10" s="363"/>
      <c r="K10" s="363"/>
      <c r="L10" s="363"/>
      <c r="M10" s="363"/>
      <c r="N10" s="364"/>
      <c r="O10" s="363"/>
      <c r="P10" s="363"/>
      <c r="Q10" s="363"/>
      <c r="R10" s="363"/>
      <c r="S10" s="363"/>
      <c r="T10" s="363"/>
      <c r="U10" s="364"/>
      <c r="V10" s="364"/>
    </row>
    <row r="11" spans="1:22" ht="15.75" x14ac:dyDescent="0.25">
      <c r="A11" s="322">
        <f t="shared" si="14"/>
        <v>6</v>
      </c>
      <c r="B11" s="360"/>
      <c r="C11" s="331"/>
      <c r="D11" s="298" t="e">
        <f>VLOOKUP(C11,УЗиНП!$C$3:$D$1464,2,FALSE)</f>
        <v>#N/A</v>
      </c>
      <c r="E11" s="363"/>
      <c r="F11" s="363"/>
      <c r="G11" s="363"/>
      <c r="H11" s="363"/>
      <c r="I11" s="363"/>
      <c r="J11" s="363"/>
      <c r="K11" s="363"/>
      <c r="L11" s="363"/>
      <c r="M11" s="363"/>
      <c r="N11" s="364"/>
      <c r="O11" s="363"/>
      <c r="P11" s="363"/>
      <c r="Q11" s="363"/>
      <c r="R11" s="363"/>
      <c r="S11" s="363"/>
      <c r="T11" s="363"/>
      <c r="U11" s="364"/>
      <c r="V11" s="364"/>
    </row>
    <row r="12" spans="1:22" ht="15.75" x14ac:dyDescent="0.25">
      <c r="A12" s="322">
        <f t="shared" si="14"/>
        <v>7</v>
      </c>
      <c r="B12" s="360"/>
      <c r="C12" s="331"/>
      <c r="D12" s="298" t="e">
        <f>VLOOKUP(C12,УЗиНП!$C$3:$D$1464,2,FALSE)</f>
        <v>#N/A</v>
      </c>
      <c r="E12" s="363"/>
      <c r="F12" s="363"/>
      <c r="G12" s="363"/>
      <c r="H12" s="363"/>
      <c r="I12" s="363"/>
      <c r="J12" s="363"/>
      <c r="K12" s="363"/>
      <c r="L12" s="363"/>
      <c r="M12" s="363"/>
      <c r="N12" s="364"/>
      <c r="O12" s="363"/>
      <c r="P12" s="363"/>
      <c r="Q12" s="363"/>
      <c r="R12" s="363"/>
      <c r="S12" s="363"/>
      <c r="T12" s="363"/>
      <c r="U12" s="364"/>
      <c r="V12" s="364"/>
    </row>
    <row r="13" spans="1:22" ht="15.75" x14ac:dyDescent="0.25">
      <c r="A13" s="322">
        <f t="shared" si="14"/>
        <v>8</v>
      </c>
      <c r="B13" s="360"/>
      <c r="C13" s="331"/>
      <c r="D13" s="298" t="e">
        <f>VLOOKUP(C13,УЗиНП!$C$3:$D$1464,2,FALSE)</f>
        <v>#N/A</v>
      </c>
      <c r="E13" s="363"/>
      <c r="F13" s="363"/>
      <c r="G13" s="363"/>
      <c r="H13" s="363"/>
      <c r="I13" s="363"/>
      <c r="J13" s="363"/>
      <c r="K13" s="363"/>
      <c r="L13" s="363"/>
      <c r="M13" s="363"/>
      <c r="N13" s="364"/>
      <c r="O13" s="363"/>
      <c r="P13" s="363"/>
      <c r="Q13" s="363"/>
      <c r="R13" s="363"/>
      <c r="S13" s="363"/>
      <c r="T13" s="363"/>
      <c r="U13" s="364"/>
      <c r="V13" s="364"/>
    </row>
    <row r="14" spans="1:22" ht="15.75" x14ac:dyDescent="0.25">
      <c r="A14" s="322">
        <f t="shared" si="14"/>
        <v>9</v>
      </c>
      <c r="B14" s="360"/>
      <c r="C14" s="331"/>
      <c r="D14" s="298" t="e">
        <f>VLOOKUP(C14,УЗиНП!$C$3:$D$1464,2,FALSE)</f>
        <v>#N/A</v>
      </c>
      <c r="E14" s="363"/>
      <c r="F14" s="363"/>
      <c r="G14" s="363"/>
      <c r="H14" s="363"/>
      <c r="I14" s="363"/>
      <c r="J14" s="363"/>
      <c r="K14" s="363"/>
      <c r="L14" s="363"/>
      <c r="M14" s="363"/>
      <c r="N14" s="364"/>
      <c r="O14" s="363"/>
      <c r="P14" s="363"/>
      <c r="Q14" s="363"/>
      <c r="R14" s="363"/>
      <c r="S14" s="363"/>
      <c r="T14" s="363"/>
      <c r="U14" s="364"/>
      <c r="V14" s="364"/>
    </row>
    <row r="15" spans="1:22" ht="15.75" x14ac:dyDescent="0.25">
      <c r="A15" s="322">
        <f t="shared" si="14"/>
        <v>10</v>
      </c>
      <c r="B15" s="360"/>
      <c r="C15" s="331"/>
      <c r="D15" s="298" t="e">
        <f>VLOOKUP(C15,УЗиНП!$C$3:$D$1464,2,FALSE)</f>
        <v>#N/A</v>
      </c>
      <c r="E15" s="363"/>
      <c r="F15" s="363"/>
      <c r="G15" s="363"/>
      <c r="H15" s="363"/>
      <c r="I15" s="363"/>
      <c r="J15" s="363"/>
      <c r="K15" s="363"/>
      <c r="L15" s="363"/>
      <c r="M15" s="363"/>
      <c r="N15" s="364"/>
      <c r="O15" s="363"/>
      <c r="P15" s="363"/>
      <c r="Q15" s="363"/>
      <c r="R15" s="363"/>
      <c r="S15" s="363"/>
      <c r="T15" s="363"/>
      <c r="U15" s="364"/>
      <c r="V15" s="364"/>
    </row>
    <row r="16" spans="1:22" ht="15.75" x14ac:dyDescent="0.25">
      <c r="A16" s="322">
        <f t="shared" si="14"/>
        <v>11</v>
      </c>
      <c r="B16" s="360"/>
      <c r="C16" s="331"/>
      <c r="D16" s="298" t="e">
        <f>VLOOKUP(C16,УЗиНП!$C$3:$D$1464,2,FALSE)</f>
        <v>#N/A</v>
      </c>
      <c r="E16" s="363"/>
      <c r="F16" s="363"/>
      <c r="G16" s="363"/>
      <c r="H16" s="363"/>
      <c r="I16" s="363"/>
      <c r="J16" s="363"/>
      <c r="K16" s="363"/>
      <c r="L16" s="363"/>
      <c r="M16" s="363"/>
      <c r="N16" s="364"/>
      <c r="O16" s="363"/>
      <c r="P16" s="363"/>
      <c r="Q16" s="363"/>
      <c r="R16" s="363"/>
      <c r="S16" s="363"/>
      <c r="T16" s="363"/>
      <c r="U16" s="364"/>
      <c r="V16" s="364"/>
    </row>
    <row r="17" spans="1:22" ht="15.75" x14ac:dyDescent="0.25">
      <c r="A17" s="322">
        <f t="shared" si="14"/>
        <v>12</v>
      </c>
      <c r="B17" s="360"/>
      <c r="C17" s="331"/>
      <c r="D17" s="298" t="e">
        <f>VLOOKUP(C17,УЗиНП!$C$3:$D$1464,2,FALSE)</f>
        <v>#N/A</v>
      </c>
      <c r="E17" s="363"/>
      <c r="F17" s="363"/>
      <c r="G17" s="363"/>
      <c r="H17" s="363"/>
      <c r="I17" s="363"/>
      <c r="J17" s="363"/>
      <c r="K17" s="363"/>
      <c r="L17" s="363"/>
      <c r="M17" s="363"/>
      <c r="N17" s="364"/>
      <c r="O17" s="363"/>
      <c r="P17" s="363"/>
      <c r="Q17" s="363"/>
      <c r="R17" s="363"/>
      <c r="S17" s="363"/>
      <c r="T17" s="363"/>
      <c r="U17" s="364"/>
      <c r="V17" s="364"/>
    </row>
    <row r="18" spans="1:22" ht="15.75" x14ac:dyDescent="0.25">
      <c r="A18" s="322">
        <f t="shared" si="14"/>
        <v>13</v>
      </c>
      <c r="B18" s="360"/>
      <c r="C18" s="331"/>
      <c r="D18" s="298" t="e">
        <f>VLOOKUP(C18,УЗиНП!$C$3:$D$1464,2,FALSE)</f>
        <v>#N/A</v>
      </c>
      <c r="E18" s="363"/>
      <c r="F18" s="363"/>
      <c r="G18" s="363"/>
      <c r="H18" s="363"/>
      <c r="I18" s="363"/>
      <c r="J18" s="363"/>
      <c r="K18" s="363"/>
      <c r="L18" s="363"/>
      <c r="M18" s="363"/>
      <c r="N18" s="364"/>
      <c r="O18" s="363"/>
      <c r="P18" s="363"/>
      <c r="Q18" s="363"/>
      <c r="R18" s="363"/>
      <c r="S18" s="363"/>
      <c r="T18" s="363"/>
      <c r="U18" s="364"/>
      <c r="V18" s="364"/>
    </row>
    <row r="19" spans="1:22" ht="15.75" x14ac:dyDescent="0.25">
      <c r="A19" s="322">
        <f t="shared" si="14"/>
        <v>14</v>
      </c>
      <c r="B19" s="360"/>
      <c r="C19" s="331"/>
      <c r="D19" s="298" t="e">
        <f>VLOOKUP(C19,УЗиНП!$C$3:$D$1464,2,FALSE)</f>
        <v>#N/A</v>
      </c>
      <c r="E19" s="363"/>
      <c r="F19" s="363"/>
      <c r="G19" s="363"/>
      <c r="H19" s="363"/>
      <c r="I19" s="363"/>
      <c r="J19" s="363"/>
      <c r="K19" s="363"/>
      <c r="L19" s="363"/>
      <c r="M19" s="363"/>
      <c r="N19" s="364"/>
      <c r="O19" s="363"/>
      <c r="P19" s="363"/>
      <c r="Q19" s="363"/>
      <c r="R19" s="363"/>
      <c r="S19" s="363"/>
      <c r="T19" s="363"/>
      <c r="U19" s="364"/>
      <c r="V19" s="364"/>
    </row>
    <row r="20" spans="1:22" ht="15.75" x14ac:dyDescent="0.25">
      <c r="A20" s="322">
        <f t="shared" si="14"/>
        <v>15</v>
      </c>
      <c r="B20" s="360"/>
      <c r="C20" s="331"/>
      <c r="D20" s="298" t="e">
        <f>VLOOKUP(C20,УЗиНП!$C$3:$D$1464,2,FALSE)</f>
        <v>#N/A</v>
      </c>
      <c r="E20" s="363"/>
      <c r="F20" s="363"/>
      <c r="G20" s="363"/>
      <c r="H20" s="363"/>
      <c r="I20" s="363"/>
      <c r="J20" s="363"/>
      <c r="K20" s="363"/>
      <c r="L20" s="363"/>
      <c r="M20" s="363"/>
      <c r="N20" s="364"/>
      <c r="O20" s="363"/>
      <c r="P20" s="363"/>
      <c r="Q20" s="363"/>
      <c r="R20" s="363"/>
      <c r="S20" s="363"/>
      <c r="T20" s="363"/>
      <c r="U20" s="364"/>
      <c r="V20" s="364"/>
    </row>
    <row r="21" spans="1:22" ht="15.75" x14ac:dyDescent="0.25">
      <c r="A21" s="322">
        <f t="shared" si="14"/>
        <v>16</v>
      </c>
      <c r="B21" s="360"/>
      <c r="C21" s="331"/>
      <c r="D21" s="298" t="e">
        <f>VLOOKUP(C21,УЗиНП!$C$3:$D$1464,2,FALSE)</f>
        <v>#N/A</v>
      </c>
      <c r="E21" s="363"/>
      <c r="F21" s="363"/>
      <c r="G21" s="363"/>
      <c r="H21" s="363"/>
      <c r="I21" s="363"/>
      <c r="J21" s="363"/>
      <c r="K21" s="363"/>
      <c r="L21" s="363"/>
      <c r="M21" s="363"/>
      <c r="N21" s="364"/>
      <c r="O21" s="363"/>
      <c r="P21" s="363"/>
      <c r="Q21" s="363"/>
      <c r="R21" s="363"/>
      <c r="S21" s="363"/>
      <c r="T21" s="363"/>
      <c r="U21" s="364"/>
      <c r="V21" s="364"/>
    </row>
    <row r="22" spans="1:22" ht="15.75" x14ac:dyDescent="0.25">
      <c r="A22" s="322">
        <f t="shared" si="14"/>
        <v>17</v>
      </c>
      <c r="B22" s="360"/>
      <c r="C22" s="331"/>
      <c r="D22" s="298" t="e">
        <f>VLOOKUP(C22,УЗиНП!$C$3:$D$1464,2,FALSE)</f>
        <v>#N/A</v>
      </c>
      <c r="E22" s="363"/>
      <c r="F22" s="363"/>
      <c r="G22" s="363"/>
      <c r="H22" s="363"/>
      <c r="I22" s="363"/>
      <c r="J22" s="363"/>
      <c r="K22" s="363"/>
      <c r="L22" s="363"/>
      <c r="M22" s="363"/>
      <c r="N22" s="364"/>
      <c r="O22" s="363"/>
      <c r="P22" s="363"/>
      <c r="Q22" s="363"/>
      <c r="R22" s="363"/>
      <c r="S22" s="363"/>
      <c r="T22" s="363"/>
      <c r="U22" s="364"/>
      <c r="V22" s="364"/>
    </row>
    <row r="23" spans="1:22" ht="15.75" x14ac:dyDescent="0.25">
      <c r="A23" s="322">
        <f t="shared" si="14"/>
        <v>18</v>
      </c>
      <c r="B23" s="360"/>
      <c r="C23" s="331"/>
      <c r="D23" s="298" t="e">
        <f>VLOOKUP(C23,УЗиНП!$C$3:$D$1464,2,FALSE)</f>
        <v>#N/A</v>
      </c>
      <c r="E23" s="363"/>
      <c r="F23" s="363"/>
      <c r="G23" s="363"/>
      <c r="H23" s="363"/>
      <c r="I23" s="363"/>
      <c r="J23" s="363"/>
      <c r="K23" s="363"/>
      <c r="L23" s="363"/>
      <c r="M23" s="363"/>
      <c r="N23" s="364"/>
      <c r="O23" s="363"/>
      <c r="P23" s="363"/>
      <c r="Q23" s="363"/>
      <c r="R23" s="363"/>
      <c r="S23" s="363"/>
      <c r="T23" s="363"/>
      <c r="U23" s="364"/>
      <c r="V23" s="364"/>
    </row>
    <row r="24" spans="1:22" ht="15.75" x14ac:dyDescent="0.25">
      <c r="A24" s="322">
        <f t="shared" si="14"/>
        <v>19</v>
      </c>
      <c r="B24" s="360"/>
      <c r="C24" s="331"/>
      <c r="D24" s="298" t="e">
        <f>VLOOKUP(C24,УЗиНП!$C$3:$D$1464,2,FALSE)</f>
        <v>#N/A</v>
      </c>
      <c r="E24" s="363"/>
      <c r="F24" s="363"/>
      <c r="G24" s="363"/>
      <c r="H24" s="363"/>
      <c r="I24" s="363"/>
      <c r="J24" s="363"/>
      <c r="K24" s="363"/>
      <c r="L24" s="363"/>
      <c r="M24" s="363"/>
      <c r="N24" s="364"/>
      <c r="O24" s="363"/>
      <c r="P24" s="363"/>
      <c r="Q24" s="363"/>
      <c r="R24" s="363"/>
      <c r="S24" s="363"/>
      <c r="T24" s="363"/>
      <c r="U24" s="364"/>
      <c r="V24" s="364"/>
    </row>
    <row r="25" spans="1:22" ht="15.75" x14ac:dyDescent="0.25">
      <c r="A25" s="322">
        <f t="shared" si="14"/>
        <v>20</v>
      </c>
      <c r="B25" s="360"/>
      <c r="C25" s="331"/>
      <c r="D25" s="298" t="e">
        <f>VLOOKUP(C25,УЗиНП!$C$3:$D$1464,2,FALSE)</f>
        <v>#N/A</v>
      </c>
      <c r="E25" s="363"/>
      <c r="F25" s="363"/>
      <c r="G25" s="363"/>
      <c r="H25" s="363"/>
      <c r="I25" s="363"/>
      <c r="J25" s="363"/>
      <c r="K25" s="363"/>
      <c r="L25" s="363"/>
      <c r="M25" s="363"/>
      <c r="N25" s="364"/>
      <c r="O25" s="363"/>
      <c r="P25" s="363"/>
      <c r="Q25" s="363"/>
      <c r="R25" s="363"/>
      <c r="S25" s="363"/>
      <c r="T25" s="363"/>
      <c r="U25" s="364"/>
      <c r="V25" s="364"/>
    </row>
    <row r="26" spans="1:22" ht="15.75" x14ac:dyDescent="0.25">
      <c r="A26" s="322">
        <f t="shared" si="14"/>
        <v>21</v>
      </c>
      <c r="B26" s="360"/>
      <c r="C26" s="331"/>
      <c r="D26" s="298" t="e">
        <f>VLOOKUP(C26,УЗиНП!$C$3:$D$1464,2,FALSE)</f>
        <v>#N/A</v>
      </c>
      <c r="E26" s="363"/>
      <c r="F26" s="363"/>
      <c r="G26" s="363"/>
      <c r="H26" s="363"/>
      <c r="I26" s="363"/>
      <c r="J26" s="363"/>
      <c r="K26" s="363"/>
      <c r="L26" s="363"/>
      <c r="M26" s="363"/>
      <c r="N26" s="364"/>
      <c r="O26" s="363"/>
      <c r="P26" s="363"/>
      <c r="Q26" s="363"/>
      <c r="R26" s="363"/>
      <c r="S26" s="363"/>
      <c r="T26" s="363"/>
      <c r="U26" s="364"/>
      <c r="V26" s="364"/>
    </row>
    <row r="27" spans="1:22" ht="15.75" x14ac:dyDescent="0.25">
      <c r="A27" s="322">
        <f t="shared" si="14"/>
        <v>22</v>
      </c>
      <c r="B27" s="360"/>
      <c r="C27" s="331"/>
      <c r="D27" s="298" t="e">
        <f>VLOOKUP(C27,УЗиНП!$C$3:$D$1464,2,FALSE)</f>
        <v>#N/A</v>
      </c>
      <c r="E27" s="363"/>
      <c r="F27" s="363"/>
      <c r="G27" s="363"/>
      <c r="H27" s="363"/>
      <c r="I27" s="363"/>
      <c r="J27" s="363"/>
      <c r="K27" s="363"/>
      <c r="L27" s="363"/>
      <c r="M27" s="363"/>
      <c r="N27" s="364"/>
      <c r="O27" s="363"/>
      <c r="P27" s="363"/>
      <c r="Q27" s="363"/>
      <c r="R27" s="363"/>
      <c r="S27" s="363"/>
      <c r="T27" s="363"/>
      <c r="U27" s="364"/>
      <c r="V27" s="364"/>
    </row>
    <row r="28" spans="1:22" ht="15.75" x14ac:dyDescent="0.25">
      <c r="A28" s="322">
        <f t="shared" si="14"/>
        <v>23</v>
      </c>
      <c r="B28" s="360"/>
      <c r="C28" s="331"/>
      <c r="D28" s="298" t="e">
        <f>VLOOKUP(C28,УЗиНП!$C$3:$D$1464,2,FALSE)</f>
        <v>#N/A</v>
      </c>
      <c r="E28" s="363"/>
      <c r="F28" s="363"/>
      <c r="G28" s="363"/>
      <c r="H28" s="363"/>
      <c r="I28" s="363"/>
      <c r="J28" s="363"/>
      <c r="K28" s="363"/>
      <c r="L28" s="363"/>
      <c r="M28" s="363"/>
      <c r="N28" s="364"/>
      <c r="O28" s="363"/>
      <c r="P28" s="363"/>
      <c r="Q28" s="363"/>
      <c r="R28" s="363"/>
      <c r="S28" s="363"/>
      <c r="T28" s="363"/>
      <c r="U28" s="364"/>
      <c r="V28" s="364"/>
    </row>
    <row r="29" spans="1:22" ht="15.75" x14ac:dyDescent="0.25">
      <c r="A29" s="322">
        <f t="shared" si="14"/>
        <v>24</v>
      </c>
      <c r="B29" s="360"/>
      <c r="C29" s="331"/>
      <c r="D29" s="298" t="e">
        <f>VLOOKUP(C29,УЗиНП!$C$3:$D$1464,2,FALSE)</f>
        <v>#N/A</v>
      </c>
      <c r="E29" s="363"/>
      <c r="F29" s="363"/>
      <c r="G29" s="363"/>
      <c r="H29" s="363"/>
      <c r="I29" s="363"/>
      <c r="J29" s="363"/>
      <c r="K29" s="363"/>
      <c r="L29" s="363"/>
      <c r="M29" s="363"/>
      <c r="N29" s="364"/>
      <c r="O29" s="363"/>
      <c r="P29" s="363"/>
      <c r="Q29" s="363"/>
      <c r="R29" s="363"/>
      <c r="S29" s="363"/>
      <c r="T29" s="363"/>
      <c r="U29" s="364"/>
      <c r="V29" s="364"/>
    </row>
    <row r="30" spans="1:22" ht="15.75" x14ac:dyDescent="0.25">
      <c r="A30" s="322">
        <f t="shared" si="14"/>
        <v>25</v>
      </c>
      <c r="B30" s="360"/>
      <c r="C30" s="331"/>
      <c r="D30" s="298" t="e">
        <f>VLOOKUP(C30,УЗиНП!$C$3:$D$1464,2,FALSE)</f>
        <v>#N/A</v>
      </c>
      <c r="E30" s="363"/>
      <c r="F30" s="363"/>
      <c r="G30" s="363"/>
      <c r="H30" s="363"/>
      <c r="I30" s="363"/>
      <c r="J30" s="363"/>
      <c r="K30" s="363"/>
      <c r="L30" s="363"/>
      <c r="M30" s="363"/>
      <c r="N30" s="364"/>
      <c r="O30" s="363"/>
      <c r="P30" s="363"/>
      <c r="Q30" s="363"/>
      <c r="R30" s="363"/>
      <c r="S30" s="363"/>
      <c r="T30" s="363"/>
      <c r="U30" s="364"/>
      <c r="V30" s="364"/>
    </row>
    <row r="31" spans="1:22" ht="15.75" x14ac:dyDescent="0.25">
      <c r="A31" s="322">
        <f t="shared" si="14"/>
        <v>26</v>
      </c>
      <c r="B31" s="360"/>
      <c r="C31" s="331"/>
      <c r="D31" s="298" t="e">
        <f>VLOOKUP(C31,УЗиНП!$C$3:$D$1464,2,FALSE)</f>
        <v>#N/A</v>
      </c>
      <c r="E31" s="363"/>
      <c r="F31" s="363"/>
      <c r="G31" s="363"/>
      <c r="H31" s="363"/>
      <c r="I31" s="363"/>
      <c r="J31" s="363"/>
      <c r="K31" s="363"/>
      <c r="L31" s="363"/>
      <c r="M31" s="363"/>
      <c r="N31" s="364"/>
      <c r="O31" s="363"/>
      <c r="P31" s="363"/>
      <c r="Q31" s="363"/>
      <c r="R31" s="363"/>
      <c r="S31" s="363"/>
      <c r="T31" s="363"/>
      <c r="U31" s="364"/>
      <c r="V31" s="364"/>
    </row>
    <row r="32" spans="1:22" ht="15.75" x14ac:dyDescent="0.25">
      <c r="A32" s="322">
        <f t="shared" si="14"/>
        <v>27</v>
      </c>
      <c r="B32" s="360"/>
      <c r="C32" s="331"/>
      <c r="D32" s="298" t="e">
        <f>VLOOKUP(C32,УЗиНП!$C$3:$D$1464,2,FALSE)</f>
        <v>#N/A</v>
      </c>
      <c r="E32" s="363"/>
      <c r="F32" s="363"/>
      <c r="G32" s="363"/>
      <c r="H32" s="363"/>
      <c r="I32" s="363"/>
      <c r="J32" s="363"/>
      <c r="K32" s="363"/>
      <c r="L32" s="363"/>
      <c r="M32" s="363"/>
      <c r="N32" s="364"/>
      <c r="O32" s="363"/>
      <c r="P32" s="363"/>
      <c r="Q32" s="363"/>
      <c r="R32" s="363"/>
      <c r="S32" s="363"/>
      <c r="T32" s="363"/>
      <c r="U32" s="364"/>
      <c r="V32" s="364"/>
    </row>
    <row r="33" spans="1:22" ht="15.75" x14ac:dyDescent="0.25">
      <c r="A33" s="322">
        <f t="shared" si="14"/>
        <v>28</v>
      </c>
      <c r="B33" s="360"/>
      <c r="C33" s="331"/>
      <c r="D33" s="298" t="e">
        <f>VLOOKUP(C33,УЗиНП!$C$3:$D$1464,2,FALSE)</f>
        <v>#N/A</v>
      </c>
      <c r="E33" s="363"/>
      <c r="F33" s="363"/>
      <c r="G33" s="363"/>
      <c r="H33" s="363"/>
      <c r="I33" s="363"/>
      <c r="J33" s="363"/>
      <c r="K33" s="363"/>
      <c r="L33" s="363"/>
      <c r="M33" s="363"/>
      <c r="N33" s="364"/>
      <c r="O33" s="363"/>
      <c r="P33" s="363"/>
      <c r="Q33" s="363"/>
      <c r="R33" s="363"/>
      <c r="S33" s="363"/>
      <c r="T33" s="363"/>
      <c r="U33" s="364"/>
      <c r="V33" s="364"/>
    </row>
    <row r="34" spans="1:22" ht="15.75" x14ac:dyDescent="0.25">
      <c r="A34" s="322">
        <f t="shared" si="14"/>
        <v>29</v>
      </c>
      <c r="B34" s="360"/>
      <c r="C34" s="331"/>
      <c r="D34" s="298" t="e">
        <f>VLOOKUP(C34,УЗиНП!$C$3:$D$1464,2,FALSE)</f>
        <v>#N/A</v>
      </c>
      <c r="E34" s="363"/>
      <c r="F34" s="363"/>
      <c r="G34" s="363"/>
      <c r="H34" s="363"/>
      <c r="I34" s="363"/>
      <c r="J34" s="363"/>
      <c r="K34" s="363"/>
      <c r="L34" s="363"/>
      <c r="M34" s="363"/>
      <c r="N34" s="364"/>
      <c r="O34" s="363"/>
      <c r="P34" s="363"/>
      <c r="Q34" s="363"/>
      <c r="R34" s="363"/>
      <c r="S34" s="363"/>
      <c r="T34" s="363"/>
      <c r="U34" s="364"/>
      <c r="V34" s="364"/>
    </row>
    <row r="35" spans="1:22" ht="15.75" x14ac:dyDescent="0.25">
      <c r="A35" s="322">
        <f t="shared" si="14"/>
        <v>30</v>
      </c>
      <c r="B35" s="360"/>
      <c r="C35" s="331"/>
      <c r="D35" s="298" t="e">
        <f>VLOOKUP(C35,УЗиНП!$C$3:$D$1464,2,FALSE)</f>
        <v>#N/A</v>
      </c>
      <c r="E35" s="363"/>
      <c r="F35" s="363"/>
      <c r="G35" s="363"/>
      <c r="H35" s="363"/>
      <c r="I35" s="363"/>
      <c r="J35" s="363"/>
      <c r="K35" s="363"/>
      <c r="L35" s="363"/>
      <c r="M35" s="363"/>
      <c r="N35" s="364"/>
      <c r="O35" s="363"/>
      <c r="P35" s="363"/>
      <c r="Q35" s="363"/>
      <c r="R35" s="363"/>
      <c r="S35" s="363"/>
      <c r="T35" s="363"/>
      <c r="U35" s="364"/>
      <c r="V35" s="364"/>
    </row>
    <row r="36" spans="1:22" ht="15.75" x14ac:dyDescent="0.25">
      <c r="A36" s="322">
        <f t="shared" si="14"/>
        <v>31</v>
      </c>
      <c r="B36" s="360"/>
      <c r="C36" s="331"/>
      <c r="D36" s="298" t="e">
        <f>VLOOKUP(C36,УЗиНП!$C$3:$D$1464,2,FALSE)</f>
        <v>#N/A</v>
      </c>
      <c r="E36" s="363"/>
      <c r="F36" s="363"/>
      <c r="G36" s="363"/>
      <c r="H36" s="363"/>
      <c r="I36" s="363"/>
      <c r="J36" s="363"/>
      <c r="K36" s="363"/>
      <c r="L36" s="363"/>
      <c r="M36" s="363"/>
      <c r="N36" s="364"/>
      <c r="O36" s="363"/>
      <c r="P36" s="363"/>
      <c r="Q36" s="363"/>
      <c r="R36" s="363"/>
      <c r="S36" s="363"/>
      <c r="T36" s="363"/>
      <c r="U36" s="364"/>
      <c r="V36" s="364"/>
    </row>
    <row r="37" spans="1:22" ht="15.75" x14ac:dyDescent="0.25">
      <c r="A37" s="322">
        <f t="shared" si="14"/>
        <v>32</v>
      </c>
      <c r="B37" s="360"/>
      <c r="C37" s="331"/>
      <c r="D37" s="298" t="e">
        <f>VLOOKUP(C37,УЗиНП!$C$3:$D$1464,2,FALSE)</f>
        <v>#N/A</v>
      </c>
      <c r="E37" s="363"/>
      <c r="F37" s="363"/>
      <c r="G37" s="363"/>
      <c r="H37" s="363"/>
      <c r="I37" s="363"/>
      <c r="J37" s="363"/>
      <c r="K37" s="363"/>
      <c r="L37" s="363"/>
      <c r="M37" s="363"/>
      <c r="N37" s="364"/>
      <c r="O37" s="363"/>
      <c r="P37" s="363"/>
      <c r="Q37" s="363"/>
      <c r="R37" s="363"/>
      <c r="S37" s="363"/>
      <c r="T37" s="363"/>
      <c r="U37" s="364"/>
      <c r="V37" s="364"/>
    </row>
    <row r="38" spans="1:22" ht="15.75" x14ac:dyDescent="0.25">
      <c r="A38" s="322">
        <f t="shared" si="14"/>
        <v>33</v>
      </c>
      <c r="B38" s="360"/>
      <c r="C38" s="331"/>
      <c r="D38" s="298" t="e">
        <f>VLOOKUP(C38,УЗиНП!$C$3:$D$1464,2,FALSE)</f>
        <v>#N/A</v>
      </c>
      <c r="E38" s="363"/>
      <c r="F38" s="363"/>
      <c r="G38" s="363"/>
      <c r="H38" s="363"/>
      <c r="I38" s="363"/>
      <c r="J38" s="363"/>
      <c r="K38" s="363"/>
      <c r="L38" s="363"/>
      <c r="M38" s="363"/>
      <c r="N38" s="364"/>
      <c r="O38" s="363"/>
      <c r="P38" s="363"/>
      <c r="Q38" s="363"/>
      <c r="R38" s="363"/>
      <c r="S38" s="363"/>
      <c r="T38" s="363"/>
      <c r="U38" s="364"/>
      <c r="V38" s="364"/>
    </row>
    <row r="39" spans="1:22" ht="15.75" x14ac:dyDescent="0.25">
      <c r="A39" s="322">
        <f t="shared" si="14"/>
        <v>34</v>
      </c>
      <c r="B39" s="360"/>
      <c r="C39" s="331"/>
      <c r="D39" s="298" t="e">
        <f>VLOOKUP(C39,УЗиНП!$C$3:$D$1464,2,FALSE)</f>
        <v>#N/A</v>
      </c>
      <c r="E39" s="363"/>
      <c r="F39" s="363"/>
      <c r="G39" s="363"/>
      <c r="H39" s="363"/>
      <c r="I39" s="363"/>
      <c r="J39" s="363"/>
      <c r="K39" s="363"/>
      <c r="L39" s="363"/>
      <c r="M39" s="363"/>
      <c r="N39" s="364"/>
      <c r="O39" s="363"/>
      <c r="P39" s="363"/>
      <c r="Q39" s="363"/>
      <c r="R39" s="363"/>
      <c r="S39" s="363"/>
      <c r="T39" s="363"/>
      <c r="U39" s="364"/>
      <c r="V39" s="364"/>
    </row>
    <row r="40" spans="1:22" ht="15.75" x14ac:dyDescent="0.25">
      <c r="A40" s="322">
        <f t="shared" si="14"/>
        <v>35</v>
      </c>
      <c r="B40" s="360"/>
      <c r="C40" s="331"/>
      <c r="D40" s="298" t="e">
        <f>VLOOKUP(C40,УЗиНП!$C$3:$D$1464,2,FALSE)</f>
        <v>#N/A</v>
      </c>
      <c r="E40" s="363"/>
      <c r="F40" s="363"/>
      <c r="G40" s="363"/>
      <c r="H40" s="363"/>
      <c r="I40" s="363"/>
      <c r="J40" s="363"/>
      <c r="K40" s="363"/>
      <c r="L40" s="363"/>
      <c r="M40" s="363"/>
      <c r="N40" s="364"/>
      <c r="O40" s="363"/>
      <c r="P40" s="363"/>
      <c r="Q40" s="363"/>
      <c r="R40" s="363"/>
      <c r="S40" s="363"/>
      <c r="T40" s="363"/>
      <c r="U40" s="364"/>
      <c r="V40" s="364"/>
    </row>
    <row r="41" spans="1:22" ht="15.75" x14ac:dyDescent="0.25">
      <c r="A41" s="322">
        <f t="shared" si="14"/>
        <v>36</v>
      </c>
      <c r="B41" s="360"/>
      <c r="C41" s="331"/>
      <c r="D41" s="298" t="e">
        <f>VLOOKUP(C41,УЗиНП!$C$3:$D$1464,2,FALSE)</f>
        <v>#N/A</v>
      </c>
      <c r="E41" s="363"/>
      <c r="F41" s="363"/>
      <c r="G41" s="363"/>
      <c r="H41" s="363"/>
      <c r="I41" s="363"/>
      <c r="J41" s="363"/>
      <c r="K41" s="363"/>
      <c r="L41" s="363"/>
      <c r="M41" s="363"/>
      <c r="N41" s="364"/>
      <c r="O41" s="363"/>
      <c r="P41" s="363"/>
      <c r="Q41" s="363"/>
      <c r="R41" s="363"/>
      <c r="S41" s="363"/>
      <c r="T41" s="363"/>
      <c r="U41" s="364"/>
      <c r="V41" s="364"/>
    </row>
    <row r="42" spans="1:22" ht="15.75" x14ac:dyDescent="0.25">
      <c r="A42" s="322">
        <f t="shared" si="14"/>
        <v>37</v>
      </c>
      <c r="B42" s="360"/>
      <c r="C42" s="331"/>
      <c r="D42" s="298" t="e">
        <f>VLOOKUP(C42,УЗиНП!$C$3:$D$1464,2,FALSE)</f>
        <v>#N/A</v>
      </c>
      <c r="E42" s="363"/>
      <c r="F42" s="363"/>
      <c r="G42" s="363"/>
      <c r="H42" s="363"/>
      <c r="I42" s="363"/>
      <c r="J42" s="363"/>
      <c r="K42" s="363"/>
      <c r="L42" s="363"/>
      <c r="M42" s="363"/>
      <c r="N42" s="364"/>
      <c r="O42" s="363"/>
      <c r="P42" s="363"/>
      <c r="Q42" s="363"/>
      <c r="R42" s="363"/>
      <c r="S42" s="363"/>
      <c r="T42" s="363"/>
      <c r="U42" s="364"/>
      <c r="V42" s="364"/>
    </row>
    <row r="43" spans="1:22" ht="15.75" x14ac:dyDescent="0.25">
      <c r="A43" s="322">
        <f t="shared" si="14"/>
        <v>38</v>
      </c>
      <c r="B43" s="360"/>
      <c r="C43" s="331"/>
      <c r="D43" s="298" t="e">
        <f>VLOOKUP(C43,УЗиНП!$C$3:$D$1464,2,FALSE)</f>
        <v>#N/A</v>
      </c>
      <c r="E43" s="363"/>
      <c r="F43" s="363"/>
      <c r="G43" s="363"/>
      <c r="H43" s="363"/>
      <c r="I43" s="363"/>
      <c r="J43" s="363"/>
      <c r="K43" s="363"/>
      <c r="L43" s="363"/>
      <c r="M43" s="363"/>
      <c r="N43" s="364"/>
      <c r="O43" s="363"/>
      <c r="P43" s="363"/>
      <c r="Q43" s="363"/>
      <c r="R43" s="363"/>
      <c r="S43" s="363"/>
      <c r="T43" s="363"/>
      <c r="U43" s="364"/>
      <c r="V43" s="364"/>
    </row>
    <row r="44" spans="1:22" ht="15.75" x14ac:dyDescent="0.25">
      <c r="A44" s="322">
        <f t="shared" si="14"/>
        <v>39</v>
      </c>
      <c r="B44" s="360"/>
      <c r="C44" s="331"/>
      <c r="D44" s="298" t="e">
        <f>VLOOKUP(C44,УЗиНП!$C$3:$D$1464,2,FALSE)</f>
        <v>#N/A</v>
      </c>
      <c r="E44" s="363"/>
      <c r="F44" s="363"/>
      <c r="G44" s="363"/>
      <c r="H44" s="363"/>
      <c r="I44" s="363"/>
      <c r="J44" s="363"/>
      <c r="K44" s="363"/>
      <c r="L44" s="363"/>
      <c r="M44" s="363"/>
      <c r="N44" s="364"/>
      <c r="O44" s="363"/>
      <c r="P44" s="363"/>
      <c r="Q44" s="363"/>
      <c r="R44" s="363"/>
      <c r="S44" s="363"/>
      <c r="T44" s="363"/>
      <c r="U44" s="364"/>
      <c r="V44" s="364"/>
    </row>
    <row r="45" spans="1:22" ht="15.75" x14ac:dyDescent="0.25">
      <c r="A45" s="322">
        <f t="shared" si="14"/>
        <v>40</v>
      </c>
      <c r="B45" s="360"/>
      <c r="C45" s="331"/>
      <c r="D45" s="298" t="e">
        <f>VLOOKUP(C45,УЗиНП!$C$3:$D$1464,2,FALSE)</f>
        <v>#N/A</v>
      </c>
      <c r="E45" s="363"/>
      <c r="F45" s="363"/>
      <c r="G45" s="363"/>
      <c r="H45" s="363"/>
      <c r="I45" s="363"/>
      <c r="J45" s="363"/>
      <c r="K45" s="363"/>
      <c r="L45" s="363"/>
      <c r="M45" s="363"/>
      <c r="N45" s="364"/>
      <c r="O45" s="363"/>
      <c r="P45" s="363"/>
      <c r="Q45" s="363"/>
      <c r="R45" s="363"/>
      <c r="S45" s="363"/>
      <c r="T45" s="363"/>
      <c r="U45" s="364"/>
      <c r="V45" s="364"/>
    </row>
    <row r="46" spans="1:22" ht="15.75" x14ac:dyDescent="0.25">
      <c r="A46" s="322">
        <f t="shared" si="14"/>
        <v>41</v>
      </c>
      <c r="B46" s="360"/>
      <c r="C46" s="331"/>
      <c r="D46" s="298" t="e">
        <f>VLOOKUP(C46,УЗиНП!$C$3:$D$1464,2,FALSE)</f>
        <v>#N/A</v>
      </c>
      <c r="E46" s="363"/>
      <c r="F46" s="363"/>
      <c r="G46" s="363"/>
      <c r="H46" s="363"/>
      <c r="I46" s="363"/>
      <c r="J46" s="363"/>
      <c r="K46" s="363"/>
      <c r="L46" s="363"/>
      <c r="M46" s="363"/>
      <c r="N46" s="364"/>
      <c r="O46" s="363"/>
      <c r="P46" s="363"/>
      <c r="Q46" s="363"/>
      <c r="R46" s="363"/>
      <c r="S46" s="363"/>
      <c r="T46" s="363"/>
      <c r="U46" s="364"/>
      <c r="V46" s="364"/>
    </row>
    <row r="47" spans="1:22" ht="15.75" x14ac:dyDescent="0.25">
      <c r="A47" s="322">
        <f t="shared" si="14"/>
        <v>42</v>
      </c>
      <c r="B47" s="360"/>
      <c r="C47" s="331"/>
      <c r="D47" s="298" t="e">
        <f>VLOOKUP(C47,УЗиНП!$C$3:$D$1464,2,FALSE)</f>
        <v>#N/A</v>
      </c>
      <c r="E47" s="363"/>
      <c r="F47" s="363"/>
      <c r="G47" s="363"/>
      <c r="H47" s="363"/>
      <c r="I47" s="363"/>
      <c r="J47" s="363"/>
      <c r="K47" s="363"/>
      <c r="L47" s="363"/>
      <c r="M47" s="363"/>
      <c r="N47" s="364"/>
      <c r="O47" s="363"/>
      <c r="P47" s="363"/>
      <c r="Q47" s="363"/>
      <c r="R47" s="363"/>
      <c r="S47" s="363"/>
      <c r="T47" s="363"/>
      <c r="U47" s="364"/>
      <c r="V47" s="364"/>
    </row>
    <row r="48" spans="1:22" ht="15.75" x14ac:dyDescent="0.25">
      <c r="A48" s="322">
        <f t="shared" si="14"/>
        <v>43</v>
      </c>
      <c r="B48" s="360"/>
      <c r="C48" s="331"/>
      <c r="D48" s="298" t="e">
        <f>VLOOKUP(C48,УЗиНП!$C$3:$D$1464,2,FALSE)</f>
        <v>#N/A</v>
      </c>
      <c r="E48" s="363"/>
      <c r="F48" s="363"/>
      <c r="G48" s="363"/>
      <c r="H48" s="363"/>
      <c r="I48" s="363"/>
      <c r="J48" s="363"/>
      <c r="K48" s="363"/>
      <c r="L48" s="363"/>
      <c r="M48" s="363"/>
      <c r="N48" s="364"/>
      <c r="O48" s="363"/>
      <c r="P48" s="363"/>
      <c r="Q48" s="363"/>
      <c r="R48" s="363"/>
      <c r="S48" s="363"/>
      <c r="T48" s="363"/>
      <c r="U48" s="364"/>
      <c r="V48" s="364"/>
    </row>
    <row r="49" spans="1:22" ht="15.75" x14ac:dyDescent="0.25">
      <c r="A49" s="322">
        <f t="shared" si="14"/>
        <v>44</v>
      </c>
      <c r="B49" s="360"/>
      <c r="C49" s="331"/>
      <c r="D49" s="298" t="e">
        <f>VLOOKUP(C49,УЗиНП!$C$3:$D$1464,2,FALSE)</f>
        <v>#N/A</v>
      </c>
      <c r="E49" s="363"/>
      <c r="F49" s="363"/>
      <c r="G49" s="363"/>
      <c r="H49" s="363"/>
      <c r="I49" s="363"/>
      <c r="J49" s="363"/>
      <c r="K49" s="363"/>
      <c r="L49" s="363"/>
      <c r="M49" s="363"/>
      <c r="N49" s="364"/>
      <c r="O49" s="363"/>
      <c r="P49" s="363"/>
      <c r="Q49" s="363"/>
      <c r="R49" s="363"/>
      <c r="S49" s="363"/>
      <c r="T49" s="363"/>
      <c r="U49" s="364"/>
      <c r="V49" s="364"/>
    </row>
    <row r="50" spans="1:22" ht="15.75" x14ac:dyDescent="0.25">
      <c r="A50" s="322">
        <f t="shared" si="14"/>
        <v>45</v>
      </c>
      <c r="B50" s="360"/>
      <c r="C50" s="331"/>
      <c r="D50" s="298" t="e">
        <f>VLOOKUP(C50,УЗиНП!$C$3:$D$1464,2,FALSE)</f>
        <v>#N/A</v>
      </c>
      <c r="E50" s="363"/>
      <c r="F50" s="363"/>
      <c r="G50" s="363"/>
      <c r="H50" s="363"/>
      <c r="I50" s="363"/>
      <c r="J50" s="363"/>
      <c r="K50" s="363"/>
      <c r="L50" s="363"/>
      <c r="M50" s="363"/>
      <c r="N50" s="364"/>
      <c r="O50" s="363"/>
      <c r="P50" s="363"/>
      <c r="Q50" s="363"/>
      <c r="R50" s="363"/>
      <c r="S50" s="363"/>
      <c r="T50" s="363"/>
      <c r="U50" s="364"/>
      <c r="V50" s="364"/>
    </row>
    <row r="51" spans="1:22" ht="15.75" x14ac:dyDescent="0.25">
      <c r="A51" s="322">
        <f t="shared" si="14"/>
        <v>46</v>
      </c>
      <c r="B51" s="360"/>
      <c r="C51" s="331"/>
      <c r="D51" s="298" t="e">
        <f>VLOOKUP(C51,УЗиНП!$C$3:$D$1464,2,FALSE)</f>
        <v>#N/A</v>
      </c>
      <c r="E51" s="363"/>
      <c r="F51" s="363"/>
      <c r="G51" s="363"/>
      <c r="H51" s="363"/>
      <c r="I51" s="363"/>
      <c r="J51" s="363"/>
      <c r="K51" s="363"/>
      <c r="L51" s="363"/>
      <c r="M51" s="363"/>
      <c r="N51" s="364"/>
      <c r="O51" s="363"/>
      <c r="P51" s="363"/>
      <c r="Q51" s="363"/>
      <c r="R51" s="363"/>
      <c r="S51" s="363"/>
      <c r="T51" s="363"/>
      <c r="U51" s="364"/>
      <c r="V51" s="364"/>
    </row>
    <row r="52" spans="1:22" ht="15.75" x14ac:dyDescent="0.25">
      <c r="A52" s="322">
        <f t="shared" si="14"/>
        <v>47</v>
      </c>
      <c r="B52" s="360"/>
      <c r="C52" s="331"/>
      <c r="D52" s="298" t="e">
        <f>VLOOKUP(C52,УЗиНП!$C$3:$D$1464,2,FALSE)</f>
        <v>#N/A</v>
      </c>
      <c r="E52" s="363"/>
      <c r="F52" s="363"/>
      <c r="G52" s="363"/>
      <c r="H52" s="363"/>
      <c r="I52" s="363"/>
      <c r="J52" s="363"/>
      <c r="K52" s="363"/>
      <c r="L52" s="363"/>
      <c r="M52" s="363"/>
      <c r="N52" s="364"/>
      <c r="O52" s="363"/>
      <c r="P52" s="363"/>
      <c r="Q52" s="363"/>
      <c r="R52" s="363"/>
      <c r="S52" s="363"/>
      <c r="T52" s="363"/>
      <c r="U52" s="364"/>
      <c r="V52" s="364"/>
    </row>
    <row r="53" spans="1:22" ht="15.75" x14ac:dyDescent="0.25">
      <c r="A53" s="322">
        <f t="shared" si="14"/>
        <v>48</v>
      </c>
      <c r="B53" s="360"/>
      <c r="C53" s="331"/>
      <c r="D53" s="298" t="e">
        <f>VLOOKUP(C53,УЗиНП!$C$3:$D$1464,2,FALSE)</f>
        <v>#N/A</v>
      </c>
      <c r="E53" s="363"/>
      <c r="F53" s="363"/>
      <c r="G53" s="363"/>
      <c r="H53" s="363"/>
      <c r="I53" s="363"/>
      <c r="J53" s="363"/>
      <c r="K53" s="363"/>
      <c r="L53" s="363"/>
      <c r="M53" s="363"/>
      <c r="N53" s="364"/>
      <c r="O53" s="363"/>
      <c r="P53" s="363"/>
      <c r="Q53" s="363"/>
      <c r="R53" s="363"/>
      <c r="S53" s="363"/>
      <c r="T53" s="363"/>
      <c r="U53" s="364"/>
      <c r="V53" s="364"/>
    </row>
    <row r="54" spans="1:22" ht="15.75" x14ac:dyDescent="0.25">
      <c r="A54" s="322">
        <f t="shared" si="14"/>
        <v>49</v>
      </c>
      <c r="B54" s="360"/>
      <c r="C54" s="331"/>
      <c r="D54" s="298" t="e">
        <f>VLOOKUP(C54,УЗиНП!$C$3:$D$1464,2,FALSE)</f>
        <v>#N/A</v>
      </c>
      <c r="E54" s="363"/>
      <c r="F54" s="363"/>
      <c r="G54" s="363"/>
      <c r="H54" s="363"/>
      <c r="I54" s="363"/>
      <c r="J54" s="363"/>
      <c r="K54" s="363"/>
      <c r="L54" s="363"/>
      <c r="M54" s="363"/>
      <c r="N54" s="364"/>
      <c r="O54" s="363"/>
      <c r="P54" s="363"/>
      <c r="Q54" s="363"/>
      <c r="R54" s="363"/>
      <c r="S54" s="363"/>
      <c r="T54" s="363"/>
      <c r="U54" s="364"/>
      <c r="V54" s="364"/>
    </row>
    <row r="55" spans="1:22" ht="15.75" x14ac:dyDescent="0.25">
      <c r="A55" s="322">
        <f t="shared" si="14"/>
        <v>50</v>
      </c>
      <c r="B55" s="360"/>
      <c r="C55" s="331"/>
      <c r="D55" s="298" t="e">
        <f>VLOOKUP(C55,УЗиНП!$C$3:$D$1464,2,FALSE)</f>
        <v>#N/A</v>
      </c>
      <c r="E55" s="363"/>
      <c r="F55" s="363"/>
      <c r="G55" s="363"/>
      <c r="H55" s="363"/>
      <c r="I55" s="363"/>
      <c r="J55" s="363"/>
      <c r="K55" s="363"/>
      <c r="L55" s="363"/>
      <c r="M55" s="363"/>
      <c r="N55" s="364"/>
      <c r="O55" s="363"/>
      <c r="P55" s="363"/>
      <c r="Q55" s="363"/>
      <c r="R55" s="363"/>
      <c r="S55" s="363"/>
      <c r="T55" s="363"/>
      <c r="U55" s="364"/>
      <c r="V55" s="364"/>
    </row>
    <row r="56" spans="1:22" ht="15.75" x14ac:dyDescent="0.25">
      <c r="A56" s="322">
        <f t="shared" si="14"/>
        <v>51</v>
      </c>
      <c r="B56" s="360"/>
      <c r="C56" s="331"/>
      <c r="D56" s="298" t="e">
        <f>VLOOKUP(C56,УЗиНП!$C$3:$D$1464,2,FALSE)</f>
        <v>#N/A</v>
      </c>
      <c r="E56" s="363"/>
      <c r="F56" s="363"/>
      <c r="G56" s="363"/>
      <c r="H56" s="363"/>
      <c r="I56" s="363"/>
      <c r="J56" s="363"/>
      <c r="K56" s="363"/>
      <c r="L56" s="363"/>
      <c r="M56" s="363"/>
      <c r="N56" s="364"/>
      <c r="O56" s="363"/>
      <c r="P56" s="363"/>
      <c r="Q56" s="363"/>
      <c r="R56" s="363"/>
      <c r="S56" s="363"/>
      <c r="T56" s="363"/>
      <c r="U56" s="364"/>
      <c r="V56" s="364"/>
    </row>
    <row r="57" spans="1:22" ht="15.75" x14ac:dyDescent="0.25">
      <c r="A57" s="322">
        <f t="shared" si="14"/>
        <v>52</v>
      </c>
      <c r="B57" s="360"/>
      <c r="C57" s="331"/>
      <c r="D57" s="298" t="e">
        <f>VLOOKUP(C57,УЗиНП!$C$3:$D$1464,2,FALSE)</f>
        <v>#N/A</v>
      </c>
      <c r="E57" s="363"/>
      <c r="F57" s="363"/>
      <c r="G57" s="363"/>
      <c r="H57" s="363"/>
      <c r="I57" s="363"/>
      <c r="J57" s="363"/>
      <c r="K57" s="363"/>
      <c r="L57" s="363"/>
      <c r="M57" s="363"/>
      <c r="N57" s="364"/>
      <c r="O57" s="363"/>
      <c r="P57" s="363"/>
      <c r="Q57" s="363"/>
      <c r="R57" s="363"/>
      <c r="S57" s="363"/>
      <c r="T57" s="363"/>
      <c r="U57" s="364"/>
      <c r="V57" s="364"/>
    </row>
    <row r="58" spans="1:22" ht="15.75" x14ac:dyDescent="0.25">
      <c r="A58" s="322">
        <f t="shared" si="14"/>
        <v>53</v>
      </c>
      <c r="B58" s="360"/>
      <c r="C58" s="331"/>
      <c r="D58" s="298" t="e">
        <f>VLOOKUP(C58,УЗиНП!$C$3:$D$1464,2,FALSE)</f>
        <v>#N/A</v>
      </c>
      <c r="E58" s="363"/>
      <c r="F58" s="363"/>
      <c r="G58" s="363"/>
      <c r="H58" s="363"/>
      <c r="I58" s="363"/>
      <c r="J58" s="363"/>
      <c r="K58" s="363"/>
      <c r="L58" s="363"/>
      <c r="M58" s="363"/>
      <c r="N58" s="364"/>
      <c r="O58" s="363"/>
      <c r="P58" s="363"/>
      <c r="Q58" s="363"/>
      <c r="R58" s="363"/>
      <c r="S58" s="363"/>
      <c r="T58" s="363"/>
      <c r="U58" s="364"/>
      <c r="V58" s="364"/>
    </row>
    <row r="59" spans="1:22" ht="15.75" x14ac:dyDescent="0.25">
      <c r="A59" s="322">
        <f t="shared" si="14"/>
        <v>54</v>
      </c>
      <c r="B59" s="360"/>
      <c r="C59" s="331"/>
      <c r="D59" s="298" t="e">
        <f>VLOOKUP(C59,УЗиНП!$C$3:$D$1464,2,FALSE)</f>
        <v>#N/A</v>
      </c>
      <c r="E59" s="363"/>
      <c r="F59" s="363"/>
      <c r="G59" s="363"/>
      <c r="H59" s="363"/>
      <c r="I59" s="363"/>
      <c r="J59" s="363"/>
      <c r="K59" s="363"/>
      <c r="L59" s="363"/>
      <c r="M59" s="363"/>
      <c r="N59" s="364"/>
      <c r="O59" s="363"/>
      <c r="P59" s="363"/>
      <c r="Q59" s="363"/>
      <c r="R59" s="363"/>
      <c r="S59" s="363"/>
      <c r="T59" s="363"/>
      <c r="U59" s="364"/>
      <c r="V59" s="364"/>
    </row>
    <row r="60" spans="1:22" ht="15.75" x14ac:dyDescent="0.25">
      <c r="A60" s="322">
        <f t="shared" si="14"/>
        <v>55</v>
      </c>
      <c r="B60" s="360"/>
      <c r="C60" s="331"/>
      <c r="D60" s="298" t="e">
        <f>VLOOKUP(C60,УЗиНП!$C$3:$D$1464,2,FALSE)</f>
        <v>#N/A</v>
      </c>
      <c r="E60" s="363"/>
      <c r="F60" s="363"/>
      <c r="G60" s="363"/>
      <c r="H60" s="363"/>
      <c r="I60" s="363"/>
      <c r="J60" s="363"/>
      <c r="K60" s="363"/>
      <c r="L60" s="363"/>
      <c r="M60" s="363"/>
      <c r="N60" s="364"/>
      <c r="O60" s="363"/>
      <c r="P60" s="363"/>
      <c r="Q60" s="363"/>
      <c r="R60" s="363"/>
      <c r="S60" s="363"/>
      <c r="T60" s="363"/>
      <c r="U60" s="364"/>
      <c r="V60" s="364"/>
    </row>
    <row r="61" spans="1:22" ht="15.75" x14ac:dyDescent="0.25">
      <c r="A61" s="322">
        <f t="shared" si="14"/>
        <v>56</v>
      </c>
      <c r="B61" s="360"/>
      <c r="C61" s="331"/>
      <c r="D61" s="298" t="e">
        <f>VLOOKUP(C61,УЗиНП!$C$3:$D$1464,2,FALSE)</f>
        <v>#N/A</v>
      </c>
      <c r="E61" s="363"/>
      <c r="F61" s="363"/>
      <c r="G61" s="363"/>
      <c r="H61" s="363"/>
      <c r="I61" s="363"/>
      <c r="J61" s="363"/>
      <c r="K61" s="363"/>
      <c r="L61" s="363"/>
      <c r="M61" s="363"/>
      <c r="N61" s="364"/>
      <c r="O61" s="363"/>
      <c r="P61" s="363"/>
      <c r="Q61" s="363"/>
      <c r="R61" s="363"/>
      <c r="S61" s="363"/>
      <c r="T61" s="363"/>
      <c r="U61" s="364"/>
      <c r="V61" s="364"/>
    </row>
    <row r="62" spans="1:22" ht="15.75" x14ac:dyDescent="0.25">
      <c r="A62" s="322">
        <f t="shared" si="14"/>
        <v>57</v>
      </c>
      <c r="B62" s="360"/>
      <c r="C62" s="331"/>
      <c r="D62" s="298" t="e">
        <f>VLOOKUP(C62,УЗиНП!$C$3:$D$1464,2,FALSE)</f>
        <v>#N/A</v>
      </c>
      <c r="E62" s="363"/>
      <c r="F62" s="363"/>
      <c r="G62" s="363"/>
      <c r="H62" s="363"/>
      <c r="I62" s="363"/>
      <c r="J62" s="363"/>
      <c r="K62" s="363"/>
      <c r="L62" s="363"/>
      <c r="M62" s="363"/>
      <c r="N62" s="364"/>
      <c r="O62" s="363"/>
      <c r="P62" s="363"/>
      <c r="Q62" s="363"/>
      <c r="R62" s="363"/>
      <c r="S62" s="363"/>
      <c r="T62" s="363"/>
      <c r="U62" s="364"/>
      <c r="V62" s="364"/>
    </row>
    <row r="63" spans="1:22" ht="15.75" x14ac:dyDescent="0.25">
      <c r="A63" s="322">
        <f t="shared" si="14"/>
        <v>58</v>
      </c>
      <c r="B63" s="360"/>
      <c r="C63" s="331"/>
      <c r="D63" s="298" t="e">
        <f>VLOOKUP(C63,УЗиНП!$C$3:$D$1464,2,FALSE)</f>
        <v>#N/A</v>
      </c>
      <c r="E63" s="363"/>
      <c r="F63" s="363"/>
      <c r="G63" s="363"/>
      <c r="H63" s="363"/>
      <c r="I63" s="363"/>
      <c r="J63" s="363"/>
      <c r="K63" s="363"/>
      <c r="L63" s="363"/>
      <c r="M63" s="363"/>
      <c r="N63" s="364"/>
      <c r="O63" s="363"/>
      <c r="P63" s="363"/>
      <c r="Q63" s="363"/>
      <c r="R63" s="363"/>
      <c r="S63" s="363"/>
      <c r="T63" s="363"/>
      <c r="U63" s="364"/>
      <c r="V63" s="364"/>
    </row>
    <row r="64" spans="1:22" ht="15.75" x14ac:dyDescent="0.25">
      <c r="A64" s="322">
        <f t="shared" si="14"/>
        <v>59</v>
      </c>
      <c r="B64" s="360"/>
      <c r="C64" s="331"/>
      <c r="D64" s="298" t="e">
        <f>VLOOKUP(C64,УЗиНП!$C$3:$D$1464,2,FALSE)</f>
        <v>#N/A</v>
      </c>
      <c r="E64" s="363"/>
      <c r="F64" s="363"/>
      <c r="G64" s="363"/>
      <c r="H64" s="363"/>
      <c r="I64" s="363"/>
      <c r="J64" s="363"/>
      <c r="K64" s="363"/>
      <c r="L64" s="363"/>
      <c r="M64" s="363"/>
      <c r="N64" s="364"/>
      <c r="O64" s="363"/>
      <c r="P64" s="363"/>
      <c r="Q64" s="363"/>
      <c r="R64" s="363"/>
      <c r="S64" s="363"/>
      <c r="T64" s="363"/>
      <c r="U64" s="364"/>
      <c r="V64" s="364"/>
    </row>
    <row r="65" spans="1:22" ht="15.75" x14ac:dyDescent="0.25">
      <c r="A65" s="322">
        <f t="shared" si="14"/>
        <v>60</v>
      </c>
      <c r="B65" s="360"/>
      <c r="C65" s="331"/>
      <c r="D65" s="298" t="e">
        <f>VLOOKUP(C65,УЗиНП!$C$3:$D$1464,2,FALSE)</f>
        <v>#N/A</v>
      </c>
      <c r="E65" s="363"/>
      <c r="F65" s="363"/>
      <c r="G65" s="363"/>
      <c r="H65" s="363"/>
      <c r="I65" s="363"/>
      <c r="J65" s="363"/>
      <c r="K65" s="363"/>
      <c r="L65" s="363"/>
      <c r="M65" s="363"/>
      <c r="N65" s="364"/>
      <c r="O65" s="363"/>
      <c r="P65" s="363"/>
      <c r="Q65" s="363"/>
      <c r="R65" s="363"/>
      <c r="S65" s="363"/>
      <c r="T65" s="363"/>
      <c r="U65" s="364"/>
      <c r="V65" s="364"/>
    </row>
    <row r="66" spans="1:22" ht="15.75" x14ac:dyDescent="0.25">
      <c r="A66" s="322">
        <f t="shared" si="14"/>
        <v>61</v>
      </c>
      <c r="B66" s="360"/>
      <c r="C66" s="331"/>
      <c r="D66" s="298" t="e">
        <f>VLOOKUP(C66,УЗиНП!$C$3:$D$1464,2,FALSE)</f>
        <v>#N/A</v>
      </c>
      <c r="E66" s="363"/>
      <c r="F66" s="363"/>
      <c r="G66" s="363"/>
      <c r="H66" s="363"/>
      <c r="I66" s="363"/>
      <c r="J66" s="363"/>
      <c r="K66" s="363"/>
      <c r="L66" s="363"/>
      <c r="M66" s="363"/>
      <c r="N66" s="364"/>
      <c r="O66" s="363"/>
      <c r="P66" s="363"/>
      <c r="Q66" s="363"/>
      <c r="R66" s="363"/>
      <c r="S66" s="363"/>
      <c r="T66" s="363"/>
      <c r="U66" s="364"/>
      <c r="V66" s="364"/>
    </row>
    <row r="67" spans="1:22" ht="15.75" x14ac:dyDescent="0.25">
      <c r="A67" s="322">
        <f t="shared" si="14"/>
        <v>62</v>
      </c>
      <c r="B67" s="360"/>
      <c r="C67" s="331"/>
      <c r="D67" s="298" t="e">
        <f>VLOOKUP(C67,УЗиНП!$C$3:$D$1464,2,FALSE)</f>
        <v>#N/A</v>
      </c>
      <c r="E67" s="363"/>
      <c r="F67" s="363"/>
      <c r="G67" s="363"/>
      <c r="H67" s="363"/>
      <c r="I67" s="363"/>
      <c r="J67" s="363"/>
      <c r="K67" s="363"/>
      <c r="L67" s="363"/>
      <c r="M67" s="363"/>
      <c r="N67" s="364"/>
      <c r="O67" s="363"/>
      <c r="P67" s="363"/>
      <c r="Q67" s="363"/>
      <c r="R67" s="363"/>
      <c r="S67" s="363"/>
      <c r="T67" s="363"/>
      <c r="U67" s="364"/>
      <c r="V67" s="364"/>
    </row>
    <row r="68" spans="1:22" ht="15.75" x14ac:dyDescent="0.25">
      <c r="A68" s="322">
        <f t="shared" si="14"/>
        <v>63</v>
      </c>
      <c r="B68" s="360"/>
      <c r="C68" s="331"/>
      <c r="D68" s="298" t="e">
        <f>VLOOKUP(C68,УЗиНП!$C$3:$D$1464,2,FALSE)</f>
        <v>#N/A</v>
      </c>
      <c r="E68" s="363"/>
      <c r="F68" s="363"/>
      <c r="G68" s="363"/>
      <c r="H68" s="363"/>
      <c r="I68" s="363"/>
      <c r="J68" s="363"/>
      <c r="K68" s="363"/>
      <c r="L68" s="363"/>
      <c r="M68" s="363"/>
      <c r="N68" s="364"/>
      <c r="O68" s="363"/>
      <c r="P68" s="363"/>
      <c r="Q68" s="363"/>
      <c r="R68" s="363"/>
      <c r="S68" s="363"/>
      <c r="T68" s="363"/>
      <c r="U68" s="364"/>
      <c r="V68" s="364"/>
    </row>
    <row r="69" spans="1:22" ht="15.75" x14ac:dyDescent="0.25">
      <c r="A69" s="322">
        <f t="shared" si="14"/>
        <v>64</v>
      </c>
      <c r="B69" s="360"/>
      <c r="C69" s="331"/>
      <c r="D69" s="298" t="e">
        <f>VLOOKUP(C69,УЗиНП!$C$3:$D$1464,2,FALSE)</f>
        <v>#N/A</v>
      </c>
      <c r="E69" s="363"/>
      <c r="F69" s="363"/>
      <c r="G69" s="363"/>
      <c r="H69" s="363"/>
      <c r="I69" s="363"/>
      <c r="J69" s="363"/>
      <c r="K69" s="363"/>
      <c r="L69" s="363"/>
      <c r="M69" s="363"/>
      <c r="N69" s="364"/>
      <c r="O69" s="363"/>
      <c r="P69" s="363"/>
      <c r="Q69" s="363"/>
      <c r="R69" s="363"/>
      <c r="S69" s="363"/>
      <c r="T69" s="363"/>
      <c r="U69" s="364"/>
      <c r="V69" s="364"/>
    </row>
    <row r="70" spans="1:22" ht="15.75" x14ac:dyDescent="0.25">
      <c r="A70" s="322">
        <f t="shared" si="14"/>
        <v>65</v>
      </c>
      <c r="B70" s="360"/>
      <c r="C70" s="331"/>
      <c r="D70" s="298" t="e">
        <f>VLOOKUP(C70,УЗиНП!$C$3:$D$1464,2,FALSE)</f>
        <v>#N/A</v>
      </c>
      <c r="E70" s="363"/>
      <c r="F70" s="363"/>
      <c r="G70" s="363"/>
      <c r="H70" s="363"/>
      <c r="I70" s="363"/>
      <c r="J70" s="363"/>
      <c r="K70" s="363"/>
      <c r="L70" s="363"/>
      <c r="M70" s="363"/>
      <c r="N70" s="364"/>
      <c r="O70" s="363"/>
      <c r="P70" s="363"/>
      <c r="Q70" s="363"/>
      <c r="R70" s="363"/>
      <c r="S70" s="363"/>
      <c r="T70" s="363"/>
      <c r="U70" s="364"/>
      <c r="V70" s="364"/>
    </row>
    <row r="71" spans="1:22" ht="15.75" x14ac:dyDescent="0.25">
      <c r="A71" s="322">
        <f t="shared" si="14"/>
        <v>66</v>
      </c>
      <c r="B71" s="360"/>
      <c r="C71" s="331"/>
      <c r="D71" s="298" t="e">
        <f>VLOOKUP(C71,УЗиНП!$C$3:$D$1464,2,FALSE)</f>
        <v>#N/A</v>
      </c>
      <c r="E71" s="363"/>
      <c r="F71" s="363"/>
      <c r="G71" s="363"/>
      <c r="H71" s="363"/>
      <c r="I71" s="363"/>
      <c r="J71" s="363"/>
      <c r="K71" s="363"/>
      <c r="L71" s="363"/>
      <c r="M71" s="363"/>
      <c r="N71" s="364"/>
      <c r="O71" s="363"/>
      <c r="P71" s="363"/>
      <c r="Q71" s="363"/>
      <c r="R71" s="363"/>
      <c r="S71" s="363"/>
      <c r="T71" s="363"/>
      <c r="U71" s="364"/>
      <c r="V71" s="364"/>
    </row>
    <row r="72" spans="1:22" ht="15.75" x14ac:dyDescent="0.25">
      <c r="A72" s="322">
        <f t="shared" si="14"/>
        <v>67</v>
      </c>
      <c r="B72" s="360"/>
      <c r="C72" s="331"/>
      <c r="D72" s="298" t="e">
        <f>VLOOKUP(C72,УЗиНП!$C$3:$D$1464,2,FALSE)</f>
        <v>#N/A</v>
      </c>
      <c r="E72" s="363"/>
      <c r="F72" s="363"/>
      <c r="G72" s="363"/>
      <c r="H72" s="363"/>
      <c r="I72" s="363"/>
      <c r="J72" s="363"/>
      <c r="K72" s="363"/>
      <c r="L72" s="363"/>
      <c r="M72" s="363"/>
      <c r="N72" s="364"/>
      <c r="O72" s="363"/>
      <c r="P72" s="363"/>
      <c r="Q72" s="363"/>
      <c r="R72" s="363"/>
      <c r="S72" s="363"/>
      <c r="T72" s="363"/>
      <c r="U72" s="364"/>
      <c r="V72" s="364"/>
    </row>
    <row r="73" spans="1:22" ht="15.75" x14ac:dyDescent="0.25">
      <c r="A73" s="322">
        <f t="shared" ref="A73:A136" si="15">A72+1</f>
        <v>68</v>
      </c>
      <c r="B73" s="360"/>
      <c r="C73" s="331"/>
      <c r="D73" s="298" t="e">
        <f>VLOOKUP(C73,УЗиНП!$C$3:$D$1464,2,FALSE)</f>
        <v>#N/A</v>
      </c>
      <c r="E73" s="363"/>
      <c r="F73" s="363"/>
      <c r="G73" s="363"/>
      <c r="H73" s="363"/>
      <c r="I73" s="363"/>
      <c r="J73" s="363"/>
      <c r="K73" s="363"/>
      <c r="L73" s="363"/>
      <c r="M73" s="363"/>
      <c r="N73" s="364"/>
      <c r="O73" s="363"/>
      <c r="P73" s="363"/>
      <c r="Q73" s="363"/>
      <c r="R73" s="363"/>
      <c r="S73" s="363"/>
      <c r="T73" s="363"/>
      <c r="U73" s="364"/>
      <c r="V73" s="364"/>
    </row>
    <row r="74" spans="1:22" ht="15.75" x14ac:dyDescent="0.25">
      <c r="A74" s="322">
        <f t="shared" si="15"/>
        <v>69</v>
      </c>
      <c r="B74" s="360"/>
      <c r="C74" s="331"/>
      <c r="D74" s="298" t="e">
        <f>VLOOKUP(C74,УЗиНП!$C$3:$D$1464,2,FALSE)</f>
        <v>#N/A</v>
      </c>
      <c r="E74" s="363"/>
      <c r="F74" s="363"/>
      <c r="G74" s="363"/>
      <c r="H74" s="363"/>
      <c r="I74" s="363"/>
      <c r="J74" s="363"/>
      <c r="K74" s="363"/>
      <c r="L74" s="363"/>
      <c r="M74" s="363"/>
      <c r="N74" s="364"/>
      <c r="O74" s="363"/>
      <c r="P74" s="363"/>
      <c r="Q74" s="363"/>
      <c r="R74" s="363"/>
      <c r="S74" s="363"/>
      <c r="T74" s="363"/>
      <c r="U74" s="364"/>
      <c r="V74" s="364"/>
    </row>
    <row r="75" spans="1:22" ht="15.75" x14ac:dyDescent="0.25">
      <c r="A75" s="322">
        <f t="shared" si="15"/>
        <v>70</v>
      </c>
      <c r="B75" s="360"/>
      <c r="C75" s="331"/>
      <c r="D75" s="298" t="e">
        <f>VLOOKUP(C75,УЗиНП!$C$3:$D$1464,2,FALSE)</f>
        <v>#N/A</v>
      </c>
      <c r="E75" s="363"/>
      <c r="F75" s="363"/>
      <c r="G75" s="363"/>
      <c r="H75" s="363"/>
      <c r="I75" s="363"/>
      <c r="J75" s="363"/>
      <c r="K75" s="363"/>
      <c r="L75" s="363"/>
      <c r="M75" s="363"/>
      <c r="N75" s="364"/>
      <c r="O75" s="363"/>
      <c r="P75" s="363"/>
      <c r="Q75" s="363"/>
      <c r="R75" s="363"/>
      <c r="S75" s="363"/>
      <c r="T75" s="363"/>
      <c r="U75" s="364"/>
      <c r="V75" s="364"/>
    </row>
    <row r="76" spans="1:22" ht="15.75" x14ac:dyDescent="0.25">
      <c r="A76" s="322">
        <f t="shared" si="15"/>
        <v>71</v>
      </c>
      <c r="B76" s="360"/>
      <c r="C76" s="331"/>
      <c r="D76" s="298" t="e">
        <f>VLOOKUP(C76,УЗиНП!$C$3:$D$1464,2,FALSE)</f>
        <v>#N/A</v>
      </c>
      <c r="E76" s="363"/>
      <c r="F76" s="363"/>
      <c r="G76" s="363"/>
      <c r="H76" s="363"/>
      <c r="I76" s="363"/>
      <c r="J76" s="363"/>
      <c r="K76" s="363"/>
      <c r="L76" s="363"/>
      <c r="M76" s="363"/>
      <c r="N76" s="364"/>
      <c r="O76" s="363"/>
      <c r="P76" s="363"/>
      <c r="Q76" s="363"/>
      <c r="R76" s="363"/>
      <c r="S76" s="363"/>
      <c r="T76" s="363"/>
      <c r="U76" s="364"/>
      <c r="V76" s="364"/>
    </row>
    <row r="77" spans="1:22" ht="15.75" x14ac:dyDescent="0.25">
      <c r="A77" s="322">
        <f t="shared" si="15"/>
        <v>72</v>
      </c>
      <c r="B77" s="360"/>
      <c r="C77" s="331"/>
      <c r="D77" s="298" t="e">
        <f>VLOOKUP(C77,УЗиНП!$C$3:$D$1464,2,FALSE)</f>
        <v>#N/A</v>
      </c>
      <c r="E77" s="363"/>
      <c r="F77" s="363"/>
      <c r="G77" s="363"/>
      <c r="H77" s="363"/>
      <c r="I77" s="363"/>
      <c r="J77" s="363"/>
      <c r="K77" s="363"/>
      <c r="L77" s="363"/>
      <c r="M77" s="363"/>
      <c r="N77" s="364"/>
      <c r="O77" s="363"/>
      <c r="P77" s="363"/>
      <c r="Q77" s="363"/>
      <c r="R77" s="363"/>
      <c r="S77" s="363"/>
      <c r="T77" s="363"/>
      <c r="U77" s="364"/>
      <c r="V77" s="364"/>
    </row>
    <row r="78" spans="1:22" ht="15.75" x14ac:dyDescent="0.25">
      <c r="A78" s="322">
        <f t="shared" si="15"/>
        <v>73</v>
      </c>
      <c r="B78" s="360"/>
      <c r="C78" s="331"/>
      <c r="D78" s="298" t="e">
        <f>VLOOKUP(C78,УЗиНП!$C$3:$D$1464,2,FALSE)</f>
        <v>#N/A</v>
      </c>
      <c r="E78" s="363"/>
      <c r="F78" s="363"/>
      <c r="G78" s="363"/>
      <c r="H78" s="363"/>
      <c r="I78" s="363"/>
      <c r="J78" s="363"/>
      <c r="K78" s="363"/>
      <c r="L78" s="363"/>
      <c r="M78" s="363"/>
      <c r="N78" s="364"/>
      <c r="O78" s="363"/>
      <c r="P78" s="363"/>
      <c r="Q78" s="363"/>
      <c r="R78" s="363"/>
      <c r="S78" s="363"/>
      <c r="T78" s="363"/>
      <c r="U78" s="364"/>
      <c r="V78" s="364"/>
    </row>
    <row r="79" spans="1:22" ht="15.75" x14ac:dyDescent="0.25">
      <c r="A79" s="322">
        <f t="shared" si="15"/>
        <v>74</v>
      </c>
      <c r="B79" s="360"/>
      <c r="C79" s="331"/>
      <c r="D79" s="298" t="e">
        <f>VLOOKUP(C79,УЗиНП!$C$3:$D$1464,2,FALSE)</f>
        <v>#N/A</v>
      </c>
      <c r="E79" s="363"/>
      <c r="F79" s="363"/>
      <c r="G79" s="363"/>
      <c r="H79" s="363"/>
      <c r="I79" s="363"/>
      <c r="J79" s="363"/>
      <c r="K79" s="363"/>
      <c r="L79" s="363"/>
      <c r="M79" s="363"/>
      <c r="N79" s="364"/>
      <c r="O79" s="363"/>
      <c r="P79" s="363"/>
      <c r="Q79" s="363"/>
      <c r="R79" s="363"/>
      <c r="S79" s="363"/>
      <c r="T79" s="363"/>
      <c r="U79" s="364"/>
      <c r="V79" s="364"/>
    </row>
    <row r="80" spans="1:22" ht="15.75" x14ac:dyDescent="0.25">
      <c r="A80" s="322">
        <f t="shared" si="15"/>
        <v>75</v>
      </c>
      <c r="B80" s="360"/>
      <c r="C80" s="331"/>
      <c r="D80" s="298" t="e">
        <f>VLOOKUP(C80,УЗиНП!$C$3:$D$1464,2,FALSE)</f>
        <v>#N/A</v>
      </c>
      <c r="E80" s="363"/>
      <c r="F80" s="363"/>
      <c r="G80" s="363"/>
      <c r="H80" s="363"/>
      <c r="I80" s="363"/>
      <c r="J80" s="363"/>
      <c r="K80" s="363"/>
      <c r="L80" s="363"/>
      <c r="M80" s="363"/>
      <c r="N80" s="364"/>
      <c r="O80" s="363"/>
      <c r="P80" s="363"/>
      <c r="Q80" s="363"/>
      <c r="R80" s="363"/>
      <c r="S80" s="363"/>
      <c r="T80" s="363"/>
      <c r="U80" s="364"/>
      <c r="V80" s="364"/>
    </row>
    <row r="81" spans="1:22" ht="15.75" x14ac:dyDescent="0.25">
      <c r="A81" s="322">
        <f t="shared" si="15"/>
        <v>76</v>
      </c>
      <c r="B81" s="360"/>
      <c r="C81" s="331"/>
      <c r="D81" s="298" t="e">
        <f>VLOOKUP(C81,УЗиНП!$C$3:$D$1464,2,FALSE)</f>
        <v>#N/A</v>
      </c>
      <c r="E81" s="363"/>
      <c r="F81" s="363"/>
      <c r="G81" s="363"/>
      <c r="H81" s="363"/>
      <c r="I81" s="363"/>
      <c r="J81" s="363"/>
      <c r="K81" s="363"/>
      <c r="L81" s="363"/>
      <c r="M81" s="363"/>
      <c r="N81" s="364"/>
      <c r="O81" s="363"/>
      <c r="P81" s="363"/>
      <c r="Q81" s="363"/>
      <c r="R81" s="363"/>
      <c r="S81" s="363"/>
      <c r="T81" s="363"/>
      <c r="U81" s="364"/>
      <c r="V81" s="364"/>
    </row>
    <row r="82" spans="1:22" ht="15.75" x14ac:dyDescent="0.25">
      <c r="A82" s="322">
        <f t="shared" si="15"/>
        <v>77</v>
      </c>
      <c r="B82" s="360"/>
      <c r="C82" s="331"/>
      <c r="D82" s="298" t="e">
        <f>VLOOKUP(C82,УЗиНП!$C$3:$D$1464,2,FALSE)</f>
        <v>#N/A</v>
      </c>
      <c r="E82" s="363"/>
      <c r="F82" s="363"/>
      <c r="G82" s="363"/>
      <c r="H82" s="363"/>
      <c r="I82" s="363"/>
      <c r="J82" s="363"/>
      <c r="K82" s="363"/>
      <c r="L82" s="363"/>
      <c r="M82" s="363"/>
      <c r="N82" s="364"/>
      <c r="O82" s="363"/>
      <c r="P82" s="363"/>
      <c r="Q82" s="363"/>
      <c r="R82" s="363"/>
      <c r="S82" s="363"/>
      <c r="T82" s="363"/>
      <c r="U82" s="364"/>
      <c r="V82" s="364"/>
    </row>
    <row r="83" spans="1:22" ht="15.75" x14ac:dyDescent="0.25">
      <c r="A83" s="322">
        <f t="shared" si="15"/>
        <v>78</v>
      </c>
      <c r="B83" s="360"/>
      <c r="C83" s="331"/>
      <c r="D83" s="298" t="e">
        <f>VLOOKUP(C83,УЗиНП!$C$3:$D$1464,2,FALSE)</f>
        <v>#N/A</v>
      </c>
      <c r="E83" s="363"/>
      <c r="F83" s="363"/>
      <c r="G83" s="363"/>
      <c r="H83" s="363"/>
      <c r="I83" s="363"/>
      <c r="J83" s="363"/>
      <c r="K83" s="363"/>
      <c r="L83" s="363"/>
      <c r="M83" s="363"/>
      <c r="N83" s="364"/>
      <c r="O83" s="363"/>
      <c r="P83" s="363"/>
      <c r="Q83" s="363"/>
      <c r="R83" s="363"/>
      <c r="S83" s="363"/>
      <c r="T83" s="363"/>
      <c r="U83" s="364"/>
      <c r="V83" s="364"/>
    </row>
    <row r="84" spans="1:22" ht="15.75" x14ac:dyDescent="0.25">
      <c r="A84" s="322">
        <f t="shared" si="15"/>
        <v>79</v>
      </c>
      <c r="B84" s="360"/>
      <c r="C84" s="331"/>
      <c r="D84" s="298" t="e">
        <f>VLOOKUP(C84,УЗиНП!$C$3:$D$1464,2,FALSE)</f>
        <v>#N/A</v>
      </c>
      <c r="E84" s="363"/>
      <c r="F84" s="363"/>
      <c r="G84" s="363"/>
      <c r="H84" s="363"/>
      <c r="I84" s="363"/>
      <c r="J84" s="363"/>
      <c r="K84" s="363"/>
      <c r="L84" s="363"/>
      <c r="M84" s="363"/>
      <c r="N84" s="364"/>
      <c r="O84" s="363"/>
      <c r="P84" s="363"/>
      <c r="Q84" s="363"/>
      <c r="R84" s="363"/>
      <c r="S84" s="363"/>
      <c r="T84" s="363"/>
      <c r="U84" s="364"/>
      <c r="V84" s="364"/>
    </row>
    <row r="85" spans="1:22" ht="15.75" x14ac:dyDescent="0.25">
      <c r="A85" s="322">
        <f t="shared" si="15"/>
        <v>80</v>
      </c>
      <c r="B85" s="360"/>
      <c r="C85" s="331"/>
      <c r="D85" s="298" t="e">
        <f>VLOOKUP(C85,УЗиНП!$C$3:$D$1464,2,FALSE)</f>
        <v>#N/A</v>
      </c>
      <c r="E85" s="363"/>
      <c r="F85" s="363"/>
      <c r="G85" s="363"/>
      <c r="H85" s="363"/>
      <c r="I85" s="363"/>
      <c r="J85" s="363"/>
      <c r="K85" s="363"/>
      <c r="L85" s="363"/>
      <c r="M85" s="363"/>
      <c r="N85" s="364"/>
      <c r="O85" s="363"/>
      <c r="P85" s="363"/>
      <c r="Q85" s="363"/>
      <c r="R85" s="363"/>
      <c r="S85" s="363"/>
      <c r="T85" s="363"/>
      <c r="U85" s="364"/>
      <c r="V85" s="364"/>
    </row>
    <row r="86" spans="1:22" ht="15.75" x14ac:dyDescent="0.25">
      <c r="A86" s="322">
        <f t="shared" si="15"/>
        <v>81</v>
      </c>
      <c r="B86" s="360"/>
      <c r="C86" s="331"/>
      <c r="D86" s="298" t="e">
        <f>VLOOKUP(C86,УЗиНП!$C$3:$D$1464,2,FALSE)</f>
        <v>#N/A</v>
      </c>
      <c r="E86" s="363"/>
      <c r="F86" s="363"/>
      <c r="G86" s="363"/>
      <c r="H86" s="363"/>
      <c r="I86" s="363"/>
      <c r="J86" s="363"/>
      <c r="K86" s="363"/>
      <c r="L86" s="363"/>
      <c r="M86" s="363"/>
      <c r="N86" s="364"/>
      <c r="O86" s="363"/>
      <c r="P86" s="363"/>
      <c r="Q86" s="363"/>
      <c r="R86" s="363"/>
      <c r="S86" s="363"/>
      <c r="T86" s="363"/>
      <c r="U86" s="364"/>
      <c r="V86" s="364"/>
    </row>
    <row r="87" spans="1:22" ht="15.75" x14ac:dyDescent="0.25">
      <c r="A87" s="322">
        <f t="shared" si="15"/>
        <v>82</v>
      </c>
      <c r="B87" s="360"/>
      <c r="C87" s="331"/>
      <c r="D87" s="298" t="e">
        <f>VLOOKUP(C87,УЗиНП!$C$3:$D$1464,2,FALSE)</f>
        <v>#N/A</v>
      </c>
      <c r="E87" s="363"/>
      <c r="F87" s="363"/>
      <c r="G87" s="363"/>
      <c r="H87" s="363"/>
      <c r="I87" s="363"/>
      <c r="J87" s="363"/>
      <c r="K87" s="363"/>
      <c r="L87" s="363"/>
      <c r="M87" s="363"/>
      <c r="N87" s="364"/>
      <c r="O87" s="363"/>
      <c r="P87" s="363"/>
      <c r="Q87" s="363"/>
      <c r="R87" s="363"/>
      <c r="S87" s="363"/>
      <c r="T87" s="363"/>
      <c r="U87" s="364"/>
      <c r="V87" s="364"/>
    </row>
    <row r="88" spans="1:22" ht="15.75" x14ac:dyDescent="0.25">
      <c r="A88" s="322">
        <f t="shared" si="15"/>
        <v>83</v>
      </c>
      <c r="B88" s="360"/>
      <c r="C88" s="331"/>
      <c r="D88" s="298" t="e">
        <f>VLOOKUP(C88,УЗиНП!$C$3:$D$1464,2,FALSE)</f>
        <v>#N/A</v>
      </c>
      <c r="E88" s="363"/>
      <c r="F88" s="363"/>
      <c r="G88" s="363"/>
      <c r="H88" s="363"/>
      <c r="I88" s="363"/>
      <c r="J88" s="363"/>
      <c r="K88" s="363"/>
      <c r="L88" s="363"/>
      <c r="M88" s="363"/>
      <c r="N88" s="364"/>
      <c r="O88" s="363"/>
      <c r="P88" s="363"/>
      <c r="Q88" s="363"/>
      <c r="R88" s="363"/>
      <c r="S88" s="363"/>
      <c r="T88" s="363"/>
      <c r="U88" s="364"/>
      <c r="V88" s="364"/>
    </row>
    <row r="89" spans="1:22" ht="15.75" x14ac:dyDescent="0.25">
      <c r="A89" s="322">
        <f t="shared" si="15"/>
        <v>84</v>
      </c>
      <c r="B89" s="360"/>
      <c r="C89" s="331"/>
      <c r="D89" s="298" t="e">
        <f>VLOOKUP(C89,УЗиНП!$C$3:$D$1464,2,FALSE)</f>
        <v>#N/A</v>
      </c>
      <c r="E89" s="363"/>
      <c r="F89" s="363"/>
      <c r="G89" s="363"/>
      <c r="H89" s="363"/>
      <c r="I89" s="363"/>
      <c r="J89" s="363"/>
      <c r="K89" s="363"/>
      <c r="L89" s="363"/>
      <c r="M89" s="363"/>
      <c r="N89" s="364"/>
      <c r="O89" s="363"/>
      <c r="P89" s="363"/>
      <c r="Q89" s="363"/>
      <c r="R89" s="363"/>
      <c r="S89" s="363"/>
      <c r="T89" s="363"/>
      <c r="U89" s="364"/>
      <c r="V89" s="364"/>
    </row>
    <row r="90" spans="1:22" ht="15.75" x14ac:dyDescent="0.25">
      <c r="A90" s="322">
        <f t="shared" si="15"/>
        <v>85</v>
      </c>
      <c r="B90" s="360"/>
      <c r="C90" s="331"/>
      <c r="D90" s="298" t="e">
        <f>VLOOKUP(C90,УЗиНП!$C$3:$D$1464,2,FALSE)</f>
        <v>#N/A</v>
      </c>
      <c r="E90" s="363"/>
      <c r="F90" s="363"/>
      <c r="G90" s="363"/>
      <c r="H90" s="363"/>
      <c r="I90" s="363"/>
      <c r="J90" s="363"/>
      <c r="K90" s="363"/>
      <c r="L90" s="363"/>
      <c r="M90" s="363"/>
      <c r="N90" s="364"/>
      <c r="O90" s="363"/>
      <c r="P90" s="363"/>
      <c r="Q90" s="363"/>
      <c r="R90" s="363"/>
      <c r="S90" s="363"/>
      <c r="T90" s="363"/>
      <c r="U90" s="364"/>
      <c r="V90" s="364"/>
    </row>
    <row r="91" spans="1:22" ht="15.75" x14ac:dyDescent="0.25">
      <c r="A91" s="322">
        <f t="shared" si="15"/>
        <v>86</v>
      </c>
      <c r="B91" s="360"/>
      <c r="C91" s="331"/>
      <c r="D91" s="298" t="e">
        <f>VLOOKUP(C91,УЗиНП!$C$3:$D$1464,2,FALSE)</f>
        <v>#N/A</v>
      </c>
      <c r="E91" s="363"/>
      <c r="F91" s="363"/>
      <c r="G91" s="363"/>
      <c r="H91" s="363"/>
      <c r="I91" s="363"/>
      <c r="J91" s="363"/>
      <c r="K91" s="363"/>
      <c r="L91" s="363"/>
      <c r="M91" s="363"/>
      <c r="N91" s="364"/>
      <c r="O91" s="363"/>
      <c r="P91" s="363"/>
      <c r="Q91" s="363"/>
      <c r="R91" s="363"/>
      <c r="S91" s="363"/>
      <c r="T91" s="363"/>
      <c r="U91" s="364"/>
      <c r="V91" s="364"/>
    </row>
    <row r="92" spans="1:22" ht="15.75" x14ac:dyDescent="0.25">
      <c r="A92" s="322">
        <f t="shared" si="15"/>
        <v>87</v>
      </c>
      <c r="B92" s="360"/>
      <c r="C92" s="331"/>
      <c r="D92" s="298" t="e">
        <f>VLOOKUP(C92,УЗиНП!$C$3:$D$1464,2,FALSE)</f>
        <v>#N/A</v>
      </c>
      <c r="E92" s="363"/>
      <c r="F92" s="363"/>
      <c r="G92" s="363"/>
      <c r="H92" s="363"/>
      <c r="I92" s="363"/>
      <c r="J92" s="363"/>
      <c r="K92" s="363"/>
      <c r="L92" s="363"/>
      <c r="M92" s="363"/>
      <c r="N92" s="364"/>
      <c r="O92" s="363"/>
      <c r="P92" s="363"/>
      <c r="Q92" s="363"/>
      <c r="R92" s="363"/>
      <c r="S92" s="363"/>
      <c r="T92" s="363"/>
      <c r="U92" s="364"/>
      <c r="V92" s="364"/>
    </row>
    <row r="93" spans="1:22" ht="15.75" x14ac:dyDescent="0.25">
      <c r="A93" s="322">
        <f t="shared" si="15"/>
        <v>88</v>
      </c>
      <c r="B93" s="360"/>
      <c r="C93" s="331"/>
      <c r="D93" s="298" t="e">
        <f>VLOOKUP(C93,УЗиНП!$C$3:$D$1464,2,FALSE)</f>
        <v>#N/A</v>
      </c>
      <c r="E93" s="363"/>
      <c r="F93" s="363"/>
      <c r="G93" s="363"/>
      <c r="H93" s="363"/>
      <c r="I93" s="363"/>
      <c r="J93" s="363"/>
      <c r="K93" s="363"/>
      <c r="L93" s="363"/>
      <c r="M93" s="363"/>
      <c r="N93" s="364"/>
      <c r="O93" s="363"/>
      <c r="P93" s="363"/>
      <c r="Q93" s="363"/>
      <c r="R93" s="363"/>
      <c r="S93" s="363"/>
      <c r="T93" s="363"/>
      <c r="U93" s="364"/>
      <c r="V93" s="364"/>
    </row>
    <row r="94" spans="1:22" ht="15.75" x14ac:dyDescent="0.25">
      <c r="A94" s="322">
        <f t="shared" si="15"/>
        <v>89</v>
      </c>
      <c r="B94" s="360"/>
      <c r="C94" s="331"/>
      <c r="D94" s="298" t="e">
        <f>VLOOKUP(C94,УЗиНП!$C$3:$D$1464,2,FALSE)</f>
        <v>#N/A</v>
      </c>
      <c r="E94" s="363"/>
      <c r="F94" s="363"/>
      <c r="G94" s="363"/>
      <c r="H94" s="363"/>
      <c r="I94" s="363"/>
      <c r="J94" s="363"/>
      <c r="K94" s="363"/>
      <c r="L94" s="363"/>
      <c r="M94" s="363"/>
      <c r="N94" s="364"/>
      <c r="O94" s="363"/>
      <c r="P94" s="363"/>
      <c r="Q94" s="363"/>
      <c r="R94" s="363"/>
      <c r="S94" s="363"/>
      <c r="T94" s="363"/>
      <c r="U94" s="364"/>
      <c r="V94" s="364"/>
    </row>
    <row r="95" spans="1:22" ht="15.75" x14ac:dyDescent="0.25">
      <c r="A95" s="322">
        <f t="shared" si="15"/>
        <v>90</v>
      </c>
      <c r="B95" s="360"/>
      <c r="C95" s="331"/>
      <c r="D95" s="298" t="e">
        <f>VLOOKUP(C95,УЗиНП!$C$3:$D$1464,2,FALSE)</f>
        <v>#N/A</v>
      </c>
      <c r="E95" s="363"/>
      <c r="F95" s="363"/>
      <c r="G95" s="363"/>
      <c r="H95" s="363"/>
      <c r="I95" s="363"/>
      <c r="J95" s="363"/>
      <c r="K95" s="363"/>
      <c r="L95" s="363"/>
      <c r="M95" s="363"/>
      <c r="N95" s="364"/>
      <c r="O95" s="363"/>
      <c r="P95" s="363"/>
      <c r="Q95" s="363"/>
      <c r="R95" s="363"/>
      <c r="S95" s="363"/>
      <c r="T95" s="363"/>
      <c r="U95" s="364"/>
      <c r="V95" s="364"/>
    </row>
    <row r="96" spans="1:22" ht="15.75" x14ac:dyDescent="0.25">
      <c r="A96" s="322">
        <f t="shared" si="15"/>
        <v>91</v>
      </c>
      <c r="B96" s="360"/>
      <c r="C96" s="331"/>
      <c r="D96" s="298" t="e">
        <f>VLOOKUP(C96,УЗиНП!$C$3:$D$1464,2,FALSE)</f>
        <v>#N/A</v>
      </c>
      <c r="E96" s="363"/>
      <c r="F96" s="363"/>
      <c r="G96" s="363"/>
      <c r="H96" s="363"/>
      <c r="I96" s="363"/>
      <c r="J96" s="363"/>
      <c r="K96" s="363"/>
      <c r="L96" s="363"/>
      <c r="M96" s="363"/>
      <c r="N96" s="364"/>
      <c r="O96" s="363"/>
      <c r="P96" s="363"/>
      <c r="Q96" s="363"/>
      <c r="R96" s="363"/>
      <c r="S96" s="363"/>
      <c r="T96" s="363"/>
      <c r="U96" s="364"/>
      <c r="V96" s="364"/>
    </row>
    <row r="97" spans="1:22" ht="15.75" x14ac:dyDescent="0.25">
      <c r="A97" s="322">
        <f t="shared" si="15"/>
        <v>92</v>
      </c>
      <c r="B97" s="360"/>
      <c r="C97" s="331"/>
      <c r="D97" s="298" t="e">
        <f>VLOOKUP(C97,УЗиНП!$C$3:$D$1464,2,FALSE)</f>
        <v>#N/A</v>
      </c>
      <c r="E97" s="363"/>
      <c r="F97" s="363"/>
      <c r="G97" s="363"/>
      <c r="H97" s="363"/>
      <c r="I97" s="363"/>
      <c r="J97" s="363"/>
      <c r="K97" s="363"/>
      <c r="L97" s="363"/>
      <c r="M97" s="363"/>
      <c r="N97" s="364"/>
      <c r="O97" s="363"/>
      <c r="P97" s="363"/>
      <c r="Q97" s="363"/>
      <c r="R97" s="363"/>
      <c r="S97" s="363"/>
      <c r="T97" s="363"/>
      <c r="U97" s="364"/>
      <c r="V97" s="364"/>
    </row>
    <row r="98" spans="1:22" ht="15.75" x14ac:dyDescent="0.25">
      <c r="A98" s="322">
        <f t="shared" si="15"/>
        <v>93</v>
      </c>
      <c r="B98" s="360"/>
      <c r="C98" s="331"/>
      <c r="D98" s="298" t="e">
        <f>VLOOKUP(C98,УЗиНП!$C$3:$D$1464,2,FALSE)</f>
        <v>#N/A</v>
      </c>
      <c r="E98" s="363"/>
      <c r="F98" s="363"/>
      <c r="G98" s="363"/>
      <c r="H98" s="363"/>
      <c r="I98" s="363"/>
      <c r="J98" s="363"/>
      <c r="K98" s="363"/>
      <c r="L98" s="363"/>
      <c r="M98" s="363"/>
      <c r="N98" s="364"/>
      <c r="O98" s="363"/>
      <c r="P98" s="363"/>
      <c r="Q98" s="363"/>
      <c r="R98" s="363"/>
      <c r="S98" s="363"/>
      <c r="T98" s="363"/>
      <c r="U98" s="364"/>
      <c r="V98" s="364"/>
    </row>
    <row r="99" spans="1:22" ht="15.75" x14ac:dyDescent="0.25">
      <c r="A99" s="322">
        <f t="shared" si="15"/>
        <v>94</v>
      </c>
      <c r="B99" s="360"/>
      <c r="C99" s="331"/>
      <c r="D99" s="298" t="e">
        <f>VLOOKUP(C99,УЗиНП!$C$3:$D$1464,2,FALSE)</f>
        <v>#N/A</v>
      </c>
      <c r="E99" s="363"/>
      <c r="F99" s="363"/>
      <c r="G99" s="363"/>
      <c r="H99" s="363"/>
      <c r="I99" s="363"/>
      <c r="J99" s="363"/>
      <c r="K99" s="363"/>
      <c r="L99" s="363"/>
      <c r="M99" s="363"/>
      <c r="N99" s="364"/>
      <c r="O99" s="363"/>
      <c r="P99" s="363"/>
      <c r="Q99" s="363"/>
      <c r="R99" s="363"/>
      <c r="S99" s="363"/>
      <c r="T99" s="363"/>
      <c r="U99" s="364"/>
      <c r="V99" s="364"/>
    </row>
    <row r="100" spans="1:22" ht="15.75" x14ac:dyDescent="0.25">
      <c r="A100" s="322">
        <f t="shared" si="15"/>
        <v>95</v>
      </c>
      <c r="B100" s="360"/>
      <c r="C100" s="331"/>
      <c r="D100" s="298" t="e">
        <f>VLOOKUP(C100,УЗиНП!$C$3:$D$1464,2,FALSE)</f>
        <v>#N/A</v>
      </c>
      <c r="E100" s="363"/>
      <c r="F100" s="363"/>
      <c r="G100" s="363"/>
      <c r="H100" s="363"/>
      <c r="I100" s="363"/>
      <c r="J100" s="363"/>
      <c r="K100" s="363"/>
      <c r="L100" s="363"/>
      <c r="M100" s="363"/>
      <c r="N100" s="364"/>
      <c r="O100" s="363"/>
      <c r="P100" s="363"/>
      <c r="Q100" s="363"/>
      <c r="R100" s="363"/>
      <c r="S100" s="363"/>
      <c r="T100" s="363"/>
      <c r="U100" s="364"/>
      <c r="V100" s="364"/>
    </row>
    <row r="101" spans="1:22" ht="15.75" x14ac:dyDescent="0.25">
      <c r="A101" s="322">
        <f t="shared" si="15"/>
        <v>96</v>
      </c>
      <c r="B101" s="360"/>
      <c r="C101" s="331"/>
      <c r="D101" s="298" t="e">
        <f>VLOOKUP(C101,УЗиНП!$C$3:$D$1464,2,FALSE)</f>
        <v>#N/A</v>
      </c>
      <c r="E101" s="363"/>
      <c r="F101" s="363"/>
      <c r="G101" s="363"/>
      <c r="H101" s="363"/>
      <c r="I101" s="363"/>
      <c r="J101" s="363"/>
      <c r="K101" s="363"/>
      <c r="L101" s="363"/>
      <c r="M101" s="363"/>
      <c r="N101" s="364"/>
      <c r="O101" s="363"/>
      <c r="P101" s="363"/>
      <c r="Q101" s="363"/>
      <c r="R101" s="363"/>
      <c r="S101" s="363"/>
      <c r="T101" s="363"/>
      <c r="U101" s="364"/>
      <c r="V101" s="364"/>
    </row>
    <row r="102" spans="1:22" ht="15.75" x14ac:dyDescent="0.25">
      <c r="A102" s="322">
        <f t="shared" si="15"/>
        <v>97</v>
      </c>
      <c r="B102" s="360"/>
      <c r="C102" s="331"/>
      <c r="D102" s="298" t="e">
        <f>VLOOKUP(C102,УЗиНП!$C$3:$D$1464,2,FALSE)</f>
        <v>#N/A</v>
      </c>
      <c r="E102" s="363"/>
      <c r="F102" s="363"/>
      <c r="G102" s="363"/>
      <c r="H102" s="363"/>
      <c r="I102" s="363"/>
      <c r="J102" s="363"/>
      <c r="K102" s="363"/>
      <c r="L102" s="363"/>
      <c r="M102" s="363"/>
      <c r="N102" s="364"/>
      <c r="O102" s="363"/>
      <c r="P102" s="363"/>
      <c r="Q102" s="363"/>
      <c r="R102" s="363"/>
      <c r="S102" s="363"/>
      <c r="T102" s="363"/>
      <c r="U102" s="364"/>
      <c r="V102" s="364"/>
    </row>
    <row r="103" spans="1:22" ht="15.75" x14ac:dyDescent="0.25">
      <c r="A103" s="322">
        <f t="shared" si="15"/>
        <v>98</v>
      </c>
      <c r="B103" s="360"/>
      <c r="C103" s="331"/>
      <c r="D103" s="298" t="e">
        <f>VLOOKUP(C103,УЗиНП!$C$3:$D$1464,2,FALSE)</f>
        <v>#N/A</v>
      </c>
      <c r="E103" s="363"/>
      <c r="F103" s="363"/>
      <c r="G103" s="363"/>
      <c r="H103" s="363"/>
      <c r="I103" s="363"/>
      <c r="J103" s="363"/>
      <c r="K103" s="363"/>
      <c r="L103" s="363"/>
      <c r="M103" s="363"/>
      <c r="N103" s="364"/>
      <c r="O103" s="363"/>
      <c r="P103" s="363"/>
      <c r="Q103" s="363"/>
      <c r="R103" s="363"/>
      <c r="S103" s="363"/>
      <c r="T103" s="363"/>
      <c r="U103" s="364"/>
      <c r="V103" s="364"/>
    </row>
    <row r="104" spans="1:22" ht="15.75" x14ac:dyDescent="0.25">
      <c r="A104" s="322">
        <f t="shared" si="15"/>
        <v>99</v>
      </c>
      <c r="B104" s="360"/>
      <c r="C104" s="331"/>
      <c r="D104" s="298" t="e">
        <f>VLOOKUP(C104,УЗиНП!$C$3:$D$1464,2,FALSE)</f>
        <v>#N/A</v>
      </c>
      <c r="E104" s="363"/>
      <c r="F104" s="363"/>
      <c r="G104" s="363"/>
      <c r="H104" s="363"/>
      <c r="I104" s="363"/>
      <c r="J104" s="363"/>
      <c r="K104" s="363"/>
      <c r="L104" s="363"/>
      <c r="M104" s="363"/>
      <c r="N104" s="364"/>
      <c r="O104" s="363"/>
      <c r="P104" s="363"/>
      <c r="Q104" s="363"/>
      <c r="R104" s="363"/>
      <c r="S104" s="363"/>
      <c r="T104" s="363"/>
      <c r="U104" s="364"/>
      <c r="V104" s="364"/>
    </row>
    <row r="105" spans="1:22" ht="15.75" x14ac:dyDescent="0.25">
      <c r="A105" s="322">
        <f t="shared" si="15"/>
        <v>100</v>
      </c>
      <c r="B105" s="360"/>
      <c r="C105" s="331"/>
      <c r="D105" s="298" t="e">
        <f>VLOOKUP(C105,УЗиНП!$C$3:$D$1464,2,FALSE)</f>
        <v>#N/A</v>
      </c>
      <c r="E105" s="363"/>
      <c r="F105" s="363"/>
      <c r="G105" s="363"/>
      <c r="H105" s="363"/>
      <c r="I105" s="363"/>
      <c r="J105" s="363"/>
      <c r="K105" s="363"/>
      <c r="L105" s="363"/>
      <c r="M105" s="363"/>
      <c r="N105" s="364"/>
      <c r="O105" s="363"/>
      <c r="P105" s="363"/>
      <c r="Q105" s="363"/>
      <c r="R105" s="363"/>
      <c r="S105" s="363"/>
      <c r="T105" s="363"/>
      <c r="U105" s="364"/>
      <c r="V105" s="364"/>
    </row>
    <row r="106" spans="1:22" ht="15.75" x14ac:dyDescent="0.25">
      <c r="A106" s="322">
        <f t="shared" si="15"/>
        <v>101</v>
      </c>
      <c r="B106" s="360"/>
      <c r="C106" s="331"/>
      <c r="D106" s="298" t="e">
        <f>VLOOKUP(C106,УЗиНП!$C$3:$D$1464,2,FALSE)</f>
        <v>#N/A</v>
      </c>
      <c r="E106" s="363"/>
      <c r="F106" s="363"/>
      <c r="G106" s="363"/>
      <c r="H106" s="363"/>
      <c r="I106" s="363"/>
      <c r="J106" s="363"/>
      <c r="K106" s="363"/>
      <c r="L106" s="363"/>
      <c r="M106" s="363"/>
      <c r="N106" s="364"/>
      <c r="O106" s="363"/>
      <c r="P106" s="363"/>
      <c r="Q106" s="363"/>
      <c r="R106" s="363"/>
      <c r="S106" s="363"/>
      <c r="T106" s="363"/>
      <c r="U106" s="364"/>
      <c r="V106" s="364"/>
    </row>
    <row r="107" spans="1:22" ht="15.75" x14ac:dyDescent="0.25">
      <c r="A107" s="322">
        <f t="shared" si="15"/>
        <v>102</v>
      </c>
      <c r="B107" s="360"/>
      <c r="C107" s="331"/>
      <c r="D107" s="298" t="e">
        <f>VLOOKUP(C107,УЗиНП!$C$3:$D$1464,2,FALSE)</f>
        <v>#N/A</v>
      </c>
      <c r="E107" s="363"/>
      <c r="F107" s="363"/>
      <c r="G107" s="363"/>
      <c r="H107" s="363"/>
      <c r="I107" s="363"/>
      <c r="J107" s="363"/>
      <c r="K107" s="363"/>
      <c r="L107" s="363"/>
      <c r="M107" s="363"/>
      <c r="N107" s="364"/>
      <c r="O107" s="363"/>
      <c r="P107" s="363"/>
      <c r="Q107" s="363"/>
      <c r="R107" s="363"/>
      <c r="S107" s="363"/>
      <c r="T107" s="363"/>
      <c r="U107" s="364"/>
      <c r="V107" s="364"/>
    </row>
    <row r="108" spans="1:22" ht="15.75" x14ac:dyDescent="0.25">
      <c r="A108" s="322">
        <f t="shared" si="15"/>
        <v>103</v>
      </c>
      <c r="B108" s="360"/>
      <c r="C108" s="331"/>
      <c r="D108" s="298" t="e">
        <f>VLOOKUP(C108,УЗиНП!$C$3:$D$1464,2,FALSE)</f>
        <v>#N/A</v>
      </c>
      <c r="E108" s="363"/>
      <c r="F108" s="363"/>
      <c r="G108" s="363"/>
      <c r="H108" s="363"/>
      <c r="I108" s="363"/>
      <c r="J108" s="363"/>
      <c r="K108" s="363"/>
      <c r="L108" s="363"/>
      <c r="M108" s="363"/>
      <c r="N108" s="364"/>
      <c r="O108" s="363"/>
      <c r="P108" s="363"/>
      <c r="Q108" s="363"/>
      <c r="R108" s="363"/>
      <c r="S108" s="363"/>
      <c r="T108" s="363"/>
      <c r="U108" s="364"/>
      <c r="V108" s="364"/>
    </row>
    <row r="109" spans="1:22" ht="15.75" x14ac:dyDescent="0.25">
      <c r="A109" s="322">
        <f t="shared" si="15"/>
        <v>104</v>
      </c>
      <c r="B109" s="360"/>
      <c r="C109" s="331"/>
      <c r="D109" s="298" t="e">
        <f>VLOOKUP(C109,УЗиНП!$C$3:$D$1464,2,FALSE)</f>
        <v>#N/A</v>
      </c>
      <c r="E109" s="363"/>
      <c r="F109" s="363"/>
      <c r="G109" s="363"/>
      <c r="H109" s="363"/>
      <c r="I109" s="363"/>
      <c r="J109" s="363"/>
      <c r="K109" s="363"/>
      <c r="L109" s="363"/>
      <c r="M109" s="363"/>
      <c r="N109" s="364"/>
      <c r="O109" s="363"/>
      <c r="P109" s="363"/>
      <c r="Q109" s="363"/>
      <c r="R109" s="363"/>
      <c r="S109" s="363"/>
      <c r="T109" s="363"/>
      <c r="U109" s="364"/>
      <c r="V109" s="364"/>
    </row>
    <row r="110" spans="1:22" ht="15.75" x14ac:dyDescent="0.25">
      <c r="A110" s="322">
        <f t="shared" si="15"/>
        <v>105</v>
      </c>
      <c r="B110" s="360"/>
      <c r="C110" s="331"/>
      <c r="D110" s="298" t="e">
        <f>VLOOKUP(C110,УЗиНП!$C$3:$D$1464,2,FALSE)</f>
        <v>#N/A</v>
      </c>
      <c r="E110" s="363"/>
      <c r="F110" s="363"/>
      <c r="G110" s="363"/>
      <c r="H110" s="363"/>
      <c r="I110" s="363"/>
      <c r="J110" s="363"/>
      <c r="K110" s="363"/>
      <c r="L110" s="363"/>
      <c r="M110" s="363"/>
      <c r="N110" s="364"/>
      <c r="O110" s="363"/>
      <c r="P110" s="363"/>
      <c r="Q110" s="363"/>
      <c r="R110" s="363"/>
      <c r="S110" s="363"/>
      <c r="T110" s="363"/>
      <c r="U110" s="364"/>
      <c r="V110" s="364"/>
    </row>
    <row r="111" spans="1:22" ht="15.75" x14ac:dyDescent="0.25">
      <c r="A111" s="322">
        <f t="shared" si="15"/>
        <v>106</v>
      </c>
      <c r="B111" s="360"/>
      <c r="C111" s="331"/>
      <c r="D111" s="298" t="e">
        <f>VLOOKUP(C111,УЗиНП!$C$3:$D$1464,2,FALSE)</f>
        <v>#N/A</v>
      </c>
      <c r="E111" s="363"/>
      <c r="F111" s="363"/>
      <c r="G111" s="363"/>
      <c r="H111" s="363"/>
      <c r="I111" s="363"/>
      <c r="J111" s="363"/>
      <c r="K111" s="363"/>
      <c r="L111" s="363"/>
      <c r="M111" s="363"/>
      <c r="N111" s="364"/>
      <c r="O111" s="363"/>
      <c r="P111" s="363"/>
      <c r="Q111" s="363"/>
      <c r="R111" s="363"/>
      <c r="S111" s="363"/>
      <c r="T111" s="363"/>
      <c r="U111" s="364"/>
      <c r="V111" s="364"/>
    </row>
    <row r="112" spans="1:22" ht="15.75" x14ac:dyDescent="0.25">
      <c r="A112" s="322">
        <f t="shared" si="15"/>
        <v>107</v>
      </c>
      <c r="B112" s="360"/>
      <c r="C112" s="331"/>
      <c r="D112" s="298" t="e">
        <f>VLOOKUP(C112,УЗиНП!$C$3:$D$1464,2,FALSE)</f>
        <v>#N/A</v>
      </c>
      <c r="E112" s="363"/>
      <c r="F112" s="363"/>
      <c r="G112" s="363"/>
      <c r="H112" s="363"/>
      <c r="I112" s="363"/>
      <c r="J112" s="363"/>
      <c r="K112" s="363"/>
      <c r="L112" s="363"/>
      <c r="M112" s="363"/>
      <c r="N112" s="364"/>
      <c r="O112" s="363"/>
      <c r="P112" s="363"/>
      <c r="Q112" s="363"/>
      <c r="R112" s="363"/>
      <c r="S112" s="363"/>
      <c r="T112" s="363"/>
      <c r="U112" s="364"/>
      <c r="V112" s="364"/>
    </row>
    <row r="113" spans="1:22" ht="15.75" x14ac:dyDescent="0.25">
      <c r="A113" s="322">
        <f t="shared" si="15"/>
        <v>108</v>
      </c>
      <c r="B113" s="360"/>
      <c r="C113" s="331"/>
      <c r="D113" s="298" t="e">
        <f>VLOOKUP(C113,УЗиНП!$C$3:$D$1464,2,FALSE)</f>
        <v>#N/A</v>
      </c>
      <c r="E113" s="363"/>
      <c r="F113" s="363"/>
      <c r="G113" s="363"/>
      <c r="H113" s="363"/>
      <c r="I113" s="363"/>
      <c r="J113" s="363"/>
      <c r="K113" s="363"/>
      <c r="L113" s="363"/>
      <c r="M113" s="363"/>
      <c r="N113" s="364"/>
      <c r="O113" s="363"/>
      <c r="P113" s="363"/>
      <c r="Q113" s="363"/>
      <c r="R113" s="363"/>
      <c r="S113" s="363"/>
      <c r="T113" s="363"/>
      <c r="U113" s="364"/>
      <c r="V113" s="364"/>
    </row>
    <row r="114" spans="1:22" ht="15.75" x14ac:dyDescent="0.25">
      <c r="A114" s="322">
        <f t="shared" si="15"/>
        <v>109</v>
      </c>
      <c r="B114" s="360"/>
      <c r="C114" s="331"/>
      <c r="D114" s="298" t="e">
        <f>VLOOKUP(C114,УЗиНП!$C$3:$D$1464,2,FALSE)</f>
        <v>#N/A</v>
      </c>
      <c r="E114" s="363"/>
      <c r="F114" s="363"/>
      <c r="G114" s="363"/>
      <c r="H114" s="363"/>
      <c r="I114" s="363"/>
      <c r="J114" s="363"/>
      <c r="K114" s="363"/>
      <c r="L114" s="363"/>
      <c r="M114" s="363"/>
      <c r="N114" s="364"/>
      <c r="O114" s="363"/>
      <c r="P114" s="363"/>
      <c r="Q114" s="363"/>
      <c r="R114" s="363"/>
      <c r="S114" s="363"/>
      <c r="T114" s="363"/>
      <c r="U114" s="364"/>
      <c r="V114" s="364"/>
    </row>
    <row r="115" spans="1:22" ht="15.75" x14ac:dyDescent="0.25">
      <c r="A115" s="322">
        <f t="shared" si="15"/>
        <v>110</v>
      </c>
      <c r="B115" s="360"/>
      <c r="C115" s="331"/>
      <c r="D115" s="298" t="e">
        <f>VLOOKUP(C115,УЗиНП!$C$3:$D$1464,2,FALSE)</f>
        <v>#N/A</v>
      </c>
      <c r="E115" s="363"/>
      <c r="F115" s="363"/>
      <c r="G115" s="363"/>
      <c r="H115" s="363"/>
      <c r="I115" s="363"/>
      <c r="J115" s="363"/>
      <c r="K115" s="363"/>
      <c r="L115" s="363"/>
      <c r="M115" s="363"/>
      <c r="N115" s="364"/>
      <c r="O115" s="363"/>
      <c r="P115" s="363"/>
      <c r="Q115" s="363"/>
      <c r="R115" s="363"/>
      <c r="S115" s="363"/>
      <c r="T115" s="363"/>
      <c r="U115" s="364"/>
      <c r="V115" s="364"/>
    </row>
    <row r="116" spans="1:22" ht="15.75" x14ac:dyDescent="0.25">
      <c r="A116" s="322">
        <f t="shared" si="15"/>
        <v>111</v>
      </c>
      <c r="B116" s="360"/>
      <c r="C116" s="331"/>
      <c r="D116" s="298" t="e">
        <f>VLOOKUP(C116,УЗиНП!$C$3:$D$1464,2,FALSE)</f>
        <v>#N/A</v>
      </c>
      <c r="E116" s="363"/>
      <c r="F116" s="363"/>
      <c r="G116" s="363"/>
      <c r="H116" s="363"/>
      <c r="I116" s="363"/>
      <c r="J116" s="363"/>
      <c r="K116" s="363"/>
      <c r="L116" s="363"/>
      <c r="M116" s="363"/>
      <c r="N116" s="364"/>
      <c r="O116" s="363"/>
      <c r="P116" s="363"/>
      <c r="Q116" s="363"/>
      <c r="R116" s="363"/>
      <c r="S116" s="363"/>
      <c r="T116" s="363"/>
      <c r="U116" s="364"/>
      <c r="V116" s="364"/>
    </row>
    <row r="117" spans="1:22" ht="15.75" x14ac:dyDescent="0.25">
      <c r="A117" s="322">
        <f t="shared" si="15"/>
        <v>112</v>
      </c>
      <c r="B117" s="360"/>
      <c r="C117" s="331"/>
      <c r="D117" s="298" t="e">
        <f>VLOOKUP(C117,УЗиНП!$C$3:$D$1464,2,FALSE)</f>
        <v>#N/A</v>
      </c>
      <c r="E117" s="363"/>
      <c r="F117" s="363"/>
      <c r="G117" s="363"/>
      <c r="H117" s="363"/>
      <c r="I117" s="363"/>
      <c r="J117" s="363"/>
      <c r="K117" s="363"/>
      <c r="L117" s="363"/>
      <c r="M117" s="363"/>
      <c r="N117" s="364"/>
      <c r="O117" s="363"/>
      <c r="P117" s="363"/>
      <c r="Q117" s="363"/>
      <c r="R117" s="363"/>
      <c r="S117" s="363"/>
      <c r="T117" s="363"/>
      <c r="U117" s="364"/>
      <c r="V117" s="364"/>
    </row>
    <row r="118" spans="1:22" ht="15.75" x14ac:dyDescent="0.25">
      <c r="A118" s="322">
        <f t="shared" si="15"/>
        <v>113</v>
      </c>
      <c r="B118" s="360"/>
      <c r="C118" s="331"/>
      <c r="D118" s="298" t="e">
        <f>VLOOKUP(C118,УЗиНП!$C$3:$D$1464,2,FALSE)</f>
        <v>#N/A</v>
      </c>
      <c r="E118" s="363"/>
      <c r="F118" s="363"/>
      <c r="G118" s="363"/>
      <c r="H118" s="363"/>
      <c r="I118" s="363"/>
      <c r="J118" s="363"/>
      <c r="K118" s="363"/>
      <c r="L118" s="363"/>
      <c r="M118" s="363"/>
      <c r="N118" s="364"/>
      <c r="O118" s="363"/>
      <c r="P118" s="363"/>
      <c r="Q118" s="363"/>
      <c r="R118" s="363"/>
      <c r="S118" s="363"/>
      <c r="T118" s="363"/>
      <c r="U118" s="364"/>
      <c r="V118" s="364"/>
    </row>
    <row r="119" spans="1:22" ht="15.75" x14ac:dyDescent="0.25">
      <c r="A119" s="322">
        <f t="shared" si="15"/>
        <v>114</v>
      </c>
      <c r="B119" s="360"/>
      <c r="C119" s="331"/>
      <c r="D119" s="298" t="e">
        <f>VLOOKUP(C119,УЗиНП!$C$3:$D$1464,2,FALSE)</f>
        <v>#N/A</v>
      </c>
      <c r="E119" s="363"/>
      <c r="F119" s="363"/>
      <c r="G119" s="363"/>
      <c r="H119" s="363"/>
      <c r="I119" s="363"/>
      <c r="J119" s="363"/>
      <c r="K119" s="363"/>
      <c r="L119" s="363"/>
      <c r="M119" s="363"/>
      <c r="N119" s="364"/>
      <c r="O119" s="363"/>
      <c r="P119" s="363"/>
      <c r="Q119" s="363"/>
      <c r="R119" s="363"/>
      <c r="S119" s="363"/>
      <c r="T119" s="363"/>
      <c r="U119" s="364"/>
      <c r="V119" s="364"/>
    </row>
    <row r="120" spans="1:22" ht="15.75" x14ac:dyDescent="0.25">
      <c r="A120" s="322">
        <f t="shared" si="15"/>
        <v>115</v>
      </c>
      <c r="B120" s="360"/>
      <c r="C120" s="331"/>
      <c r="D120" s="298" t="e">
        <f>VLOOKUP(C120,УЗиНП!$C$3:$D$1464,2,FALSE)</f>
        <v>#N/A</v>
      </c>
      <c r="E120" s="363"/>
      <c r="F120" s="363"/>
      <c r="G120" s="363"/>
      <c r="H120" s="363"/>
      <c r="I120" s="363"/>
      <c r="J120" s="363"/>
      <c r="K120" s="363"/>
      <c r="L120" s="363"/>
      <c r="M120" s="363"/>
      <c r="N120" s="364"/>
      <c r="O120" s="363"/>
      <c r="P120" s="363"/>
      <c r="Q120" s="363"/>
      <c r="R120" s="363"/>
      <c r="S120" s="363"/>
      <c r="T120" s="363"/>
      <c r="U120" s="364"/>
      <c r="V120" s="364"/>
    </row>
    <row r="121" spans="1:22" ht="15.75" x14ac:dyDescent="0.25">
      <c r="A121" s="322">
        <f t="shared" si="15"/>
        <v>116</v>
      </c>
      <c r="B121" s="360"/>
      <c r="C121" s="331"/>
      <c r="D121" s="298" t="e">
        <f>VLOOKUP(C121,УЗиНП!$C$3:$D$1464,2,FALSE)</f>
        <v>#N/A</v>
      </c>
      <c r="E121" s="363"/>
      <c r="F121" s="363"/>
      <c r="G121" s="363"/>
      <c r="H121" s="363"/>
      <c r="I121" s="363"/>
      <c r="J121" s="363"/>
      <c r="K121" s="363"/>
      <c r="L121" s="363"/>
      <c r="M121" s="363"/>
      <c r="N121" s="364"/>
      <c r="O121" s="363"/>
      <c r="P121" s="363"/>
      <c r="Q121" s="363"/>
      <c r="R121" s="363"/>
      <c r="S121" s="363"/>
      <c r="T121" s="363"/>
      <c r="U121" s="364"/>
      <c r="V121" s="364"/>
    </row>
    <row r="122" spans="1:22" ht="15.75" x14ac:dyDescent="0.25">
      <c r="A122" s="322">
        <f t="shared" si="15"/>
        <v>117</v>
      </c>
      <c r="B122" s="360"/>
      <c r="C122" s="331"/>
      <c r="D122" s="298" t="e">
        <f>VLOOKUP(C122,УЗиНП!$C$3:$D$1464,2,FALSE)</f>
        <v>#N/A</v>
      </c>
      <c r="E122" s="363"/>
      <c r="F122" s="363"/>
      <c r="G122" s="363"/>
      <c r="H122" s="363"/>
      <c r="I122" s="363"/>
      <c r="J122" s="363"/>
      <c r="K122" s="363"/>
      <c r="L122" s="363"/>
      <c r="M122" s="363"/>
      <c r="N122" s="364"/>
      <c r="O122" s="363"/>
      <c r="P122" s="363"/>
      <c r="Q122" s="363"/>
      <c r="R122" s="363"/>
      <c r="S122" s="363"/>
      <c r="T122" s="363"/>
      <c r="U122" s="364"/>
      <c r="V122" s="364"/>
    </row>
    <row r="123" spans="1:22" ht="15.75" x14ac:dyDescent="0.25">
      <c r="A123" s="322">
        <f t="shared" si="15"/>
        <v>118</v>
      </c>
      <c r="B123" s="360"/>
      <c r="C123" s="331"/>
      <c r="D123" s="298" t="e">
        <f>VLOOKUP(C123,УЗиНП!$C$3:$D$1464,2,FALSE)</f>
        <v>#N/A</v>
      </c>
      <c r="E123" s="363"/>
      <c r="F123" s="363"/>
      <c r="G123" s="363"/>
      <c r="H123" s="363"/>
      <c r="I123" s="363"/>
      <c r="J123" s="363"/>
      <c r="K123" s="363"/>
      <c r="L123" s="363"/>
      <c r="M123" s="363"/>
      <c r="N123" s="364"/>
      <c r="O123" s="363"/>
      <c r="P123" s="363"/>
      <c r="Q123" s="363"/>
      <c r="R123" s="363"/>
      <c r="S123" s="363"/>
      <c r="T123" s="363"/>
      <c r="U123" s="364"/>
      <c r="V123" s="364"/>
    </row>
    <row r="124" spans="1:22" ht="15.75" x14ac:dyDescent="0.25">
      <c r="A124" s="322">
        <f t="shared" si="15"/>
        <v>119</v>
      </c>
      <c r="B124" s="360"/>
      <c r="C124" s="331"/>
      <c r="D124" s="298" t="e">
        <f>VLOOKUP(C124,УЗиНП!$C$3:$D$1464,2,FALSE)</f>
        <v>#N/A</v>
      </c>
      <c r="E124" s="363"/>
      <c r="F124" s="363"/>
      <c r="G124" s="363"/>
      <c r="H124" s="363"/>
      <c r="I124" s="363"/>
      <c r="J124" s="363"/>
      <c r="K124" s="363"/>
      <c r="L124" s="363"/>
      <c r="M124" s="363"/>
      <c r="N124" s="364"/>
      <c r="O124" s="363"/>
      <c r="P124" s="363"/>
      <c r="Q124" s="363"/>
      <c r="R124" s="363"/>
      <c r="S124" s="363"/>
      <c r="T124" s="363"/>
      <c r="U124" s="364"/>
      <c r="V124" s="364"/>
    </row>
    <row r="125" spans="1:22" ht="15.75" x14ac:dyDescent="0.25">
      <c r="A125" s="322">
        <f t="shared" si="15"/>
        <v>120</v>
      </c>
      <c r="B125" s="360"/>
      <c r="C125" s="331"/>
      <c r="D125" s="298" t="e">
        <f>VLOOKUP(C125,УЗиНП!$C$3:$D$1464,2,FALSE)</f>
        <v>#N/A</v>
      </c>
      <c r="E125" s="363"/>
      <c r="F125" s="363"/>
      <c r="G125" s="363"/>
      <c r="H125" s="363"/>
      <c r="I125" s="363"/>
      <c r="J125" s="363"/>
      <c r="K125" s="363"/>
      <c r="L125" s="363"/>
      <c r="M125" s="363"/>
      <c r="N125" s="364"/>
      <c r="O125" s="363"/>
      <c r="P125" s="363"/>
      <c r="Q125" s="363"/>
      <c r="R125" s="363"/>
      <c r="S125" s="363"/>
      <c r="T125" s="363"/>
      <c r="U125" s="364"/>
      <c r="V125" s="364"/>
    </row>
    <row r="126" spans="1:22" ht="15.75" x14ac:dyDescent="0.25">
      <c r="A126" s="322">
        <f t="shared" si="15"/>
        <v>121</v>
      </c>
      <c r="B126" s="360"/>
      <c r="C126" s="331"/>
      <c r="D126" s="298" t="e">
        <f>VLOOKUP(C126,УЗиНП!$C$3:$D$1464,2,FALSE)</f>
        <v>#N/A</v>
      </c>
      <c r="E126" s="363"/>
      <c r="F126" s="363"/>
      <c r="G126" s="363"/>
      <c r="H126" s="363"/>
      <c r="I126" s="363"/>
      <c r="J126" s="363"/>
      <c r="K126" s="363"/>
      <c r="L126" s="363"/>
      <c r="M126" s="363"/>
      <c r="N126" s="364"/>
      <c r="O126" s="363"/>
      <c r="P126" s="363"/>
      <c r="Q126" s="363"/>
      <c r="R126" s="363"/>
      <c r="S126" s="363"/>
      <c r="T126" s="363"/>
      <c r="U126" s="364"/>
      <c r="V126" s="364"/>
    </row>
    <row r="127" spans="1:22" ht="15.75" x14ac:dyDescent="0.25">
      <c r="A127" s="322">
        <f t="shared" si="15"/>
        <v>122</v>
      </c>
      <c r="B127" s="360"/>
      <c r="C127" s="331"/>
      <c r="D127" s="298" t="e">
        <f>VLOOKUP(C127,УЗиНП!$C$3:$D$1464,2,FALSE)</f>
        <v>#N/A</v>
      </c>
      <c r="E127" s="363"/>
      <c r="F127" s="363"/>
      <c r="G127" s="363"/>
      <c r="H127" s="363"/>
      <c r="I127" s="363"/>
      <c r="J127" s="363"/>
      <c r="K127" s="363"/>
      <c r="L127" s="363"/>
      <c r="M127" s="363"/>
      <c r="N127" s="364"/>
      <c r="O127" s="363"/>
      <c r="P127" s="363"/>
      <c r="Q127" s="363"/>
      <c r="R127" s="363"/>
      <c r="S127" s="363"/>
      <c r="T127" s="363"/>
      <c r="U127" s="364"/>
      <c r="V127" s="364"/>
    </row>
    <row r="128" spans="1:22" ht="15.75" x14ac:dyDescent="0.25">
      <c r="A128" s="322">
        <f t="shared" si="15"/>
        <v>123</v>
      </c>
      <c r="B128" s="360"/>
      <c r="C128" s="331"/>
      <c r="D128" s="298" t="e">
        <f>VLOOKUP(C128,УЗиНП!$C$3:$D$1464,2,FALSE)</f>
        <v>#N/A</v>
      </c>
      <c r="E128" s="363"/>
      <c r="F128" s="363"/>
      <c r="G128" s="363"/>
      <c r="H128" s="363"/>
      <c r="I128" s="363"/>
      <c r="J128" s="363"/>
      <c r="K128" s="363"/>
      <c r="L128" s="363"/>
      <c r="M128" s="363"/>
      <c r="N128" s="364"/>
      <c r="O128" s="363"/>
      <c r="P128" s="363"/>
      <c r="Q128" s="363"/>
      <c r="R128" s="363"/>
      <c r="S128" s="363"/>
      <c r="T128" s="363"/>
      <c r="U128" s="364"/>
      <c r="V128" s="364"/>
    </row>
    <row r="129" spans="1:22" ht="15.75" x14ac:dyDescent="0.25">
      <c r="A129" s="322">
        <f t="shared" si="15"/>
        <v>124</v>
      </c>
      <c r="B129" s="360"/>
      <c r="C129" s="331"/>
      <c r="D129" s="298" t="e">
        <f>VLOOKUP(C129,УЗиНП!$C$3:$D$1464,2,FALSE)</f>
        <v>#N/A</v>
      </c>
      <c r="E129" s="363"/>
      <c r="F129" s="363"/>
      <c r="G129" s="363"/>
      <c r="H129" s="363"/>
      <c r="I129" s="363"/>
      <c r="J129" s="363"/>
      <c r="K129" s="363"/>
      <c r="L129" s="363"/>
      <c r="M129" s="363"/>
      <c r="N129" s="364"/>
      <c r="O129" s="363"/>
      <c r="P129" s="363"/>
      <c r="Q129" s="363"/>
      <c r="R129" s="363"/>
      <c r="S129" s="363"/>
      <c r="T129" s="363"/>
      <c r="U129" s="364"/>
      <c r="V129" s="364"/>
    </row>
    <row r="130" spans="1:22" ht="15.75" x14ac:dyDescent="0.25">
      <c r="A130" s="322">
        <f t="shared" si="15"/>
        <v>125</v>
      </c>
      <c r="B130" s="360"/>
      <c r="C130" s="331"/>
      <c r="D130" s="298" t="e">
        <f>VLOOKUP(C130,УЗиНП!$C$3:$D$1464,2,FALSE)</f>
        <v>#N/A</v>
      </c>
      <c r="E130" s="363"/>
      <c r="F130" s="363"/>
      <c r="G130" s="363"/>
      <c r="H130" s="363"/>
      <c r="I130" s="363"/>
      <c r="J130" s="363"/>
      <c r="K130" s="363"/>
      <c r="L130" s="363"/>
      <c r="M130" s="363"/>
      <c r="N130" s="364"/>
      <c r="O130" s="363"/>
      <c r="P130" s="363"/>
      <c r="Q130" s="363"/>
      <c r="R130" s="363"/>
      <c r="S130" s="363"/>
      <c r="T130" s="363"/>
      <c r="U130" s="364"/>
      <c r="V130" s="364"/>
    </row>
    <row r="131" spans="1:22" ht="15.75" x14ac:dyDescent="0.25">
      <c r="A131" s="322">
        <f t="shared" si="15"/>
        <v>126</v>
      </c>
      <c r="B131" s="360"/>
      <c r="C131" s="331"/>
      <c r="D131" s="298" t="e">
        <f>VLOOKUP(C131,УЗиНП!$C$3:$D$1464,2,FALSE)</f>
        <v>#N/A</v>
      </c>
      <c r="E131" s="363"/>
      <c r="F131" s="363"/>
      <c r="G131" s="363"/>
      <c r="H131" s="363"/>
      <c r="I131" s="363"/>
      <c r="J131" s="363"/>
      <c r="K131" s="363"/>
      <c r="L131" s="363"/>
      <c r="M131" s="363"/>
      <c r="N131" s="364"/>
      <c r="O131" s="363"/>
      <c r="P131" s="363"/>
      <c r="Q131" s="363"/>
      <c r="R131" s="363"/>
      <c r="S131" s="363"/>
      <c r="T131" s="363"/>
      <c r="U131" s="364"/>
      <c r="V131" s="364"/>
    </row>
    <row r="132" spans="1:22" ht="15.75" x14ac:dyDescent="0.25">
      <c r="A132" s="322">
        <f t="shared" si="15"/>
        <v>127</v>
      </c>
      <c r="B132" s="360"/>
      <c r="C132" s="331"/>
      <c r="D132" s="298" t="e">
        <f>VLOOKUP(C132,УЗиНП!$C$3:$D$1464,2,FALSE)</f>
        <v>#N/A</v>
      </c>
      <c r="E132" s="363"/>
      <c r="F132" s="363"/>
      <c r="G132" s="363"/>
      <c r="H132" s="363"/>
      <c r="I132" s="363"/>
      <c r="J132" s="363"/>
      <c r="K132" s="363"/>
      <c r="L132" s="363"/>
      <c r="M132" s="363"/>
      <c r="N132" s="364"/>
      <c r="O132" s="363"/>
      <c r="P132" s="363"/>
      <c r="Q132" s="363"/>
      <c r="R132" s="363"/>
      <c r="S132" s="363"/>
      <c r="T132" s="363"/>
      <c r="U132" s="364"/>
      <c r="V132" s="364"/>
    </row>
    <row r="133" spans="1:22" ht="15.75" x14ac:dyDescent="0.25">
      <c r="A133" s="322">
        <f t="shared" si="15"/>
        <v>128</v>
      </c>
      <c r="B133" s="360"/>
      <c r="C133" s="331"/>
      <c r="D133" s="298" t="e">
        <f>VLOOKUP(C133,УЗиНП!$C$3:$D$1464,2,FALSE)</f>
        <v>#N/A</v>
      </c>
      <c r="E133" s="363"/>
      <c r="F133" s="363"/>
      <c r="G133" s="363"/>
      <c r="H133" s="363"/>
      <c r="I133" s="363"/>
      <c r="J133" s="363"/>
      <c r="K133" s="363"/>
      <c r="L133" s="363"/>
      <c r="M133" s="363"/>
      <c r="N133" s="364"/>
      <c r="O133" s="363"/>
      <c r="P133" s="363"/>
      <c r="Q133" s="363"/>
      <c r="R133" s="363"/>
      <c r="S133" s="363"/>
      <c r="T133" s="363"/>
      <c r="U133" s="364"/>
      <c r="V133" s="364"/>
    </row>
    <row r="134" spans="1:22" ht="15.75" x14ac:dyDescent="0.25">
      <c r="A134" s="322">
        <f t="shared" si="15"/>
        <v>129</v>
      </c>
      <c r="B134" s="360"/>
      <c r="C134" s="331"/>
      <c r="D134" s="298" t="e">
        <f>VLOOKUP(C134,УЗиНП!$C$3:$D$1464,2,FALSE)</f>
        <v>#N/A</v>
      </c>
      <c r="E134" s="363"/>
      <c r="F134" s="363"/>
      <c r="G134" s="363"/>
      <c r="H134" s="363"/>
      <c r="I134" s="363"/>
      <c r="J134" s="363"/>
      <c r="K134" s="363"/>
      <c r="L134" s="363"/>
      <c r="M134" s="363"/>
      <c r="N134" s="364"/>
      <c r="O134" s="363"/>
      <c r="P134" s="363"/>
      <c r="Q134" s="363"/>
      <c r="R134" s="363"/>
      <c r="S134" s="363"/>
      <c r="T134" s="363"/>
      <c r="U134" s="364"/>
      <c r="V134" s="364"/>
    </row>
    <row r="135" spans="1:22" ht="15.75" x14ac:dyDescent="0.25">
      <c r="A135" s="322">
        <f t="shared" si="15"/>
        <v>130</v>
      </c>
      <c r="B135" s="360"/>
      <c r="C135" s="331"/>
      <c r="D135" s="298" t="e">
        <f>VLOOKUP(C135,УЗиНП!$C$3:$D$1464,2,FALSE)</f>
        <v>#N/A</v>
      </c>
      <c r="E135" s="363"/>
      <c r="F135" s="363"/>
      <c r="G135" s="363"/>
      <c r="H135" s="363"/>
      <c r="I135" s="363"/>
      <c r="J135" s="363"/>
      <c r="K135" s="363"/>
      <c r="L135" s="363"/>
      <c r="M135" s="363"/>
      <c r="N135" s="364"/>
      <c r="O135" s="363"/>
      <c r="P135" s="363"/>
      <c r="Q135" s="363"/>
      <c r="R135" s="363"/>
      <c r="S135" s="363"/>
      <c r="T135" s="363"/>
      <c r="U135" s="364"/>
      <c r="V135" s="364"/>
    </row>
    <row r="136" spans="1:22" ht="15.75" x14ac:dyDescent="0.25">
      <c r="A136" s="322">
        <f t="shared" si="15"/>
        <v>131</v>
      </c>
      <c r="B136" s="360"/>
      <c r="C136" s="331"/>
      <c r="D136" s="298" t="e">
        <f>VLOOKUP(C136,УЗиНП!$C$3:$D$1464,2,FALSE)</f>
        <v>#N/A</v>
      </c>
      <c r="E136" s="363"/>
      <c r="F136" s="363"/>
      <c r="G136" s="363"/>
      <c r="H136" s="363"/>
      <c r="I136" s="363"/>
      <c r="J136" s="363"/>
      <c r="K136" s="363"/>
      <c r="L136" s="363"/>
      <c r="M136" s="363"/>
      <c r="N136" s="364"/>
      <c r="O136" s="363"/>
      <c r="P136" s="363"/>
      <c r="Q136" s="363"/>
      <c r="R136" s="363"/>
      <c r="S136" s="363"/>
      <c r="T136" s="363"/>
      <c r="U136" s="364"/>
      <c r="V136" s="364"/>
    </row>
    <row r="137" spans="1:22" ht="15.75" x14ac:dyDescent="0.25">
      <c r="A137" s="322">
        <f t="shared" ref="A137:A305" si="16">A136+1</f>
        <v>132</v>
      </c>
      <c r="B137" s="360"/>
      <c r="C137" s="331"/>
      <c r="D137" s="298" t="e">
        <f>VLOOKUP(C137,УЗиНП!$C$3:$D$1464,2,FALSE)</f>
        <v>#N/A</v>
      </c>
      <c r="E137" s="363"/>
      <c r="F137" s="363"/>
      <c r="G137" s="363"/>
      <c r="H137" s="363"/>
      <c r="I137" s="363"/>
      <c r="J137" s="363"/>
      <c r="K137" s="363"/>
      <c r="L137" s="363"/>
      <c r="M137" s="363"/>
      <c r="N137" s="364"/>
      <c r="O137" s="363"/>
      <c r="P137" s="363"/>
      <c r="Q137" s="363"/>
      <c r="R137" s="363"/>
      <c r="S137" s="363"/>
      <c r="T137" s="363"/>
      <c r="U137" s="364"/>
      <c r="V137" s="364"/>
    </row>
    <row r="138" spans="1:22" ht="15.75" x14ac:dyDescent="0.25">
      <c r="A138" s="322">
        <f t="shared" si="16"/>
        <v>133</v>
      </c>
      <c r="B138" s="360"/>
      <c r="C138" s="331"/>
      <c r="D138" s="298" t="e">
        <f>VLOOKUP(C138,УЗиНП!$C$3:$D$1464,2,FALSE)</f>
        <v>#N/A</v>
      </c>
      <c r="E138" s="363"/>
      <c r="F138" s="363"/>
      <c r="G138" s="363"/>
      <c r="H138" s="363"/>
      <c r="I138" s="363"/>
      <c r="J138" s="363"/>
      <c r="K138" s="363"/>
      <c r="L138" s="363"/>
      <c r="M138" s="363"/>
      <c r="N138" s="364"/>
      <c r="O138" s="363"/>
      <c r="P138" s="363"/>
      <c r="Q138" s="363"/>
      <c r="R138" s="363"/>
      <c r="S138" s="363"/>
      <c r="T138" s="363"/>
      <c r="U138" s="364"/>
      <c r="V138" s="364"/>
    </row>
    <row r="139" spans="1:22" ht="15.75" x14ac:dyDescent="0.25">
      <c r="A139" s="322">
        <f t="shared" si="16"/>
        <v>134</v>
      </c>
      <c r="B139" s="360"/>
      <c r="C139" s="331"/>
      <c r="D139" s="298" t="e">
        <f>VLOOKUP(C139,УЗиНП!$C$3:$D$1464,2,FALSE)</f>
        <v>#N/A</v>
      </c>
      <c r="E139" s="363"/>
      <c r="F139" s="363"/>
      <c r="G139" s="363"/>
      <c r="H139" s="363"/>
      <c r="I139" s="363"/>
      <c r="J139" s="363"/>
      <c r="K139" s="363"/>
      <c r="L139" s="363"/>
      <c r="M139" s="363"/>
      <c r="N139" s="364"/>
      <c r="O139" s="363"/>
      <c r="P139" s="363"/>
      <c r="Q139" s="363"/>
      <c r="R139" s="363"/>
      <c r="S139" s="363"/>
      <c r="T139" s="363"/>
      <c r="U139" s="364"/>
      <c r="V139" s="364"/>
    </row>
    <row r="140" spans="1:22" ht="15.75" x14ac:dyDescent="0.25">
      <c r="A140" s="322">
        <f t="shared" si="16"/>
        <v>135</v>
      </c>
      <c r="B140" s="360"/>
      <c r="C140" s="331"/>
      <c r="D140" s="298" t="e">
        <f>VLOOKUP(C140,УЗиНП!$C$3:$D$1464,2,FALSE)</f>
        <v>#N/A</v>
      </c>
      <c r="E140" s="363"/>
      <c r="F140" s="363"/>
      <c r="G140" s="363"/>
      <c r="H140" s="363"/>
      <c r="I140" s="363"/>
      <c r="J140" s="363"/>
      <c r="K140" s="363"/>
      <c r="L140" s="363"/>
      <c r="M140" s="363"/>
      <c r="N140" s="364"/>
      <c r="O140" s="363"/>
      <c r="P140" s="363"/>
      <c r="Q140" s="363"/>
      <c r="R140" s="363"/>
      <c r="S140" s="363"/>
      <c r="T140" s="363"/>
      <c r="U140" s="364"/>
      <c r="V140" s="364"/>
    </row>
    <row r="141" spans="1:22" ht="15.75" x14ac:dyDescent="0.25">
      <c r="A141" s="322">
        <f t="shared" si="16"/>
        <v>136</v>
      </c>
      <c r="B141" s="360"/>
      <c r="C141" s="331"/>
      <c r="D141" s="298" t="e">
        <f>VLOOKUP(C141,УЗиНП!$C$3:$D$1464,2,FALSE)</f>
        <v>#N/A</v>
      </c>
      <c r="E141" s="363"/>
      <c r="F141" s="363"/>
      <c r="G141" s="363"/>
      <c r="H141" s="363"/>
      <c r="I141" s="363"/>
      <c r="J141" s="363"/>
      <c r="K141" s="363"/>
      <c r="L141" s="363"/>
      <c r="M141" s="363"/>
      <c r="N141" s="364"/>
      <c r="O141" s="363"/>
      <c r="P141" s="363"/>
      <c r="Q141" s="363"/>
      <c r="R141" s="363"/>
      <c r="S141" s="363"/>
      <c r="T141" s="363"/>
      <c r="U141" s="364"/>
      <c r="V141" s="364"/>
    </row>
    <row r="142" spans="1:22" ht="15.75" x14ac:dyDescent="0.25">
      <c r="A142" s="322">
        <f t="shared" si="16"/>
        <v>137</v>
      </c>
      <c r="B142" s="360"/>
      <c r="C142" s="331"/>
      <c r="D142" s="298" t="e">
        <f>VLOOKUP(C142,УЗиНП!$C$3:$D$1464,2,FALSE)</f>
        <v>#N/A</v>
      </c>
      <c r="E142" s="363"/>
      <c r="F142" s="363"/>
      <c r="G142" s="363"/>
      <c r="H142" s="363"/>
      <c r="I142" s="363"/>
      <c r="J142" s="363"/>
      <c r="K142" s="363"/>
      <c r="L142" s="363"/>
      <c r="M142" s="363"/>
      <c r="N142" s="364"/>
      <c r="O142" s="363"/>
      <c r="P142" s="363"/>
      <c r="Q142" s="363"/>
      <c r="R142" s="363"/>
      <c r="S142" s="363"/>
      <c r="T142" s="363"/>
      <c r="U142" s="364"/>
      <c r="V142" s="364"/>
    </row>
    <row r="143" spans="1:22" ht="15.75" x14ac:dyDescent="0.25">
      <c r="A143" s="322">
        <f t="shared" si="16"/>
        <v>138</v>
      </c>
      <c r="B143" s="360"/>
      <c r="C143" s="331"/>
      <c r="D143" s="298" t="e">
        <f>VLOOKUP(C143,УЗиНП!$C$3:$D$1464,2,FALSE)</f>
        <v>#N/A</v>
      </c>
      <c r="E143" s="363"/>
      <c r="F143" s="363"/>
      <c r="G143" s="363"/>
      <c r="H143" s="363"/>
      <c r="I143" s="363"/>
      <c r="J143" s="363"/>
      <c r="K143" s="363"/>
      <c r="L143" s="363"/>
      <c r="M143" s="363"/>
      <c r="N143" s="364"/>
      <c r="O143" s="363"/>
      <c r="P143" s="363"/>
      <c r="Q143" s="363"/>
      <c r="R143" s="363"/>
      <c r="S143" s="363"/>
      <c r="T143" s="363"/>
      <c r="U143" s="364"/>
      <c r="V143" s="364"/>
    </row>
    <row r="144" spans="1:22" ht="15.75" x14ac:dyDescent="0.25">
      <c r="A144" s="322">
        <f t="shared" si="16"/>
        <v>139</v>
      </c>
      <c r="B144" s="360"/>
      <c r="C144" s="331"/>
      <c r="D144" s="298" t="e">
        <f>VLOOKUP(C144,УЗиНП!$C$3:$D$1464,2,FALSE)</f>
        <v>#N/A</v>
      </c>
      <c r="E144" s="363"/>
      <c r="F144" s="363"/>
      <c r="G144" s="363"/>
      <c r="H144" s="363"/>
      <c r="I144" s="363"/>
      <c r="J144" s="363"/>
      <c r="K144" s="363"/>
      <c r="L144" s="363"/>
      <c r="M144" s="363"/>
      <c r="N144" s="364"/>
      <c r="O144" s="363"/>
      <c r="P144" s="363"/>
      <c r="Q144" s="363"/>
      <c r="R144" s="363"/>
      <c r="S144" s="363"/>
      <c r="T144" s="363"/>
      <c r="U144" s="364"/>
      <c r="V144" s="364"/>
    </row>
    <row r="145" spans="1:22" ht="15.75" x14ac:dyDescent="0.25">
      <c r="A145" s="322">
        <f t="shared" si="16"/>
        <v>140</v>
      </c>
      <c r="B145" s="360"/>
      <c r="C145" s="331"/>
      <c r="D145" s="298" t="e">
        <f>VLOOKUP(C145,УЗиНП!$C$3:$D$1464,2,FALSE)</f>
        <v>#N/A</v>
      </c>
      <c r="E145" s="363"/>
      <c r="F145" s="363"/>
      <c r="G145" s="363"/>
      <c r="H145" s="363"/>
      <c r="I145" s="363"/>
      <c r="J145" s="363"/>
      <c r="K145" s="363"/>
      <c r="L145" s="363"/>
      <c r="M145" s="363"/>
      <c r="N145" s="364"/>
      <c r="O145" s="363"/>
      <c r="P145" s="363"/>
      <c r="Q145" s="363"/>
      <c r="R145" s="363"/>
      <c r="S145" s="363"/>
      <c r="T145" s="363"/>
      <c r="U145" s="364"/>
      <c r="V145" s="364"/>
    </row>
    <row r="146" spans="1:22" ht="15.75" x14ac:dyDescent="0.25">
      <c r="A146" s="322">
        <f t="shared" si="16"/>
        <v>141</v>
      </c>
      <c r="B146" s="360"/>
      <c r="C146" s="331"/>
      <c r="D146" s="298" t="e">
        <f>VLOOKUP(C146,УЗиНП!$C$3:$D$1464,2,FALSE)</f>
        <v>#N/A</v>
      </c>
      <c r="E146" s="363"/>
      <c r="F146" s="363"/>
      <c r="G146" s="363"/>
      <c r="H146" s="363"/>
      <c r="I146" s="363"/>
      <c r="J146" s="363"/>
      <c r="K146" s="363"/>
      <c r="L146" s="363"/>
      <c r="M146" s="363"/>
      <c r="N146" s="364"/>
      <c r="O146" s="363"/>
      <c r="P146" s="363"/>
      <c r="Q146" s="363"/>
      <c r="R146" s="363"/>
      <c r="S146" s="363"/>
      <c r="T146" s="363"/>
      <c r="U146" s="364"/>
      <c r="V146" s="364"/>
    </row>
    <row r="147" spans="1:22" ht="15.75" x14ac:dyDescent="0.25">
      <c r="A147" s="322">
        <f t="shared" si="16"/>
        <v>142</v>
      </c>
      <c r="B147" s="360"/>
      <c r="C147" s="331"/>
      <c r="D147" s="298" t="e">
        <f>VLOOKUP(C147,УЗиНП!$C$3:$D$1464,2,FALSE)</f>
        <v>#N/A</v>
      </c>
      <c r="E147" s="363"/>
      <c r="F147" s="363"/>
      <c r="G147" s="363"/>
      <c r="H147" s="363"/>
      <c r="I147" s="363"/>
      <c r="J147" s="363"/>
      <c r="K147" s="363"/>
      <c r="L147" s="363"/>
      <c r="M147" s="363"/>
      <c r="N147" s="364"/>
      <c r="O147" s="363"/>
      <c r="P147" s="363"/>
      <c r="Q147" s="363"/>
      <c r="R147" s="363"/>
      <c r="S147" s="363"/>
      <c r="T147" s="363"/>
      <c r="U147" s="364"/>
      <c r="V147" s="364"/>
    </row>
    <row r="148" spans="1:22" ht="15.75" x14ac:dyDescent="0.25">
      <c r="A148" s="322">
        <f t="shared" si="16"/>
        <v>143</v>
      </c>
      <c r="B148" s="360"/>
      <c r="C148" s="331"/>
      <c r="D148" s="298" t="e">
        <f>VLOOKUP(C148,УЗиНП!$C$3:$D$1464,2,FALSE)</f>
        <v>#N/A</v>
      </c>
      <c r="E148" s="363"/>
      <c r="F148" s="363"/>
      <c r="G148" s="363"/>
      <c r="H148" s="363"/>
      <c r="I148" s="363"/>
      <c r="J148" s="363"/>
      <c r="K148" s="363"/>
      <c r="L148" s="363"/>
      <c r="M148" s="363"/>
      <c r="N148" s="364"/>
      <c r="O148" s="363"/>
      <c r="P148" s="363"/>
      <c r="Q148" s="363"/>
      <c r="R148" s="363"/>
      <c r="S148" s="363"/>
      <c r="T148" s="363"/>
      <c r="U148" s="364"/>
      <c r="V148" s="364"/>
    </row>
    <row r="149" spans="1:22" ht="15.75" x14ac:dyDescent="0.25">
      <c r="A149" s="322">
        <f t="shared" si="16"/>
        <v>144</v>
      </c>
      <c r="B149" s="360"/>
      <c r="C149" s="331"/>
      <c r="D149" s="298" t="e">
        <f>VLOOKUP(C149,УЗиНП!$C$3:$D$1464,2,FALSE)</f>
        <v>#N/A</v>
      </c>
      <c r="E149" s="363"/>
      <c r="F149" s="363"/>
      <c r="G149" s="363"/>
      <c r="H149" s="363"/>
      <c r="I149" s="363"/>
      <c r="J149" s="363"/>
      <c r="K149" s="363"/>
      <c r="L149" s="363"/>
      <c r="M149" s="363"/>
      <c r="N149" s="364"/>
      <c r="O149" s="363"/>
      <c r="P149" s="363"/>
      <c r="Q149" s="363"/>
      <c r="R149" s="363"/>
      <c r="S149" s="363"/>
      <c r="T149" s="363"/>
      <c r="U149" s="364"/>
      <c r="V149" s="364"/>
    </row>
    <row r="150" spans="1:22" ht="15.75" x14ac:dyDescent="0.25">
      <c r="A150" s="322">
        <f t="shared" si="16"/>
        <v>145</v>
      </c>
      <c r="B150" s="360"/>
      <c r="C150" s="331"/>
      <c r="D150" s="298" t="e">
        <f>VLOOKUP(C150,УЗиНП!$C$3:$D$1464,2,FALSE)</f>
        <v>#N/A</v>
      </c>
      <c r="E150" s="363"/>
      <c r="F150" s="363"/>
      <c r="G150" s="363"/>
      <c r="H150" s="363"/>
      <c r="I150" s="363"/>
      <c r="J150" s="363"/>
      <c r="K150" s="363"/>
      <c r="L150" s="363"/>
      <c r="M150" s="363"/>
      <c r="N150" s="364"/>
      <c r="O150" s="363"/>
      <c r="P150" s="363"/>
      <c r="Q150" s="363"/>
      <c r="R150" s="363"/>
      <c r="S150" s="363"/>
      <c r="T150" s="363"/>
      <c r="U150" s="364"/>
      <c r="V150" s="364"/>
    </row>
    <row r="151" spans="1:22" ht="15.75" x14ac:dyDescent="0.25">
      <c r="A151" s="322">
        <f t="shared" si="16"/>
        <v>146</v>
      </c>
      <c r="B151" s="360"/>
      <c r="C151" s="331"/>
      <c r="D151" s="298" t="e">
        <f>VLOOKUP(C151,УЗиНП!$C$3:$D$1464,2,FALSE)</f>
        <v>#N/A</v>
      </c>
      <c r="E151" s="363"/>
      <c r="F151" s="363"/>
      <c r="G151" s="363"/>
      <c r="H151" s="363"/>
      <c r="I151" s="363"/>
      <c r="J151" s="363"/>
      <c r="K151" s="363"/>
      <c r="L151" s="363"/>
      <c r="M151" s="363"/>
      <c r="N151" s="364"/>
      <c r="O151" s="363"/>
      <c r="P151" s="363"/>
      <c r="Q151" s="363"/>
      <c r="R151" s="363"/>
      <c r="S151" s="363"/>
      <c r="T151" s="363"/>
      <c r="U151" s="364"/>
      <c r="V151" s="364"/>
    </row>
    <row r="152" spans="1:22" ht="15.75" x14ac:dyDescent="0.25">
      <c r="A152" s="322">
        <f t="shared" si="16"/>
        <v>147</v>
      </c>
      <c r="B152" s="360"/>
      <c r="C152" s="331"/>
      <c r="D152" s="298" t="e">
        <f>VLOOKUP(C152,УЗиНП!$C$3:$D$1464,2,FALSE)</f>
        <v>#N/A</v>
      </c>
      <c r="E152" s="363"/>
      <c r="F152" s="363"/>
      <c r="G152" s="363"/>
      <c r="H152" s="363"/>
      <c r="I152" s="363"/>
      <c r="J152" s="363"/>
      <c r="K152" s="363"/>
      <c r="L152" s="363"/>
      <c r="M152" s="363"/>
      <c r="N152" s="364"/>
      <c r="O152" s="363"/>
      <c r="P152" s="363"/>
      <c r="Q152" s="363"/>
      <c r="R152" s="363"/>
      <c r="S152" s="363"/>
      <c r="T152" s="363"/>
      <c r="U152" s="364"/>
      <c r="V152" s="364"/>
    </row>
    <row r="153" spans="1:22" ht="15.75" x14ac:dyDescent="0.25">
      <c r="A153" s="322">
        <f t="shared" si="16"/>
        <v>148</v>
      </c>
      <c r="B153" s="360"/>
      <c r="C153" s="331"/>
      <c r="D153" s="298" t="e">
        <f>VLOOKUP(C153,УЗиНП!$C$3:$D$1464,2,FALSE)</f>
        <v>#N/A</v>
      </c>
      <c r="E153" s="363"/>
      <c r="F153" s="363"/>
      <c r="G153" s="363"/>
      <c r="H153" s="363"/>
      <c r="I153" s="363"/>
      <c r="J153" s="363"/>
      <c r="K153" s="363"/>
      <c r="L153" s="363"/>
      <c r="M153" s="363"/>
      <c r="N153" s="364"/>
      <c r="O153" s="363"/>
      <c r="P153" s="363"/>
      <c r="Q153" s="363"/>
      <c r="R153" s="363"/>
      <c r="S153" s="363"/>
      <c r="T153" s="363"/>
      <c r="U153" s="364"/>
      <c r="V153" s="364"/>
    </row>
    <row r="154" spans="1:22" ht="15.75" x14ac:dyDescent="0.25">
      <c r="A154" s="322">
        <f t="shared" si="16"/>
        <v>149</v>
      </c>
      <c r="B154" s="360"/>
      <c r="C154" s="331"/>
      <c r="D154" s="298" t="e">
        <f>VLOOKUP(C154,УЗиНП!$C$3:$D$1464,2,FALSE)</f>
        <v>#N/A</v>
      </c>
      <c r="E154" s="363"/>
      <c r="F154" s="363"/>
      <c r="G154" s="363"/>
      <c r="H154" s="363"/>
      <c r="I154" s="363"/>
      <c r="J154" s="363"/>
      <c r="K154" s="363"/>
      <c r="L154" s="363"/>
      <c r="M154" s="363"/>
      <c r="N154" s="364"/>
      <c r="O154" s="363"/>
      <c r="P154" s="363"/>
      <c r="Q154" s="363"/>
      <c r="R154" s="363"/>
      <c r="S154" s="363"/>
      <c r="T154" s="363"/>
      <c r="U154" s="364"/>
      <c r="V154" s="364"/>
    </row>
    <row r="155" spans="1:22" ht="15.75" x14ac:dyDescent="0.25">
      <c r="A155" s="322">
        <f t="shared" si="16"/>
        <v>150</v>
      </c>
      <c r="B155" s="360"/>
      <c r="C155" s="331"/>
      <c r="D155" s="298" t="e">
        <f>VLOOKUP(C155,УЗиНП!$C$3:$D$1464,2,FALSE)</f>
        <v>#N/A</v>
      </c>
      <c r="E155" s="363"/>
      <c r="F155" s="363"/>
      <c r="G155" s="363"/>
      <c r="H155" s="363"/>
      <c r="I155" s="363"/>
      <c r="J155" s="363"/>
      <c r="K155" s="363"/>
      <c r="L155" s="363"/>
      <c r="M155" s="363"/>
      <c r="N155" s="364"/>
      <c r="O155" s="363"/>
      <c r="P155" s="363"/>
      <c r="Q155" s="363"/>
      <c r="R155" s="363"/>
      <c r="S155" s="363"/>
      <c r="T155" s="363"/>
      <c r="U155" s="364"/>
      <c r="V155" s="364"/>
    </row>
    <row r="156" spans="1:22" ht="15.75" x14ac:dyDescent="0.25">
      <c r="A156" s="322">
        <f t="shared" si="16"/>
        <v>151</v>
      </c>
      <c r="B156" s="360"/>
      <c r="C156" s="331"/>
      <c r="D156" s="298" t="e">
        <f>VLOOKUP(C156,УЗиНП!$C$3:$D$1464,2,FALSE)</f>
        <v>#N/A</v>
      </c>
      <c r="E156" s="363"/>
      <c r="F156" s="363"/>
      <c r="G156" s="363"/>
      <c r="H156" s="363"/>
      <c r="I156" s="363"/>
      <c r="J156" s="363"/>
      <c r="K156" s="363"/>
      <c r="L156" s="363"/>
      <c r="M156" s="363"/>
      <c r="N156" s="364"/>
      <c r="O156" s="363"/>
      <c r="P156" s="363"/>
      <c r="Q156" s="363"/>
      <c r="R156" s="363"/>
      <c r="S156" s="363"/>
      <c r="T156" s="363"/>
      <c r="U156" s="364"/>
      <c r="V156" s="364"/>
    </row>
    <row r="157" spans="1:22" ht="15.75" x14ac:dyDescent="0.25">
      <c r="A157" s="322">
        <f t="shared" si="16"/>
        <v>152</v>
      </c>
      <c r="B157" s="360"/>
      <c r="C157" s="331"/>
      <c r="D157" s="298" t="e">
        <f>VLOOKUP(C157,УЗиНП!$C$3:$D$1464,2,FALSE)</f>
        <v>#N/A</v>
      </c>
      <c r="E157" s="363"/>
      <c r="F157" s="363"/>
      <c r="G157" s="363"/>
      <c r="H157" s="363"/>
      <c r="I157" s="363"/>
      <c r="J157" s="363"/>
      <c r="K157" s="363"/>
      <c r="L157" s="363"/>
      <c r="M157" s="363"/>
      <c r="N157" s="364"/>
      <c r="O157" s="363"/>
      <c r="P157" s="363"/>
      <c r="Q157" s="363"/>
      <c r="R157" s="363"/>
      <c r="S157" s="363"/>
      <c r="T157" s="363"/>
      <c r="U157" s="364"/>
      <c r="V157" s="364"/>
    </row>
    <row r="158" spans="1:22" ht="15.75" x14ac:dyDescent="0.25">
      <c r="A158" s="322">
        <f t="shared" si="16"/>
        <v>153</v>
      </c>
      <c r="B158" s="360"/>
      <c r="C158" s="331"/>
      <c r="D158" s="298" t="e">
        <f>VLOOKUP(C158,УЗиНП!$C$3:$D$1464,2,FALSE)</f>
        <v>#N/A</v>
      </c>
      <c r="E158" s="363"/>
      <c r="F158" s="363"/>
      <c r="G158" s="363"/>
      <c r="H158" s="363"/>
      <c r="I158" s="363"/>
      <c r="J158" s="363"/>
      <c r="K158" s="363"/>
      <c r="L158" s="363"/>
      <c r="M158" s="363"/>
      <c r="N158" s="364"/>
      <c r="O158" s="363"/>
      <c r="P158" s="363"/>
      <c r="Q158" s="363"/>
      <c r="R158" s="363"/>
      <c r="S158" s="363"/>
      <c r="T158" s="363"/>
      <c r="U158" s="364"/>
      <c r="V158" s="364"/>
    </row>
    <row r="159" spans="1:22" ht="15.75" x14ac:dyDescent="0.25">
      <c r="A159" s="322">
        <f t="shared" si="16"/>
        <v>154</v>
      </c>
      <c r="B159" s="360"/>
      <c r="C159" s="331"/>
      <c r="D159" s="298" t="e">
        <f>VLOOKUP(C159,УЗиНП!$C$3:$D$1464,2,FALSE)</f>
        <v>#N/A</v>
      </c>
      <c r="E159" s="363"/>
      <c r="F159" s="363"/>
      <c r="G159" s="363"/>
      <c r="H159" s="363"/>
      <c r="I159" s="363"/>
      <c r="J159" s="363"/>
      <c r="K159" s="363"/>
      <c r="L159" s="363"/>
      <c r="M159" s="363"/>
      <c r="N159" s="364"/>
      <c r="O159" s="363"/>
      <c r="P159" s="363"/>
      <c r="Q159" s="363"/>
      <c r="R159" s="363"/>
      <c r="S159" s="363"/>
      <c r="T159" s="363"/>
      <c r="U159" s="364"/>
      <c r="V159" s="364"/>
    </row>
    <row r="160" spans="1:22" ht="15.75" x14ac:dyDescent="0.25">
      <c r="A160" s="322">
        <f t="shared" si="16"/>
        <v>155</v>
      </c>
      <c r="B160" s="360"/>
      <c r="C160" s="331"/>
      <c r="D160" s="298" t="e">
        <f>VLOOKUP(C160,УЗиНП!$C$3:$D$1464,2,FALSE)</f>
        <v>#N/A</v>
      </c>
      <c r="E160" s="363"/>
      <c r="F160" s="363"/>
      <c r="G160" s="363"/>
      <c r="H160" s="363"/>
      <c r="I160" s="363"/>
      <c r="J160" s="363"/>
      <c r="K160" s="363"/>
      <c r="L160" s="363"/>
      <c r="M160" s="363"/>
      <c r="N160" s="364"/>
      <c r="O160" s="363"/>
      <c r="P160" s="363"/>
      <c r="Q160" s="363"/>
      <c r="R160" s="363"/>
      <c r="S160" s="363"/>
      <c r="T160" s="363"/>
      <c r="U160" s="364"/>
      <c r="V160" s="364"/>
    </row>
    <row r="161" spans="1:22" ht="15.75" x14ac:dyDescent="0.25">
      <c r="A161" s="322">
        <f t="shared" si="16"/>
        <v>156</v>
      </c>
      <c r="B161" s="360"/>
      <c r="C161" s="331"/>
      <c r="D161" s="298" t="e">
        <f>VLOOKUP(C161,УЗиНП!$C$3:$D$1464,2,FALSE)</f>
        <v>#N/A</v>
      </c>
      <c r="E161" s="363"/>
      <c r="F161" s="363"/>
      <c r="G161" s="363"/>
      <c r="H161" s="363"/>
      <c r="I161" s="363"/>
      <c r="J161" s="363"/>
      <c r="K161" s="363"/>
      <c r="L161" s="363"/>
      <c r="M161" s="363"/>
      <c r="N161" s="364"/>
      <c r="O161" s="363"/>
      <c r="P161" s="363"/>
      <c r="Q161" s="363"/>
      <c r="R161" s="363"/>
      <c r="S161" s="363"/>
      <c r="T161" s="363"/>
      <c r="U161" s="364"/>
      <c r="V161" s="364"/>
    </row>
    <row r="162" spans="1:22" ht="15.75" x14ac:dyDescent="0.25">
      <c r="A162" s="322">
        <f t="shared" si="16"/>
        <v>157</v>
      </c>
      <c r="B162" s="360"/>
      <c r="C162" s="331"/>
      <c r="D162" s="298" t="e">
        <f>VLOOKUP(C162,УЗиНП!$C$3:$D$1464,2,FALSE)</f>
        <v>#N/A</v>
      </c>
      <c r="E162" s="363"/>
      <c r="F162" s="363"/>
      <c r="G162" s="363"/>
      <c r="H162" s="363"/>
      <c r="I162" s="363"/>
      <c r="J162" s="363"/>
      <c r="K162" s="363"/>
      <c r="L162" s="363"/>
      <c r="M162" s="363"/>
      <c r="N162" s="364"/>
      <c r="O162" s="363"/>
      <c r="P162" s="363"/>
      <c r="Q162" s="363"/>
      <c r="R162" s="363"/>
      <c r="S162" s="363"/>
      <c r="T162" s="363"/>
      <c r="U162" s="364"/>
      <c r="V162" s="364"/>
    </row>
    <row r="163" spans="1:22" ht="15.75" x14ac:dyDescent="0.25">
      <c r="A163" s="322">
        <f t="shared" si="16"/>
        <v>158</v>
      </c>
      <c r="B163" s="360"/>
      <c r="C163" s="331"/>
      <c r="D163" s="298" t="e">
        <f>VLOOKUP(C163,УЗиНП!$C$3:$D$1464,2,FALSE)</f>
        <v>#N/A</v>
      </c>
      <c r="E163" s="363"/>
      <c r="F163" s="363"/>
      <c r="G163" s="363"/>
      <c r="H163" s="363"/>
      <c r="I163" s="363"/>
      <c r="J163" s="363"/>
      <c r="K163" s="363"/>
      <c r="L163" s="363"/>
      <c r="M163" s="363"/>
      <c r="N163" s="364"/>
      <c r="O163" s="363"/>
      <c r="P163" s="363"/>
      <c r="Q163" s="363"/>
      <c r="R163" s="363"/>
      <c r="S163" s="363"/>
      <c r="T163" s="363"/>
      <c r="U163" s="364"/>
      <c r="V163" s="364"/>
    </row>
    <row r="164" spans="1:22" ht="15.75" x14ac:dyDescent="0.25">
      <c r="A164" s="322">
        <f t="shared" si="16"/>
        <v>159</v>
      </c>
      <c r="B164" s="360"/>
      <c r="C164" s="331"/>
      <c r="D164" s="298" t="e">
        <f>VLOOKUP(C164,УЗиНП!$C$3:$D$1464,2,FALSE)</f>
        <v>#N/A</v>
      </c>
      <c r="E164" s="363"/>
      <c r="F164" s="363"/>
      <c r="G164" s="363"/>
      <c r="H164" s="363"/>
      <c r="I164" s="363"/>
      <c r="J164" s="363"/>
      <c r="K164" s="363"/>
      <c r="L164" s="363"/>
      <c r="M164" s="363"/>
      <c r="N164" s="364"/>
      <c r="O164" s="363"/>
      <c r="P164" s="363"/>
      <c r="Q164" s="363"/>
      <c r="R164" s="363"/>
      <c r="S164" s="363"/>
      <c r="T164" s="363"/>
      <c r="U164" s="364"/>
      <c r="V164" s="364"/>
    </row>
    <row r="165" spans="1:22" ht="15.75" x14ac:dyDescent="0.25">
      <c r="A165" s="322">
        <f t="shared" si="16"/>
        <v>160</v>
      </c>
      <c r="B165" s="360"/>
      <c r="C165" s="331"/>
      <c r="D165" s="298" t="e">
        <f>VLOOKUP(C165,УЗиНП!$C$3:$D$1464,2,FALSE)</f>
        <v>#N/A</v>
      </c>
      <c r="E165" s="363"/>
      <c r="F165" s="363"/>
      <c r="G165" s="363"/>
      <c r="H165" s="363"/>
      <c r="I165" s="363"/>
      <c r="J165" s="363"/>
      <c r="K165" s="363"/>
      <c r="L165" s="363"/>
      <c r="M165" s="363"/>
      <c r="N165" s="364"/>
      <c r="O165" s="363"/>
      <c r="P165" s="363"/>
      <c r="Q165" s="363"/>
      <c r="R165" s="363"/>
      <c r="S165" s="363"/>
      <c r="T165" s="363"/>
      <c r="U165" s="364"/>
      <c r="V165" s="364"/>
    </row>
    <row r="166" spans="1:22" ht="15.75" x14ac:dyDescent="0.25">
      <c r="A166" s="322">
        <f t="shared" si="16"/>
        <v>161</v>
      </c>
      <c r="B166" s="360"/>
      <c r="C166" s="331"/>
      <c r="D166" s="298" t="e">
        <f>VLOOKUP(C166,УЗиНП!$C$3:$D$1464,2,FALSE)</f>
        <v>#N/A</v>
      </c>
      <c r="E166" s="363"/>
      <c r="F166" s="363"/>
      <c r="G166" s="363"/>
      <c r="H166" s="363"/>
      <c r="I166" s="363"/>
      <c r="J166" s="363"/>
      <c r="K166" s="363"/>
      <c r="L166" s="363"/>
      <c r="M166" s="363"/>
      <c r="N166" s="364"/>
      <c r="O166" s="363"/>
      <c r="P166" s="363"/>
      <c r="Q166" s="363"/>
      <c r="R166" s="363"/>
      <c r="S166" s="363"/>
      <c r="T166" s="363"/>
      <c r="U166" s="364"/>
      <c r="V166" s="364"/>
    </row>
    <row r="167" spans="1:22" ht="15.75" x14ac:dyDescent="0.25">
      <c r="A167" s="322">
        <f t="shared" si="16"/>
        <v>162</v>
      </c>
      <c r="B167" s="360"/>
      <c r="C167" s="331"/>
      <c r="D167" s="298" t="e">
        <f>VLOOKUP(C167,УЗиНП!$C$3:$D$1464,2,FALSE)</f>
        <v>#N/A</v>
      </c>
      <c r="E167" s="363"/>
      <c r="F167" s="363"/>
      <c r="G167" s="363"/>
      <c r="H167" s="363"/>
      <c r="I167" s="363"/>
      <c r="J167" s="363"/>
      <c r="K167" s="363"/>
      <c r="L167" s="363"/>
      <c r="M167" s="363"/>
      <c r="N167" s="364"/>
      <c r="O167" s="363"/>
      <c r="P167" s="363"/>
      <c r="Q167" s="363"/>
      <c r="R167" s="363"/>
      <c r="S167" s="363"/>
      <c r="T167" s="363"/>
      <c r="U167" s="364"/>
      <c r="V167" s="364"/>
    </row>
    <row r="168" spans="1:22" ht="15.75" x14ac:dyDescent="0.25">
      <c r="A168" s="322">
        <f t="shared" si="16"/>
        <v>163</v>
      </c>
      <c r="B168" s="360"/>
      <c r="C168" s="331"/>
      <c r="D168" s="298" t="e">
        <f>VLOOKUP(C168,УЗиНП!$C$3:$D$1464,2,FALSE)</f>
        <v>#N/A</v>
      </c>
      <c r="E168" s="363"/>
      <c r="F168" s="363"/>
      <c r="G168" s="363"/>
      <c r="H168" s="363"/>
      <c r="I168" s="363"/>
      <c r="J168" s="363"/>
      <c r="K168" s="363"/>
      <c r="L168" s="363"/>
      <c r="M168" s="363"/>
      <c r="N168" s="364"/>
      <c r="O168" s="363"/>
      <c r="P168" s="363"/>
      <c r="Q168" s="363"/>
      <c r="R168" s="363"/>
      <c r="S168" s="363"/>
      <c r="T168" s="363"/>
      <c r="U168" s="364"/>
      <c r="V168" s="364"/>
    </row>
    <row r="169" spans="1:22" ht="15.75" x14ac:dyDescent="0.25">
      <c r="A169" s="322">
        <f t="shared" si="16"/>
        <v>164</v>
      </c>
      <c r="B169" s="360"/>
      <c r="C169" s="331"/>
      <c r="D169" s="298" t="e">
        <f>VLOOKUP(C169,УЗиНП!$C$3:$D$1464,2,FALSE)</f>
        <v>#N/A</v>
      </c>
      <c r="E169" s="363"/>
      <c r="F169" s="363"/>
      <c r="G169" s="363"/>
      <c r="H169" s="363"/>
      <c r="I169" s="363"/>
      <c r="J169" s="363"/>
      <c r="K169" s="363"/>
      <c r="L169" s="363"/>
      <c r="M169" s="363"/>
      <c r="N169" s="364"/>
      <c r="O169" s="363"/>
      <c r="P169" s="363"/>
      <c r="Q169" s="363"/>
      <c r="R169" s="363"/>
      <c r="S169" s="363"/>
      <c r="T169" s="363"/>
      <c r="U169" s="364"/>
      <c r="V169" s="364"/>
    </row>
    <row r="170" spans="1:22" ht="15.75" x14ac:dyDescent="0.25">
      <c r="A170" s="322">
        <f t="shared" si="16"/>
        <v>165</v>
      </c>
      <c r="B170" s="360"/>
      <c r="C170" s="331"/>
      <c r="D170" s="298" t="e">
        <f>VLOOKUP(C170,УЗиНП!$C$3:$D$1464,2,FALSE)</f>
        <v>#N/A</v>
      </c>
      <c r="E170" s="363"/>
      <c r="F170" s="363"/>
      <c r="G170" s="363"/>
      <c r="H170" s="363"/>
      <c r="I170" s="363"/>
      <c r="J170" s="363"/>
      <c r="K170" s="363"/>
      <c r="L170" s="363"/>
      <c r="M170" s="363"/>
      <c r="N170" s="364"/>
      <c r="O170" s="363"/>
      <c r="P170" s="363"/>
      <c r="Q170" s="363"/>
      <c r="R170" s="363"/>
      <c r="S170" s="363"/>
      <c r="T170" s="363"/>
      <c r="U170" s="364"/>
      <c r="V170" s="364"/>
    </row>
    <row r="171" spans="1:22" ht="15.75" x14ac:dyDescent="0.25">
      <c r="A171" s="322">
        <f t="shared" si="16"/>
        <v>166</v>
      </c>
      <c r="B171" s="360"/>
      <c r="C171" s="331"/>
      <c r="D171" s="298" t="e">
        <f>VLOOKUP(C171,УЗиНП!$C$3:$D$1464,2,FALSE)</f>
        <v>#N/A</v>
      </c>
      <c r="E171" s="363"/>
      <c r="F171" s="363"/>
      <c r="G171" s="363"/>
      <c r="H171" s="363"/>
      <c r="I171" s="363"/>
      <c r="J171" s="363"/>
      <c r="K171" s="363"/>
      <c r="L171" s="363"/>
      <c r="M171" s="363"/>
      <c r="N171" s="364"/>
      <c r="O171" s="363"/>
      <c r="P171" s="363"/>
      <c r="Q171" s="363"/>
      <c r="R171" s="363"/>
      <c r="S171" s="363"/>
      <c r="T171" s="363"/>
      <c r="U171" s="364"/>
      <c r="V171" s="364"/>
    </row>
    <row r="172" spans="1:22" ht="15.75" x14ac:dyDescent="0.25">
      <c r="A172" s="322">
        <f t="shared" si="16"/>
        <v>167</v>
      </c>
      <c r="B172" s="360"/>
      <c r="C172" s="331"/>
      <c r="D172" s="298" t="e">
        <f>VLOOKUP(C172,УЗиНП!$C$3:$D$1464,2,FALSE)</f>
        <v>#N/A</v>
      </c>
      <c r="E172" s="363"/>
      <c r="F172" s="363"/>
      <c r="G172" s="363"/>
      <c r="H172" s="363"/>
      <c r="I172" s="363"/>
      <c r="J172" s="363"/>
      <c r="K172" s="363"/>
      <c r="L172" s="363"/>
      <c r="M172" s="363"/>
      <c r="N172" s="364"/>
      <c r="O172" s="363"/>
      <c r="P172" s="363"/>
      <c r="Q172" s="363"/>
      <c r="R172" s="363"/>
      <c r="S172" s="363"/>
      <c r="T172" s="363"/>
      <c r="U172" s="364"/>
      <c r="V172" s="364"/>
    </row>
    <row r="173" spans="1:22" ht="15.75" x14ac:dyDescent="0.25">
      <c r="A173" s="322">
        <f t="shared" si="16"/>
        <v>168</v>
      </c>
      <c r="B173" s="360"/>
      <c r="C173" s="331"/>
      <c r="D173" s="298" t="e">
        <f>VLOOKUP(C173,УЗиНП!$C$3:$D$1464,2,FALSE)</f>
        <v>#N/A</v>
      </c>
      <c r="E173" s="363"/>
      <c r="F173" s="363"/>
      <c r="G173" s="363"/>
      <c r="H173" s="363"/>
      <c r="I173" s="363"/>
      <c r="J173" s="363"/>
      <c r="K173" s="363"/>
      <c r="L173" s="363"/>
      <c r="M173" s="363"/>
      <c r="N173" s="364"/>
      <c r="O173" s="363"/>
      <c r="P173" s="363"/>
      <c r="Q173" s="363"/>
      <c r="R173" s="363"/>
      <c r="S173" s="363"/>
      <c r="T173" s="363"/>
      <c r="U173" s="364"/>
      <c r="V173" s="364"/>
    </row>
    <row r="174" spans="1:22" ht="15.75" x14ac:dyDescent="0.25">
      <c r="A174" s="322">
        <f t="shared" si="16"/>
        <v>169</v>
      </c>
      <c r="B174" s="360"/>
      <c r="C174" s="331"/>
      <c r="D174" s="298" t="e">
        <f>VLOOKUP(C174,УЗиНП!$C$3:$D$1464,2,FALSE)</f>
        <v>#N/A</v>
      </c>
      <c r="E174" s="363"/>
      <c r="F174" s="363"/>
      <c r="G174" s="363"/>
      <c r="H174" s="363"/>
      <c r="I174" s="363"/>
      <c r="J174" s="363"/>
      <c r="K174" s="363"/>
      <c r="L174" s="363"/>
      <c r="M174" s="363"/>
      <c r="N174" s="364"/>
      <c r="O174" s="363"/>
      <c r="P174" s="363"/>
      <c r="Q174" s="363"/>
      <c r="R174" s="363"/>
      <c r="S174" s="363"/>
      <c r="T174" s="363"/>
      <c r="U174" s="364"/>
      <c r="V174" s="364"/>
    </row>
    <row r="175" spans="1:22" ht="15.75" x14ac:dyDescent="0.25">
      <c r="A175" s="322">
        <f t="shared" si="16"/>
        <v>170</v>
      </c>
      <c r="B175" s="360"/>
      <c r="C175" s="331"/>
      <c r="D175" s="298" t="e">
        <f>VLOOKUP(C175,УЗиНП!$C$3:$D$1464,2,FALSE)</f>
        <v>#N/A</v>
      </c>
      <c r="E175" s="363"/>
      <c r="F175" s="363"/>
      <c r="G175" s="363"/>
      <c r="H175" s="363"/>
      <c r="I175" s="363"/>
      <c r="J175" s="363"/>
      <c r="K175" s="363"/>
      <c r="L175" s="363"/>
      <c r="M175" s="363"/>
      <c r="N175" s="364"/>
      <c r="O175" s="363"/>
      <c r="P175" s="363"/>
      <c r="Q175" s="363"/>
      <c r="R175" s="363"/>
      <c r="S175" s="363"/>
      <c r="T175" s="363"/>
      <c r="U175" s="364"/>
      <c r="V175" s="364"/>
    </row>
    <row r="176" spans="1:22" ht="15.75" x14ac:dyDescent="0.25">
      <c r="A176" s="322">
        <f t="shared" si="16"/>
        <v>171</v>
      </c>
      <c r="B176" s="360"/>
      <c r="C176" s="331"/>
      <c r="D176" s="298" t="e">
        <f>VLOOKUP(C176,УЗиНП!$C$3:$D$1464,2,FALSE)</f>
        <v>#N/A</v>
      </c>
      <c r="E176" s="363"/>
      <c r="F176" s="363"/>
      <c r="G176" s="363"/>
      <c r="H176" s="363"/>
      <c r="I176" s="363"/>
      <c r="J176" s="363"/>
      <c r="K176" s="363"/>
      <c r="L176" s="363"/>
      <c r="M176" s="363"/>
      <c r="N176" s="364"/>
      <c r="O176" s="363"/>
      <c r="P176" s="363"/>
      <c r="Q176" s="363"/>
      <c r="R176" s="363"/>
      <c r="S176" s="363"/>
      <c r="T176" s="363"/>
      <c r="U176" s="364"/>
      <c r="V176" s="364"/>
    </row>
    <row r="177" spans="1:22" ht="15.75" x14ac:dyDescent="0.25">
      <c r="A177" s="322">
        <f t="shared" si="16"/>
        <v>172</v>
      </c>
      <c r="B177" s="360"/>
      <c r="C177" s="331"/>
      <c r="D177" s="298" t="e">
        <f>VLOOKUP(C177,УЗиНП!$C$3:$D$1464,2,FALSE)</f>
        <v>#N/A</v>
      </c>
      <c r="E177" s="363"/>
      <c r="F177" s="363"/>
      <c r="G177" s="363"/>
      <c r="H177" s="363"/>
      <c r="I177" s="363"/>
      <c r="J177" s="363"/>
      <c r="K177" s="363"/>
      <c r="L177" s="363"/>
      <c r="M177" s="363"/>
      <c r="N177" s="364"/>
      <c r="O177" s="363"/>
      <c r="P177" s="363"/>
      <c r="Q177" s="363"/>
      <c r="R177" s="363"/>
      <c r="S177" s="363"/>
      <c r="T177" s="363"/>
      <c r="U177" s="364"/>
      <c r="V177" s="364"/>
    </row>
    <row r="178" spans="1:22" ht="15.75" x14ac:dyDescent="0.25">
      <c r="A178" s="322">
        <f t="shared" si="16"/>
        <v>173</v>
      </c>
      <c r="B178" s="360"/>
      <c r="C178" s="331"/>
      <c r="D178" s="298" t="e">
        <f>VLOOKUP(C178,УЗиНП!$C$3:$D$1464,2,FALSE)</f>
        <v>#N/A</v>
      </c>
      <c r="E178" s="363"/>
      <c r="F178" s="363"/>
      <c r="G178" s="363"/>
      <c r="H178" s="363"/>
      <c r="I178" s="363"/>
      <c r="J178" s="363"/>
      <c r="K178" s="363"/>
      <c r="L178" s="363"/>
      <c r="M178" s="363"/>
      <c r="N178" s="364"/>
      <c r="O178" s="363"/>
      <c r="P178" s="363"/>
      <c r="Q178" s="363"/>
      <c r="R178" s="363"/>
      <c r="S178" s="363"/>
      <c r="T178" s="363"/>
      <c r="U178" s="364"/>
      <c r="V178" s="364"/>
    </row>
    <row r="179" spans="1:22" ht="15.75" x14ac:dyDescent="0.25">
      <c r="A179" s="322">
        <f t="shared" si="16"/>
        <v>174</v>
      </c>
      <c r="B179" s="360"/>
      <c r="C179" s="331"/>
      <c r="D179" s="298" t="e">
        <f>VLOOKUP(C179,УЗиНП!$C$3:$D$1464,2,FALSE)</f>
        <v>#N/A</v>
      </c>
      <c r="E179" s="363"/>
      <c r="F179" s="363"/>
      <c r="G179" s="363"/>
      <c r="H179" s="363"/>
      <c r="I179" s="363"/>
      <c r="J179" s="363"/>
      <c r="K179" s="363"/>
      <c r="L179" s="363"/>
      <c r="M179" s="363"/>
      <c r="N179" s="364"/>
      <c r="O179" s="363"/>
      <c r="P179" s="363"/>
      <c r="Q179" s="363"/>
      <c r="R179" s="363"/>
      <c r="S179" s="363"/>
      <c r="T179" s="363"/>
      <c r="U179" s="364"/>
      <c r="V179" s="364"/>
    </row>
    <row r="180" spans="1:22" ht="15.75" x14ac:dyDescent="0.25">
      <c r="A180" s="322">
        <f t="shared" si="16"/>
        <v>175</v>
      </c>
      <c r="B180" s="360"/>
      <c r="C180" s="331"/>
      <c r="D180" s="298" t="e">
        <f>VLOOKUP(C180,УЗиНП!$C$3:$D$1464,2,FALSE)</f>
        <v>#N/A</v>
      </c>
      <c r="E180" s="363"/>
      <c r="F180" s="363"/>
      <c r="G180" s="363"/>
      <c r="H180" s="363"/>
      <c r="I180" s="363"/>
      <c r="J180" s="363"/>
      <c r="K180" s="363"/>
      <c r="L180" s="363"/>
      <c r="M180" s="363"/>
      <c r="N180" s="364"/>
      <c r="O180" s="363"/>
      <c r="P180" s="363"/>
      <c r="Q180" s="363"/>
      <c r="R180" s="363"/>
      <c r="S180" s="363"/>
      <c r="T180" s="363"/>
      <c r="U180" s="364"/>
      <c r="V180" s="364"/>
    </row>
    <row r="181" spans="1:22" ht="15.75" x14ac:dyDescent="0.25">
      <c r="A181" s="322">
        <f t="shared" si="16"/>
        <v>176</v>
      </c>
      <c r="B181" s="360"/>
      <c r="C181" s="331"/>
      <c r="D181" s="298" t="e">
        <f>VLOOKUP(C181,УЗиНП!$C$3:$D$1464,2,FALSE)</f>
        <v>#N/A</v>
      </c>
      <c r="E181" s="363"/>
      <c r="F181" s="363"/>
      <c r="G181" s="363"/>
      <c r="H181" s="363"/>
      <c r="I181" s="363"/>
      <c r="J181" s="363"/>
      <c r="K181" s="363"/>
      <c r="L181" s="363"/>
      <c r="M181" s="363"/>
      <c r="N181" s="364"/>
      <c r="O181" s="363"/>
      <c r="P181" s="363"/>
      <c r="Q181" s="363"/>
      <c r="R181" s="363"/>
      <c r="S181" s="363"/>
      <c r="T181" s="363"/>
      <c r="U181" s="364"/>
      <c r="V181" s="364"/>
    </row>
    <row r="182" spans="1:22" ht="15.75" x14ac:dyDescent="0.25">
      <c r="A182" s="322">
        <f t="shared" si="16"/>
        <v>177</v>
      </c>
      <c r="B182" s="360"/>
      <c r="C182" s="331"/>
      <c r="D182" s="298" t="e">
        <f>VLOOKUP(C182,УЗиНП!$C$3:$D$1464,2,FALSE)</f>
        <v>#N/A</v>
      </c>
      <c r="E182" s="363"/>
      <c r="F182" s="363"/>
      <c r="G182" s="363"/>
      <c r="H182" s="363"/>
      <c r="I182" s="363"/>
      <c r="J182" s="363"/>
      <c r="K182" s="363"/>
      <c r="L182" s="363"/>
      <c r="M182" s="363"/>
      <c r="N182" s="364"/>
      <c r="O182" s="363"/>
      <c r="P182" s="363"/>
      <c r="Q182" s="363"/>
      <c r="R182" s="363"/>
      <c r="S182" s="363"/>
      <c r="T182" s="363"/>
      <c r="U182" s="364"/>
      <c r="V182" s="364"/>
    </row>
    <row r="183" spans="1:22" ht="15.75" x14ac:dyDescent="0.25">
      <c r="A183" s="322">
        <f t="shared" si="16"/>
        <v>178</v>
      </c>
      <c r="B183" s="360"/>
      <c r="C183" s="331"/>
      <c r="D183" s="298" t="e">
        <f>VLOOKUP(C183,УЗиНП!$C$3:$D$1464,2,FALSE)</f>
        <v>#N/A</v>
      </c>
      <c r="E183" s="363"/>
      <c r="F183" s="363"/>
      <c r="G183" s="363"/>
      <c r="H183" s="363"/>
      <c r="I183" s="363"/>
      <c r="J183" s="363"/>
      <c r="K183" s="363"/>
      <c r="L183" s="363"/>
      <c r="M183" s="363"/>
      <c r="N183" s="364"/>
      <c r="O183" s="363"/>
      <c r="P183" s="363"/>
      <c r="Q183" s="363"/>
      <c r="R183" s="363"/>
      <c r="S183" s="363"/>
      <c r="T183" s="363"/>
      <c r="U183" s="364"/>
      <c r="V183" s="364"/>
    </row>
    <row r="184" spans="1:22" ht="15.75" x14ac:dyDescent="0.25">
      <c r="A184" s="322">
        <f t="shared" si="16"/>
        <v>179</v>
      </c>
      <c r="B184" s="360"/>
      <c r="C184" s="331"/>
      <c r="D184" s="298" t="e">
        <f>VLOOKUP(C184,УЗиНП!$C$3:$D$1464,2,FALSE)</f>
        <v>#N/A</v>
      </c>
      <c r="E184" s="363"/>
      <c r="F184" s="363"/>
      <c r="G184" s="363"/>
      <c r="H184" s="363"/>
      <c r="I184" s="363"/>
      <c r="J184" s="363"/>
      <c r="K184" s="363"/>
      <c r="L184" s="363"/>
      <c r="M184" s="363"/>
      <c r="N184" s="364"/>
      <c r="O184" s="363"/>
      <c r="P184" s="363"/>
      <c r="Q184" s="363"/>
      <c r="R184" s="363"/>
      <c r="S184" s="363"/>
      <c r="T184" s="363"/>
      <c r="U184" s="364"/>
      <c r="V184" s="364"/>
    </row>
    <row r="185" spans="1:22" ht="15.75" x14ac:dyDescent="0.25">
      <c r="A185" s="322">
        <f t="shared" si="16"/>
        <v>180</v>
      </c>
      <c r="B185" s="360"/>
      <c r="C185" s="331"/>
      <c r="D185" s="298" t="e">
        <f>VLOOKUP(C185,УЗиНП!$C$3:$D$1464,2,FALSE)</f>
        <v>#N/A</v>
      </c>
      <c r="E185" s="363"/>
      <c r="F185" s="363"/>
      <c r="G185" s="363"/>
      <c r="H185" s="363"/>
      <c r="I185" s="363"/>
      <c r="J185" s="363"/>
      <c r="K185" s="363"/>
      <c r="L185" s="363"/>
      <c r="M185" s="363"/>
      <c r="N185" s="364"/>
      <c r="O185" s="363"/>
      <c r="P185" s="363"/>
      <c r="Q185" s="363"/>
      <c r="R185" s="363"/>
      <c r="S185" s="363"/>
      <c r="T185" s="363"/>
      <c r="U185" s="364"/>
      <c r="V185" s="364"/>
    </row>
    <row r="186" spans="1:22" ht="15.75" x14ac:dyDescent="0.25">
      <c r="A186" s="322">
        <f t="shared" si="16"/>
        <v>181</v>
      </c>
      <c r="B186" s="360"/>
      <c r="C186" s="331"/>
      <c r="D186" s="298" t="e">
        <f>VLOOKUP(C186,УЗиНП!$C$3:$D$1464,2,FALSE)</f>
        <v>#N/A</v>
      </c>
      <c r="E186" s="363"/>
      <c r="F186" s="363"/>
      <c r="G186" s="363"/>
      <c r="H186" s="363"/>
      <c r="I186" s="363"/>
      <c r="J186" s="363"/>
      <c r="K186" s="363"/>
      <c r="L186" s="363"/>
      <c r="M186" s="363"/>
      <c r="N186" s="364"/>
      <c r="O186" s="363"/>
      <c r="P186" s="363"/>
      <c r="Q186" s="363"/>
      <c r="R186" s="363"/>
      <c r="S186" s="363"/>
      <c r="T186" s="363"/>
      <c r="U186" s="364"/>
      <c r="V186" s="364"/>
    </row>
    <row r="187" spans="1:22" ht="15.75" x14ac:dyDescent="0.25">
      <c r="A187" s="322">
        <f t="shared" si="16"/>
        <v>182</v>
      </c>
      <c r="B187" s="360"/>
      <c r="C187" s="331"/>
      <c r="D187" s="298" t="e">
        <f>VLOOKUP(C187,УЗиНП!$C$3:$D$1464,2,FALSE)</f>
        <v>#N/A</v>
      </c>
      <c r="E187" s="363"/>
      <c r="F187" s="363"/>
      <c r="G187" s="363"/>
      <c r="H187" s="363"/>
      <c r="I187" s="363"/>
      <c r="J187" s="363"/>
      <c r="K187" s="363"/>
      <c r="L187" s="363"/>
      <c r="M187" s="363"/>
      <c r="N187" s="364"/>
      <c r="O187" s="363"/>
      <c r="P187" s="363"/>
      <c r="Q187" s="363"/>
      <c r="R187" s="363"/>
      <c r="S187" s="363"/>
      <c r="T187" s="363"/>
      <c r="U187" s="364"/>
      <c r="V187" s="364"/>
    </row>
    <row r="188" spans="1:22" ht="15.75" x14ac:dyDescent="0.25">
      <c r="A188" s="322">
        <f t="shared" si="16"/>
        <v>183</v>
      </c>
      <c r="B188" s="360"/>
      <c r="C188" s="331"/>
      <c r="D188" s="298" t="e">
        <f>VLOOKUP(C188,УЗиНП!$C$3:$D$1464,2,FALSE)</f>
        <v>#N/A</v>
      </c>
      <c r="E188" s="363"/>
      <c r="F188" s="363"/>
      <c r="G188" s="363"/>
      <c r="H188" s="363"/>
      <c r="I188" s="363"/>
      <c r="J188" s="363"/>
      <c r="K188" s="363"/>
      <c r="L188" s="363"/>
      <c r="M188" s="363"/>
      <c r="N188" s="364"/>
      <c r="O188" s="363"/>
      <c r="P188" s="363"/>
      <c r="Q188" s="363"/>
      <c r="R188" s="363"/>
      <c r="S188" s="363"/>
      <c r="T188" s="363"/>
      <c r="U188" s="364"/>
      <c r="V188" s="364"/>
    </row>
    <row r="189" spans="1:22" ht="15.75" x14ac:dyDescent="0.25">
      <c r="A189" s="322">
        <f t="shared" si="16"/>
        <v>184</v>
      </c>
      <c r="B189" s="360"/>
      <c r="C189" s="331"/>
      <c r="D189" s="298" t="e">
        <f>VLOOKUP(C189,УЗиНП!$C$3:$D$1464,2,FALSE)</f>
        <v>#N/A</v>
      </c>
      <c r="E189" s="363"/>
      <c r="F189" s="363"/>
      <c r="G189" s="363"/>
      <c r="H189" s="363"/>
      <c r="I189" s="363"/>
      <c r="J189" s="363"/>
      <c r="K189" s="363"/>
      <c r="L189" s="363"/>
      <c r="M189" s="363"/>
      <c r="N189" s="364"/>
      <c r="O189" s="363"/>
      <c r="P189" s="363"/>
      <c r="Q189" s="363"/>
      <c r="R189" s="363"/>
      <c r="S189" s="363"/>
      <c r="T189" s="363"/>
      <c r="U189" s="364"/>
      <c r="V189" s="364"/>
    </row>
    <row r="190" spans="1:22" ht="15.75" x14ac:dyDescent="0.25">
      <c r="A190" s="322">
        <f t="shared" si="16"/>
        <v>185</v>
      </c>
      <c r="B190" s="360"/>
      <c r="C190" s="331"/>
      <c r="D190" s="298" t="e">
        <f>VLOOKUP(C190,УЗиНП!$C$3:$D$1464,2,FALSE)</f>
        <v>#N/A</v>
      </c>
      <c r="E190" s="363"/>
      <c r="F190" s="363"/>
      <c r="G190" s="363"/>
      <c r="H190" s="363"/>
      <c r="I190" s="363"/>
      <c r="J190" s="363"/>
      <c r="K190" s="363"/>
      <c r="L190" s="363"/>
      <c r="M190" s="363"/>
      <c r="N190" s="364"/>
      <c r="O190" s="363"/>
      <c r="P190" s="363"/>
      <c r="Q190" s="363"/>
      <c r="R190" s="363"/>
      <c r="S190" s="363"/>
      <c r="T190" s="363"/>
      <c r="U190" s="364"/>
      <c r="V190" s="364"/>
    </row>
    <row r="191" spans="1:22" ht="15.75" x14ac:dyDescent="0.25">
      <c r="A191" s="322">
        <f t="shared" si="16"/>
        <v>186</v>
      </c>
      <c r="B191" s="360"/>
      <c r="C191" s="331"/>
      <c r="D191" s="298" t="e">
        <f>VLOOKUP(C191,УЗиНП!$C$3:$D$1464,2,FALSE)</f>
        <v>#N/A</v>
      </c>
      <c r="E191" s="363"/>
      <c r="F191" s="363"/>
      <c r="G191" s="363"/>
      <c r="H191" s="363"/>
      <c r="I191" s="363"/>
      <c r="J191" s="363"/>
      <c r="K191" s="363"/>
      <c r="L191" s="363"/>
      <c r="M191" s="363"/>
      <c r="N191" s="364"/>
      <c r="O191" s="363"/>
      <c r="P191" s="363"/>
      <c r="Q191" s="363"/>
      <c r="R191" s="363"/>
      <c r="S191" s="363"/>
      <c r="T191" s="363"/>
      <c r="U191" s="364"/>
      <c r="V191" s="364"/>
    </row>
    <row r="192" spans="1:22" ht="15.75" x14ac:dyDescent="0.25">
      <c r="A192" s="322">
        <f t="shared" si="16"/>
        <v>187</v>
      </c>
      <c r="B192" s="360"/>
      <c r="C192" s="331"/>
      <c r="D192" s="298" t="e">
        <f>VLOOKUP(C192,УЗиНП!$C$3:$D$1464,2,FALSE)</f>
        <v>#N/A</v>
      </c>
      <c r="E192" s="363"/>
      <c r="F192" s="363"/>
      <c r="G192" s="363"/>
      <c r="H192" s="363"/>
      <c r="I192" s="363"/>
      <c r="J192" s="363"/>
      <c r="K192" s="363"/>
      <c r="L192" s="363"/>
      <c r="M192" s="363"/>
      <c r="N192" s="364"/>
      <c r="O192" s="363"/>
      <c r="P192" s="363"/>
      <c r="Q192" s="363"/>
      <c r="R192" s="363"/>
      <c r="S192" s="363"/>
      <c r="T192" s="363"/>
      <c r="U192" s="364"/>
      <c r="V192" s="364"/>
    </row>
    <row r="193" spans="1:22" ht="15.75" x14ac:dyDescent="0.25">
      <c r="A193" s="322">
        <f t="shared" si="16"/>
        <v>188</v>
      </c>
      <c r="B193" s="360"/>
      <c r="C193" s="331"/>
      <c r="D193" s="298" t="e">
        <f>VLOOKUP(C193,УЗиНП!$C$3:$D$1464,2,FALSE)</f>
        <v>#N/A</v>
      </c>
      <c r="E193" s="363"/>
      <c r="F193" s="363"/>
      <c r="G193" s="363"/>
      <c r="H193" s="363"/>
      <c r="I193" s="363"/>
      <c r="J193" s="363"/>
      <c r="K193" s="363"/>
      <c r="L193" s="363"/>
      <c r="M193" s="363"/>
      <c r="N193" s="364"/>
      <c r="O193" s="363"/>
      <c r="P193" s="363"/>
      <c r="Q193" s="363"/>
      <c r="R193" s="363"/>
      <c r="S193" s="363"/>
      <c r="T193" s="363"/>
      <c r="U193" s="364"/>
      <c r="V193" s="364"/>
    </row>
    <row r="194" spans="1:22" ht="15.75" x14ac:dyDescent="0.25">
      <c r="A194" s="322">
        <f t="shared" si="16"/>
        <v>189</v>
      </c>
      <c r="B194" s="360"/>
      <c r="C194" s="331"/>
      <c r="D194" s="298" t="e">
        <f>VLOOKUP(C194,УЗиНП!$C$3:$D$1464,2,FALSE)</f>
        <v>#N/A</v>
      </c>
      <c r="E194" s="363"/>
      <c r="F194" s="363"/>
      <c r="G194" s="363"/>
      <c r="H194" s="363"/>
      <c r="I194" s="363"/>
      <c r="J194" s="363"/>
      <c r="K194" s="363"/>
      <c r="L194" s="363"/>
      <c r="M194" s="363"/>
      <c r="N194" s="364"/>
      <c r="O194" s="363"/>
      <c r="P194" s="363"/>
      <c r="Q194" s="363"/>
      <c r="R194" s="363"/>
      <c r="S194" s="363"/>
      <c r="T194" s="363"/>
      <c r="U194" s="364"/>
      <c r="V194" s="364"/>
    </row>
    <row r="195" spans="1:22" ht="15.75" x14ac:dyDescent="0.25">
      <c r="A195" s="322">
        <f t="shared" si="16"/>
        <v>190</v>
      </c>
      <c r="B195" s="360"/>
      <c r="C195" s="331"/>
      <c r="D195" s="298" t="e">
        <f>VLOOKUP(C195,УЗиНП!$C$3:$D$1464,2,FALSE)</f>
        <v>#N/A</v>
      </c>
      <c r="E195" s="363"/>
      <c r="F195" s="363"/>
      <c r="G195" s="363"/>
      <c r="H195" s="363"/>
      <c r="I195" s="363"/>
      <c r="J195" s="363"/>
      <c r="K195" s="363"/>
      <c r="L195" s="363"/>
      <c r="M195" s="363"/>
      <c r="N195" s="364"/>
      <c r="O195" s="363"/>
      <c r="P195" s="363"/>
      <c r="Q195" s="363"/>
      <c r="R195" s="363"/>
      <c r="S195" s="363"/>
      <c r="T195" s="363"/>
      <c r="U195" s="364"/>
      <c r="V195" s="364"/>
    </row>
    <row r="196" spans="1:22" ht="15.75" x14ac:dyDescent="0.25">
      <c r="A196" s="322">
        <f t="shared" si="16"/>
        <v>191</v>
      </c>
      <c r="B196" s="360"/>
      <c r="C196" s="331"/>
      <c r="D196" s="298" t="e">
        <f>VLOOKUP(C196,УЗиНП!$C$3:$D$1464,2,FALSE)</f>
        <v>#N/A</v>
      </c>
      <c r="E196" s="363"/>
      <c r="F196" s="363"/>
      <c r="G196" s="363"/>
      <c r="H196" s="363"/>
      <c r="I196" s="363"/>
      <c r="J196" s="363"/>
      <c r="K196" s="363"/>
      <c r="L196" s="363"/>
      <c r="M196" s="363"/>
      <c r="N196" s="364"/>
      <c r="O196" s="363"/>
      <c r="P196" s="363"/>
      <c r="Q196" s="363"/>
      <c r="R196" s="363"/>
      <c r="S196" s="363"/>
      <c r="T196" s="363"/>
      <c r="U196" s="364"/>
      <c r="V196" s="364"/>
    </row>
    <row r="197" spans="1:22" ht="15.75" x14ac:dyDescent="0.25">
      <c r="A197" s="322">
        <f t="shared" si="16"/>
        <v>192</v>
      </c>
      <c r="B197" s="360"/>
      <c r="C197" s="331"/>
      <c r="D197" s="298" t="e">
        <f>VLOOKUP(C197,УЗиНП!$C$3:$D$1464,2,FALSE)</f>
        <v>#N/A</v>
      </c>
      <c r="E197" s="363"/>
      <c r="F197" s="363"/>
      <c r="G197" s="363"/>
      <c r="H197" s="363"/>
      <c r="I197" s="363"/>
      <c r="J197" s="363"/>
      <c r="K197" s="363"/>
      <c r="L197" s="363"/>
      <c r="M197" s="363"/>
      <c r="N197" s="364"/>
      <c r="O197" s="363"/>
      <c r="P197" s="363"/>
      <c r="Q197" s="363"/>
      <c r="R197" s="363"/>
      <c r="S197" s="363"/>
      <c r="T197" s="363"/>
      <c r="U197" s="364"/>
      <c r="V197" s="364"/>
    </row>
    <row r="198" spans="1:22" ht="15.75" x14ac:dyDescent="0.25">
      <c r="A198" s="322">
        <f t="shared" si="16"/>
        <v>193</v>
      </c>
      <c r="B198" s="360"/>
      <c r="C198" s="331"/>
      <c r="D198" s="298" t="e">
        <f>VLOOKUP(C198,УЗиНП!$C$3:$D$1464,2,FALSE)</f>
        <v>#N/A</v>
      </c>
      <c r="E198" s="363"/>
      <c r="F198" s="363"/>
      <c r="G198" s="363"/>
      <c r="H198" s="363"/>
      <c r="I198" s="363"/>
      <c r="J198" s="363"/>
      <c r="K198" s="363"/>
      <c r="L198" s="363"/>
      <c r="M198" s="363"/>
      <c r="N198" s="364"/>
      <c r="O198" s="363"/>
      <c r="P198" s="363"/>
      <c r="Q198" s="363"/>
      <c r="R198" s="363"/>
      <c r="S198" s="363"/>
      <c r="T198" s="363"/>
      <c r="U198" s="364"/>
      <c r="V198" s="364"/>
    </row>
    <row r="199" spans="1:22" ht="15.75" x14ac:dyDescent="0.25">
      <c r="A199" s="322">
        <f t="shared" si="16"/>
        <v>194</v>
      </c>
      <c r="B199" s="360"/>
      <c r="C199" s="331"/>
      <c r="D199" s="298" t="e">
        <f>VLOOKUP(C199,УЗиНП!$C$3:$D$1464,2,FALSE)</f>
        <v>#N/A</v>
      </c>
      <c r="E199" s="363"/>
      <c r="F199" s="363"/>
      <c r="G199" s="363"/>
      <c r="H199" s="363"/>
      <c r="I199" s="363"/>
      <c r="J199" s="363"/>
      <c r="K199" s="363"/>
      <c r="L199" s="363"/>
      <c r="M199" s="363"/>
      <c r="N199" s="364"/>
      <c r="O199" s="363"/>
      <c r="P199" s="363"/>
      <c r="Q199" s="363"/>
      <c r="R199" s="363"/>
      <c r="S199" s="363"/>
      <c r="T199" s="363"/>
      <c r="U199" s="364"/>
      <c r="V199" s="364"/>
    </row>
    <row r="200" spans="1:22" ht="15.75" x14ac:dyDescent="0.25">
      <c r="A200" s="322">
        <f t="shared" si="16"/>
        <v>195</v>
      </c>
      <c r="B200" s="360"/>
      <c r="C200" s="331"/>
      <c r="D200" s="298" t="e">
        <f>VLOOKUP(C200,УЗиНП!$C$3:$D$1464,2,FALSE)</f>
        <v>#N/A</v>
      </c>
      <c r="E200" s="363"/>
      <c r="F200" s="363"/>
      <c r="G200" s="363"/>
      <c r="H200" s="363"/>
      <c r="I200" s="363"/>
      <c r="J200" s="363"/>
      <c r="K200" s="363"/>
      <c r="L200" s="363"/>
      <c r="M200" s="363"/>
      <c r="N200" s="364"/>
      <c r="O200" s="363"/>
      <c r="P200" s="363"/>
      <c r="Q200" s="363"/>
      <c r="R200" s="363"/>
      <c r="S200" s="363"/>
      <c r="T200" s="363"/>
      <c r="U200" s="364"/>
      <c r="V200" s="364"/>
    </row>
    <row r="201" spans="1:22" ht="15.75" x14ac:dyDescent="0.25">
      <c r="A201" s="322">
        <f t="shared" si="16"/>
        <v>196</v>
      </c>
      <c r="B201" s="360"/>
      <c r="C201" s="331"/>
      <c r="D201" s="298" t="e">
        <f>VLOOKUP(C201,УЗиНП!$C$3:$D$1464,2,FALSE)</f>
        <v>#N/A</v>
      </c>
      <c r="E201" s="363"/>
      <c r="F201" s="363"/>
      <c r="G201" s="363"/>
      <c r="H201" s="363"/>
      <c r="I201" s="363"/>
      <c r="J201" s="363"/>
      <c r="K201" s="363"/>
      <c r="L201" s="363"/>
      <c r="M201" s="363"/>
      <c r="N201" s="364"/>
      <c r="O201" s="363"/>
      <c r="P201" s="363"/>
      <c r="Q201" s="363"/>
      <c r="R201" s="363"/>
      <c r="S201" s="363"/>
      <c r="T201" s="363"/>
      <c r="U201" s="364"/>
      <c r="V201" s="364"/>
    </row>
    <row r="202" spans="1:22" ht="15.75" x14ac:dyDescent="0.25">
      <c r="A202" s="322">
        <f t="shared" si="16"/>
        <v>197</v>
      </c>
      <c r="B202" s="360"/>
      <c r="C202" s="331"/>
      <c r="D202" s="298" t="e">
        <f>VLOOKUP(C202,УЗиНП!$C$3:$D$1464,2,FALSE)</f>
        <v>#N/A</v>
      </c>
      <c r="E202" s="363"/>
      <c r="F202" s="363"/>
      <c r="G202" s="363"/>
      <c r="H202" s="363"/>
      <c r="I202" s="363"/>
      <c r="J202" s="363"/>
      <c r="K202" s="363"/>
      <c r="L202" s="363"/>
      <c r="M202" s="363"/>
      <c r="N202" s="364"/>
      <c r="O202" s="363"/>
      <c r="P202" s="363"/>
      <c r="Q202" s="363"/>
      <c r="R202" s="363"/>
      <c r="S202" s="363"/>
      <c r="T202" s="363"/>
      <c r="U202" s="364"/>
      <c r="V202" s="364"/>
    </row>
    <row r="203" spans="1:22" ht="15.75" x14ac:dyDescent="0.25">
      <c r="A203" s="322">
        <f t="shared" si="16"/>
        <v>198</v>
      </c>
      <c r="B203" s="360"/>
      <c r="C203" s="331"/>
      <c r="D203" s="298" t="e">
        <f>VLOOKUP(C203,УЗиНП!$C$3:$D$1464,2,FALSE)</f>
        <v>#N/A</v>
      </c>
      <c r="E203" s="363"/>
      <c r="F203" s="363"/>
      <c r="G203" s="363"/>
      <c r="H203" s="363"/>
      <c r="I203" s="363"/>
      <c r="J203" s="363"/>
      <c r="K203" s="363"/>
      <c r="L203" s="363"/>
      <c r="M203" s="363"/>
      <c r="N203" s="364"/>
      <c r="O203" s="363"/>
      <c r="P203" s="363"/>
      <c r="Q203" s="363"/>
      <c r="R203" s="363"/>
      <c r="S203" s="363"/>
      <c r="T203" s="363"/>
      <c r="U203" s="364"/>
      <c r="V203" s="364"/>
    </row>
    <row r="204" spans="1:22" ht="15.75" x14ac:dyDescent="0.25">
      <c r="A204" s="322">
        <f t="shared" si="16"/>
        <v>199</v>
      </c>
      <c r="B204" s="360"/>
      <c r="C204" s="331"/>
      <c r="D204" s="298" t="e">
        <f>VLOOKUP(C204,УЗиНП!$C$3:$D$1464,2,FALSE)</f>
        <v>#N/A</v>
      </c>
      <c r="E204" s="363"/>
      <c r="F204" s="363"/>
      <c r="G204" s="363"/>
      <c r="H204" s="363"/>
      <c r="I204" s="363"/>
      <c r="J204" s="363"/>
      <c r="K204" s="363"/>
      <c r="L204" s="363"/>
      <c r="M204" s="363"/>
      <c r="N204" s="364"/>
      <c r="O204" s="363"/>
      <c r="P204" s="363"/>
      <c r="Q204" s="363"/>
      <c r="R204" s="363"/>
      <c r="S204" s="363"/>
      <c r="T204" s="363"/>
      <c r="U204" s="364"/>
      <c r="V204" s="364"/>
    </row>
    <row r="205" spans="1:22" ht="15.75" x14ac:dyDescent="0.25">
      <c r="A205" s="322">
        <f t="shared" si="16"/>
        <v>200</v>
      </c>
      <c r="B205" s="360"/>
      <c r="C205" s="331"/>
      <c r="D205" s="298" t="e">
        <f>VLOOKUP(C205,УЗиНП!$C$3:$D$1464,2,FALSE)</f>
        <v>#N/A</v>
      </c>
      <c r="E205" s="363"/>
      <c r="F205" s="363"/>
      <c r="G205" s="363"/>
      <c r="H205" s="363"/>
      <c r="I205" s="363"/>
      <c r="J205" s="363"/>
      <c r="K205" s="363"/>
      <c r="L205" s="363"/>
      <c r="M205" s="363"/>
      <c r="N205" s="364"/>
      <c r="O205" s="363"/>
      <c r="P205" s="363"/>
      <c r="Q205" s="363"/>
      <c r="R205" s="363"/>
      <c r="S205" s="363"/>
      <c r="T205" s="363"/>
      <c r="U205" s="364"/>
      <c r="V205" s="364"/>
    </row>
    <row r="206" spans="1:22" ht="15.75" x14ac:dyDescent="0.25">
      <c r="A206" s="322">
        <f t="shared" si="16"/>
        <v>201</v>
      </c>
      <c r="B206" s="360"/>
      <c r="C206" s="331"/>
      <c r="D206" s="298" t="e">
        <f>VLOOKUP(C206,УЗиНП!$C$3:$D$1464,2,FALSE)</f>
        <v>#N/A</v>
      </c>
      <c r="E206" s="363"/>
      <c r="F206" s="363"/>
      <c r="G206" s="363"/>
      <c r="H206" s="363"/>
      <c r="I206" s="363"/>
      <c r="J206" s="363"/>
      <c r="K206" s="363"/>
      <c r="L206" s="363"/>
      <c r="M206" s="363"/>
      <c r="N206" s="364"/>
      <c r="O206" s="363"/>
      <c r="P206" s="363"/>
      <c r="Q206" s="363"/>
      <c r="R206" s="363"/>
      <c r="S206" s="363"/>
      <c r="T206" s="363"/>
      <c r="U206" s="364"/>
      <c r="V206" s="364"/>
    </row>
    <row r="207" spans="1:22" ht="15.75" x14ac:dyDescent="0.25">
      <c r="A207" s="322">
        <f t="shared" si="16"/>
        <v>202</v>
      </c>
      <c r="B207" s="360"/>
      <c r="C207" s="331"/>
      <c r="D207" s="298" t="e">
        <f>VLOOKUP(C207,УЗиНП!$C$3:$D$1464,2,FALSE)</f>
        <v>#N/A</v>
      </c>
      <c r="E207" s="363"/>
      <c r="F207" s="363"/>
      <c r="G207" s="363"/>
      <c r="H207" s="363"/>
      <c r="I207" s="363"/>
      <c r="J207" s="363"/>
      <c r="K207" s="363"/>
      <c r="L207" s="363"/>
      <c r="M207" s="363"/>
      <c r="N207" s="364"/>
      <c r="O207" s="363"/>
      <c r="P207" s="363"/>
      <c r="Q207" s="363"/>
      <c r="R207" s="363"/>
      <c r="S207" s="363"/>
      <c r="T207" s="363"/>
      <c r="U207" s="364"/>
      <c r="V207" s="364"/>
    </row>
    <row r="208" spans="1:22" ht="15.75" x14ac:dyDescent="0.25">
      <c r="A208" s="322">
        <f t="shared" si="16"/>
        <v>203</v>
      </c>
      <c r="B208" s="360"/>
      <c r="C208" s="331"/>
      <c r="D208" s="298" t="e">
        <f>VLOOKUP(C208,УЗиНП!$C$3:$D$1464,2,FALSE)</f>
        <v>#N/A</v>
      </c>
      <c r="E208" s="363"/>
      <c r="F208" s="363"/>
      <c r="G208" s="363"/>
      <c r="H208" s="363"/>
      <c r="I208" s="363"/>
      <c r="J208" s="363"/>
      <c r="K208" s="363"/>
      <c r="L208" s="363"/>
      <c r="M208" s="363"/>
      <c r="N208" s="364"/>
      <c r="O208" s="363"/>
      <c r="P208" s="363"/>
      <c r="Q208" s="363"/>
      <c r="R208" s="363"/>
      <c r="S208" s="363"/>
      <c r="T208" s="363"/>
      <c r="U208" s="364"/>
      <c r="V208" s="364"/>
    </row>
    <row r="209" spans="1:22" ht="15.75" x14ac:dyDescent="0.25">
      <c r="A209" s="322">
        <f t="shared" si="16"/>
        <v>204</v>
      </c>
      <c r="B209" s="360"/>
      <c r="C209" s="331"/>
      <c r="D209" s="298" t="e">
        <f>VLOOKUP(C209,УЗиНП!$C$3:$D$1464,2,FALSE)</f>
        <v>#N/A</v>
      </c>
      <c r="E209" s="363"/>
      <c r="F209" s="363"/>
      <c r="G209" s="363"/>
      <c r="H209" s="363"/>
      <c r="I209" s="363"/>
      <c r="J209" s="363"/>
      <c r="K209" s="363"/>
      <c r="L209" s="363"/>
      <c r="M209" s="363"/>
      <c r="N209" s="364"/>
      <c r="O209" s="363"/>
      <c r="P209" s="363"/>
      <c r="Q209" s="363"/>
      <c r="R209" s="363"/>
      <c r="S209" s="363"/>
      <c r="T209" s="363"/>
      <c r="U209" s="364"/>
      <c r="V209" s="364"/>
    </row>
    <row r="210" spans="1:22" ht="15.75" x14ac:dyDescent="0.25">
      <c r="A210" s="322">
        <f t="shared" si="16"/>
        <v>205</v>
      </c>
      <c r="B210" s="360"/>
      <c r="C210" s="331"/>
      <c r="D210" s="298" t="e">
        <f>VLOOKUP(C210,УЗиНП!$C$3:$D$1464,2,FALSE)</f>
        <v>#N/A</v>
      </c>
      <c r="E210" s="363"/>
      <c r="F210" s="363"/>
      <c r="G210" s="363"/>
      <c r="H210" s="363"/>
      <c r="I210" s="363"/>
      <c r="J210" s="363"/>
      <c r="K210" s="363"/>
      <c r="L210" s="363"/>
      <c r="M210" s="363"/>
      <c r="N210" s="364"/>
      <c r="O210" s="363"/>
      <c r="P210" s="363"/>
      <c r="Q210" s="363"/>
      <c r="R210" s="363"/>
      <c r="S210" s="363"/>
      <c r="T210" s="363"/>
      <c r="U210" s="364"/>
      <c r="V210" s="364"/>
    </row>
    <row r="211" spans="1:22" ht="15.75" x14ac:dyDescent="0.25">
      <c r="A211" s="322">
        <f t="shared" si="16"/>
        <v>206</v>
      </c>
      <c r="B211" s="360"/>
      <c r="C211" s="331"/>
      <c r="D211" s="298" t="e">
        <f>VLOOKUP(C211,УЗиНП!$C$3:$D$1464,2,FALSE)</f>
        <v>#N/A</v>
      </c>
      <c r="E211" s="363"/>
      <c r="F211" s="363"/>
      <c r="G211" s="363"/>
      <c r="H211" s="363"/>
      <c r="I211" s="363"/>
      <c r="J211" s="363"/>
      <c r="K211" s="363"/>
      <c r="L211" s="363"/>
      <c r="M211" s="363"/>
      <c r="N211" s="364"/>
      <c r="O211" s="363"/>
      <c r="P211" s="363"/>
      <c r="Q211" s="363"/>
      <c r="R211" s="363"/>
      <c r="S211" s="363"/>
      <c r="T211" s="363"/>
      <c r="U211" s="364"/>
      <c r="V211" s="364"/>
    </row>
    <row r="212" spans="1:22" ht="15.75" x14ac:dyDescent="0.25">
      <c r="A212" s="322">
        <f t="shared" si="16"/>
        <v>207</v>
      </c>
      <c r="B212" s="360"/>
      <c r="C212" s="331"/>
      <c r="D212" s="298" t="e">
        <f>VLOOKUP(C212,УЗиНП!$C$3:$D$1464,2,FALSE)</f>
        <v>#N/A</v>
      </c>
      <c r="E212" s="363"/>
      <c r="F212" s="363"/>
      <c r="G212" s="363"/>
      <c r="H212" s="363"/>
      <c r="I212" s="363"/>
      <c r="J212" s="363"/>
      <c r="K212" s="363"/>
      <c r="L212" s="363"/>
      <c r="M212" s="363"/>
      <c r="N212" s="364"/>
      <c r="O212" s="363"/>
      <c r="P212" s="363"/>
      <c r="Q212" s="363"/>
      <c r="R212" s="363"/>
      <c r="S212" s="363"/>
      <c r="T212" s="363"/>
      <c r="U212" s="364"/>
      <c r="V212" s="364"/>
    </row>
    <row r="213" spans="1:22" ht="15.75" x14ac:dyDescent="0.25">
      <c r="A213" s="322">
        <f t="shared" si="16"/>
        <v>208</v>
      </c>
      <c r="B213" s="360"/>
      <c r="C213" s="331"/>
      <c r="D213" s="298" t="e">
        <f>VLOOKUP(C213,УЗиНП!$C$3:$D$1464,2,FALSE)</f>
        <v>#N/A</v>
      </c>
      <c r="E213" s="363"/>
      <c r="F213" s="363"/>
      <c r="G213" s="363"/>
      <c r="H213" s="363"/>
      <c r="I213" s="363"/>
      <c r="J213" s="363"/>
      <c r="K213" s="363"/>
      <c r="L213" s="363"/>
      <c r="M213" s="363"/>
      <c r="N213" s="364"/>
      <c r="O213" s="363"/>
      <c r="P213" s="363"/>
      <c r="Q213" s="363"/>
      <c r="R213" s="363"/>
      <c r="S213" s="363"/>
      <c r="T213" s="363"/>
      <c r="U213" s="364"/>
      <c r="V213" s="364"/>
    </row>
    <row r="214" spans="1:22" ht="15.75" x14ac:dyDescent="0.25">
      <c r="A214" s="322">
        <f t="shared" si="16"/>
        <v>209</v>
      </c>
      <c r="B214" s="360"/>
      <c r="C214" s="331"/>
      <c r="D214" s="298" t="e">
        <f>VLOOKUP(C214,УЗиНП!$C$3:$D$1464,2,FALSE)</f>
        <v>#N/A</v>
      </c>
      <c r="E214" s="363"/>
      <c r="F214" s="363"/>
      <c r="G214" s="363"/>
      <c r="H214" s="363"/>
      <c r="I214" s="363"/>
      <c r="J214" s="363"/>
      <c r="K214" s="363"/>
      <c r="L214" s="363"/>
      <c r="M214" s="363"/>
      <c r="N214" s="364"/>
      <c r="O214" s="363"/>
      <c r="P214" s="363"/>
      <c r="Q214" s="363"/>
      <c r="R214" s="363"/>
      <c r="S214" s="363"/>
      <c r="T214" s="363"/>
      <c r="U214" s="364"/>
      <c r="V214" s="364"/>
    </row>
    <row r="215" spans="1:22" ht="15.75" x14ac:dyDescent="0.25">
      <c r="A215" s="322">
        <f t="shared" si="16"/>
        <v>210</v>
      </c>
      <c r="B215" s="360"/>
      <c r="C215" s="331"/>
      <c r="D215" s="298" t="e">
        <f>VLOOKUP(C215,УЗиНП!$C$3:$D$1464,2,FALSE)</f>
        <v>#N/A</v>
      </c>
      <c r="E215" s="363"/>
      <c r="F215" s="363"/>
      <c r="G215" s="363"/>
      <c r="H215" s="363"/>
      <c r="I215" s="363"/>
      <c r="J215" s="363"/>
      <c r="K215" s="363"/>
      <c r="L215" s="363"/>
      <c r="M215" s="363"/>
      <c r="N215" s="364"/>
      <c r="O215" s="363"/>
      <c r="P215" s="363"/>
      <c r="Q215" s="363"/>
      <c r="R215" s="363"/>
      <c r="S215" s="363"/>
      <c r="T215" s="363"/>
      <c r="U215" s="364"/>
      <c r="V215" s="364"/>
    </row>
    <row r="216" spans="1:22" ht="15.75" x14ac:dyDescent="0.25">
      <c r="A216" s="322">
        <f t="shared" si="16"/>
        <v>211</v>
      </c>
      <c r="B216" s="360"/>
      <c r="C216" s="331"/>
      <c r="D216" s="298" t="e">
        <f>VLOOKUP(C216,УЗиНП!$C$3:$D$1464,2,FALSE)</f>
        <v>#N/A</v>
      </c>
      <c r="E216" s="363"/>
      <c r="F216" s="363"/>
      <c r="G216" s="363"/>
      <c r="H216" s="363"/>
      <c r="I216" s="363"/>
      <c r="J216" s="363"/>
      <c r="K216" s="363"/>
      <c r="L216" s="363"/>
      <c r="M216" s="363"/>
      <c r="N216" s="364"/>
      <c r="O216" s="363"/>
      <c r="P216" s="363"/>
      <c r="Q216" s="363"/>
      <c r="R216" s="363"/>
      <c r="S216" s="363"/>
      <c r="T216" s="363"/>
      <c r="U216" s="364"/>
      <c r="V216" s="364"/>
    </row>
    <row r="217" spans="1:22" ht="15.75" x14ac:dyDescent="0.25">
      <c r="A217" s="322">
        <f t="shared" si="16"/>
        <v>212</v>
      </c>
      <c r="B217" s="360"/>
      <c r="C217" s="331"/>
      <c r="D217" s="298" t="e">
        <f>VLOOKUP(C217,УЗиНП!$C$3:$D$1464,2,FALSE)</f>
        <v>#N/A</v>
      </c>
      <c r="E217" s="363"/>
      <c r="F217" s="363"/>
      <c r="G217" s="363"/>
      <c r="H217" s="363"/>
      <c r="I217" s="363"/>
      <c r="J217" s="363"/>
      <c r="K217" s="363"/>
      <c r="L217" s="363"/>
      <c r="M217" s="363"/>
      <c r="N217" s="364"/>
      <c r="O217" s="363"/>
      <c r="P217" s="363"/>
      <c r="Q217" s="363"/>
      <c r="R217" s="363"/>
      <c r="S217" s="363"/>
      <c r="T217" s="363"/>
      <c r="U217" s="364"/>
      <c r="V217" s="364"/>
    </row>
    <row r="218" spans="1:22" ht="15.75" x14ac:dyDescent="0.25">
      <c r="A218" s="322">
        <f t="shared" si="16"/>
        <v>213</v>
      </c>
      <c r="B218" s="360"/>
      <c r="C218" s="331"/>
      <c r="D218" s="298" t="e">
        <f>VLOOKUP(C218,УЗиНП!$C$3:$D$1464,2,FALSE)</f>
        <v>#N/A</v>
      </c>
      <c r="E218" s="363"/>
      <c r="F218" s="363"/>
      <c r="G218" s="363"/>
      <c r="H218" s="363"/>
      <c r="I218" s="363"/>
      <c r="J218" s="363"/>
      <c r="K218" s="363"/>
      <c r="L218" s="363"/>
      <c r="M218" s="363"/>
      <c r="N218" s="364"/>
      <c r="O218" s="363"/>
      <c r="P218" s="363"/>
      <c r="Q218" s="363"/>
      <c r="R218" s="363"/>
      <c r="S218" s="363"/>
      <c r="T218" s="363"/>
      <c r="U218" s="364"/>
      <c r="V218" s="364"/>
    </row>
    <row r="219" spans="1:22" ht="15.75" x14ac:dyDescent="0.25">
      <c r="A219" s="322">
        <f t="shared" si="16"/>
        <v>214</v>
      </c>
      <c r="B219" s="360"/>
      <c r="C219" s="331"/>
      <c r="D219" s="298" t="e">
        <f>VLOOKUP(C219,УЗиНП!$C$3:$D$1464,2,FALSE)</f>
        <v>#N/A</v>
      </c>
      <c r="E219" s="363"/>
      <c r="F219" s="363"/>
      <c r="G219" s="363"/>
      <c r="H219" s="363"/>
      <c r="I219" s="363"/>
      <c r="J219" s="363"/>
      <c r="K219" s="363"/>
      <c r="L219" s="363"/>
      <c r="M219" s="363"/>
      <c r="N219" s="364"/>
      <c r="O219" s="363"/>
      <c r="P219" s="363"/>
      <c r="Q219" s="363"/>
      <c r="R219" s="363"/>
      <c r="S219" s="363"/>
      <c r="T219" s="363"/>
      <c r="U219" s="364"/>
      <c r="V219" s="364"/>
    </row>
    <row r="220" spans="1:22" ht="15.75" x14ac:dyDescent="0.25">
      <c r="A220" s="322">
        <f t="shared" si="16"/>
        <v>215</v>
      </c>
      <c r="B220" s="360"/>
      <c r="C220" s="331"/>
      <c r="D220" s="298" t="e">
        <f>VLOOKUP(C220,УЗиНП!$C$3:$D$1464,2,FALSE)</f>
        <v>#N/A</v>
      </c>
      <c r="E220" s="363"/>
      <c r="F220" s="363"/>
      <c r="G220" s="363"/>
      <c r="H220" s="363"/>
      <c r="I220" s="363"/>
      <c r="J220" s="363"/>
      <c r="K220" s="363"/>
      <c r="L220" s="363"/>
      <c r="M220" s="363"/>
      <c r="N220" s="364"/>
      <c r="O220" s="363"/>
      <c r="P220" s="363"/>
      <c r="Q220" s="363"/>
      <c r="R220" s="363"/>
      <c r="S220" s="363"/>
      <c r="T220" s="363"/>
      <c r="U220" s="364"/>
      <c r="V220" s="364"/>
    </row>
    <row r="221" spans="1:22" ht="15.75" x14ac:dyDescent="0.25">
      <c r="A221" s="322">
        <f t="shared" si="16"/>
        <v>216</v>
      </c>
      <c r="B221" s="360"/>
      <c r="C221" s="331"/>
      <c r="D221" s="298" t="e">
        <f>VLOOKUP(C221,УЗиНП!$C$3:$D$1464,2,FALSE)</f>
        <v>#N/A</v>
      </c>
      <c r="E221" s="363"/>
      <c r="F221" s="363"/>
      <c r="G221" s="363"/>
      <c r="H221" s="363"/>
      <c r="I221" s="363"/>
      <c r="J221" s="363"/>
      <c r="K221" s="363"/>
      <c r="L221" s="363"/>
      <c r="M221" s="363"/>
      <c r="N221" s="364"/>
      <c r="O221" s="363"/>
      <c r="P221" s="363"/>
      <c r="Q221" s="363"/>
      <c r="R221" s="363"/>
      <c r="S221" s="363"/>
      <c r="T221" s="363"/>
      <c r="U221" s="364"/>
      <c r="V221" s="364"/>
    </row>
    <row r="222" spans="1:22" ht="15.75" x14ac:dyDescent="0.25">
      <c r="A222" s="322">
        <f t="shared" si="16"/>
        <v>217</v>
      </c>
      <c r="B222" s="360"/>
      <c r="C222" s="331"/>
      <c r="D222" s="298" t="e">
        <f>VLOOKUP(C222,УЗиНП!$C$3:$D$1464,2,FALSE)</f>
        <v>#N/A</v>
      </c>
      <c r="E222" s="363"/>
      <c r="F222" s="363"/>
      <c r="G222" s="363"/>
      <c r="H222" s="363"/>
      <c r="I222" s="363"/>
      <c r="J222" s="363"/>
      <c r="K222" s="363"/>
      <c r="L222" s="363"/>
      <c r="M222" s="363"/>
      <c r="N222" s="364"/>
      <c r="O222" s="363"/>
      <c r="P222" s="363"/>
      <c r="Q222" s="363"/>
      <c r="R222" s="363"/>
      <c r="S222" s="363"/>
      <c r="T222" s="363"/>
      <c r="U222" s="364"/>
      <c r="V222" s="364"/>
    </row>
    <row r="223" spans="1:22" ht="15.75" x14ac:dyDescent="0.25">
      <c r="A223" s="322">
        <f t="shared" si="16"/>
        <v>218</v>
      </c>
      <c r="B223" s="360"/>
      <c r="C223" s="331"/>
      <c r="D223" s="298" t="e">
        <f>VLOOKUP(C223,УЗиНП!$C$3:$D$1464,2,FALSE)</f>
        <v>#N/A</v>
      </c>
      <c r="E223" s="363"/>
      <c r="F223" s="363"/>
      <c r="G223" s="363"/>
      <c r="H223" s="363"/>
      <c r="I223" s="363"/>
      <c r="J223" s="363"/>
      <c r="K223" s="363"/>
      <c r="L223" s="363"/>
      <c r="M223" s="363"/>
      <c r="N223" s="364"/>
      <c r="O223" s="363"/>
      <c r="P223" s="363"/>
      <c r="Q223" s="363"/>
      <c r="R223" s="363"/>
      <c r="S223" s="363"/>
      <c r="T223" s="363"/>
      <c r="U223" s="364"/>
      <c r="V223" s="364"/>
    </row>
    <row r="224" spans="1:22" ht="15.75" x14ac:dyDescent="0.25">
      <c r="A224" s="322">
        <f t="shared" si="16"/>
        <v>219</v>
      </c>
      <c r="B224" s="360"/>
      <c r="C224" s="331"/>
      <c r="D224" s="298" t="e">
        <f>VLOOKUP(C224,УЗиНП!$C$3:$D$1464,2,FALSE)</f>
        <v>#N/A</v>
      </c>
      <c r="E224" s="363"/>
      <c r="F224" s="363"/>
      <c r="G224" s="363"/>
      <c r="H224" s="363"/>
      <c r="I224" s="363"/>
      <c r="J224" s="363"/>
      <c r="K224" s="363"/>
      <c r="L224" s="363"/>
      <c r="M224" s="363"/>
      <c r="N224" s="364"/>
      <c r="O224" s="363"/>
      <c r="P224" s="363"/>
      <c r="Q224" s="363"/>
      <c r="R224" s="363"/>
      <c r="S224" s="363"/>
      <c r="T224" s="363"/>
      <c r="U224" s="364"/>
      <c r="V224" s="364"/>
    </row>
    <row r="225" spans="1:22" ht="15.75" x14ac:dyDescent="0.25">
      <c r="A225" s="322">
        <f t="shared" si="16"/>
        <v>220</v>
      </c>
      <c r="B225" s="360"/>
      <c r="C225" s="331"/>
      <c r="D225" s="298" t="e">
        <f>VLOOKUP(C225,УЗиНП!$C$3:$D$1464,2,FALSE)</f>
        <v>#N/A</v>
      </c>
      <c r="E225" s="363"/>
      <c r="F225" s="363"/>
      <c r="G225" s="363"/>
      <c r="H225" s="363"/>
      <c r="I225" s="363"/>
      <c r="J225" s="363"/>
      <c r="K225" s="363"/>
      <c r="L225" s="363"/>
      <c r="M225" s="363"/>
      <c r="N225" s="364"/>
      <c r="O225" s="363"/>
      <c r="P225" s="363"/>
      <c r="Q225" s="363"/>
      <c r="R225" s="363"/>
      <c r="S225" s="363"/>
      <c r="T225" s="363"/>
      <c r="U225" s="364"/>
      <c r="V225" s="364"/>
    </row>
    <row r="226" spans="1:22" ht="15.75" x14ac:dyDescent="0.25">
      <c r="A226" s="322">
        <f t="shared" si="16"/>
        <v>221</v>
      </c>
      <c r="B226" s="360"/>
      <c r="C226" s="331"/>
      <c r="D226" s="298" t="e">
        <f>VLOOKUP(C226,УЗиНП!$C$3:$D$1464,2,FALSE)</f>
        <v>#N/A</v>
      </c>
      <c r="E226" s="363"/>
      <c r="F226" s="363"/>
      <c r="G226" s="363"/>
      <c r="H226" s="363"/>
      <c r="I226" s="363"/>
      <c r="J226" s="363"/>
      <c r="K226" s="363"/>
      <c r="L226" s="363"/>
      <c r="M226" s="363"/>
      <c r="N226" s="364"/>
      <c r="O226" s="363"/>
      <c r="P226" s="363"/>
      <c r="Q226" s="363"/>
      <c r="R226" s="363"/>
      <c r="S226" s="363"/>
      <c r="T226" s="363"/>
      <c r="U226" s="364"/>
      <c r="V226" s="364"/>
    </row>
    <row r="227" spans="1:22" ht="15.75" x14ac:dyDescent="0.25">
      <c r="A227" s="322">
        <f t="shared" si="16"/>
        <v>222</v>
      </c>
      <c r="B227" s="360"/>
      <c r="C227" s="331"/>
      <c r="D227" s="298" t="e">
        <f>VLOOKUP(C227,УЗиНП!$C$3:$D$1464,2,FALSE)</f>
        <v>#N/A</v>
      </c>
      <c r="E227" s="363"/>
      <c r="F227" s="363"/>
      <c r="G227" s="363"/>
      <c r="H227" s="363"/>
      <c r="I227" s="363"/>
      <c r="J227" s="363"/>
      <c r="K227" s="363"/>
      <c r="L227" s="363"/>
      <c r="M227" s="363"/>
      <c r="N227" s="364"/>
      <c r="O227" s="363"/>
      <c r="P227" s="363"/>
      <c r="Q227" s="363"/>
      <c r="R227" s="363"/>
      <c r="S227" s="363"/>
      <c r="T227" s="363"/>
      <c r="U227" s="364"/>
      <c r="V227" s="364"/>
    </row>
    <row r="228" spans="1:22" ht="15.75" x14ac:dyDescent="0.25">
      <c r="A228" s="322">
        <f t="shared" si="16"/>
        <v>223</v>
      </c>
      <c r="B228" s="360"/>
      <c r="C228" s="331"/>
      <c r="D228" s="298" t="e">
        <f>VLOOKUP(C228,УЗиНП!$C$3:$D$1464,2,FALSE)</f>
        <v>#N/A</v>
      </c>
      <c r="E228" s="363"/>
      <c r="F228" s="363"/>
      <c r="G228" s="363"/>
      <c r="H228" s="363"/>
      <c r="I228" s="363"/>
      <c r="J228" s="363"/>
      <c r="K228" s="363"/>
      <c r="L228" s="363"/>
      <c r="M228" s="363"/>
      <c r="N228" s="364"/>
      <c r="O228" s="363"/>
      <c r="P228" s="363"/>
      <c r="Q228" s="363"/>
      <c r="R228" s="363"/>
      <c r="S228" s="363"/>
      <c r="T228" s="363"/>
      <c r="U228" s="364"/>
      <c r="V228" s="364"/>
    </row>
    <row r="229" spans="1:22" ht="15.75" x14ac:dyDescent="0.25">
      <c r="A229" s="322">
        <f t="shared" si="16"/>
        <v>224</v>
      </c>
      <c r="B229" s="360"/>
      <c r="C229" s="331"/>
      <c r="D229" s="298" t="e">
        <f>VLOOKUP(C229,УЗиНП!$C$3:$D$1464,2,FALSE)</f>
        <v>#N/A</v>
      </c>
      <c r="E229" s="363"/>
      <c r="F229" s="363"/>
      <c r="G229" s="363"/>
      <c r="H229" s="363"/>
      <c r="I229" s="363"/>
      <c r="J229" s="363"/>
      <c r="K229" s="363"/>
      <c r="L229" s="363"/>
      <c r="M229" s="363"/>
      <c r="N229" s="364"/>
      <c r="O229" s="363"/>
      <c r="P229" s="363"/>
      <c r="Q229" s="363"/>
      <c r="R229" s="363"/>
      <c r="S229" s="363"/>
      <c r="T229" s="363"/>
      <c r="U229" s="364"/>
      <c r="V229" s="364"/>
    </row>
    <row r="230" spans="1:22" ht="15.75" x14ac:dyDescent="0.25">
      <c r="A230" s="322">
        <f t="shared" si="16"/>
        <v>225</v>
      </c>
      <c r="B230" s="360"/>
      <c r="C230" s="331"/>
      <c r="D230" s="298" t="e">
        <f>VLOOKUP(C230,УЗиНП!$C$3:$D$1464,2,FALSE)</f>
        <v>#N/A</v>
      </c>
      <c r="E230" s="363"/>
      <c r="F230" s="363"/>
      <c r="G230" s="363"/>
      <c r="H230" s="363"/>
      <c r="I230" s="363"/>
      <c r="J230" s="363"/>
      <c r="K230" s="363"/>
      <c r="L230" s="363"/>
      <c r="M230" s="363"/>
      <c r="N230" s="364"/>
      <c r="O230" s="363"/>
      <c r="P230" s="363"/>
      <c r="Q230" s="363"/>
      <c r="R230" s="363"/>
      <c r="S230" s="363"/>
      <c r="T230" s="363"/>
      <c r="U230" s="364"/>
      <c r="V230" s="364"/>
    </row>
    <row r="231" spans="1:22" ht="15.75" x14ac:dyDescent="0.25">
      <c r="A231" s="322">
        <f t="shared" si="16"/>
        <v>226</v>
      </c>
      <c r="B231" s="360"/>
      <c r="C231" s="331"/>
      <c r="D231" s="298" t="e">
        <f>VLOOKUP(C231,УЗиНП!$C$3:$D$1464,2,FALSE)</f>
        <v>#N/A</v>
      </c>
      <c r="E231" s="363"/>
      <c r="F231" s="363"/>
      <c r="G231" s="363"/>
      <c r="H231" s="363"/>
      <c r="I231" s="363"/>
      <c r="J231" s="363"/>
      <c r="K231" s="363"/>
      <c r="L231" s="363"/>
      <c r="M231" s="363"/>
      <c r="N231" s="364"/>
      <c r="O231" s="363"/>
      <c r="P231" s="363"/>
      <c r="Q231" s="363"/>
      <c r="R231" s="363"/>
      <c r="S231" s="363"/>
      <c r="T231" s="363"/>
      <c r="U231" s="364"/>
      <c r="V231" s="364"/>
    </row>
    <row r="232" spans="1:22" ht="15.75" x14ac:dyDescent="0.25">
      <c r="A232" s="322">
        <f t="shared" si="16"/>
        <v>227</v>
      </c>
      <c r="B232" s="360"/>
      <c r="C232" s="331"/>
      <c r="D232" s="298" t="e">
        <f>VLOOKUP(C232,УЗиНП!$C$3:$D$1464,2,FALSE)</f>
        <v>#N/A</v>
      </c>
      <c r="E232" s="363"/>
      <c r="F232" s="363"/>
      <c r="G232" s="363"/>
      <c r="H232" s="363"/>
      <c r="I232" s="363"/>
      <c r="J232" s="363"/>
      <c r="K232" s="363"/>
      <c r="L232" s="363"/>
      <c r="M232" s="363"/>
      <c r="N232" s="364"/>
      <c r="O232" s="363"/>
      <c r="P232" s="363"/>
      <c r="Q232" s="363"/>
      <c r="R232" s="363"/>
      <c r="S232" s="363"/>
      <c r="T232" s="363"/>
      <c r="U232" s="364"/>
      <c r="V232" s="364"/>
    </row>
    <row r="233" spans="1:22" ht="15.75" x14ac:dyDescent="0.25">
      <c r="A233" s="322">
        <f t="shared" si="16"/>
        <v>228</v>
      </c>
      <c r="B233" s="360"/>
      <c r="C233" s="331"/>
      <c r="D233" s="298" t="e">
        <f>VLOOKUP(C233,УЗиНП!$C$3:$D$1464,2,FALSE)</f>
        <v>#N/A</v>
      </c>
      <c r="E233" s="363"/>
      <c r="F233" s="363"/>
      <c r="G233" s="363"/>
      <c r="H233" s="363"/>
      <c r="I233" s="363"/>
      <c r="J233" s="363"/>
      <c r="K233" s="363"/>
      <c r="L233" s="363"/>
      <c r="M233" s="363"/>
      <c r="N233" s="364"/>
      <c r="O233" s="363"/>
      <c r="P233" s="363"/>
      <c r="Q233" s="363"/>
      <c r="R233" s="363"/>
      <c r="S233" s="363"/>
      <c r="T233" s="363"/>
      <c r="U233" s="364"/>
      <c r="V233" s="364"/>
    </row>
    <row r="234" spans="1:22" ht="15.75" x14ac:dyDescent="0.25">
      <c r="A234" s="322">
        <f t="shared" si="16"/>
        <v>229</v>
      </c>
      <c r="B234" s="360"/>
      <c r="C234" s="331"/>
      <c r="D234" s="298" t="e">
        <f>VLOOKUP(C234,УЗиНП!$C$3:$D$1464,2,FALSE)</f>
        <v>#N/A</v>
      </c>
      <c r="E234" s="363"/>
      <c r="F234" s="363"/>
      <c r="G234" s="363"/>
      <c r="H234" s="363"/>
      <c r="I234" s="363"/>
      <c r="J234" s="363"/>
      <c r="K234" s="363"/>
      <c r="L234" s="363"/>
      <c r="M234" s="363"/>
      <c r="N234" s="364"/>
      <c r="O234" s="363"/>
      <c r="P234" s="363"/>
      <c r="Q234" s="363"/>
      <c r="R234" s="363"/>
      <c r="S234" s="363"/>
      <c r="T234" s="363"/>
      <c r="U234" s="364"/>
      <c r="V234" s="364"/>
    </row>
    <row r="235" spans="1:22" ht="15.75" x14ac:dyDescent="0.25">
      <c r="A235" s="322">
        <f t="shared" si="16"/>
        <v>230</v>
      </c>
      <c r="B235" s="360"/>
      <c r="C235" s="331"/>
      <c r="D235" s="298" t="e">
        <f>VLOOKUP(C235,УЗиНП!$C$3:$D$1464,2,FALSE)</f>
        <v>#N/A</v>
      </c>
      <c r="E235" s="363"/>
      <c r="F235" s="363"/>
      <c r="G235" s="363"/>
      <c r="H235" s="363"/>
      <c r="I235" s="363"/>
      <c r="J235" s="363"/>
      <c r="K235" s="363"/>
      <c r="L235" s="363"/>
      <c r="M235" s="363"/>
      <c r="N235" s="364"/>
      <c r="O235" s="363"/>
      <c r="P235" s="363"/>
      <c r="Q235" s="363"/>
      <c r="R235" s="363"/>
      <c r="S235" s="363"/>
      <c r="T235" s="363"/>
      <c r="U235" s="364"/>
      <c r="V235" s="364"/>
    </row>
    <row r="236" spans="1:22" ht="15.75" x14ac:dyDescent="0.25">
      <c r="A236" s="322">
        <f t="shared" si="16"/>
        <v>231</v>
      </c>
      <c r="B236" s="360"/>
      <c r="C236" s="331"/>
      <c r="D236" s="298" t="e">
        <f>VLOOKUP(C236,УЗиНП!$C$3:$D$1464,2,FALSE)</f>
        <v>#N/A</v>
      </c>
      <c r="E236" s="363"/>
      <c r="F236" s="363"/>
      <c r="G236" s="363"/>
      <c r="H236" s="363"/>
      <c r="I236" s="363"/>
      <c r="J236" s="363"/>
      <c r="K236" s="363"/>
      <c r="L236" s="363"/>
      <c r="M236" s="363"/>
      <c r="N236" s="364"/>
      <c r="O236" s="363"/>
      <c r="P236" s="363"/>
      <c r="Q236" s="363"/>
      <c r="R236" s="363"/>
      <c r="S236" s="363"/>
      <c r="T236" s="363"/>
      <c r="U236" s="364"/>
      <c r="V236" s="364"/>
    </row>
    <row r="237" spans="1:22" ht="15.75" x14ac:dyDescent="0.25">
      <c r="A237" s="322">
        <f t="shared" si="16"/>
        <v>232</v>
      </c>
      <c r="B237" s="360"/>
      <c r="C237" s="331"/>
      <c r="D237" s="298" t="e">
        <f>VLOOKUP(C237,УЗиНП!$C$3:$D$1464,2,FALSE)</f>
        <v>#N/A</v>
      </c>
      <c r="E237" s="363"/>
      <c r="F237" s="363"/>
      <c r="G237" s="363"/>
      <c r="H237" s="363"/>
      <c r="I237" s="363"/>
      <c r="J237" s="363"/>
      <c r="K237" s="363"/>
      <c r="L237" s="363"/>
      <c r="M237" s="363"/>
      <c r="N237" s="364"/>
      <c r="O237" s="363"/>
      <c r="P237" s="363"/>
      <c r="Q237" s="363"/>
      <c r="R237" s="363"/>
      <c r="S237" s="363"/>
      <c r="T237" s="363"/>
      <c r="U237" s="364"/>
      <c r="V237" s="364"/>
    </row>
    <row r="238" spans="1:22" ht="15.75" x14ac:dyDescent="0.25">
      <c r="A238" s="322">
        <f t="shared" si="16"/>
        <v>233</v>
      </c>
      <c r="B238" s="360"/>
      <c r="C238" s="331"/>
      <c r="D238" s="298" t="e">
        <f>VLOOKUP(C238,УЗиНП!$C$3:$D$1464,2,FALSE)</f>
        <v>#N/A</v>
      </c>
      <c r="E238" s="363"/>
      <c r="F238" s="363"/>
      <c r="G238" s="363"/>
      <c r="H238" s="363"/>
      <c r="I238" s="363"/>
      <c r="J238" s="363"/>
      <c r="K238" s="363"/>
      <c r="L238" s="363"/>
      <c r="M238" s="363"/>
      <c r="N238" s="364"/>
      <c r="O238" s="363"/>
      <c r="P238" s="363"/>
      <c r="Q238" s="363"/>
      <c r="R238" s="363"/>
      <c r="S238" s="363"/>
      <c r="T238" s="363"/>
      <c r="U238" s="364"/>
      <c r="V238" s="364"/>
    </row>
    <row r="239" spans="1:22" ht="15.75" x14ac:dyDescent="0.25">
      <c r="A239" s="322">
        <f t="shared" si="16"/>
        <v>234</v>
      </c>
      <c r="B239" s="360"/>
      <c r="C239" s="331"/>
      <c r="D239" s="298" t="e">
        <f>VLOOKUP(C239,УЗиНП!$C$3:$D$1464,2,FALSE)</f>
        <v>#N/A</v>
      </c>
      <c r="E239" s="363"/>
      <c r="F239" s="363"/>
      <c r="G239" s="363"/>
      <c r="H239" s="363"/>
      <c r="I239" s="363"/>
      <c r="J239" s="363"/>
      <c r="K239" s="363"/>
      <c r="L239" s="363"/>
      <c r="M239" s="363"/>
      <c r="N239" s="364"/>
      <c r="O239" s="363"/>
      <c r="P239" s="363"/>
      <c r="Q239" s="363"/>
      <c r="R239" s="363"/>
      <c r="S239" s="363"/>
      <c r="T239" s="363"/>
      <c r="U239" s="364"/>
      <c r="V239" s="364"/>
    </row>
    <row r="240" spans="1:22" ht="15.75" x14ac:dyDescent="0.25">
      <c r="A240" s="322">
        <f t="shared" si="16"/>
        <v>235</v>
      </c>
      <c r="B240" s="360"/>
      <c r="C240" s="331"/>
      <c r="D240" s="298" t="e">
        <f>VLOOKUP(C240,УЗиНП!$C$3:$D$1464,2,FALSE)</f>
        <v>#N/A</v>
      </c>
      <c r="E240" s="363"/>
      <c r="F240" s="363"/>
      <c r="G240" s="363"/>
      <c r="H240" s="363"/>
      <c r="I240" s="363"/>
      <c r="J240" s="363"/>
      <c r="K240" s="363"/>
      <c r="L240" s="363"/>
      <c r="M240" s="363"/>
      <c r="N240" s="364"/>
      <c r="O240" s="363"/>
      <c r="P240" s="363"/>
      <c r="Q240" s="363"/>
      <c r="R240" s="363"/>
      <c r="S240" s="363"/>
      <c r="T240" s="363"/>
      <c r="U240" s="364"/>
      <c r="V240" s="364"/>
    </row>
    <row r="241" spans="1:22" ht="15.75" x14ac:dyDescent="0.25">
      <c r="A241" s="322">
        <f t="shared" si="16"/>
        <v>236</v>
      </c>
      <c r="B241" s="360"/>
      <c r="C241" s="331"/>
      <c r="D241" s="298" t="e">
        <f>VLOOKUP(C241,УЗиНП!$C$3:$D$1464,2,FALSE)</f>
        <v>#N/A</v>
      </c>
      <c r="E241" s="363"/>
      <c r="F241" s="363"/>
      <c r="G241" s="363"/>
      <c r="H241" s="363"/>
      <c r="I241" s="363"/>
      <c r="J241" s="363"/>
      <c r="K241" s="363"/>
      <c r="L241" s="363"/>
      <c r="M241" s="363"/>
      <c r="N241" s="364"/>
      <c r="O241" s="363"/>
      <c r="P241" s="363"/>
      <c r="Q241" s="363"/>
      <c r="R241" s="363"/>
      <c r="S241" s="363"/>
      <c r="T241" s="363"/>
      <c r="U241" s="364"/>
      <c r="V241" s="364"/>
    </row>
    <row r="242" spans="1:22" ht="15.75" x14ac:dyDescent="0.25">
      <c r="A242" s="322">
        <f t="shared" si="16"/>
        <v>237</v>
      </c>
      <c r="B242" s="360"/>
      <c r="C242" s="331"/>
      <c r="D242" s="298" t="e">
        <f>VLOOKUP(C242,УЗиНП!$C$3:$D$1464,2,FALSE)</f>
        <v>#N/A</v>
      </c>
      <c r="E242" s="363"/>
      <c r="F242" s="363"/>
      <c r="G242" s="363"/>
      <c r="H242" s="363"/>
      <c r="I242" s="363"/>
      <c r="J242" s="363"/>
      <c r="K242" s="363"/>
      <c r="L242" s="363"/>
      <c r="M242" s="363"/>
      <c r="N242" s="364"/>
      <c r="O242" s="363"/>
      <c r="P242" s="363"/>
      <c r="Q242" s="363"/>
      <c r="R242" s="363"/>
      <c r="S242" s="363"/>
      <c r="T242" s="363"/>
      <c r="U242" s="364"/>
      <c r="V242" s="364"/>
    </row>
    <row r="243" spans="1:22" ht="15.75" x14ac:dyDescent="0.25">
      <c r="A243" s="322">
        <f t="shared" si="16"/>
        <v>238</v>
      </c>
      <c r="B243" s="360"/>
      <c r="C243" s="331"/>
      <c r="D243" s="298" t="e">
        <f>VLOOKUP(C243,УЗиНП!$C$3:$D$1464,2,FALSE)</f>
        <v>#N/A</v>
      </c>
      <c r="E243" s="363"/>
      <c r="F243" s="363"/>
      <c r="G243" s="363"/>
      <c r="H243" s="363"/>
      <c r="I243" s="363"/>
      <c r="J243" s="363"/>
      <c r="K243" s="363"/>
      <c r="L243" s="363"/>
      <c r="M243" s="363"/>
      <c r="N243" s="364"/>
      <c r="O243" s="363"/>
      <c r="P243" s="363"/>
      <c r="Q243" s="363"/>
      <c r="R243" s="363"/>
      <c r="S243" s="363"/>
      <c r="T243" s="363"/>
      <c r="U243" s="364"/>
      <c r="V243" s="364"/>
    </row>
    <row r="244" spans="1:22" ht="15.75" x14ac:dyDescent="0.25">
      <c r="A244" s="322">
        <f t="shared" si="16"/>
        <v>239</v>
      </c>
      <c r="B244" s="360"/>
      <c r="C244" s="331"/>
      <c r="D244" s="298" t="e">
        <f>VLOOKUP(C244,УЗиНП!$C$3:$D$1464,2,FALSE)</f>
        <v>#N/A</v>
      </c>
      <c r="E244" s="363"/>
      <c r="F244" s="363"/>
      <c r="G244" s="363"/>
      <c r="H244" s="363"/>
      <c r="I244" s="363"/>
      <c r="J244" s="363"/>
      <c r="K244" s="363"/>
      <c r="L244" s="363"/>
      <c r="M244" s="363"/>
      <c r="N244" s="364"/>
      <c r="O244" s="363"/>
      <c r="P244" s="363"/>
      <c r="Q244" s="363"/>
      <c r="R244" s="363"/>
      <c r="S244" s="363"/>
      <c r="T244" s="363"/>
      <c r="U244" s="364"/>
      <c r="V244" s="364"/>
    </row>
    <row r="245" spans="1:22" ht="15.75" x14ac:dyDescent="0.25">
      <c r="A245" s="322">
        <f t="shared" si="16"/>
        <v>240</v>
      </c>
      <c r="B245" s="360"/>
      <c r="C245" s="331"/>
      <c r="D245" s="298" t="e">
        <f>VLOOKUP(C245,УЗиНП!$C$3:$D$1464,2,FALSE)</f>
        <v>#N/A</v>
      </c>
      <c r="E245" s="363"/>
      <c r="F245" s="363"/>
      <c r="G245" s="363"/>
      <c r="H245" s="363"/>
      <c r="I245" s="363"/>
      <c r="J245" s="363"/>
      <c r="K245" s="363"/>
      <c r="L245" s="363"/>
      <c r="M245" s="363"/>
      <c r="N245" s="364"/>
      <c r="O245" s="363"/>
      <c r="P245" s="363"/>
      <c r="Q245" s="363"/>
      <c r="R245" s="363"/>
      <c r="S245" s="363"/>
      <c r="T245" s="363"/>
      <c r="U245" s="364"/>
      <c r="V245" s="364"/>
    </row>
    <row r="246" spans="1:22" ht="15.75" x14ac:dyDescent="0.25">
      <c r="A246" s="322">
        <f t="shared" si="16"/>
        <v>241</v>
      </c>
      <c r="B246" s="360"/>
      <c r="C246" s="331"/>
      <c r="D246" s="298" t="e">
        <f>VLOOKUP(C246,УЗиНП!$C$3:$D$1464,2,FALSE)</f>
        <v>#N/A</v>
      </c>
      <c r="E246" s="363"/>
      <c r="F246" s="363"/>
      <c r="G246" s="363"/>
      <c r="H246" s="363"/>
      <c r="I246" s="363"/>
      <c r="J246" s="363"/>
      <c r="K246" s="363"/>
      <c r="L246" s="363"/>
      <c r="M246" s="363"/>
      <c r="N246" s="364"/>
      <c r="O246" s="363"/>
      <c r="P246" s="363"/>
      <c r="Q246" s="363"/>
      <c r="R246" s="363"/>
      <c r="S246" s="363"/>
      <c r="T246" s="363"/>
      <c r="U246" s="364"/>
      <c r="V246" s="364"/>
    </row>
    <row r="247" spans="1:22" ht="15.75" x14ac:dyDescent="0.25">
      <c r="A247" s="322">
        <f t="shared" si="16"/>
        <v>242</v>
      </c>
      <c r="B247" s="360"/>
      <c r="C247" s="331"/>
      <c r="D247" s="298" t="e">
        <f>VLOOKUP(C247,УЗиНП!$C$3:$D$1464,2,FALSE)</f>
        <v>#N/A</v>
      </c>
      <c r="E247" s="363"/>
      <c r="F247" s="363"/>
      <c r="G247" s="363"/>
      <c r="H247" s="363"/>
      <c r="I247" s="363"/>
      <c r="J247" s="363"/>
      <c r="K247" s="363"/>
      <c r="L247" s="363"/>
      <c r="M247" s="363"/>
      <c r="N247" s="364"/>
      <c r="O247" s="363"/>
      <c r="P247" s="363"/>
      <c r="Q247" s="363"/>
      <c r="R247" s="363"/>
      <c r="S247" s="363"/>
      <c r="T247" s="363"/>
      <c r="U247" s="364"/>
      <c r="V247" s="364"/>
    </row>
    <row r="248" spans="1:22" ht="15.75" x14ac:dyDescent="0.25">
      <c r="A248" s="322">
        <f t="shared" si="16"/>
        <v>243</v>
      </c>
      <c r="B248" s="360"/>
      <c r="C248" s="331"/>
      <c r="D248" s="298" t="e">
        <f>VLOOKUP(C248,УЗиНП!$C$3:$D$1464,2,FALSE)</f>
        <v>#N/A</v>
      </c>
      <c r="E248" s="363"/>
      <c r="F248" s="363"/>
      <c r="G248" s="363"/>
      <c r="H248" s="363"/>
      <c r="I248" s="363"/>
      <c r="J248" s="363"/>
      <c r="K248" s="363"/>
      <c r="L248" s="363"/>
      <c r="M248" s="363"/>
      <c r="N248" s="364"/>
      <c r="O248" s="363"/>
      <c r="P248" s="363"/>
      <c r="Q248" s="363"/>
      <c r="R248" s="363"/>
      <c r="S248" s="363"/>
      <c r="T248" s="363"/>
      <c r="U248" s="364"/>
      <c r="V248" s="364"/>
    </row>
    <row r="249" spans="1:22" ht="15.75" x14ac:dyDescent="0.25">
      <c r="A249" s="322">
        <f t="shared" si="16"/>
        <v>244</v>
      </c>
      <c r="B249" s="360"/>
      <c r="C249" s="331"/>
      <c r="D249" s="298" t="e">
        <f>VLOOKUP(C249,УЗиНП!$C$3:$D$1464,2,FALSE)</f>
        <v>#N/A</v>
      </c>
      <c r="E249" s="363"/>
      <c r="F249" s="363"/>
      <c r="G249" s="363"/>
      <c r="H249" s="363"/>
      <c r="I249" s="363"/>
      <c r="J249" s="363"/>
      <c r="K249" s="363"/>
      <c r="L249" s="363"/>
      <c r="M249" s="363"/>
      <c r="N249" s="364"/>
      <c r="O249" s="363"/>
      <c r="P249" s="363"/>
      <c r="Q249" s="363"/>
      <c r="R249" s="363"/>
      <c r="S249" s="363"/>
      <c r="T249" s="363"/>
      <c r="U249" s="364"/>
      <c r="V249" s="364"/>
    </row>
    <row r="250" spans="1:22" ht="15.75" x14ac:dyDescent="0.25">
      <c r="A250" s="322">
        <f t="shared" si="16"/>
        <v>245</v>
      </c>
      <c r="B250" s="360"/>
      <c r="C250" s="331"/>
      <c r="D250" s="298" t="e">
        <f>VLOOKUP(C250,УЗиНП!$C$3:$D$1464,2,FALSE)</f>
        <v>#N/A</v>
      </c>
      <c r="E250" s="363"/>
      <c r="F250" s="363"/>
      <c r="G250" s="363"/>
      <c r="H250" s="363"/>
      <c r="I250" s="363"/>
      <c r="J250" s="363"/>
      <c r="K250" s="363"/>
      <c r="L250" s="363"/>
      <c r="M250" s="363"/>
      <c r="N250" s="364"/>
      <c r="O250" s="363"/>
      <c r="P250" s="363"/>
      <c r="Q250" s="363"/>
      <c r="R250" s="363"/>
      <c r="S250" s="363"/>
      <c r="T250" s="363"/>
      <c r="U250" s="364"/>
      <c r="V250" s="364"/>
    </row>
    <row r="251" spans="1:22" ht="15.75" x14ac:dyDescent="0.25">
      <c r="A251" s="322">
        <f t="shared" si="16"/>
        <v>246</v>
      </c>
      <c r="B251" s="360"/>
      <c r="C251" s="331"/>
      <c r="D251" s="298" t="e">
        <f>VLOOKUP(C251,УЗиНП!$C$3:$D$1464,2,FALSE)</f>
        <v>#N/A</v>
      </c>
      <c r="E251" s="363"/>
      <c r="F251" s="363"/>
      <c r="G251" s="363"/>
      <c r="H251" s="363"/>
      <c r="I251" s="363"/>
      <c r="J251" s="363"/>
      <c r="K251" s="363"/>
      <c r="L251" s="363"/>
      <c r="M251" s="363"/>
      <c r="N251" s="364"/>
      <c r="O251" s="363"/>
      <c r="P251" s="363"/>
      <c r="Q251" s="363"/>
      <c r="R251" s="363"/>
      <c r="S251" s="363"/>
      <c r="T251" s="363"/>
      <c r="U251" s="364"/>
      <c r="V251" s="364"/>
    </row>
    <row r="252" spans="1:22" ht="15.75" x14ac:dyDescent="0.25">
      <c r="A252" s="322">
        <f t="shared" si="16"/>
        <v>247</v>
      </c>
      <c r="B252" s="360"/>
      <c r="C252" s="331"/>
      <c r="D252" s="298" t="e">
        <f>VLOOKUP(C252,УЗиНП!$C$3:$D$1464,2,FALSE)</f>
        <v>#N/A</v>
      </c>
      <c r="E252" s="363"/>
      <c r="F252" s="363"/>
      <c r="G252" s="363"/>
      <c r="H252" s="363"/>
      <c r="I252" s="363"/>
      <c r="J252" s="363"/>
      <c r="K252" s="363"/>
      <c r="L252" s="363"/>
      <c r="M252" s="363"/>
      <c r="N252" s="364"/>
      <c r="O252" s="363"/>
      <c r="P252" s="363"/>
      <c r="Q252" s="363"/>
      <c r="R252" s="363"/>
      <c r="S252" s="363"/>
      <c r="T252" s="363"/>
      <c r="U252" s="364"/>
      <c r="V252" s="364"/>
    </row>
    <row r="253" spans="1:22" ht="15.75" x14ac:dyDescent="0.25">
      <c r="A253" s="322">
        <f t="shared" si="16"/>
        <v>248</v>
      </c>
      <c r="B253" s="360"/>
      <c r="C253" s="331"/>
      <c r="D253" s="298" t="e">
        <f>VLOOKUP(C253,УЗиНП!$C$3:$D$1464,2,FALSE)</f>
        <v>#N/A</v>
      </c>
      <c r="E253" s="363"/>
      <c r="F253" s="363"/>
      <c r="G253" s="363"/>
      <c r="H253" s="363"/>
      <c r="I253" s="363"/>
      <c r="J253" s="363"/>
      <c r="K253" s="363"/>
      <c r="L253" s="363"/>
      <c r="M253" s="363"/>
      <c r="N253" s="364"/>
      <c r="O253" s="363"/>
      <c r="P253" s="363"/>
      <c r="Q253" s="363"/>
      <c r="R253" s="363"/>
      <c r="S253" s="363"/>
      <c r="T253" s="363"/>
      <c r="U253" s="364"/>
      <c r="V253" s="364"/>
    </row>
    <row r="254" spans="1:22" ht="15.75" x14ac:dyDescent="0.25">
      <c r="A254" s="322">
        <f t="shared" si="16"/>
        <v>249</v>
      </c>
      <c r="B254" s="360"/>
      <c r="C254" s="331"/>
      <c r="D254" s="298" t="e">
        <f>VLOOKUP(C254,УЗиНП!$C$3:$D$1464,2,FALSE)</f>
        <v>#N/A</v>
      </c>
      <c r="E254" s="363"/>
      <c r="F254" s="363"/>
      <c r="G254" s="363"/>
      <c r="H254" s="363"/>
      <c r="I254" s="363"/>
      <c r="J254" s="363"/>
      <c r="K254" s="363"/>
      <c r="L254" s="363"/>
      <c r="M254" s="363"/>
      <c r="N254" s="364"/>
      <c r="O254" s="363"/>
      <c r="P254" s="363"/>
      <c r="Q254" s="363"/>
      <c r="R254" s="363"/>
      <c r="S254" s="363"/>
      <c r="T254" s="363"/>
      <c r="U254" s="364"/>
      <c r="V254" s="364"/>
    </row>
    <row r="255" spans="1:22" ht="15.75" x14ac:dyDescent="0.25">
      <c r="A255" s="322">
        <f t="shared" si="16"/>
        <v>250</v>
      </c>
      <c r="B255" s="360"/>
      <c r="C255" s="331"/>
      <c r="D255" s="298" t="e">
        <f>VLOOKUP(C255,УЗиНП!$C$3:$D$1464,2,FALSE)</f>
        <v>#N/A</v>
      </c>
      <c r="E255" s="363"/>
      <c r="F255" s="363"/>
      <c r="G255" s="363"/>
      <c r="H255" s="363"/>
      <c r="I255" s="363"/>
      <c r="J255" s="363"/>
      <c r="K255" s="363"/>
      <c r="L255" s="363"/>
      <c r="M255" s="363"/>
      <c r="N255" s="364"/>
      <c r="O255" s="363"/>
      <c r="P255" s="363"/>
      <c r="Q255" s="363"/>
      <c r="R255" s="363"/>
      <c r="S255" s="363"/>
      <c r="T255" s="363"/>
      <c r="U255" s="364"/>
      <c r="V255" s="364"/>
    </row>
    <row r="256" spans="1:22" ht="15.75" x14ac:dyDescent="0.25">
      <c r="A256" s="322">
        <f t="shared" si="16"/>
        <v>251</v>
      </c>
      <c r="B256" s="360"/>
      <c r="C256" s="331"/>
      <c r="D256" s="298" t="e">
        <f>VLOOKUP(C256,УЗиНП!$C$3:$D$1464,2,FALSE)</f>
        <v>#N/A</v>
      </c>
      <c r="E256" s="363"/>
      <c r="F256" s="363"/>
      <c r="G256" s="363"/>
      <c r="H256" s="363"/>
      <c r="I256" s="363"/>
      <c r="J256" s="363"/>
      <c r="K256" s="363"/>
      <c r="L256" s="363"/>
      <c r="M256" s="363"/>
      <c r="N256" s="364"/>
      <c r="O256" s="363"/>
      <c r="P256" s="363"/>
      <c r="Q256" s="363"/>
      <c r="R256" s="363"/>
      <c r="S256" s="363"/>
      <c r="T256" s="363"/>
      <c r="U256" s="364"/>
      <c r="V256" s="364"/>
    </row>
    <row r="257" spans="1:22" ht="15.75" x14ac:dyDescent="0.25">
      <c r="A257" s="322">
        <f t="shared" si="16"/>
        <v>252</v>
      </c>
      <c r="B257" s="360"/>
      <c r="C257" s="331"/>
      <c r="D257" s="298" t="e">
        <f>VLOOKUP(C257,УЗиНП!$C$3:$D$1464,2,FALSE)</f>
        <v>#N/A</v>
      </c>
      <c r="E257" s="363"/>
      <c r="F257" s="363"/>
      <c r="G257" s="363"/>
      <c r="H257" s="363"/>
      <c r="I257" s="363"/>
      <c r="J257" s="363"/>
      <c r="K257" s="363"/>
      <c r="L257" s="363"/>
      <c r="M257" s="363"/>
      <c r="N257" s="364"/>
      <c r="O257" s="363"/>
      <c r="P257" s="363"/>
      <c r="Q257" s="363"/>
      <c r="R257" s="363"/>
      <c r="S257" s="363"/>
      <c r="T257" s="363"/>
      <c r="U257" s="364"/>
      <c r="V257" s="364"/>
    </row>
    <row r="258" spans="1:22" ht="15.75" x14ac:dyDescent="0.25">
      <c r="A258" s="322">
        <f t="shared" si="16"/>
        <v>253</v>
      </c>
      <c r="B258" s="360"/>
      <c r="C258" s="331"/>
      <c r="D258" s="298" t="e">
        <f>VLOOKUP(C258,УЗиНП!$C$3:$D$1464,2,FALSE)</f>
        <v>#N/A</v>
      </c>
      <c r="E258" s="363"/>
      <c r="F258" s="363"/>
      <c r="G258" s="363"/>
      <c r="H258" s="363"/>
      <c r="I258" s="363"/>
      <c r="J258" s="363"/>
      <c r="K258" s="363"/>
      <c r="L258" s="363"/>
      <c r="M258" s="363"/>
      <c r="N258" s="364"/>
      <c r="O258" s="363"/>
      <c r="P258" s="363"/>
      <c r="Q258" s="363"/>
      <c r="R258" s="363"/>
      <c r="S258" s="363"/>
      <c r="T258" s="363"/>
      <c r="U258" s="364"/>
      <c r="V258" s="364"/>
    </row>
    <row r="259" spans="1:22" ht="15.75" x14ac:dyDescent="0.25">
      <c r="A259" s="322">
        <f t="shared" si="16"/>
        <v>254</v>
      </c>
      <c r="B259" s="360"/>
      <c r="C259" s="331"/>
      <c r="D259" s="298" t="e">
        <f>VLOOKUP(C259,УЗиНП!$C$3:$D$1464,2,FALSE)</f>
        <v>#N/A</v>
      </c>
      <c r="E259" s="363"/>
      <c r="F259" s="363"/>
      <c r="G259" s="363"/>
      <c r="H259" s="363"/>
      <c r="I259" s="363"/>
      <c r="J259" s="363"/>
      <c r="K259" s="363"/>
      <c r="L259" s="363"/>
      <c r="M259" s="363"/>
      <c r="N259" s="364"/>
      <c r="O259" s="363"/>
      <c r="P259" s="363"/>
      <c r="Q259" s="363"/>
      <c r="R259" s="363"/>
      <c r="S259" s="363"/>
      <c r="T259" s="363"/>
      <c r="U259" s="364"/>
      <c r="V259" s="364"/>
    </row>
    <row r="260" spans="1:22" ht="15.75" x14ac:dyDescent="0.25">
      <c r="A260" s="322">
        <f t="shared" si="16"/>
        <v>255</v>
      </c>
      <c r="B260" s="360"/>
      <c r="C260" s="331"/>
      <c r="D260" s="298" t="e">
        <f>VLOOKUP(C260,УЗиНП!$C$3:$D$1464,2,FALSE)</f>
        <v>#N/A</v>
      </c>
      <c r="E260" s="363"/>
      <c r="F260" s="363"/>
      <c r="G260" s="363"/>
      <c r="H260" s="363"/>
      <c r="I260" s="363"/>
      <c r="J260" s="363"/>
      <c r="K260" s="363"/>
      <c r="L260" s="363"/>
      <c r="M260" s="363"/>
      <c r="N260" s="364"/>
      <c r="O260" s="363"/>
      <c r="P260" s="363"/>
      <c r="Q260" s="363"/>
      <c r="R260" s="363"/>
      <c r="S260" s="363"/>
      <c r="T260" s="363"/>
      <c r="U260" s="364"/>
      <c r="V260" s="364"/>
    </row>
    <row r="261" spans="1:22" ht="15.75" x14ac:dyDescent="0.25">
      <c r="A261" s="322">
        <f t="shared" si="16"/>
        <v>256</v>
      </c>
      <c r="B261" s="360"/>
      <c r="C261" s="331"/>
      <c r="D261" s="298" t="e">
        <f>VLOOKUP(C261,УЗиНП!$C$3:$D$1464,2,FALSE)</f>
        <v>#N/A</v>
      </c>
      <c r="E261" s="363"/>
      <c r="F261" s="363"/>
      <c r="G261" s="363"/>
      <c r="H261" s="363"/>
      <c r="I261" s="363"/>
      <c r="J261" s="363"/>
      <c r="K261" s="363"/>
      <c r="L261" s="363"/>
      <c r="M261" s="363"/>
      <c r="N261" s="364"/>
      <c r="O261" s="363"/>
      <c r="P261" s="363"/>
      <c r="Q261" s="363"/>
      <c r="R261" s="363"/>
      <c r="S261" s="363"/>
      <c r="T261" s="363"/>
      <c r="U261" s="364"/>
      <c r="V261" s="364"/>
    </row>
    <row r="262" spans="1:22" ht="15.75" x14ac:dyDescent="0.25">
      <c r="A262" s="322">
        <f t="shared" si="16"/>
        <v>257</v>
      </c>
      <c r="B262" s="360"/>
      <c r="C262" s="331"/>
      <c r="D262" s="298" t="e">
        <f>VLOOKUP(C262,УЗиНП!$C$3:$D$1464,2,FALSE)</f>
        <v>#N/A</v>
      </c>
      <c r="E262" s="363"/>
      <c r="F262" s="363"/>
      <c r="G262" s="363"/>
      <c r="H262" s="363"/>
      <c r="I262" s="363"/>
      <c r="J262" s="363"/>
      <c r="K262" s="363"/>
      <c r="L262" s="363"/>
      <c r="M262" s="363"/>
      <c r="N262" s="364"/>
      <c r="O262" s="363"/>
      <c r="P262" s="363"/>
      <c r="Q262" s="363"/>
      <c r="R262" s="363"/>
      <c r="S262" s="363"/>
      <c r="T262" s="363"/>
      <c r="U262" s="364"/>
      <c r="V262" s="364"/>
    </row>
    <row r="263" spans="1:22" ht="15.75" x14ac:dyDescent="0.25">
      <c r="A263" s="322">
        <f t="shared" si="16"/>
        <v>258</v>
      </c>
      <c r="B263" s="360"/>
      <c r="C263" s="331"/>
      <c r="D263" s="298" t="e">
        <f>VLOOKUP(C263,УЗиНП!$C$3:$D$1464,2,FALSE)</f>
        <v>#N/A</v>
      </c>
      <c r="E263" s="363"/>
      <c r="F263" s="363"/>
      <c r="G263" s="363"/>
      <c r="H263" s="363"/>
      <c r="I263" s="363"/>
      <c r="J263" s="363"/>
      <c r="K263" s="363"/>
      <c r="L263" s="363"/>
      <c r="M263" s="363"/>
      <c r="N263" s="364"/>
      <c r="O263" s="363"/>
      <c r="P263" s="363"/>
      <c r="Q263" s="363"/>
      <c r="R263" s="363"/>
      <c r="S263" s="363"/>
      <c r="T263" s="363"/>
      <c r="U263" s="364"/>
      <c r="V263" s="364"/>
    </row>
    <row r="264" spans="1:22" ht="15.75" x14ac:dyDescent="0.25">
      <c r="A264" s="322">
        <f t="shared" si="16"/>
        <v>259</v>
      </c>
      <c r="B264" s="360"/>
      <c r="C264" s="331"/>
      <c r="D264" s="298" t="e">
        <f>VLOOKUP(C264,УЗиНП!$C$3:$D$1464,2,FALSE)</f>
        <v>#N/A</v>
      </c>
      <c r="E264" s="363"/>
      <c r="F264" s="363"/>
      <c r="G264" s="363"/>
      <c r="H264" s="363"/>
      <c r="I264" s="363"/>
      <c r="J264" s="363"/>
      <c r="K264" s="363"/>
      <c r="L264" s="363"/>
      <c r="M264" s="363"/>
      <c r="N264" s="364"/>
      <c r="O264" s="363"/>
      <c r="P264" s="363"/>
      <c r="Q264" s="363"/>
      <c r="R264" s="363"/>
      <c r="S264" s="363"/>
      <c r="T264" s="363"/>
      <c r="U264" s="364"/>
      <c r="V264" s="364"/>
    </row>
    <row r="265" spans="1:22" ht="15.75" x14ac:dyDescent="0.25">
      <c r="A265" s="322">
        <f t="shared" si="16"/>
        <v>260</v>
      </c>
      <c r="B265" s="360"/>
      <c r="C265" s="331"/>
      <c r="D265" s="298" t="e">
        <f>VLOOKUP(C265,УЗиНП!$C$3:$D$1464,2,FALSE)</f>
        <v>#N/A</v>
      </c>
      <c r="E265" s="363"/>
      <c r="F265" s="363"/>
      <c r="G265" s="363"/>
      <c r="H265" s="363"/>
      <c r="I265" s="363"/>
      <c r="J265" s="363"/>
      <c r="K265" s="363"/>
      <c r="L265" s="363"/>
      <c r="M265" s="363"/>
      <c r="N265" s="364"/>
      <c r="O265" s="363"/>
      <c r="P265" s="363"/>
      <c r="Q265" s="363"/>
      <c r="R265" s="363"/>
      <c r="S265" s="363"/>
      <c r="T265" s="363"/>
      <c r="U265" s="364"/>
      <c r="V265" s="364"/>
    </row>
    <row r="266" spans="1:22" ht="15.75" x14ac:dyDescent="0.25">
      <c r="A266" s="322">
        <f t="shared" si="16"/>
        <v>261</v>
      </c>
      <c r="B266" s="360"/>
      <c r="C266" s="331"/>
      <c r="D266" s="298" t="e">
        <f>VLOOKUP(C266,УЗиНП!$C$3:$D$1464,2,FALSE)</f>
        <v>#N/A</v>
      </c>
      <c r="E266" s="363"/>
      <c r="F266" s="363"/>
      <c r="G266" s="363"/>
      <c r="H266" s="363"/>
      <c r="I266" s="363"/>
      <c r="J266" s="363"/>
      <c r="K266" s="363"/>
      <c r="L266" s="363"/>
      <c r="M266" s="363"/>
      <c r="N266" s="364"/>
      <c r="O266" s="363"/>
      <c r="P266" s="363"/>
      <c r="Q266" s="363"/>
      <c r="R266" s="363"/>
      <c r="S266" s="363"/>
      <c r="T266" s="363"/>
      <c r="U266" s="364"/>
      <c r="V266" s="364"/>
    </row>
    <row r="267" spans="1:22" ht="15.75" x14ac:dyDescent="0.25">
      <c r="A267" s="322">
        <f t="shared" si="16"/>
        <v>262</v>
      </c>
      <c r="B267" s="360"/>
      <c r="C267" s="331"/>
      <c r="D267" s="298" t="e">
        <f>VLOOKUP(C267,УЗиНП!$C$3:$D$1464,2,FALSE)</f>
        <v>#N/A</v>
      </c>
      <c r="E267" s="363"/>
      <c r="F267" s="363"/>
      <c r="G267" s="363"/>
      <c r="H267" s="363"/>
      <c r="I267" s="363"/>
      <c r="J267" s="363"/>
      <c r="K267" s="363"/>
      <c r="L267" s="363"/>
      <c r="M267" s="363"/>
      <c r="N267" s="364"/>
      <c r="O267" s="363"/>
      <c r="P267" s="363"/>
      <c r="Q267" s="363"/>
      <c r="R267" s="363"/>
      <c r="S267" s="363"/>
      <c r="T267" s="363"/>
      <c r="U267" s="364"/>
      <c r="V267" s="364"/>
    </row>
    <row r="268" spans="1:22" ht="15.75" x14ac:dyDescent="0.25">
      <c r="A268" s="322">
        <f t="shared" si="16"/>
        <v>263</v>
      </c>
      <c r="B268" s="360"/>
      <c r="C268" s="331"/>
      <c r="D268" s="298" t="e">
        <f>VLOOKUP(C268,УЗиНП!$C$3:$D$1464,2,FALSE)</f>
        <v>#N/A</v>
      </c>
      <c r="E268" s="363"/>
      <c r="F268" s="363"/>
      <c r="G268" s="363"/>
      <c r="H268" s="363"/>
      <c r="I268" s="363"/>
      <c r="J268" s="363"/>
      <c r="K268" s="363"/>
      <c r="L268" s="363"/>
      <c r="M268" s="363"/>
      <c r="N268" s="364"/>
      <c r="O268" s="363"/>
      <c r="P268" s="363"/>
      <c r="Q268" s="363"/>
      <c r="R268" s="363"/>
      <c r="S268" s="363"/>
      <c r="T268" s="363"/>
      <c r="U268" s="364"/>
      <c r="V268" s="364"/>
    </row>
    <row r="269" spans="1:22" ht="15.75" x14ac:dyDescent="0.25">
      <c r="A269" s="322">
        <f t="shared" si="16"/>
        <v>264</v>
      </c>
      <c r="B269" s="360"/>
      <c r="C269" s="331"/>
      <c r="D269" s="298" t="e">
        <f>VLOOKUP(C269,УЗиНП!$C$3:$D$1464,2,FALSE)</f>
        <v>#N/A</v>
      </c>
      <c r="E269" s="363"/>
      <c r="F269" s="363"/>
      <c r="G269" s="363"/>
      <c r="H269" s="363"/>
      <c r="I269" s="363"/>
      <c r="J269" s="363"/>
      <c r="K269" s="363"/>
      <c r="L269" s="363"/>
      <c r="M269" s="363"/>
      <c r="N269" s="364"/>
      <c r="O269" s="363"/>
      <c r="P269" s="363"/>
      <c r="Q269" s="363"/>
      <c r="R269" s="363"/>
      <c r="S269" s="363"/>
      <c r="T269" s="363"/>
      <c r="U269" s="364"/>
      <c r="V269" s="364"/>
    </row>
    <row r="270" spans="1:22" ht="15.75" x14ac:dyDescent="0.25">
      <c r="A270" s="322">
        <f t="shared" si="16"/>
        <v>265</v>
      </c>
      <c r="B270" s="360"/>
      <c r="C270" s="331"/>
      <c r="D270" s="298" t="e">
        <f>VLOOKUP(C270,УЗиНП!$C$3:$D$1464,2,FALSE)</f>
        <v>#N/A</v>
      </c>
      <c r="E270" s="363"/>
      <c r="F270" s="363"/>
      <c r="G270" s="363"/>
      <c r="H270" s="363"/>
      <c r="I270" s="363"/>
      <c r="J270" s="363"/>
      <c r="K270" s="363"/>
      <c r="L270" s="363"/>
      <c r="M270" s="363"/>
      <c r="N270" s="364"/>
      <c r="O270" s="363"/>
      <c r="P270" s="363"/>
      <c r="Q270" s="363"/>
      <c r="R270" s="363"/>
      <c r="S270" s="363"/>
      <c r="T270" s="363"/>
      <c r="U270" s="364"/>
      <c r="V270" s="364"/>
    </row>
    <row r="271" spans="1:22" ht="15.75" x14ac:dyDescent="0.25">
      <c r="A271" s="322">
        <f t="shared" si="16"/>
        <v>266</v>
      </c>
      <c r="B271" s="360"/>
      <c r="C271" s="331"/>
      <c r="D271" s="298" t="e">
        <f>VLOOKUP(C271,УЗиНП!$C$3:$D$1464,2,FALSE)</f>
        <v>#N/A</v>
      </c>
      <c r="E271" s="363"/>
      <c r="F271" s="363"/>
      <c r="G271" s="363"/>
      <c r="H271" s="363"/>
      <c r="I271" s="363"/>
      <c r="J271" s="363"/>
      <c r="K271" s="363"/>
      <c r="L271" s="363"/>
      <c r="M271" s="363"/>
      <c r="N271" s="364"/>
      <c r="O271" s="363"/>
      <c r="P271" s="363"/>
      <c r="Q271" s="363"/>
      <c r="R271" s="363"/>
      <c r="S271" s="363"/>
      <c r="T271" s="363"/>
      <c r="U271" s="364"/>
      <c r="V271" s="364"/>
    </row>
    <row r="272" spans="1:22" ht="15.75" x14ac:dyDescent="0.25">
      <c r="A272" s="322">
        <f t="shared" si="16"/>
        <v>267</v>
      </c>
      <c r="B272" s="360"/>
      <c r="C272" s="331"/>
      <c r="D272" s="298" t="e">
        <f>VLOOKUP(C272,УЗиНП!$C$3:$D$1464,2,FALSE)</f>
        <v>#N/A</v>
      </c>
      <c r="E272" s="363"/>
      <c r="F272" s="363"/>
      <c r="G272" s="363"/>
      <c r="H272" s="363"/>
      <c r="I272" s="363"/>
      <c r="J272" s="363"/>
      <c r="K272" s="363"/>
      <c r="L272" s="363"/>
      <c r="M272" s="363"/>
      <c r="N272" s="364"/>
      <c r="O272" s="363"/>
      <c r="P272" s="363"/>
      <c r="Q272" s="363"/>
      <c r="R272" s="363"/>
      <c r="S272" s="363"/>
      <c r="T272" s="363"/>
      <c r="U272" s="364"/>
      <c r="V272" s="364"/>
    </row>
    <row r="273" spans="1:22" ht="15.75" x14ac:dyDescent="0.25">
      <c r="A273" s="322">
        <f t="shared" si="16"/>
        <v>268</v>
      </c>
      <c r="B273" s="360"/>
      <c r="C273" s="331"/>
      <c r="D273" s="298" t="e">
        <f>VLOOKUP(C273,УЗиНП!$C$3:$D$1464,2,FALSE)</f>
        <v>#N/A</v>
      </c>
      <c r="E273" s="363"/>
      <c r="F273" s="363"/>
      <c r="G273" s="363"/>
      <c r="H273" s="363"/>
      <c r="I273" s="363"/>
      <c r="J273" s="363"/>
      <c r="K273" s="363"/>
      <c r="L273" s="363"/>
      <c r="M273" s="363"/>
      <c r="N273" s="364"/>
      <c r="O273" s="363"/>
      <c r="P273" s="363"/>
      <c r="Q273" s="363"/>
      <c r="R273" s="363"/>
      <c r="S273" s="363"/>
      <c r="T273" s="363"/>
      <c r="U273" s="364"/>
      <c r="V273" s="364"/>
    </row>
    <row r="274" spans="1:22" ht="15.75" x14ac:dyDescent="0.25">
      <c r="A274" s="322">
        <f t="shared" si="16"/>
        <v>269</v>
      </c>
      <c r="B274" s="360"/>
      <c r="C274" s="331"/>
      <c r="D274" s="298" t="e">
        <f>VLOOKUP(C274,УЗиНП!$C$3:$D$1464,2,FALSE)</f>
        <v>#N/A</v>
      </c>
      <c r="E274" s="363"/>
      <c r="F274" s="363"/>
      <c r="G274" s="363"/>
      <c r="H274" s="363"/>
      <c r="I274" s="363"/>
      <c r="J274" s="363"/>
      <c r="K274" s="363"/>
      <c r="L274" s="363"/>
      <c r="M274" s="363"/>
      <c r="N274" s="364"/>
      <c r="O274" s="363"/>
      <c r="P274" s="363"/>
      <c r="Q274" s="363"/>
      <c r="R274" s="363"/>
      <c r="S274" s="363"/>
      <c r="T274" s="363"/>
      <c r="U274" s="364"/>
      <c r="V274" s="364"/>
    </row>
    <row r="275" spans="1:22" ht="15.75" x14ac:dyDescent="0.25">
      <c r="A275" s="322">
        <f t="shared" si="16"/>
        <v>270</v>
      </c>
      <c r="B275" s="360"/>
      <c r="C275" s="331"/>
      <c r="D275" s="298" t="e">
        <f>VLOOKUP(C275,УЗиНП!$C$3:$D$1464,2,FALSE)</f>
        <v>#N/A</v>
      </c>
      <c r="E275" s="363"/>
      <c r="F275" s="363"/>
      <c r="G275" s="363"/>
      <c r="H275" s="363"/>
      <c r="I275" s="363"/>
      <c r="J275" s="363"/>
      <c r="K275" s="363"/>
      <c r="L275" s="363"/>
      <c r="M275" s="363"/>
      <c r="N275" s="364"/>
      <c r="O275" s="363"/>
      <c r="P275" s="363"/>
      <c r="Q275" s="363"/>
      <c r="R275" s="363"/>
      <c r="S275" s="363"/>
      <c r="T275" s="363"/>
      <c r="U275" s="364"/>
      <c r="V275" s="364"/>
    </row>
    <row r="276" spans="1:22" ht="15.75" x14ac:dyDescent="0.25">
      <c r="A276" s="322">
        <f t="shared" si="16"/>
        <v>271</v>
      </c>
      <c r="B276" s="360"/>
      <c r="C276" s="331"/>
      <c r="D276" s="298" t="e">
        <f>VLOOKUP(C276,УЗиНП!$C$3:$D$1464,2,FALSE)</f>
        <v>#N/A</v>
      </c>
      <c r="E276" s="363"/>
      <c r="F276" s="363"/>
      <c r="G276" s="363"/>
      <c r="H276" s="363"/>
      <c r="I276" s="363"/>
      <c r="J276" s="363"/>
      <c r="K276" s="363"/>
      <c r="L276" s="363"/>
      <c r="M276" s="363"/>
      <c r="N276" s="364"/>
      <c r="O276" s="363"/>
      <c r="P276" s="363"/>
      <c r="Q276" s="363"/>
      <c r="R276" s="363"/>
      <c r="S276" s="363"/>
      <c r="T276" s="363"/>
      <c r="U276" s="364"/>
      <c r="V276" s="364"/>
    </row>
    <row r="277" spans="1:22" ht="15.75" x14ac:dyDescent="0.25">
      <c r="A277" s="322">
        <f t="shared" si="16"/>
        <v>272</v>
      </c>
      <c r="B277" s="360"/>
      <c r="C277" s="331"/>
      <c r="D277" s="298" t="e">
        <f>VLOOKUP(C277,УЗиНП!$C$3:$D$1464,2,FALSE)</f>
        <v>#N/A</v>
      </c>
      <c r="E277" s="363"/>
      <c r="F277" s="363"/>
      <c r="G277" s="363"/>
      <c r="H277" s="363"/>
      <c r="I277" s="363"/>
      <c r="J277" s="363"/>
      <c r="K277" s="363"/>
      <c r="L277" s="363"/>
      <c r="M277" s="363"/>
      <c r="N277" s="364"/>
      <c r="O277" s="363"/>
      <c r="P277" s="363"/>
      <c r="Q277" s="363"/>
      <c r="R277" s="363"/>
      <c r="S277" s="363"/>
      <c r="T277" s="363"/>
      <c r="U277" s="364"/>
      <c r="V277" s="364"/>
    </row>
    <row r="278" spans="1:22" ht="15.75" x14ac:dyDescent="0.25">
      <c r="A278" s="322">
        <f t="shared" si="16"/>
        <v>273</v>
      </c>
      <c r="B278" s="360"/>
      <c r="C278" s="331"/>
      <c r="D278" s="298" t="e">
        <f>VLOOKUP(C278,УЗиНП!$C$3:$D$1464,2,FALSE)</f>
        <v>#N/A</v>
      </c>
      <c r="E278" s="363"/>
      <c r="F278" s="363"/>
      <c r="G278" s="363"/>
      <c r="H278" s="363"/>
      <c r="I278" s="363"/>
      <c r="J278" s="363"/>
      <c r="K278" s="363"/>
      <c r="L278" s="363"/>
      <c r="M278" s="363"/>
      <c r="N278" s="364"/>
      <c r="O278" s="363"/>
      <c r="P278" s="363"/>
      <c r="Q278" s="363"/>
      <c r="R278" s="363"/>
      <c r="S278" s="363"/>
      <c r="T278" s="363"/>
      <c r="U278" s="364"/>
      <c r="V278" s="364"/>
    </row>
    <row r="279" spans="1:22" ht="15.75" x14ac:dyDescent="0.25">
      <c r="A279" s="322">
        <f t="shared" si="16"/>
        <v>274</v>
      </c>
      <c r="B279" s="360"/>
      <c r="C279" s="331"/>
      <c r="D279" s="298" t="e">
        <f>VLOOKUP(C279,УЗиНП!$C$3:$D$1464,2,FALSE)</f>
        <v>#N/A</v>
      </c>
      <c r="E279" s="363"/>
      <c r="F279" s="363"/>
      <c r="G279" s="363"/>
      <c r="H279" s="363"/>
      <c r="I279" s="363"/>
      <c r="J279" s="363"/>
      <c r="K279" s="363"/>
      <c r="L279" s="363"/>
      <c r="M279" s="363"/>
      <c r="N279" s="364"/>
      <c r="O279" s="363"/>
      <c r="P279" s="363"/>
      <c r="Q279" s="363"/>
      <c r="R279" s="363"/>
      <c r="S279" s="363"/>
      <c r="T279" s="363"/>
      <c r="U279" s="364"/>
      <c r="V279" s="364"/>
    </row>
    <row r="280" spans="1:22" ht="15.75" x14ac:dyDescent="0.25">
      <c r="A280" s="322">
        <f t="shared" si="16"/>
        <v>275</v>
      </c>
      <c r="B280" s="360"/>
      <c r="C280" s="331"/>
      <c r="D280" s="298" t="e">
        <f>VLOOKUP(C280,УЗиНП!$C$3:$D$1464,2,FALSE)</f>
        <v>#N/A</v>
      </c>
      <c r="E280" s="363"/>
      <c r="F280" s="363"/>
      <c r="G280" s="363"/>
      <c r="H280" s="363"/>
      <c r="I280" s="363"/>
      <c r="J280" s="363"/>
      <c r="K280" s="363"/>
      <c r="L280" s="363"/>
      <c r="M280" s="363"/>
      <c r="N280" s="364"/>
      <c r="O280" s="363"/>
      <c r="P280" s="363"/>
      <c r="Q280" s="363"/>
      <c r="R280" s="363"/>
      <c r="S280" s="363"/>
      <c r="T280" s="363"/>
      <c r="U280" s="364"/>
      <c r="V280" s="364"/>
    </row>
    <row r="281" spans="1:22" ht="15.75" x14ac:dyDescent="0.25">
      <c r="A281" s="322">
        <f t="shared" si="16"/>
        <v>276</v>
      </c>
      <c r="B281" s="360"/>
      <c r="C281" s="331"/>
      <c r="D281" s="298" t="e">
        <f>VLOOKUP(C281,УЗиНП!$C$3:$D$1464,2,FALSE)</f>
        <v>#N/A</v>
      </c>
      <c r="E281" s="363"/>
      <c r="F281" s="363"/>
      <c r="G281" s="363"/>
      <c r="H281" s="363"/>
      <c r="I281" s="363"/>
      <c r="J281" s="363"/>
      <c r="K281" s="363"/>
      <c r="L281" s="363"/>
      <c r="M281" s="363"/>
      <c r="N281" s="364"/>
      <c r="O281" s="363"/>
      <c r="P281" s="363"/>
      <c r="Q281" s="363"/>
      <c r="R281" s="363"/>
      <c r="S281" s="363"/>
      <c r="T281" s="363"/>
      <c r="U281" s="364"/>
      <c r="V281" s="364"/>
    </row>
    <row r="282" spans="1:22" ht="15.75" x14ac:dyDescent="0.25">
      <c r="A282" s="322">
        <f t="shared" si="16"/>
        <v>277</v>
      </c>
      <c r="B282" s="360"/>
      <c r="C282" s="331"/>
      <c r="D282" s="298" t="e">
        <f>VLOOKUP(C282,УЗиНП!$C$3:$D$1464,2,FALSE)</f>
        <v>#N/A</v>
      </c>
      <c r="E282" s="363"/>
      <c r="F282" s="363"/>
      <c r="G282" s="363"/>
      <c r="H282" s="363"/>
      <c r="I282" s="363"/>
      <c r="J282" s="363"/>
      <c r="K282" s="363"/>
      <c r="L282" s="363"/>
      <c r="M282" s="363"/>
      <c r="N282" s="364"/>
      <c r="O282" s="363"/>
      <c r="P282" s="363"/>
      <c r="Q282" s="363"/>
      <c r="R282" s="363"/>
      <c r="S282" s="363"/>
      <c r="T282" s="363"/>
      <c r="U282" s="364"/>
      <c r="V282" s="364"/>
    </row>
    <row r="283" spans="1:22" ht="15.75" x14ac:dyDescent="0.25">
      <c r="A283" s="322">
        <f t="shared" si="16"/>
        <v>278</v>
      </c>
      <c r="B283" s="360"/>
      <c r="C283" s="331"/>
      <c r="D283" s="298" t="e">
        <f>VLOOKUP(C283,УЗиНП!$C$3:$D$1464,2,FALSE)</f>
        <v>#N/A</v>
      </c>
      <c r="E283" s="363"/>
      <c r="F283" s="363"/>
      <c r="G283" s="363"/>
      <c r="H283" s="363"/>
      <c r="I283" s="363"/>
      <c r="J283" s="363"/>
      <c r="K283" s="363"/>
      <c r="L283" s="363"/>
      <c r="M283" s="363"/>
      <c r="N283" s="364"/>
      <c r="O283" s="363"/>
      <c r="P283" s="363"/>
      <c r="Q283" s="363"/>
      <c r="R283" s="363"/>
      <c r="S283" s="363"/>
      <c r="T283" s="363"/>
      <c r="U283" s="364"/>
      <c r="V283" s="364"/>
    </row>
    <row r="284" spans="1:22" ht="15.75" x14ac:dyDescent="0.25">
      <c r="A284" s="322">
        <f t="shared" si="16"/>
        <v>279</v>
      </c>
      <c r="B284" s="360"/>
      <c r="C284" s="331"/>
      <c r="D284" s="298" t="e">
        <f>VLOOKUP(C284,УЗиНП!$C$3:$D$1464,2,FALSE)</f>
        <v>#N/A</v>
      </c>
      <c r="E284" s="363"/>
      <c r="F284" s="363"/>
      <c r="G284" s="363"/>
      <c r="H284" s="363"/>
      <c r="I284" s="363"/>
      <c r="J284" s="363"/>
      <c r="K284" s="363"/>
      <c r="L284" s="363"/>
      <c r="M284" s="363"/>
      <c r="N284" s="364"/>
      <c r="O284" s="363"/>
      <c r="P284" s="363"/>
      <c r="Q284" s="363"/>
      <c r="R284" s="363"/>
      <c r="S284" s="363"/>
      <c r="T284" s="363"/>
      <c r="U284" s="364"/>
      <c r="V284" s="364"/>
    </row>
    <row r="285" spans="1:22" ht="15.75" x14ac:dyDescent="0.25">
      <c r="A285" s="322">
        <f t="shared" si="16"/>
        <v>280</v>
      </c>
      <c r="B285" s="360"/>
      <c r="C285" s="331"/>
      <c r="D285" s="298" t="e">
        <f>VLOOKUP(C285,УЗиНП!$C$3:$D$1464,2,FALSE)</f>
        <v>#N/A</v>
      </c>
      <c r="E285" s="363"/>
      <c r="F285" s="363"/>
      <c r="G285" s="363"/>
      <c r="H285" s="363"/>
      <c r="I285" s="363"/>
      <c r="J285" s="363"/>
      <c r="K285" s="363"/>
      <c r="L285" s="363"/>
      <c r="M285" s="363"/>
      <c r="N285" s="364"/>
      <c r="O285" s="363"/>
      <c r="P285" s="363"/>
      <c r="Q285" s="363"/>
      <c r="R285" s="363"/>
      <c r="S285" s="363"/>
      <c r="T285" s="363"/>
      <c r="U285" s="364"/>
      <c r="V285" s="364"/>
    </row>
    <row r="286" spans="1:22" ht="15.75" x14ac:dyDescent="0.25">
      <c r="A286" s="322">
        <f t="shared" si="16"/>
        <v>281</v>
      </c>
      <c r="B286" s="360"/>
      <c r="C286" s="331"/>
      <c r="D286" s="298" t="e">
        <f>VLOOKUP(C286,УЗиНП!$C$3:$D$1464,2,FALSE)</f>
        <v>#N/A</v>
      </c>
      <c r="E286" s="363"/>
      <c r="F286" s="363"/>
      <c r="G286" s="363"/>
      <c r="H286" s="363"/>
      <c r="I286" s="363"/>
      <c r="J286" s="363"/>
      <c r="K286" s="363"/>
      <c r="L286" s="363"/>
      <c r="M286" s="363"/>
      <c r="N286" s="364"/>
      <c r="O286" s="363"/>
      <c r="P286" s="363"/>
      <c r="Q286" s="363"/>
      <c r="R286" s="363"/>
      <c r="S286" s="363"/>
      <c r="T286" s="363"/>
      <c r="U286" s="364"/>
      <c r="V286" s="364"/>
    </row>
    <row r="287" spans="1:22" ht="15.75" x14ac:dyDescent="0.25">
      <c r="A287" s="322">
        <f t="shared" si="16"/>
        <v>282</v>
      </c>
      <c r="B287" s="360"/>
      <c r="C287" s="331"/>
      <c r="D287" s="298" t="e">
        <f>VLOOKUP(C287,УЗиНП!$C$3:$D$1464,2,FALSE)</f>
        <v>#N/A</v>
      </c>
      <c r="E287" s="363"/>
      <c r="F287" s="363"/>
      <c r="G287" s="363"/>
      <c r="H287" s="363"/>
      <c r="I287" s="363"/>
      <c r="J287" s="363"/>
      <c r="K287" s="363"/>
      <c r="L287" s="363"/>
      <c r="M287" s="363"/>
      <c r="N287" s="364"/>
      <c r="O287" s="363"/>
      <c r="P287" s="363"/>
      <c r="Q287" s="363"/>
      <c r="R287" s="363"/>
      <c r="S287" s="363"/>
      <c r="T287" s="363"/>
      <c r="U287" s="364"/>
      <c r="V287" s="364"/>
    </row>
    <row r="288" spans="1:22" ht="15.75" x14ac:dyDescent="0.25">
      <c r="A288" s="322">
        <f t="shared" si="16"/>
        <v>283</v>
      </c>
      <c r="B288" s="360"/>
      <c r="C288" s="331"/>
      <c r="D288" s="298" t="e">
        <f>VLOOKUP(C288,УЗиНП!$C$3:$D$1464,2,FALSE)</f>
        <v>#N/A</v>
      </c>
      <c r="E288" s="363"/>
      <c r="F288" s="363"/>
      <c r="G288" s="363"/>
      <c r="H288" s="363"/>
      <c r="I288" s="363"/>
      <c r="J288" s="363"/>
      <c r="K288" s="363"/>
      <c r="L288" s="363"/>
      <c r="M288" s="363"/>
      <c r="N288" s="364"/>
      <c r="O288" s="363"/>
      <c r="P288" s="363"/>
      <c r="Q288" s="363"/>
      <c r="R288" s="363"/>
      <c r="S288" s="363"/>
      <c r="T288" s="363"/>
      <c r="U288" s="364"/>
      <c r="V288" s="364"/>
    </row>
    <row r="289" spans="1:22" ht="15.75" x14ac:dyDescent="0.25">
      <c r="A289" s="322">
        <f t="shared" si="16"/>
        <v>284</v>
      </c>
      <c r="B289" s="360"/>
      <c r="C289" s="331"/>
      <c r="D289" s="298" t="e">
        <f>VLOOKUP(C289,УЗиНП!$C$3:$D$1464,2,FALSE)</f>
        <v>#N/A</v>
      </c>
      <c r="E289" s="363"/>
      <c r="F289" s="363"/>
      <c r="G289" s="363"/>
      <c r="H289" s="363"/>
      <c r="I289" s="363"/>
      <c r="J289" s="363"/>
      <c r="K289" s="363"/>
      <c r="L289" s="363"/>
      <c r="M289" s="363"/>
      <c r="N289" s="364"/>
      <c r="O289" s="363"/>
      <c r="P289" s="363"/>
      <c r="Q289" s="363"/>
      <c r="R289" s="363"/>
      <c r="S289" s="363"/>
      <c r="T289" s="363"/>
      <c r="U289" s="364"/>
      <c r="V289" s="364"/>
    </row>
    <row r="290" spans="1:22" ht="15.75" x14ac:dyDescent="0.25">
      <c r="A290" s="322">
        <f t="shared" si="16"/>
        <v>285</v>
      </c>
      <c r="B290" s="360"/>
      <c r="C290" s="331"/>
      <c r="D290" s="298" t="e">
        <f>VLOOKUP(C290,УЗиНП!$C$3:$D$1464,2,FALSE)</f>
        <v>#N/A</v>
      </c>
      <c r="E290" s="363"/>
      <c r="F290" s="363"/>
      <c r="G290" s="363"/>
      <c r="H290" s="363"/>
      <c r="I290" s="363"/>
      <c r="J290" s="363"/>
      <c r="K290" s="363"/>
      <c r="L290" s="363"/>
      <c r="M290" s="363"/>
      <c r="N290" s="364"/>
      <c r="O290" s="363"/>
      <c r="P290" s="363"/>
      <c r="Q290" s="363"/>
      <c r="R290" s="363"/>
      <c r="S290" s="363"/>
      <c r="T290" s="363"/>
      <c r="U290" s="364"/>
      <c r="V290" s="364"/>
    </row>
    <row r="291" spans="1:22" ht="15.75" x14ac:dyDescent="0.25">
      <c r="A291" s="322">
        <f t="shared" si="16"/>
        <v>286</v>
      </c>
      <c r="B291" s="360"/>
      <c r="C291" s="331"/>
      <c r="D291" s="298" t="e">
        <f>VLOOKUP(C291,УЗиНП!$C$3:$D$1464,2,FALSE)</f>
        <v>#N/A</v>
      </c>
      <c r="E291" s="363"/>
      <c r="F291" s="363"/>
      <c r="G291" s="363"/>
      <c r="H291" s="363"/>
      <c r="I291" s="363"/>
      <c r="J291" s="363"/>
      <c r="K291" s="363"/>
      <c r="L291" s="363"/>
      <c r="M291" s="363"/>
      <c r="N291" s="364"/>
      <c r="O291" s="363"/>
      <c r="P291" s="363"/>
      <c r="Q291" s="363"/>
      <c r="R291" s="363"/>
      <c r="S291" s="363"/>
      <c r="T291" s="363"/>
      <c r="U291" s="364"/>
      <c r="V291" s="364"/>
    </row>
    <row r="292" spans="1:22" ht="15.75" x14ac:dyDescent="0.25">
      <c r="A292" s="322">
        <f t="shared" si="16"/>
        <v>287</v>
      </c>
      <c r="B292" s="360"/>
      <c r="C292" s="331"/>
      <c r="D292" s="298" t="e">
        <f>VLOOKUP(C292,УЗиНП!$C$3:$D$1464,2,FALSE)</f>
        <v>#N/A</v>
      </c>
      <c r="E292" s="363"/>
      <c r="F292" s="363"/>
      <c r="G292" s="363"/>
      <c r="H292" s="363"/>
      <c r="I292" s="363"/>
      <c r="J292" s="363"/>
      <c r="K292" s="363"/>
      <c r="L292" s="363"/>
      <c r="M292" s="363"/>
      <c r="N292" s="364"/>
      <c r="O292" s="363"/>
      <c r="P292" s="363"/>
      <c r="Q292" s="363"/>
      <c r="R292" s="363"/>
      <c r="S292" s="363"/>
      <c r="T292" s="363"/>
      <c r="U292" s="364"/>
      <c r="V292" s="364"/>
    </row>
    <row r="293" spans="1:22" ht="15.75" x14ac:dyDescent="0.25">
      <c r="A293" s="322">
        <f t="shared" si="16"/>
        <v>288</v>
      </c>
      <c r="B293" s="360"/>
      <c r="C293" s="331"/>
      <c r="D293" s="298" t="e">
        <f>VLOOKUP(C293,УЗиНП!$C$3:$D$1464,2,FALSE)</f>
        <v>#N/A</v>
      </c>
      <c r="E293" s="363"/>
      <c r="F293" s="363"/>
      <c r="G293" s="363"/>
      <c r="H293" s="363"/>
      <c r="I293" s="363"/>
      <c r="J293" s="363"/>
      <c r="K293" s="363"/>
      <c r="L293" s="363"/>
      <c r="M293" s="363"/>
      <c r="N293" s="364"/>
      <c r="O293" s="363"/>
      <c r="P293" s="363"/>
      <c r="Q293" s="363"/>
      <c r="R293" s="363"/>
      <c r="S293" s="363"/>
      <c r="T293" s="363"/>
      <c r="U293" s="364"/>
      <c r="V293" s="364"/>
    </row>
    <row r="294" spans="1:22" ht="15.75" x14ac:dyDescent="0.25">
      <c r="A294" s="322">
        <f t="shared" si="16"/>
        <v>289</v>
      </c>
      <c r="B294" s="360"/>
      <c r="C294" s="331"/>
      <c r="D294" s="298" t="e">
        <f>VLOOKUP(C294,УЗиНП!$C$3:$D$1464,2,FALSE)</f>
        <v>#N/A</v>
      </c>
      <c r="E294" s="363"/>
      <c r="F294" s="363"/>
      <c r="G294" s="363"/>
      <c r="H294" s="363"/>
      <c r="I294" s="363"/>
      <c r="J294" s="363"/>
      <c r="K294" s="363"/>
      <c r="L294" s="363"/>
      <c r="M294" s="363"/>
      <c r="N294" s="364"/>
      <c r="O294" s="363"/>
      <c r="P294" s="363"/>
      <c r="Q294" s="363"/>
      <c r="R294" s="363"/>
      <c r="S294" s="363"/>
      <c r="T294" s="363"/>
      <c r="U294" s="364"/>
      <c r="V294" s="364"/>
    </row>
    <row r="295" spans="1:22" ht="15.75" x14ac:dyDescent="0.25">
      <c r="A295" s="322">
        <f t="shared" si="16"/>
        <v>290</v>
      </c>
      <c r="B295" s="360"/>
      <c r="C295" s="331"/>
      <c r="D295" s="298" t="e">
        <f>VLOOKUP(C295,УЗиНП!$C$3:$D$1464,2,FALSE)</f>
        <v>#N/A</v>
      </c>
      <c r="E295" s="363"/>
      <c r="F295" s="363"/>
      <c r="G295" s="363"/>
      <c r="H295" s="363"/>
      <c r="I295" s="363"/>
      <c r="J295" s="363"/>
      <c r="K295" s="363"/>
      <c r="L295" s="363"/>
      <c r="M295" s="363"/>
      <c r="N295" s="364"/>
      <c r="O295" s="363"/>
      <c r="P295" s="363"/>
      <c r="Q295" s="363"/>
      <c r="R295" s="363"/>
      <c r="S295" s="363"/>
      <c r="T295" s="363"/>
      <c r="U295" s="364"/>
      <c r="V295" s="364"/>
    </row>
    <row r="296" spans="1:22" ht="15.75" x14ac:dyDescent="0.25">
      <c r="A296" s="322">
        <f t="shared" si="16"/>
        <v>291</v>
      </c>
      <c r="B296" s="360"/>
      <c r="C296" s="331"/>
      <c r="D296" s="298" t="e">
        <f>VLOOKUP(C296,УЗиНП!$C$3:$D$1464,2,FALSE)</f>
        <v>#N/A</v>
      </c>
      <c r="E296" s="363"/>
      <c r="F296" s="363"/>
      <c r="G296" s="363"/>
      <c r="H296" s="363"/>
      <c r="I296" s="363"/>
      <c r="J296" s="363"/>
      <c r="K296" s="363"/>
      <c r="L296" s="363"/>
      <c r="M296" s="363"/>
      <c r="N296" s="364"/>
      <c r="O296" s="363"/>
      <c r="P296" s="363"/>
      <c r="Q296" s="363"/>
      <c r="R296" s="363"/>
      <c r="S296" s="363"/>
      <c r="T296" s="363"/>
      <c r="U296" s="364"/>
      <c r="V296" s="364"/>
    </row>
    <row r="297" spans="1:22" ht="15.75" x14ac:dyDescent="0.25">
      <c r="A297" s="322">
        <f t="shared" si="16"/>
        <v>292</v>
      </c>
      <c r="B297" s="360"/>
      <c r="C297" s="331"/>
      <c r="D297" s="298" t="e">
        <f>VLOOKUP(C297,УЗиНП!$C$3:$D$1464,2,FALSE)</f>
        <v>#N/A</v>
      </c>
      <c r="E297" s="363"/>
      <c r="F297" s="363"/>
      <c r="G297" s="363"/>
      <c r="H297" s="363"/>
      <c r="I297" s="363"/>
      <c r="J297" s="363"/>
      <c r="K297" s="363"/>
      <c r="L297" s="363"/>
      <c r="M297" s="363"/>
      <c r="N297" s="364"/>
      <c r="O297" s="363"/>
      <c r="P297" s="363"/>
      <c r="Q297" s="363"/>
      <c r="R297" s="363"/>
      <c r="S297" s="363"/>
      <c r="T297" s="363"/>
      <c r="U297" s="364"/>
      <c r="V297" s="364"/>
    </row>
    <row r="298" spans="1:22" ht="15.75" x14ac:dyDescent="0.25">
      <c r="A298" s="322">
        <f t="shared" si="16"/>
        <v>293</v>
      </c>
      <c r="B298" s="360"/>
      <c r="C298" s="331"/>
      <c r="D298" s="298" t="e">
        <f>VLOOKUP(C298,УЗиНП!$C$3:$D$1464,2,FALSE)</f>
        <v>#N/A</v>
      </c>
      <c r="E298" s="363"/>
      <c r="F298" s="363"/>
      <c r="G298" s="363"/>
      <c r="H298" s="363"/>
      <c r="I298" s="363"/>
      <c r="J298" s="363"/>
      <c r="K298" s="363"/>
      <c r="L298" s="363"/>
      <c r="M298" s="363"/>
      <c r="N298" s="364"/>
      <c r="O298" s="363"/>
      <c r="P298" s="363"/>
      <c r="Q298" s="363"/>
      <c r="R298" s="363"/>
      <c r="S298" s="363"/>
      <c r="T298" s="363"/>
      <c r="U298" s="364"/>
      <c r="V298" s="364"/>
    </row>
    <row r="299" spans="1:22" ht="15.75" x14ac:dyDescent="0.25">
      <c r="A299" s="322">
        <f t="shared" si="16"/>
        <v>294</v>
      </c>
      <c r="B299" s="360"/>
      <c r="C299" s="331"/>
      <c r="D299" s="298" t="e">
        <f>VLOOKUP(C299,УЗиНП!$C$3:$D$1464,2,FALSE)</f>
        <v>#N/A</v>
      </c>
      <c r="E299" s="363"/>
      <c r="F299" s="363"/>
      <c r="G299" s="363"/>
      <c r="H299" s="363"/>
      <c r="I299" s="363"/>
      <c r="J299" s="363"/>
      <c r="K299" s="363"/>
      <c r="L299" s="363"/>
      <c r="M299" s="363"/>
      <c r="N299" s="364"/>
      <c r="O299" s="363"/>
      <c r="P299" s="363"/>
      <c r="Q299" s="363"/>
      <c r="R299" s="363"/>
      <c r="S299" s="363"/>
      <c r="T299" s="363"/>
      <c r="U299" s="364"/>
      <c r="V299" s="364"/>
    </row>
    <row r="300" spans="1:22" ht="15.75" x14ac:dyDescent="0.25">
      <c r="A300" s="322">
        <f t="shared" si="16"/>
        <v>295</v>
      </c>
      <c r="B300" s="360"/>
      <c r="C300" s="331"/>
      <c r="D300" s="298" t="e">
        <f>VLOOKUP(C300,УЗиНП!$C$3:$D$1464,2,FALSE)</f>
        <v>#N/A</v>
      </c>
      <c r="E300" s="363"/>
      <c r="F300" s="363"/>
      <c r="G300" s="363"/>
      <c r="H300" s="363"/>
      <c r="I300" s="363"/>
      <c r="J300" s="363"/>
      <c r="K300" s="363"/>
      <c r="L300" s="363"/>
      <c r="M300" s="363"/>
      <c r="N300" s="364"/>
      <c r="O300" s="363"/>
      <c r="P300" s="363"/>
      <c r="Q300" s="363"/>
      <c r="R300" s="363"/>
      <c r="S300" s="363"/>
      <c r="T300" s="363"/>
      <c r="U300" s="364"/>
      <c r="V300" s="364"/>
    </row>
    <row r="301" spans="1:22" ht="15.75" x14ac:dyDescent="0.25">
      <c r="A301" s="322">
        <f t="shared" si="16"/>
        <v>296</v>
      </c>
      <c r="B301" s="360"/>
      <c r="C301" s="331"/>
      <c r="D301" s="298" t="e">
        <f>VLOOKUP(C301,УЗиНП!$C$3:$D$1464,2,FALSE)</f>
        <v>#N/A</v>
      </c>
      <c r="E301" s="363"/>
      <c r="F301" s="363"/>
      <c r="G301" s="363"/>
      <c r="H301" s="363"/>
      <c r="I301" s="363"/>
      <c r="J301" s="363"/>
      <c r="K301" s="363"/>
      <c r="L301" s="363"/>
      <c r="M301" s="363"/>
      <c r="N301" s="364"/>
      <c r="O301" s="363"/>
      <c r="P301" s="363"/>
      <c r="Q301" s="363"/>
      <c r="R301" s="363"/>
      <c r="S301" s="363"/>
      <c r="T301" s="363"/>
      <c r="U301" s="364"/>
      <c r="V301" s="364"/>
    </row>
    <row r="302" spans="1:22" ht="15.75" x14ac:dyDescent="0.25">
      <c r="A302" s="322">
        <f t="shared" si="16"/>
        <v>297</v>
      </c>
      <c r="B302" s="360"/>
      <c r="C302" s="331"/>
      <c r="D302" s="298" t="e">
        <f>VLOOKUP(C302,УЗиНП!$C$3:$D$1464,2,FALSE)</f>
        <v>#N/A</v>
      </c>
      <c r="E302" s="363"/>
      <c r="F302" s="363"/>
      <c r="G302" s="363"/>
      <c r="H302" s="363"/>
      <c r="I302" s="363"/>
      <c r="J302" s="363"/>
      <c r="K302" s="363"/>
      <c r="L302" s="363"/>
      <c r="M302" s="363"/>
      <c r="N302" s="364"/>
      <c r="O302" s="363"/>
      <c r="P302" s="363"/>
      <c r="Q302" s="363"/>
      <c r="R302" s="363"/>
      <c r="S302" s="363"/>
      <c r="T302" s="363"/>
      <c r="U302" s="364"/>
      <c r="V302" s="364"/>
    </row>
    <row r="303" spans="1:22" ht="15.75" x14ac:dyDescent="0.25">
      <c r="A303" s="322">
        <f t="shared" si="16"/>
        <v>298</v>
      </c>
      <c r="B303" s="360"/>
      <c r="C303" s="331"/>
      <c r="D303" s="298" t="e">
        <f>VLOOKUP(C303,УЗиНП!$C$3:$D$1464,2,FALSE)</f>
        <v>#N/A</v>
      </c>
      <c r="E303" s="363"/>
      <c r="F303" s="363"/>
      <c r="G303" s="363"/>
      <c r="H303" s="363"/>
      <c r="I303" s="363"/>
      <c r="J303" s="363"/>
      <c r="K303" s="363"/>
      <c r="L303" s="363"/>
      <c r="M303" s="363"/>
      <c r="N303" s="364"/>
      <c r="O303" s="363"/>
      <c r="P303" s="363"/>
      <c r="Q303" s="363"/>
      <c r="R303" s="363"/>
      <c r="S303" s="363"/>
      <c r="T303" s="363"/>
      <c r="U303" s="364"/>
      <c r="V303" s="364"/>
    </row>
    <row r="304" spans="1:22" ht="15.75" x14ac:dyDescent="0.25">
      <c r="A304" s="322">
        <f t="shared" si="16"/>
        <v>299</v>
      </c>
      <c r="B304" s="360"/>
      <c r="C304" s="331"/>
      <c r="D304" s="298" t="e">
        <f>VLOOKUP(C304,УЗиНП!$C$3:$D$1464,2,FALSE)</f>
        <v>#N/A</v>
      </c>
      <c r="E304" s="363"/>
      <c r="F304" s="363"/>
      <c r="G304" s="363"/>
      <c r="H304" s="363"/>
      <c r="I304" s="363"/>
      <c r="J304" s="363"/>
      <c r="K304" s="363"/>
      <c r="L304" s="363"/>
      <c r="M304" s="363"/>
      <c r="N304" s="364"/>
      <c r="O304" s="363"/>
      <c r="P304" s="363"/>
      <c r="Q304" s="363"/>
      <c r="R304" s="363"/>
      <c r="S304" s="363"/>
      <c r="T304" s="363"/>
      <c r="U304" s="364"/>
      <c r="V304" s="364"/>
    </row>
    <row r="305" spans="1:22" ht="15.75" x14ac:dyDescent="0.25">
      <c r="A305" s="322">
        <f t="shared" si="16"/>
        <v>300</v>
      </c>
      <c r="B305" s="360"/>
      <c r="C305" s="331"/>
      <c r="D305" s="298" t="e">
        <f>VLOOKUP(C305,УЗиНП!$C$3:$D$1464,2,FALSE)</f>
        <v>#N/A</v>
      </c>
      <c r="E305" s="363"/>
      <c r="F305" s="363"/>
      <c r="G305" s="363"/>
      <c r="H305" s="363"/>
      <c r="I305" s="363"/>
      <c r="J305" s="363"/>
      <c r="K305" s="363"/>
      <c r="L305" s="363"/>
      <c r="M305" s="363"/>
      <c r="N305" s="364"/>
      <c r="O305" s="363"/>
      <c r="P305" s="363"/>
      <c r="Q305" s="363"/>
      <c r="R305" s="363"/>
      <c r="S305" s="363"/>
      <c r="T305" s="363"/>
      <c r="U305" s="364"/>
      <c r="V305" s="364"/>
    </row>
    <row r="306" spans="1:22" ht="18.75" x14ac:dyDescent="0.3">
      <c r="A306" s="831" t="s">
        <v>492</v>
      </c>
      <c r="B306" s="831"/>
      <c r="C306" s="831"/>
      <c r="D306" s="831"/>
      <c r="E306" s="326">
        <f>SUM(E7:E305)</f>
        <v>0</v>
      </c>
      <c r="F306" s="326">
        <f>SUM(F7:F305)</f>
        <v>0</v>
      </c>
      <c r="G306" s="326">
        <f>SUM(G7:G305)</f>
        <v>0</v>
      </c>
      <c r="H306" s="326">
        <f>SUM(H7:H305)</f>
        <v>0</v>
      </c>
      <c r="I306" s="326">
        <f t="shared" ref="I306:J306" si="17">SUM(I7:I305)</f>
        <v>0</v>
      </c>
      <c r="J306" s="326">
        <f t="shared" si="17"/>
        <v>0</v>
      </c>
      <c r="K306" s="326">
        <f t="shared" ref="K306:V306" si="18">SUM(K7:K305)</f>
        <v>0</v>
      </c>
      <c r="L306" s="326">
        <f t="shared" si="18"/>
        <v>0</v>
      </c>
      <c r="M306" s="326">
        <f t="shared" si="18"/>
        <v>0</v>
      </c>
      <c r="N306" s="326">
        <f t="shared" si="18"/>
        <v>0</v>
      </c>
      <c r="O306" s="326">
        <f t="shared" si="18"/>
        <v>0</v>
      </c>
      <c r="P306" s="326">
        <f t="shared" si="18"/>
        <v>0</v>
      </c>
      <c r="Q306" s="326">
        <f t="shared" si="18"/>
        <v>0</v>
      </c>
      <c r="R306" s="326">
        <f t="shared" si="18"/>
        <v>0</v>
      </c>
      <c r="S306" s="326">
        <f t="shared" si="18"/>
        <v>0</v>
      </c>
      <c r="T306" s="326">
        <f t="shared" si="18"/>
        <v>0</v>
      </c>
      <c r="U306" s="326">
        <f t="shared" si="18"/>
        <v>0</v>
      </c>
      <c r="V306" s="326">
        <f t="shared" si="18"/>
        <v>0</v>
      </c>
    </row>
  </sheetData>
  <sheetProtection password="D8E9" sheet="1" objects="1" scenarios="1"/>
  <mergeCells count="19">
    <mergeCell ref="C1:V1"/>
    <mergeCell ref="C2:V2"/>
    <mergeCell ref="C3:V3"/>
    <mergeCell ref="G4:K4"/>
    <mergeCell ref="L4:L5"/>
    <mergeCell ref="M4:M5"/>
    <mergeCell ref="N4:N5"/>
    <mergeCell ref="O4:O5"/>
    <mergeCell ref="P4:P5"/>
    <mergeCell ref="C4:C5"/>
    <mergeCell ref="D4:D5"/>
    <mergeCell ref="E4:E5"/>
    <mergeCell ref="F4:F5"/>
    <mergeCell ref="Q4:Q5"/>
    <mergeCell ref="R4:T4"/>
    <mergeCell ref="U4:V4"/>
    <mergeCell ref="A306:D306"/>
    <mergeCell ref="A4:A5"/>
    <mergeCell ref="B4:B5"/>
  </mergeCells>
  <pageMargins left="0.51181102362204722" right="0.51181102362204722" top="0.55118110236220474" bottom="0.55118110236220474" header="0.31496062992125984" footer="0.31496062992125984"/>
  <pageSetup paperSize="9" scale="31"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УЗиНП!$A$2:$A$433</xm:f>
          </x14:formula1>
          <xm:sqref>B7:B305</xm:sqref>
        </x14:dataValidation>
        <x14:dataValidation type="list" allowBlank="1" showInputMessage="1" showErrorMessage="1">
          <x14:formula1>
            <xm:f>УЗиНП!$C$3:$C$1464</xm:f>
          </x14:formula1>
          <xm:sqref>C7:C305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pageSetUpPr fitToPage="1"/>
  </sheetPr>
  <dimension ref="A1:AQ73"/>
  <sheetViews>
    <sheetView topLeftCell="L1" zoomScale="80" zoomScaleNormal="80" workbookViewId="0">
      <selection activeCell="D22" sqref="D22:AL23"/>
    </sheetView>
  </sheetViews>
  <sheetFormatPr defaultRowHeight="15" outlineLevelCol="1" x14ac:dyDescent="0.25"/>
  <cols>
    <col min="1" max="1" width="3.85546875" style="1" bestFit="1" customWidth="1"/>
    <col min="2" max="2" width="84.28515625" customWidth="1"/>
    <col min="3" max="3" width="14.7109375" style="324" customWidth="1"/>
    <col min="4" max="4" width="156.5703125" bestFit="1" customWidth="1"/>
    <col min="5" max="5" width="83.5703125" customWidth="1"/>
    <col min="6" max="23" width="9.140625" customWidth="1" outlineLevel="1"/>
    <col min="25" max="27" width="16.85546875" customWidth="1"/>
    <col min="28" max="28" width="20.5703125" customWidth="1"/>
    <col min="29" max="31" width="16.85546875" customWidth="1"/>
    <col min="32" max="35" width="14.42578125" customWidth="1" outlineLevel="1"/>
    <col min="36" max="40" width="11.140625" customWidth="1" outlineLevel="1"/>
    <col min="41" max="41" width="16.85546875" customWidth="1"/>
    <col min="42" max="42" width="15.7109375" customWidth="1"/>
    <col min="43" max="43" width="24.42578125" customWidth="1"/>
  </cols>
  <sheetData>
    <row r="1" spans="1:43" s="34" customFormat="1" ht="21" x14ac:dyDescent="0.25">
      <c r="A1" s="308"/>
      <c r="B1" s="297" t="s">
        <v>504</v>
      </c>
      <c r="C1" s="837" t="s">
        <v>1604</v>
      </c>
      <c r="D1" s="837"/>
      <c r="E1" s="8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437"/>
      <c r="AI1" s="437"/>
      <c r="AJ1" s="437"/>
      <c r="AK1" s="437"/>
      <c r="AL1" s="437"/>
      <c r="AM1" s="437"/>
      <c r="AN1" s="437"/>
      <c r="AO1" s="437"/>
      <c r="AP1" s="437"/>
      <c r="AQ1" s="437"/>
    </row>
    <row r="2" spans="1:43" s="34" customFormat="1" ht="21" x14ac:dyDescent="0.35">
      <c r="A2" s="308"/>
      <c r="B2" s="277" t="s">
        <v>1685</v>
      </c>
      <c r="C2" s="838"/>
      <c r="D2" s="838"/>
      <c r="E2" s="838"/>
      <c r="F2" s="438"/>
      <c r="G2" s="438"/>
      <c r="H2" s="438"/>
      <c r="I2" s="438"/>
      <c r="J2" s="438"/>
      <c r="K2" s="438"/>
      <c r="L2" s="438"/>
      <c r="M2" s="438"/>
      <c r="N2" s="438"/>
      <c r="O2" s="438"/>
      <c r="P2" s="438"/>
      <c r="Q2" s="438"/>
      <c r="R2" s="438"/>
      <c r="S2" s="438"/>
      <c r="T2" s="438"/>
      <c r="U2" s="438"/>
      <c r="V2" s="438"/>
      <c r="W2" s="438"/>
      <c r="X2" s="438"/>
      <c r="Y2" s="438"/>
      <c r="Z2" s="438"/>
      <c r="AA2" s="438"/>
      <c r="AB2" s="438"/>
      <c r="AC2" s="438"/>
      <c r="AD2" s="438"/>
      <c r="AE2" s="438"/>
      <c r="AF2" s="438"/>
      <c r="AG2" s="438"/>
      <c r="AH2" s="438"/>
      <c r="AI2" s="438"/>
      <c r="AJ2" s="438"/>
      <c r="AK2" s="438"/>
      <c r="AL2" s="438"/>
      <c r="AM2" s="438"/>
      <c r="AN2" s="438"/>
      <c r="AO2" s="438"/>
      <c r="AP2" s="438"/>
      <c r="AQ2" s="438"/>
    </row>
    <row r="3" spans="1:43" s="34" customFormat="1" ht="21" x14ac:dyDescent="0.25">
      <c r="A3" s="323"/>
      <c r="B3" s="277" t="s">
        <v>88</v>
      </c>
      <c r="C3" s="839"/>
      <c r="D3" s="839"/>
      <c r="E3" s="839"/>
      <c r="F3" s="439"/>
      <c r="G3" s="439"/>
      <c r="H3" s="439"/>
      <c r="I3" s="439"/>
      <c r="J3" s="439"/>
      <c r="K3" s="439"/>
      <c r="L3" s="439"/>
      <c r="M3" s="439"/>
      <c r="N3" s="439"/>
      <c r="O3" s="439"/>
      <c r="P3" s="439"/>
      <c r="Q3" s="439"/>
      <c r="R3" s="439"/>
      <c r="S3" s="439"/>
      <c r="T3" s="439"/>
      <c r="U3" s="439"/>
      <c r="V3" s="439"/>
      <c r="W3" s="439"/>
      <c r="X3" s="439"/>
      <c r="Y3" s="439"/>
      <c r="Z3" s="439"/>
      <c r="AA3" s="439"/>
      <c r="AB3" s="439"/>
      <c r="AC3" s="439"/>
      <c r="AD3" s="439"/>
      <c r="AE3" s="439"/>
      <c r="AF3" s="439"/>
      <c r="AG3" s="439"/>
      <c r="AH3" s="439"/>
      <c r="AI3" s="439"/>
      <c r="AJ3" s="439"/>
      <c r="AK3" s="439"/>
      <c r="AL3" s="439"/>
      <c r="AM3" s="439"/>
      <c r="AN3" s="439"/>
      <c r="AO3" s="439"/>
      <c r="AP3" s="439"/>
      <c r="AQ3" s="439"/>
    </row>
    <row r="4" spans="1:43" s="301" customFormat="1" ht="15.75" customHeight="1" x14ac:dyDescent="0.25">
      <c r="A4" s="836" t="s">
        <v>3</v>
      </c>
      <c r="B4" s="836" t="s">
        <v>324</v>
      </c>
      <c r="C4" s="841" t="s">
        <v>983</v>
      </c>
      <c r="D4" s="836" t="s">
        <v>325</v>
      </c>
      <c r="E4" s="836" t="s">
        <v>494</v>
      </c>
      <c r="F4" s="836" t="s">
        <v>495</v>
      </c>
      <c r="G4" s="836"/>
      <c r="H4" s="836"/>
      <c r="I4" s="836"/>
      <c r="J4" s="836"/>
      <c r="K4" s="836"/>
      <c r="L4" s="836"/>
      <c r="M4" s="836"/>
      <c r="N4" s="836"/>
      <c r="O4" s="836"/>
      <c r="P4" s="836"/>
      <c r="Q4" s="836"/>
      <c r="R4" s="836"/>
      <c r="S4" s="836"/>
      <c r="T4" s="836"/>
      <c r="U4" s="836"/>
      <c r="V4" s="836"/>
      <c r="W4" s="836"/>
      <c r="X4" s="836"/>
      <c r="Y4" s="836" t="s">
        <v>963</v>
      </c>
      <c r="Z4" s="836" t="s">
        <v>964</v>
      </c>
      <c r="AA4" s="836" t="s">
        <v>3661</v>
      </c>
      <c r="AB4" s="836" t="s">
        <v>966</v>
      </c>
      <c r="AC4" s="836" t="s">
        <v>3662</v>
      </c>
      <c r="AD4" s="836" t="s">
        <v>967</v>
      </c>
      <c r="AE4" s="836" t="s">
        <v>981</v>
      </c>
      <c r="AF4" s="836" t="s">
        <v>1671</v>
      </c>
      <c r="AG4" s="836"/>
      <c r="AH4" s="836"/>
      <c r="AI4" s="836"/>
      <c r="AJ4" s="836"/>
      <c r="AK4" s="836"/>
      <c r="AL4" s="836"/>
      <c r="AM4" s="836"/>
      <c r="AN4" s="836"/>
      <c r="AO4" s="836" t="s">
        <v>1672</v>
      </c>
      <c r="AP4" s="836" t="s">
        <v>503</v>
      </c>
      <c r="AQ4" s="836"/>
    </row>
    <row r="5" spans="1:43" s="301" customFormat="1" ht="33" customHeight="1" x14ac:dyDescent="0.25">
      <c r="A5" s="836"/>
      <c r="B5" s="836"/>
      <c r="C5" s="841"/>
      <c r="D5" s="836"/>
      <c r="E5" s="836"/>
      <c r="F5" s="836" t="s">
        <v>496</v>
      </c>
      <c r="G5" s="836"/>
      <c r="H5" s="836"/>
      <c r="I5" s="836" t="s">
        <v>497</v>
      </c>
      <c r="J5" s="836"/>
      <c r="K5" s="836"/>
      <c r="L5" s="836" t="s">
        <v>498</v>
      </c>
      <c r="M5" s="836"/>
      <c r="N5" s="836"/>
      <c r="O5" s="836" t="s">
        <v>499</v>
      </c>
      <c r="P5" s="836"/>
      <c r="Q5" s="836"/>
      <c r="R5" s="836" t="s">
        <v>500</v>
      </c>
      <c r="S5" s="836"/>
      <c r="T5" s="836"/>
      <c r="U5" s="836" t="s">
        <v>1673</v>
      </c>
      <c r="V5" s="836"/>
      <c r="W5" s="836"/>
      <c r="X5" s="840" t="s">
        <v>962</v>
      </c>
      <c r="Y5" s="836"/>
      <c r="Z5" s="836"/>
      <c r="AA5" s="836"/>
      <c r="AB5" s="836"/>
      <c r="AC5" s="836"/>
      <c r="AD5" s="836"/>
      <c r="AE5" s="836"/>
      <c r="AF5" s="836" t="s">
        <v>968</v>
      </c>
      <c r="AG5" s="836" t="s">
        <v>969</v>
      </c>
      <c r="AH5" s="836" t="s">
        <v>970</v>
      </c>
      <c r="AI5" s="836" t="s">
        <v>971</v>
      </c>
      <c r="AJ5" s="836" t="s">
        <v>3663</v>
      </c>
      <c r="AK5" s="836"/>
      <c r="AL5" s="836"/>
      <c r="AM5" s="836"/>
      <c r="AN5" s="836"/>
      <c r="AO5" s="836"/>
      <c r="AP5" s="836"/>
      <c r="AQ5" s="836"/>
    </row>
    <row r="6" spans="1:43" s="301" customFormat="1" ht="15.75" customHeight="1" x14ac:dyDescent="0.25">
      <c r="A6" s="836"/>
      <c r="B6" s="836"/>
      <c r="C6" s="841"/>
      <c r="D6" s="836"/>
      <c r="E6" s="836"/>
      <c r="F6" s="840" t="s">
        <v>959</v>
      </c>
      <c r="G6" s="840" t="s">
        <v>960</v>
      </c>
      <c r="H6" s="840" t="s">
        <v>961</v>
      </c>
      <c r="I6" s="840" t="s">
        <v>959</v>
      </c>
      <c r="J6" s="840" t="s">
        <v>960</v>
      </c>
      <c r="K6" s="840" t="s">
        <v>961</v>
      </c>
      <c r="L6" s="840" t="s">
        <v>959</v>
      </c>
      <c r="M6" s="840" t="s">
        <v>960</v>
      </c>
      <c r="N6" s="840" t="s">
        <v>961</v>
      </c>
      <c r="O6" s="840" t="s">
        <v>959</v>
      </c>
      <c r="P6" s="840" t="s">
        <v>960</v>
      </c>
      <c r="Q6" s="840" t="s">
        <v>961</v>
      </c>
      <c r="R6" s="840" t="s">
        <v>959</v>
      </c>
      <c r="S6" s="840" t="s">
        <v>960</v>
      </c>
      <c r="T6" s="840" t="s">
        <v>961</v>
      </c>
      <c r="U6" s="840" t="s">
        <v>959</v>
      </c>
      <c r="V6" s="840" t="s">
        <v>960</v>
      </c>
      <c r="W6" s="840" t="s">
        <v>961</v>
      </c>
      <c r="X6" s="840"/>
      <c r="Y6" s="836"/>
      <c r="Z6" s="836"/>
      <c r="AA6" s="836"/>
      <c r="AB6" s="836"/>
      <c r="AC6" s="836"/>
      <c r="AD6" s="836"/>
      <c r="AE6" s="836"/>
      <c r="AF6" s="836"/>
      <c r="AG6" s="836"/>
      <c r="AH6" s="836"/>
      <c r="AI6" s="836"/>
      <c r="AJ6" s="836" t="s">
        <v>972</v>
      </c>
      <c r="AK6" s="836" t="s">
        <v>501</v>
      </c>
      <c r="AL6" s="836"/>
      <c r="AM6" s="836" t="s">
        <v>502</v>
      </c>
      <c r="AN6" s="836"/>
      <c r="AO6" s="836"/>
      <c r="AP6" s="836"/>
      <c r="AQ6" s="836"/>
    </row>
    <row r="7" spans="1:43" s="301" customFormat="1" ht="127.5" customHeight="1" x14ac:dyDescent="0.25">
      <c r="A7" s="836"/>
      <c r="B7" s="836"/>
      <c r="C7" s="841"/>
      <c r="D7" s="836"/>
      <c r="E7" s="836"/>
      <c r="F7" s="840"/>
      <c r="G7" s="840"/>
      <c r="H7" s="840"/>
      <c r="I7" s="840"/>
      <c r="J7" s="840"/>
      <c r="K7" s="840"/>
      <c r="L7" s="840"/>
      <c r="M7" s="840"/>
      <c r="N7" s="840"/>
      <c r="O7" s="840"/>
      <c r="P7" s="840"/>
      <c r="Q7" s="840"/>
      <c r="R7" s="840"/>
      <c r="S7" s="840"/>
      <c r="T7" s="840"/>
      <c r="U7" s="840"/>
      <c r="V7" s="840"/>
      <c r="W7" s="840"/>
      <c r="X7" s="840"/>
      <c r="Y7" s="836"/>
      <c r="Z7" s="836"/>
      <c r="AA7" s="392" t="s">
        <v>965</v>
      </c>
      <c r="AB7" s="836"/>
      <c r="AC7" s="392" t="s">
        <v>965</v>
      </c>
      <c r="AD7" s="836"/>
      <c r="AE7" s="836"/>
      <c r="AF7" s="836"/>
      <c r="AG7" s="836"/>
      <c r="AH7" s="836"/>
      <c r="AI7" s="836"/>
      <c r="AJ7" s="836"/>
      <c r="AK7" s="392" t="s">
        <v>973</v>
      </c>
      <c r="AL7" s="392" t="s">
        <v>974</v>
      </c>
      <c r="AM7" s="392" t="s">
        <v>975</v>
      </c>
      <c r="AN7" s="392" t="s">
        <v>976</v>
      </c>
      <c r="AO7" s="836"/>
      <c r="AP7" s="392" t="s">
        <v>956</v>
      </c>
      <c r="AQ7" s="392" t="s">
        <v>328</v>
      </c>
    </row>
    <row r="8" spans="1:43" ht="15.75" x14ac:dyDescent="0.25">
      <c r="A8" s="303">
        <v>1</v>
      </c>
      <c r="B8" s="303">
        <f>A8+1</f>
        <v>2</v>
      </c>
      <c r="C8" s="303">
        <f>B8+1</f>
        <v>3</v>
      </c>
      <c r="D8" s="303">
        <f t="shared" ref="D8:AO8" si="0">C8+1</f>
        <v>4</v>
      </c>
      <c r="E8" s="303">
        <f t="shared" si="0"/>
        <v>5</v>
      </c>
      <c r="F8" s="303">
        <f t="shared" si="0"/>
        <v>6</v>
      </c>
      <c r="G8" s="303">
        <f t="shared" si="0"/>
        <v>7</v>
      </c>
      <c r="H8" s="303">
        <f t="shared" si="0"/>
        <v>8</v>
      </c>
      <c r="I8" s="303">
        <f t="shared" si="0"/>
        <v>9</v>
      </c>
      <c r="J8" s="303">
        <f t="shared" si="0"/>
        <v>10</v>
      </c>
      <c r="K8" s="303">
        <f t="shared" si="0"/>
        <v>11</v>
      </c>
      <c r="L8" s="303">
        <f t="shared" si="0"/>
        <v>12</v>
      </c>
      <c r="M8" s="303">
        <f t="shared" si="0"/>
        <v>13</v>
      </c>
      <c r="N8" s="303">
        <f t="shared" si="0"/>
        <v>14</v>
      </c>
      <c r="O8" s="303">
        <f t="shared" si="0"/>
        <v>15</v>
      </c>
      <c r="P8" s="303">
        <f t="shared" si="0"/>
        <v>16</v>
      </c>
      <c r="Q8" s="303">
        <f t="shared" si="0"/>
        <v>17</v>
      </c>
      <c r="R8" s="303">
        <f t="shared" si="0"/>
        <v>18</v>
      </c>
      <c r="S8" s="303">
        <f t="shared" si="0"/>
        <v>19</v>
      </c>
      <c r="T8" s="303">
        <f t="shared" si="0"/>
        <v>20</v>
      </c>
      <c r="U8" s="303">
        <f t="shared" ref="U8" si="1">T8+1</f>
        <v>21</v>
      </c>
      <c r="V8" s="303">
        <f t="shared" ref="V8" si="2">U8+1</f>
        <v>22</v>
      </c>
      <c r="W8" s="303">
        <f t="shared" ref="W8" si="3">V8+1</f>
        <v>23</v>
      </c>
      <c r="X8" s="303">
        <f t="shared" ref="X8" si="4">W8+1</f>
        <v>24</v>
      </c>
      <c r="Y8" s="303">
        <f t="shared" si="0"/>
        <v>25</v>
      </c>
      <c r="Z8" s="303">
        <f t="shared" si="0"/>
        <v>26</v>
      </c>
      <c r="AA8" s="303">
        <f t="shared" si="0"/>
        <v>27</v>
      </c>
      <c r="AB8" s="303">
        <f t="shared" si="0"/>
        <v>28</v>
      </c>
      <c r="AC8" s="303">
        <f t="shared" si="0"/>
        <v>29</v>
      </c>
      <c r="AD8" s="303">
        <f t="shared" si="0"/>
        <v>30</v>
      </c>
      <c r="AE8" s="303">
        <f t="shared" si="0"/>
        <v>31</v>
      </c>
      <c r="AF8" s="303">
        <f t="shared" si="0"/>
        <v>32</v>
      </c>
      <c r="AG8" s="303">
        <f t="shared" si="0"/>
        <v>33</v>
      </c>
      <c r="AH8" s="303">
        <f t="shared" si="0"/>
        <v>34</v>
      </c>
      <c r="AI8" s="303">
        <f t="shared" si="0"/>
        <v>35</v>
      </c>
      <c r="AJ8" s="303">
        <f t="shared" si="0"/>
        <v>36</v>
      </c>
      <c r="AK8" s="303">
        <f t="shared" si="0"/>
        <v>37</v>
      </c>
      <c r="AL8" s="303">
        <f t="shared" si="0"/>
        <v>38</v>
      </c>
      <c r="AM8" s="303">
        <f t="shared" si="0"/>
        <v>39</v>
      </c>
      <c r="AN8" s="303">
        <f t="shared" si="0"/>
        <v>40</v>
      </c>
      <c r="AO8" s="303">
        <f t="shared" si="0"/>
        <v>41</v>
      </c>
      <c r="AP8" s="303">
        <f t="shared" ref="AP8" si="5">AO8+1</f>
        <v>42</v>
      </c>
      <c r="AQ8" s="303">
        <f t="shared" ref="AQ8" si="6">AP8+1</f>
        <v>43</v>
      </c>
    </row>
    <row r="9" spans="1:43" s="436" customFormat="1" ht="15.75" x14ac:dyDescent="0.25">
      <c r="A9" s="429">
        <f>A8+1</f>
        <v>2</v>
      </c>
      <c r="B9" s="430"/>
      <c r="C9" s="331"/>
      <c r="D9" s="435" t="e">
        <f>VLOOKUP(C9,УЗиНП!$C$3:$D$1464,2,FALSE)</f>
        <v>#N/A</v>
      </c>
      <c r="E9" s="430"/>
      <c r="F9" s="431"/>
      <c r="G9" s="431"/>
      <c r="H9" s="431"/>
      <c r="I9" s="431"/>
      <c r="J9" s="431"/>
      <c r="K9" s="431"/>
      <c r="L9" s="431"/>
      <c r="M9" s="431"/>
      <c r="N9" s="431"/>
      <c r="O9" s="431"/>
      <c r="P9" s="431"/>
      <c r="Q9" s="431"/>
      <c r="R9" s="431"/>
      <c r="S9" s="431"/>
      <c r="T9" s="431"/>
      <c r="U9" s="431"/>
      <c r="V9" s="431"/>
      <c r="W9" s="431"/>
      <c r="X9" s="433">
        <f>SUM(F9:W9)</f>
        <v>0</v>
      </c>
      <c r="Y9" s="431"/>
      <c r="Z9" s="431"/>
      <c r="AA9" s="431"/>
      <c r="AB9" s="431"/>
      <c r="AC9" s="431"/>
      <c r="AD9" s="431"/>
      <c r="AE9" s="432"/>
      <c r="AF9" s="431"/>
      <c r="AG9" s="431"/>
      <c r="AH9" s="431"/>
      <c r="AI9" s="431"/>
      <c r="AJ9" s="431"/>
      <c r="AK9" s="431"/>
      <c r="AL9" s="431"/>
      <c r="AM9" s="431"/>
      <c r="AN9" s="431"/>
      <c r="AO9" s="433">
        <f>SUM(AF9:AI9)</f>
        <v>0</v>
      </c>
      <c r="AP9" s="432"/>
      <c r="AQ9" s="434"/>
    </row>
    <row r="10" spans="1:43" s="436" customFormat="1" ht="15.75" x14ac:dyDescent="0.25">
      <c r="A10" s="429">
        <f>A9+1</f>
        <v>3</v>
      </c>
      <c r="B10" s="430"/>
      <c r="C10" s="331"/>
      <c r="D10" s="435" t="e">
        <f>VLOOKUP(C10,УЗиНП!$C$3:$D$1464,2,FALSE)</f>
        <v>#N/A</v>
      </c>
      <c r="E10" s="430"/>
      <c r="F10" s="431"/>
      <c r="G10" s="431"/>
      <c r="H10" s="431"/>
      <c r="I10" s="431"/>
      <c r="J10" s="431"/>
      <c r="K10" s="431"/>
      <c r="L10" s="431"/>
      <c r="M10" s="431"/>
      <c r="N10" s="431"/>
      <c r="O10" s="431"/>
      <c r="P10" s="431"/>
      <c r="Q10" s="431"/>
      <c r="R10" s="431"/>
      <c r="S10" s="431"/>
      <c r="T10" s="431"/>
      <c r="U10" s="431"/>
      <c r="V10" s="431"/>
      <c r="W10" s="431"/>
      <c r="X10" s="433">
        <f t="shared" ref="X10:X72" si="7">SUM(F10:W10)</f>
        <v>0</v>
      </c>
      <c r="Y10" s="431"/>
      <c r="Z10" s="431"/>
      <c r="AA10" s="431"/>
      <c r="AB10" s="431"/>
      <c r="AC10" s="431"/>
      <c r="AD10" s="431"/>
      <c r="AE10" s="432"/>
      <c r="AF10" s="431"/>
      <c r="AG10" s="431"/>
      <c r="AH10" s="431"/>
      <c r="AI10" s="431"/>
      <c r="AJ10" s="431"/>
      <c r="AK10" s="431"/>
      <c r="AL10" s="431"/>
      <c r="AM10" s="431"/>
      <c r="AN10" s="431"/>
      <c r="AO10" s="433">
        <f t="shared" ref="AO10:AO72" si="8">SUM(AF10:AI10)</f>
        <v>0</v>
      </c>
      <c r="AP10" s="432"/>
      <c r="AQ10" s="434"/>
    </row>
    <row r="11" spans="1:43" s="436" customFormat="1" ht="15.75" x14ac:dyDescent="0.25">
      <c r="A11" s="429">
        <f t="shared" ref="A11:A72" si="9">A10+1</f>
        <v>4</v>
      </c>
      <c r="B11" s="430"/>
      <c r="C11" s="331"/>
      <c r="D11" s="435" t="e">
        <f>VLOOKUP(C11,УЗиНП!$C$3:$D$1464,2,FALSE)</f>
        <v>#N/A</v>
      </c>
      <c r="E11" s="430"/>
      <c r="F11" s="431"/>
      <c r="G11" s="431"/>
      <c r="H11" s="431"/>
      <c r="I11" s="431"/>
      <c r="J11" s="431"/>
      <c r="K11" s="431"/>
      <c r="L11" s="431"/>
      <c r="M11" s="431"/>
      <c r="N11" s="431"/>
      <c r="O11" s="431"/>
      <c r="P11" s="431"/>
      <c r="Q11" s="431"/>
      <c r="R11" s="431"/>
      <c r="S11" s="431"/>
      <c r="T11" s="431"/>
      <c r="U11" s="431"/>
      <c r="V11" s="431"/>
      <c r="W11" s="431"/>
      <c r="X11" s="433">
        <f t="shared" si="7"/>
        <v>0</v>
      </c>
      <c r="Y11" s="431"/>
      <c r="Z11" s="431"/>
      <c r="AA11" s="431"/>
      <c r="AB11" s="431"/>
      <c r="AC11" s="431"/>
      <c r="AD11" s="431"/>
      <c r="AE11" s="432"/>
      <c r="AF11" s="431"/>
      <c r="AG11" s="431"/>
      <c r="AH11" s="431"/>
      <c r="AI11" s="431"/>
      <c r="AJ11" s="431"/>
      <c r="AK11" s="431"/>
      <c r="AL11" s="431"/>
      <c r="AM11" s="431"/>
      <c r="AN11" s="431"/>
      <c r="AO11" s="433">
        <f t="shared" si="8"/>
        <v>0</v>
      </c>
      <c r="AP11" s="432"/>
      <c r="AQ11" s="434"/>
    </row>
    <row r="12" spans="1:43" s="436" customFormat="1" ht="15.75" x14ac:dyDescent="0.25">
      <c r="A12" s="429">
        <f t="shared" si="9"/>
        <v>5</v>
      </c>
      <c r="B12" s="430"/>
      <c r="C12" s="331"/>
      <c r="D12" s="435" t="e">
        <f>VLOOKUP(C12,УЗиНП!$C$3:$D$1464,2,FALSE)</f>
        <v>#N/A</v>
      </c>
      <c r="E12" s="430"/>
      <c r="F12" s="431"/>
      <c r="G12" s="431"/>
      <c r="H12" s="431"/>
      <c r="I12" s="431"/>
      <c r="J12" s="431"/>
      <c r="K12" s="431"/>
      <c r="L12" s="431"/>
      <c r="M12" s="431"/>
      <c r="N12" s="431"/>
      <c r="O12" s="431"/>
      <c r="P12" s="431"/>
      <c r="Q12" s="431"/>
      <c r="R12" s="431"/>
      <c r="S12" s="431"/>
      <c r="T12" s="431"/>
      <c r="U12" s="431"/>
      <c r="V12" s="431"/>
      <c r="W12" s="431"/>
      <c r="X12" s="433">
        <f t="shared" si="7"/>
        <v>0</v>
      </c>
      <c r="Y12" s="431"/>
      <c r="Z12" s="431"/>
      <c r="AA12" s="431"/>
      <c r="AB12" s="431"/>
      <c r="AC12" s="431"/>
      <c r="AD12" s="431"/>
      <c r="AE12" s="432"/>
      <c r="AF12" s="431"/>
      <c r="AG12" s="431"/>
      <c r="AH12" s="431"/>
      <c r="AI12" s="431"/>
      <c r="AJ12" s="431"/>
      <c r="AK12" s="431"/>
      <c r="AL12" s="431"/>
      <c r="AM12" s="431"/>
      <c r="AN12" s="431"/>
      <c r="AO12" s="433">
        <f t="shared" si="8"/>
        <v>0</v>
      </c>
      <c r="AP12" s="432"/>
      <c r="AQ12" s="434"/>
    </row>
    <row r="13" spans="1:43" s="436" customFormat="1" ht="15.75" x14ac:dyDescent="0.25">
      <c r="A13" s="429">
        <f t="shared" si="9"/>
        <v>6</v>
      </c>
      <c r="B13" s="430"/>
      <c r="C13" s="331"/>
      <c r="D13" s="435" t="e">
        <f>VLOOKUP(C13,УЗиНП!$C$3:$D$1464,2,FALSE)</f>
        <v>#N/A</v>
      </c>
      <c r="E13" s="430"/>
      <c r="F13" s="431"/>
      <c r="G13" s="431"/>
      <c r="H13" s="431"/>
      <c r="I13" s="431"/>
      <c r="J13" s="431"/>
      <c r="K13" s="431"/>
      <c r="L13" s="431"/>
      <c r="M13" s="431"/>
      <c r="N13" s="431"/>
      <c r="O13" s="431"/>
      <c r="P13" s="431"/>
      <c r="Q13" s="431"/>
      <c r="R13" s="431"/>
      <c r="S13" s="431"/>
      <c r="T13" s="431"/>
      <c r="U13" s="431"/>
      <c r="V13" s="431"/>
      <c r="W13" s="431"/>
      <c r="X13" s="433">
        <f t="shared" si="7"/>
        <v>0</v>
      </c>
      <c r="Y13" s="431"/>
      <c r="Z13" s="431"/>
      <c r="AA13" s="431"/>
      <c r="AB13" s="431"/>
      <c r="AC13" s="431"/>
      <c r="AD13" s="431"/>
      <c r="AE13" s="432"/>
      <c r="AF13" s="431"/>
      <c r="AG13" s="431"/>
      <c r="AH13" s="431"/>
      <c r="AI13" s="431"/>
      <c r="AJ13" s="431"/>
      <c r="AK13" s="431"/>
      <c r="AL13" s="431"/>
      <c r="AM13" s="431"/>
      <c r="AN13" s="431"/>
      <c r="AO13" s="433">
        <f t="shared" si="8"/>
        <v>0</v>
      </c>
      <c r="AP13" s="432"/>
      <c r="AQ13" s="434"/>
    </row>
    <row r="14" spans="1:43" s="436" customFormat="1" ht="15.75" x14ac:dyDescent="0.25">
      <c r="A14" s="429">
        <f t="shared" si="9"/>
        <v>7</v>
      </c>
      <c r="B14" s="430"/>
      <c r="C14" s="331"/>
      <c r="D14" s="435" t="e">
        <f>VLOOKUP(C14,УЗиНП!$C$3:$D$1464,2,FALSE)</f>
        <v>#N/A</v>
      </c>
      <c r="E14" s="430"/>
      <c r="F14" s="431"/>
      <c r="G14" s="431"/>
      <c r="H14" s="431"/>
      <c r="I14" s="431"/>
      <c r="J14" s="431"/>
      <c r="K14" s="431"/>
      <c r="L14" s="431"/>
      <c r="M14" s="431"/>
      <c r="N14" s="431"/>
      <c r="O14" s="431"/>
      <c r="P14" s="431"/>
      <c r="Q14" s="431"/>
      <c r="R14" s="431"/>
      <c r="S14" s="431"/>
      <c r="T14" s="431"/>
      <c r="U14" s="431"/>
      <c r="V14" s="431"/>
      <c r="W14" s="431"/>
      <c r="X14" s="433">
        <f t="shared" si="7"/>
        <v>0</v>
      </c>
      <c r="Y14" s="431"/>
      <c r="Z14" s="431"/>
      <c r="AA14" s="431"/>
      <c r="AB14" s="431"/>
      <c r="AC14" s="431"/>
      <c r="AD14" s="431"/>
      <c r="AE14" s="432"/>
      <c r="AF14" s="431"/>
      <c r="AG14" s="431"/>
      <c r="AH14" s="431"/>
      <c r="AI14" s="431"/>
      <c r="AJ14" s="431"/>
      <c r="AK14" s="431"/>
      <c r="AL14" s="431"/>
      <c r="AM14" s="431"/>
      <c r="AN14" s="431"/>
      <c r="AO14" s="433">
        <f t="shared" si="8"/>
        <v>0</v>
      </c>
      <c r="AP14" s="432"/>
      <c r="AQ14" s="434"/>
    </row>
    <row r="15" spans="1:43" s="436" customFormat="1" ht="15.75" x14ac:dyDescent="0.25">
      <c r="A15" s="429">
        <f t="shared" si="9"/>
        <v>8</v>
      </c>
      <c r="B15" s="430"/>
      <c r="C15" s="331"/>
      <c r="D15" s="435" t="e">
        <f>VLOOKUP(C15,УЗиНП!$C$3:$D$1464,2,FALSE)</f>
        <v>#N/A</v>
      </c>
      <c r="E15" s="430"/>
      <c r="F15" s="431"/>
      <c r="G15" s="431"/>
      <c r="H15" s="431"/>
      <c r="I15" s="431"/>
      <c r="J15" s="431"/>
      <c r="K15" s="431"/>
      <c r="L15" s="431"/>
      <c r="M15" s="431"/>
      <c r="N15" s="431"/>
      <c r="O15" s="431"/>
      <c r="P15" s="431"/>
      <c r="Q15" s="431"/>
      <c r="R15" s="431"/>
      <c r="S15" s="431"/>
      <c r="T15" s="431"/>
      <c r="U15" s="431"/>
      <c r="V15" s="431"/>
      <c r="W15" s="431"/>
      <c r="X15" s="433">
        <f t="shared" si="7"/>
        <v>0</v>
      </c>
      <c r="Y15" s="431"/>
      <c r="Z15" s="431"/>
      <c r="AA15" s="431"/>
      <c r="AB15" s="431"/>
      <c r="AC15" s="431"/>
      <c r="AD15" s="431"/>
      <c r="AE15" s="432"/>
      <c r="AF15" s="431"/>
      <c r="AG15" s="431"/>
      <c r="AH15" s="431"/>
      <c r="AI15" s="431"/>
      <c r="AJ15" s="431"/>
      <c r="AK15" s="431"/>
      <c r="AL15" s="431"/>
      <c r="AM15" s="431"/>
      <c r="AN15" s="431"/>
      <c r="AO15" s="433">
        <f t="shared" si="8"/>
        <v>0</v>
      </c>
      <c r="AP15" s="432"/>
      <c r="AQ15" s="434"/>
    </row>
    <row r="16" spans="1:43" s="436" customFormat="1" ht="15.75" x14ac:dyDescent="0.25">
      <c r="A16" s="429">
        <f t="shared" si="9"/>
        <v>9</v>
      </c>
      <c r="B16" s="430"/>
      <c r="C16" s="331"/>
      <c r="D16" s="435" t="e">
        <f>VLOOKUP(C16,УЗиНП!$C$3:$D$1464,2,FALSE)</f>
        <v>#N/A</v>
      </c>
      <c r="E16" s="430"/>
      <c r="F16" s="431"/>
      <c r="G16" s="431"/>
      <c r="H16" s="431"/>
      <c r="I16" s="431"/>
      <c r="J16" s="431"/>
      <c r="K16" s="431"/>
      <c r="L16" s="431"/>
      <c r="M16" s="431"/>
      <c r="N16" s="431"/>
      <c r="O16" s="431"/>
      <c r="P16" s="431"/>
      <c r="Q16" s="431"/>
      <c r="R16" s="431"/>
      <c r="S16" s="431"/>
      <c r="T16" s="431"/>
      <c r="U16" s="431"/>
      <c r="V16" s="431"/>
      <c r="W16" s="431"/>
      <c r="X16" s="433">
        <f t="shared" si="7"/>
        <v>0</v>
      </c>
      <c r="Y16" s="431"/>
      <c r="Z16" s="431"/>
      <c r="AA16" s="431"/>
      <c r="AB16" s="431"/>
      <c r="AC16" s="431"/>
      <c r="AD16" s="431"/>
      <c r="AE16" s="432"/>
      <c r="AF16" s="431"/>
      <c r="AG16" s="431"/>
      <c r="AH16" s="431"/>
      <c r="AI16" s="431"/>
      <c r="AJ16" s="431"/>
      <c r="AK16" s="431"/>
      <c r="AL16" s="431"/>
      <c r="AM16" s="431"/>
      <c r="AN16" s="431"/>
      <c r="AO16" s="433">
        <f t="shared" si="8"/>
        <v>0</v>
      </c>
      <c r="AP16" s="432"/>
      <c r="AQ16" s="434"/>
    </row>
    <row r="17" spans="1:43" s="436" customFormat="1" ht="15.75" x14ac:dyDescent="0.25">
      <c r="A17" s="429">
        <f t="shared" si="9"/>
        <v>10</v>
      </c>
      <c r="B17" s="430"/>
      <c r="C17" s="331"/>
      <c r="D17" s="435" t="e">
        <f>VLOOKUP(C17,УЗиНП!$C$3:$D$1464,2,FALSE)</f>
        <v>#N/A</v>
      </c>
      <c r="E17" s="430"/>
      <c r="F17" s="431"/>
      <c r="G17" s="431"/>
      <c r="H17" s="431"/>
      <c r="I17" s="431"/>
      <c r="J17" s="431"/>
      <c r="K17" s="431"/>
      <c r="L17" s="431"/>
      <c r="M17" s="431"/>
      <c r="N17" s="431"/>
      <c r="O17" s="431"/>
      <c r="P17" s="431"/>
      <c r="Q17" s="431"/>
      <c r="R17" s="431"/>
      <c r="S17" s="431"/>
      <c r="T17" s="431"/>
      <c r="U17" s="431"/>
      <c r="V17" s="431"/>
      <c r="W17" s="431"/>
      <c r="X17" s="433">
        <f t="shared" si="7"/>
        <v>0</v>
      </c>
      <c r="Y17" s="431"/>
      <c r="Z17" s="431"/>
      <c r="AA17" s="431"/>
      <c r="AB17" s="431"/>
      <c r="AC17" s="431"/>
      <c r="AD17" s="431"/>
      <c r="AE17" s="432"/>
      <c r="AF17" s="431"/>
      <c r="AG17" s="431"/>
      <c r="AH17" s="431"/>
      <c r="AI17" s="431"/>
      <c r="AJ17" s="431"/>
      <c r="AK17" s="431"/>
      <c r="AL17" s="431"/>
      <c r="AM17" s="431"/>
      <c r="AN17" s="431"/>
      <c r="AO17" s="433">
        <f t="shared" si="8"/>
        <v>0</v>
      </c>
      <c r="AP17" s="432"/>
      <c r="AQ17" s="434"/>
    </row>
    <row r="18" spans="1:43" s="436" customFormat="1" ht="15.75" x14ac:dyDescent="0.25">
      <c r="A18" s="429">
        <f t="shared" si="9"/>
        <v>11</v>
      </c>
      <c r="B18" s="430"/>
      <c r="C18" s="331"/>
      <c r="D18" s="435" t="e">
        <f>VLOOKUP(C18,УЗиНП!$C$3:$D$1464,2,FALSE)</f>
        <v>#N/A</v>
      </c>
      <c r="E18" s="430"/>
      <c r="F18" s="431"/>
      <c r="G18" s="431"/>
      <c r="H18" s="431"/>
      <c r="I18" s="431"/>
      <c r="J18" s="431"/>
      <c r="K18" s="431"/>
      <c r="L18" s="431"/>
      <c r="M18" s="431"/>
      <c r="N18" s="431"/>
      <c r="O18" s="431"/>
      <c r="P18" s="431"/>
      <c r="Q18" s="431"/>
      <c r="R18" s="431"/>
      <c r="S18" s="431"/>
      <c r="T18" s="431"/>
      <c r="U18" s="431"/>
      <c r="V18" s="431"/>
      <c r="W18" s="431"/>
      <c r="X18" s="433">
        <f t="shared" si="7"/>
        <v>0</v>
      </c>
      <c r="Y18" s="431"/>
      <c r="Z18" s="431"/>
      <c r="AA18" s="431"/>
      <c r="AB18" s="431"/>
      <c r="AC18" s="431"/>
      <c r="AD18" s="431"/>
      <c r="AE18" s="432"/>
      <c r="AF18" s="431"/>
      <c r="AG18" s="431"/>
      <c r="AH18" s="431"/>
      <c r="AI18" s="431"/>
      <c r="AJ18" s="431"/>
      <c r="AK18" s="431"/>
      <c r="AL18" s="431"/>
      <c r="AM18" s="431"/>
      <c r="AN18" s="431"/>
      <c r="AO18" s="433">
        <f t="shared" si="8"/>
        <v>0</v>
      </c>
      <c r="AP18" s="432"/>
      <c r="AQ18" s="434"/>
    </row>
    <row r="19" spans="1:43" s="436" customFormat="1" ht="15.75" x14ac:dyDescent="0.25">
      <c r="A19" s="429">
        <f t="shared" si="9"/>
        <v>12</v>
      </c>
      <c r="B19" s="430"/>
      <c r="C19" s="331"/>
      <c r="D19" s="435" t="e">
        <f>VLOOKUP(C19,УЗиНП!$C$3:$D$1464,2,FALSE)</f>
        <v>#N/A</v>
      </c>
      <c r="E19" s="430"/>
      <c r="F19" s="431"/>
      <c r="G19" s="431"/>
      <c r="H19" s="431"/>
      <c r="I19" s="431"/>
      <c r="J19" s="431"/>
      <c r="K19" s="431"/>
      <c r="L19" s="431"/>
      <c r="M19" s="431"/>
      <c r="N19" s="431"/>
      <c r="O19" s="431"/>
      <c r="P19" s="431"/>
      <c r="Q19" s="431"/>
      <c r="R19" s="431"/>
      <c r="S19" s="431"/>
      <c r="T19" s="431"/>
      <c r="U19" s="431"/>
      <c r="V19" s="431"/>
      <c r="W19" s="431"/>
      <c r="X19" s="433">
        <f t="shared" si="7"/>
        <v>0</v>
      </c>
      <c r="Y19" s="431"/>
      <c r="Z19" s="431"/>
      <c r="AA19" s="431"/>
      <c r="AB19" s="431"/>
      <c r="AC19" s="431"/>
      <c r="AD19" s="431"/>
      <c r="AE19" s="432"/>
      <c r="AF19" s="431"/>
      <c r="AG19" s="431"/>
      <c r="AH19" s="431"/>
      <c r="AI19" s="431"/>
      <c r="AJ19" s="431"/>
      <c r="AK19" s="431"/>
      <c r="AL19" s="431"/>
      <c r="AM19" s="431"/>
      <c r="AN19" s="431"/>
      <c r="AO19" s="433">
        <f t="shared" si="8"/>
        <v>0</v>
      </c>
      <c r="AP19" s="432"/>
      <c r="AQ19" s="434"/>
    </row>
    <row r="20" spans="1:43" s="436" customFormat="1" ht="15.75" x14ac:dyDescent="0.25">
      <c r="A20" s="429">
        <f t="shared" si="9"/>
        <v>13</v>
      </c>
      <c r="B20" s="430"/>
      <c r="C20" s="331"/>
      <c r="D20" s="435" t="e">
        <f>VLOOKUP(C20,УЗиНП!$C$3:$D$1464,2,FALSE)</f>
        <v>#N/A</v>
      </c>
      <c r="E20" s="430"/>
      <c r="F20" s="431"/>
      <c r="G20" s="431"/>
      <c r="H20" s="431"/>
      <c r="I20" s="431"/>
      <c r="J20" s="431"/>
      <c r="K20" s="431"/>
      <c r="L20" s="431"/>
      <c r="M20" s="431"/>
      <c r="N20" s="431"/>
      <c r="O20" s="431"/>
      <c r="P20" s="431"/>
      <c r="Q20" s="431"/>
      <c r="R20" s="431"/>
      <c r="S20" s="431"/>
      <c r="T20" s="431"/>
      <c r="U20" s="431"/>
      <c r="V20" s="431"/>
      <c r="W20" s="431"/>
      <c r="X20" s="433">
        <f t="shared" si="7"/>
        <v>0</v>
      </c>
      <c r="Y20" s="431"/>
      <c r="Z20" s="431"/>
      <c r="AA20" s="431"/>
      <c r="AB20" s="431"/>
      <c r="AC20" s="431"/>
      <c r="AD20" s="431"/>
      <c r="AE20" s="432"/>
      <c r="AF20" s="431"/>
      <c r="AG20" s="431"/>
      <c r="AH20" s="431"/>
      <c r="AI20" s="431"/>
      <c r="AJ20" s="431"/>
      <c r="AK20" s="431"/>
      <c r="AL20" s="431"/>
      <c r="AM20" s="431"/>
      <c r="AN20" s="431"/>
      <c r="AO20" s="433">
        <f t="shared" si="8"/>
        <v>0</v>
      </c>
      <c r="AP20" s="432"/>
      <c r="AQ20" s="434"/>
    </row>
    <row r="21" spans="1:43" s="436" customFormat="1" ht="15.75" x14ac:dyDescent="0.25">
      <c r="A21" s="429">
        <f t="shared" si="9"/>
        <v>14</v>
      </c>
      <c r="B21" s="430"/>
      <c r="C21" s="331"/>
      <c r="D21" s="435" t="e">
        <f>VLOOKUP(C21,УЗиНП!$C$3:$D$1464,2,FALSE)</f>
        <v>#N/A</v>
      </c>
      <c r="E21" s="430"/>
      <c r="F21" s="431"/>
      <c r="G21" s="431"/>
      <c r="H21" s="431"/>
      <c r="I21" s="431"/>
      <c r="J21" s="431"/>
      <c r="K21" s="431"/>
      <c r="L21" s="431"/>
      <c r="M21" s="431"/>
      <c r="N21" s="431"/>
      <c r="O21" s="431"/>
      <c r="P21" s="431"/>
      <c r="Q21" s="431"/>
      <c r="R21" s="431"/>
      <c r="S21" s="431"/>
      <c r="T21" s="431"/>
      <c r="U21" s="431"/>
      <c r="V21" s="431"/>
      <c r="W21" s="431"/>
      <c r="X21" s="433">
        <f t="shared" si="7"/>
        <v>0</v>
      </c>
      <c r="Y21" s="431"/>
      <c r="Z21" s="431"/>
      <c r="AA21" s="431"/>
      <c r="AB21" s="431"/>
      <c r="AC21" s="431"/>
      <c r="AD21" s="431"/>
      <c r="AE21" s="432"/>
      <c r="AF21" s="431"/>
      <c r="AG21" s="431"/>
      <c r="AH21" s="431"/>
      <c r="AI21" s="431"/>
      <c r="AJ21" s="431"/>
      <c r="AK21" s="431"/>
      <c r="AL21" s="431"/>
      <c r="AM21" s="431"/>
      <c r="AN21" s="431"/>
      <c r="AO21" s="433">
        <f t="shared" si="8"/>
        <v>0</v>
      </c>
      <c r="AP21" s="432"/>
      <c r="AQ21" s="434"/>
    </row>
    <row r="22" spans="1:43" s="436" customFormat="1" ht="15.75" x14ac:dyDescent="0.25">
      <c r="A22" s="429">
        <f t="shared" si="9"/>
        <v>15</v>
      </c>
      <c r="B22" s="430"/>
      <c r="C22" s="331"/>
      <c r="D22" s="435" t="e">
        <f>VLOOKUP(C22,УЗиНП!$C$3:$D$1464,2,FALSE)</f>
        <v>#N/A</v>
      </c>
      <c r="E22" s="430"/>
      <c r="F22" s="431"/>
      <c r="G22" s="431"/>
      <c r="H22" s="431"/>
      <c r="I22" s="431"/>
      <c r="J22" s="431"/>
      <c r="K22" s="431"/>
      <c r="L22" s="431"/>
      <c r="M22" s="431"/>
      <c r="N22" s="431"/>
      <c r="O22" s="431"/>
      <c r="P22" s="431"/>
      <c r="Q22" s="431"/>
      <c r="R22" s="431"/>
      <c r="S22" s="431"/>
      <c r="T22" s="431"/>
      <c r="U22" s="431"/>
      <c r="V22" s="431"/>
      <c r="W22" s="431"/>
      <c r="X22" s="433">
        <f t="shared" si="7"/>
        <v>0</v>
      </c>
      <c r="Y22" s="431"/>
      <c r="Z22" s="431"/>
      <c r="AA22" s="431"/>
      <c r="AB22" s="431"/>
      <c r="AC22" s="431"/>
      <c r="AD22" s="431"/>
      <c r="AE22" s="432"/>
      <c r="AF22" s="431"/>
      <c r="AG22" s="431"/>
      <c r="AH22" s="431"/>
      <c r="AI22" s="431"/>
      <c r="AJ22" s="431"/>
      <c r="AK22" s="431"/>
      <c r="AL22" s="431"/>
      <c r="AM22" s="431"/>
      <c r="AN22" s="431"/>
      <c r="AO22" s="433">
        <f t="shared" si="8"/>
        <v>0</v>
      </c>
      <c r="AP22" s="432"/>
      <c r="AQ22" s="434"/>
    </row>
    <row r="23" spans="1:43" s="436" customFormat="1" ht="15.75" x14ac:dyDescent="0.25">
      <c r="A23" s="429">
        <f t="shared" si="9"/>
        <v>16</v>
      </c>
      <c r="B23" s="430"/>
      <c r="C23" s="331"/>
      <c r="D23" s="435" t="e">
        <f>VLOOKUP(C23,УЗиНП!$C$3:$D$1464,2,FALSE)</f>
        <v>#N/A</v>
      </c>
      <c r="E23" s="430"/>
      <c r="F23" s="431"/>
      <c r="G23" s="431"/>
      <c r="H23" s="431"/>
      <c r="I23" s="431"/>
      <c r="J23" s="431"/>
      <c r="K23" s="431"/>
      <c r="L23" s="431"/>
      <c r="M23" s="431"/>
      <c r="N23" s="431"/>
      <c r="O23" s="431"/>
      <c r="P23" s="431"/>
      <c r="Q23" s="431"/>
      <c r="R23" s="431"/>
      <c r="S23" s="431"/>
      <c r="T23" s="431"/>
      <c r="U23" s="431"/>
      <c r="V23" s="431"/>
      <c r="W23" s="431"/>
      <c r="X23" s="433">
        <f t="shared" si="7"/>
        <v>0</v>
      </c>
      <c r="Y23" s="431"/>
      <c r="Z23" s="431"/>
      <c r="AA23" s="431"/>
      <c r="AB23" s="431"/>
      <c r="AC23" s="431"/>
      <c r="AD23" s="431"/>
      <c r="AE23" s="432"/>
      <c r="AF23" s="431"/>
      <c r="AG23" s="431"/>
      <c r="AH23" s="431"/>
      <c r="AI23" s="431"/>
      <c r="AJ23" s="431"/>
      <c r="AK23" s="431"/>
      <c r="AL23" s="431"/>
      <c r="AM23" s="431"/>
      <c r="AN23" s="431"/>
      <c r="AO23" s="433">
        <f t="shared" si="8"/>
        <v>0</v>
      </c>
      <c r="AP23" s="432"/>
      <c r="AQ23" s="434"/>
    </row>
    <row r="24" spans="1:43" s="436" customFormat="1" ht="15.75" x14ac:dyDescent="0.25">
      <c r="A24" s="429">
        <f t="shared" si="9"/>
        <v>17</v>
      </c>
      <c r="B24" s="430"/>
      <c r="C24" s="331"/>
      <c r="D24" s="435" t="e">
        <f>VLOOKUP(C24,УЗиНП!$C$3:$D$1464,2,FALSE)</f>
        <v>#N/A</v>
      </c>
      <c r="E24" s="430"/>
      <c r="F24" s="431"/>
      <c r="G24" s="431"/>
      <c r="H24" s="431"/>
      <c r="I24" s="431"/>
      <c r="J24" s="431"/>
      <c r="K24" s="431"/>
      <c r="L24" s="431"/>
      <c r="M24" s="431"/>
      <c r="N24" s="431"/>
      <c r="O24" s="431"/>
      <c r="P24" s="431"/>
      <c r="Q24" s="431"/>
      <c r="R24" s="431"/>
      <c r="S24" s="431"/>
      <c r="T24" s="431"/>
      <c r="U24" s="431"/>
      <c r="V24" s="431"/>
      <c r="W24" s="431"/>
      <c r="X24" s="433">
        <f t="shared" si="7"/>
        <v>0</v>
      </c>
      <c r="Y24" s="431"/>
      <c r="Z24" s="431"/>
      <c r="AA24" s="431"/>
      <c r="AB24" s="431"/>
      <c r="AC24" s="431"/>
      <c r="AD24" s="431"/>
      <c r="AE24" s="432"/>
      <c r="AF24" s="431"/>
      <c r="AG24" s="431"/>
      <c r="AH24" s="431"/>
      <c r="AI24" s="431"/>
      <c r="AJ24" s="431"/>
      <c r="AK24" s="431"/>
      <c r="AL24" s="431"/>
      <c r="AM24" s="431"/>
      <c r="AN24" s="431"/>
      <c r="AO24" s="433">
        <f t="shared" si="8"/>
        <v>0</v>
      </c>
      <c r="AP24" s="432"/>
      <c r="AQ24" s="434"/>
    </row>
    <row r="25" spans="1:43" s="436" customFormat="1" ht="15.75" x14ac:dyDescent="0.25">
      <c r="A25" s="429">
        <f t="shared" si="9"/>
        <v>18</v>
      </c>
      <c r="B25" s="430"/>
      <c r="C25" s="331"/>
      <c r="D25" s="435" t="e">
        <f>VLOOKUP(C25,УЗиНП!$C$3:$D$1464,2,FALSE)</f>
        <v>#N/A</v>
      </c>
      <c r="E25" s="430"/>
      <c r="F25" s="431"/>
      <c r="G25" s="431"/>
      <c r="H25" s="431"/>
      <c r="I25" s="431"/>
      <c r="J25" s="431"/>
      <c r="K25" s="431"/>
      <c r="L25" s="431"/>
      <c r="M25" s="431"/>
      <c r="N25" s="431"/>
      <c r="O25" s="431"/>
      <c r="P25" s="431"/>
      <c r="Q25" s="431"/>
      <c r="R25" s="431"/>
      <c r="S25" s="431"/>
      <c r="T25" s="431"/>
      <c r="U25" s="431"/>
      <c r="V25" s="431"/>
      <c r="W25" s="431"/>
      <c r="X25" s="433">
        <f t="shared" si="7"/>
        <v>0</v>
      </c>
      <c r="Y25" s="431"/>
      <c r="Z25" s="431"/>
      <c r="AA25" s="431"/>
      <c r="AB25" s="431"/>
      <c r="AC25" s="431"/>
      <c r="AD25" s="431"/>
      <c r="AE25" s="432"/>
      <c r="AF25" s="431"/>
      <c r="AG25" s="431"/>
      <c r="AH25" s="431"/>
      <c r="AI25" s="431"/>
      <c r="AJ25" s="431"/>
      <c r="AK25" s="431"/>
      <c r="AL25" s="431"/>
      <c r="AM25" s="431"/>
      <c r="AN25" s="431"/>
      <c r="AO25" s="433">
        <f t="shared" si="8"/>
        <v>0</v>
      </c>
      <c r="AP25" s="432"/>
      <c r="AQ25" s="434"/>
    </row>
    <row r="26" spans="1:43" s="436" customFormat="1" ht="15.75" x14ac:dyDescent="0.25">
      <c r="A26" s="429">
        <f t="shared" si="9"/>
        <v>19</v>
      </c>
      <c r="B26" s="430"/>
      <c r="C26" s="331"/>
      <c r="D26" s="435" t="e">
        <f>VLOOKUP(C26,УЗиНП!$C$3:$D$1464,2,FALSE)</f>
        <v>#N/A</v>
      </c>
      <c r="E26" s="430"/>
      <c r="F26" s="431"/>
      <c r="G26" s="431"/>
      <c r="H26" s="431"/>
      <c r="I26" s="431"/>
      <c r="J26" s="431"/>
      <c r="K26" s="431"/>
      <c r="L26" s="431"/>
      <c r="M26" s="431"/>
      <c r="N26" s="431"/>
      <c r="O26" s="431"/>
      <c r="P26" s="431"/>
      <c r="Q26" s="431"/>
      <c r="R26" s="431"/>
      <c r="S26" s="431"/>
      <c r="T26" s="431"/>
      <c r="U26" s="431"/>
      <c r="V26" s="431"/>
      <c r="W26" s="431"/>
      <c r="X26" s="433">
        <f t="shared" si="7"/>
        <v>0</v>
      </c>
      <c r="Y26" s="431"/>
      <c r="Z26" s="431"/>
      <c r="AA26" s="431"/>
      <c r="AB26" s="431"/>
      <c r="AC26" s="431"/>
      <c r="AD26" s="431"/>
      <c r="AE26" s="432"/>
      <c r="AF26" s="431"/>
      <c r="AG26" s="431"/>
      <c r="AH26" s="431"/>
      <c r="AI26" s="431"/>
      <c r="AJ26" s="431"/>
      <c r="AK26" s="431"/>
      <c r="AL26" s="431"/>
      <c r="AM26" s="431"/>
      <c r="AN26" s="431"/>
      <c r="AO26" s="433">
        <f t="shared" si="8"/>
        <v>0</v>
      </c>
      <c r="AP26" s="432"/>
      <c r="AQ26" s="434"/>
    </row>
    <row r="27" spans="1:43" s="436" customFormat="1" ht="15.75" x14ac:dyDescent="0.25">
      <c r="A27" s="429">
        <f t="shared" si="9"/>
        <v>20</v>
      </c>
      <c r="B27" s="430"/>
      <c r="C27" s="331"/>
      <c r="D27" s="435" t="e">
        <f>VLOOKUP(C27,УЗиНП!$C$3:$D$1464,2,FALSE)</f>
        <v>#N/A</v>
      </c>
      <c r="E27" s="430"/>
      <c r="F27" s="431"/>
      <c r="G27" s="431"/>
      <c r="H27" s="431"/>
      <c r="I27" s="431"/>
      <c r="J27" s="431"/>
      <c r="K27" s="431"/>
      <c r="L27" s="431"/>
      <c r="M27" s="431"/>
      <c r="N27" s="431"/>
      <c r="O27" s="431"/>
      <c r="P27" s="431"/>
      <c r="Q27" s="431"/>
      <c r="R27" s="431"/>
      <c r="S27" s="431"/>
      <c r="T27" s="431"/>
      <c r="U27" s="431"/>
      <c r="V27" s="431"/>
      <c r="W27" s="431"/>
      <c r="X27" s="433">
        <f t="shared" si="7"/>
        <v>0</v>
      </c>
      <c r="Y27" s="431"/>
      <c r="Z27" s="431"/>
      <c r="AA27" s="431"/>
      <c r="AB27" s="431"/>
      <c r="AC27" s="431"/>
      <c r="AD27" s="431"/>
      <c r="AE27" s="432"/>
      <c r="AF27" s="431"/>
      <c r="AG27" s="431"/>
      <c r="AH27" s="431"/>
      <c r="AI27" s="431"/>
      <c r="AJ27" s="431"/>
      <c r="AK27" s="431"/>
      <c r="AL27" s="431"/>
      <c r="AM27" s="431"/>
      <c r="AN27" s="431"/>
      <c r="AO27" s="433">
        <f t="shared" si="8"/>
        <v>0</v>
      </c>
      <c r="AP27" s="432"/>
      <c r="AQ27" s="434"/>
    </row>
    <row r="28" spans="1:43" s="436" customFormat="1" ht="15.75" x14ac:dyDescent="0.25">
      <c r="A28" s="429">
        <f t="shared" si="9"/>
        <v>21</v>
      </c>
      <c r="B28" s="430"/>
      <c r="C28" s="331"/>
      <c r="D28" s="435" t="e">
        <f>VLOOKUP(C28,УЗиНП!$C$3:$D$1464,2,FALSE)</f>
        <v>#N/A</v>
      </c>
      <c r="E28" s="430"/>
      <c r="F28" s="431"/>
      <c r="G28" s="431"/>
      <c r="H28" s="431"/>
      <c r="I28" s="431"/>
      <c r="J28" s="431"/>
      <c r="K28" s="431"/>
      <c r="L28" s="431"/>
      <c r="M28" s="431"/>
      <c r="N28" s="431"/>
      <c r="O28" s="431"/>
      <c r="P28" s="431"/>
      <c r="Q28" s="431"/>
      <c r="R28" s="431"/>
      <c r="S28" s="431"/>
      <c r="T28" s="431"/>
      <c r="U28" s="431"/>
      <c r="V28" s="431"/>
      <c r="W28" s="431"/>
      <c r="X28" s="433">
        <f t="shared" si="7"/>
        <v>0</v>
      </c>
      <c r="Y28" s="431"/>
      <c r="Z28" s="431"/>
      <c r="AA28" s="431"/>
      <c r="AB28" s="431"/>
      <c r="AC28" s="431"/>
      <c r="AD28" s="431"/>
      <c r="AE28" s="432"/>
      <c r="AF28" s="431"/>
      <c r="AG28" s="431"/>
      <c r="AH28" s="431"/>
      <c r="AI28" s="431"/>
      <c r="AJ28" s="431"/>
      <c r="AK28" s="431"/>
      <c r="AL28" s="431"/>
      <c r="AM28" s="431"/>
      <c r="AN28" s="431"/>
      <c r="AO28" s="433">
        <f t="shared" si="8"/>
        <v>0</v>
      </c>
      <c r="AP28" s="432"/>
      <c r="AQ28" s="434"/>
    </row>
    <row r="29" spans="1:43" s="436" customFormat="1" ht="15.75" x14ac:dyDescent="0.25">
      <c r="A29" s="429">
        <f t="shared" si="9"/>
        <v>22</v>
      </c>
      <c r="B29" s="430"/>
      <c r="C29" s="331"/>
      <c r="D29" s="435" t="e">
        <f>VLOOKUP(C29,УЗиНП!$C$3:$D$1464,2,FALSE)</f>
        <v>#N/A</v>
      </c>
      <c r="E29" s="430"/>
      <c r="F29" s="431"/>
      <c r="G29" s="431"/>
      <c r="H29" s="431"/>
      <c r="I29" s="431"/>
      <c r="J29" s="431"/>
      <c r="K29" s="431"/>
      <c r="L29" s="431"/>
      <c r="M29" s="431"/>
      <c r="N29" s="431"/>
      <c r="O29" s="431"/>
      <c r="P29" s="431"/>
      <c r="Q29" s="431"/>
      <c r="R29" s="431"/>
      <c r="S29" s="431"/>
      <c r="T29" s="431"/>
      <c r="U29" s="431"/>
      <c r="V29" s="431"/>
      <c r="W29" s="431"/>
      <c r="X29" s="433">
        <f t="shared" si="7"/>
        <v>0</v>
      </c>
      <c r="Y29" s="431"/>
      <c r="Z29" s="431"/>
      <c r="AA29" s="431"/>
      <c r="AB29" s="431"/>
      <c r="AC29" s="431"/>
      <c r="AD29" s="431"/>
      <c r="AE29" s="432"/>
      <c r="AF29" s="431"/>
      <c r="AG29" s="431"/>
      <c r="AH29" s="431"/>
      <c r="AI29" s="431"/>
      <c r="AJ29" s="431"/>
      <c r="AK29" s="431"/>
      <c r="AL29" s="431"/>
      <c r="AM29" s="431"/>
      <c r="AN29" s="431"/>
      <c r="AO29" s="433">
        <f t="shared" si="8"/>
        <v>0</v>
      </c>
      <c r="AP29" s="432"/>
      <c r="AQ29" s="434"/>
    </row>
    <row r="30" spans="1:43" s="436" customFormat="1" ht="15.75" x14ac:dyDescent="0.25">
      <c r="A30" s="429">
        <f t="shared" si="9"/>
        <v>23</v>
      </c>
      <c r="B30" s="430"/>
      <c r="C30" s="331"/>
      <c r="D30" s="435" t="e">
        <f>VLOOKUP(C30,УЗиНП!$C$3:$D$1464,2,FALSE)</f>
        <v>#N/A</v>
      </c>
      <c r="E30" s="430"/>
      <c r="F30" s="431"/>
      <c r="G30" s="431"/>
      <c r="H30" s="431"/>
      <c r="I30" s="431"/>
      <c r="J30" s="431"/>
      <c r="K30" s="431"/>
      <c r="L30" s="431"/>
      <c r="M30" s="431"/>
      <c r="N30" s="431"/>
      <c r="O30" s="431"/>
      <c r="P30" s="431"/>
      <c r="Q30" s="431"/>
      <c r="R30" s="431"/>
      <c r="S30" s="431"/>
      <c r="T30" s="431"/>
      <c r="U30" s="431"/>
      <c r="V30" s="431"/>
      <c r="W30" s="431"/>
      <c r="X30" s="433">
        <f t="shared" si="7"/>
        <v>0</v>
      </c>
      <c r="Y30" s="431"/>
      <c r="Z30" s="431"/>
      <c r="AA30" s="431"/>
      <c r="AB30" s="431"/>
      <c r="AC30" s="431"/>
      <c r="AD30" s="431"/>
      <c r="AE30" s="432"/>
      <c r="AF30" s="431"/>
      <c r="AG30" s="431"/>
      <c r="AH30" s="431"/>
      <c r="AI30" s="431"/>
      <c r="AJ30" s="431"/>
      <c r="AK30" s="431"/>
      <c r="AL30" s="431"/>
      <c r="AM30" s="431"/>
      <c r="AN30" s="431"/>
      <c r="AO30" s="433">
        <f t="shared" si="8"/>
        <v>0</v>
      </c>
      <c r="AP30" s="432"/>
      <c r="AQ30" s="434"/>
    </row>
    <row r="31" spans="1:43" s="436" customFormat="1" ht="15.75" x14ac:dyDescent="0.25">
      <c r="A31" s="429">
        <f t="shared" si="9"/>
        <v>24</v>
      </c>
      <c r="B31" s="430"/>
      <c r="C31" s="331"/>
      <c r="D31" s="435" t="e">
        <f>VLOOKUP(C31,УЗиНП!$C$3:$D$1464,2,FALSE)</f>
        <v>#N/A</v>
      </c>
      <c r="E31" s="430"/>
      <c r="F31" s="431"/>
      <c r="G31" s="431"/>
      <c r="H31" s="431"/>
      <c r="I31" s="431"/>
      <c r="J31" s="431"/>
      <c r="K31" s="431"/>
      <c r="L31" s="431"/>
      <c r="M31" s="431"/>
      <c r="N31" s="431"/>
      <c r="O31" s="431"/>
      <c r="P31" s="431"/>
      <c r="Q31" s="431"/>
      <c r="R31" s="431"/>
      <c r="S31" s="431"/>
      <c r="T31" s="431"/>
      <c r="U31" s="431"/>
      <c r="V31" s="431"/>
      <c r="W31" s="431"/>
      <c r="X31" s="433">
        <f t="shared" si="7"/>
        <v>0</v>
      </c>
      <c r="Y31" s="431"/>
      <c r="Z31" s="431"/>
      <c r="AA31" s="431"/>
      <c r="AB31" s="431"/>
      <c r="AC31" s="431"/>
      <c r="AD31" s="431"/>
      <c r="AE31" s="432"/>
      <c r="AF31" s="431"/>
      <c r="AG31" s="431"/>
      <c r="AH31" s="431"/>
      <c r="AI31" s="431"/>
      <c r="AJ31" s="431"/>
      <c r="AK31" s="431"/>
      <c r="AL31" s="431"/>
      <c r="AM31" s="431"/>
      <c r="AN31" s="431"/>
      <c r="AO31" s="433">
        <f t="shared" si="8"/>
        <v>0</v>
      </c>
      <c r="AP31" s="432"/>
      <c r="AQ31" s="434"/>
    </row>
    <row r="32" spans="1:43" s="436" customFormat="1" ht="15.75" x14ac:dyDescent="0.25">
      <c r="A32" s="429">
        <f t="shared" si="9"/>
        <v>25</v>
      </c>
      <c r="B32" s="430"/>
      <c r="C32" s="331"/>
      <c r="D32" s="435" t="e">
        <f>VLOOKUP(C32,УЗиНП!$C$3:$D$1464,2,FALSE)</f>
        <v>#N/A</v>
      </c>
      <c r="E32" s="430"/>
      <c r="F32" s="431"/>
      <c r="G32" s="431"/>
      <c r="H32" s="431"/>
      <c r="I32" s="431"/>
      <c r="J32" s="431"/>
      <c r="K32" s="431"/>
      <c r="L32" s="431"/>
      <c r="M32" s="431"/>
      <c r="N32" s="431"/>
      <c r="O32" s="431"/>
      <c r="P32" s="431"/>
      <c r="Q32" s="431"/>
      <c r="R32" s="431"/>
      <c r="S32" s="431"/>
      <c r="T32" s="431"/>
      <c r="U32" s="431"/>
      <c r="V32" s="431"/>
      <c r="W32" s="431"/>
      <c r="X32" s="433">
        <f t="shared" si="7"/>
        <v>0</v>
      </c>
      <c r="Y32" s="431"/>
      <c r="Z32" s="431"/>
      <c r="AA32" s="431"/>
      <c r="AB32" s="431"/>
      <c r="AC32" s="431"/>
      <c r="AD32" s="431"/>
      <c r="AE32" s="432"/>
      <c r="AF32" s="431"/>
      <c r="AG32" s="431"/>
      <c r="AH32" s="431"/>
      <c r="AI32" s="431"/>
      <c r="AJ32" s="431"/>
      <c r="AK32" s="431"/>
      <c r="AL32" s="431"/>
      <c r="AM32" s="431"/>
      <c r="AN32" s="431"/>
      <c r="AO32" s="433">
        <f t="shared" si="8"/>
        <v>0</v>
      </c>
      <c r="AP32" s="432"/>
      <c r="AQ32" s="434"/>
    </row>
    <row r="33" spans="1:43" s="436" customFormat="1" ht="15.75" x14ac:dyDescent="0.25">
      <c r="A33" s="429">
        <f t="shared" si="9"/>
        <v>26</v>
      </c>
      <c r="B33" s="430"/>
      <c r="C33" s="331"/>
      <c r="D33" s="435" t="e">
        <f>VLOOKUP(C33,УЗиНП!$C$3:$D$1464,2,FALSE)</f>
        <v>#N/A</v>
      </c>
      <c r="E33" s="430"/>
      <c r="F33" s="431"/>
      <c r="G33" s="431"/>
      <c r="H33" s="431"/>
      <c r="I33" s="431"/>
      <c r="J33" s="431"/>
      <c r="K33" s="431"/>
      <c r="L33" s="431"/>
      <c r="M33" s="431"/>
      <c r="N33" s="431"/>
      <c r="O33" s="431"/>
      <c r="P33" s="431"/>
      <c r="Q33" s="431"/>
      <c r="R33" s="431"/>
      <c r="S33" s="431"/>
      <c r="T33" s="431"/>
      <c r="U33" s="431"/>
      <c r="V33" s="431"/>
      <c r="W33" s="431"/>
      <c r="X33" s="433">
        <f t="shared" si="7"/>
        <v>0</v>
      </c>
      <c r="Y33" s="431"/>
      <c r="Z33" s="431"/>
      <c r="AA33" s="431"/>
      <c r="AB33" s="431"/>
      <c r="AC33" s="431"/>
      <c r="AD33" s="431"/>
      <c r="AE33" s="432"/>
      <c r="AF33" s="431"/>
      <c r="AG33" s="431"/>
      <c r="AH33" s="431"/>
      <c r="AI33" s="431"/>
      <c r="AJ33" s="431"/>
      <c r="AK33" s="431"/>
      <c r="AL33" s="431"/>
      <c r="AM33" s="431"/>
      <c r="AN33" s="431"/>
      <c r="AO33" s="433">
        <f t="shared" si="8"/>
        <v>0</v>
      </c>
      <c r="AP33" s="432"/>
      <c r="AQ33" s="434"/>
    </row>
    <row r="34" spans="1:43" s="436" customFormat="1" ht="15.75" x14ac:dyDescent="0.25">
      <c r="A34" s="429">
        <f t="shared" si="9"/>
        <v>27</v>
      </c>
      <c r="B34" s="430"/>
      <c r="C34" s="331"/>
      <c r="D34" s="435" t="e">
        <f>VLOOKUP(C34,УЗиНП!$C$3:$D$1464,2,FALSE)</f>
        <v>#N/A</v>
      </c>
      <c r="E34" s="430"/>
      <c r="F34" s="431"/>
      <c r="G34" s="431"/>
      <c r="H34" s="431"/>
      <c r="I34" s="431"/>
      <c r="J34" s="431"/>
      <c r="K34" s="431"/>
      <c r="L34" s="431"/>
      <c r="M34" s="431"/>
      <c r="N34" s="431"/>
      <c r="O34" s="431"/>
      <c r="P34" s="431"/>
      <c r="Q34" s="431"/>
      <c r="R34" s="431"/>
      <c r="S34" s="431"/>
      <c r="T34" s="431"/>
      <c r="U34" s="431"/>
      <c r="V34" s="431"/>
      <c r="W34" s="431"/>
      <c r="X34" s="433">
        <f t="shared" si="7"/>
        <v>0</v>
      </c>
      <c r="Y34" s="431"/>
      <c r="Z34" s="431"/>
      <c r="AA34" s="431"/>
      <c r="AB34" s="431"/>
      <c r="AC34" s="431"/>
      <c r="AD34" s="431"/>
      <c r="AE34" s="432"/>
      <c r="AF34" s="431"/>
      <c r="AG34" s="431"/>
      <c r="AH34" s="431"/>
      <c r="AI34" s="431"/>
      <c r="AJ34" s="431"/>
      <c r="AK34" s="431"/>
      <c r="AL34" s="431"/>
      <c r="AM34" s="431"/>
      <c r="AN34" s="431"/>
      <c r="AO34" s="433">
        <f t="shared" si="8"/>
        <v>0</v>
      </c>
      <c r="AP34" s="432"/>
      <c r="AQ34" s="434"/>
    </row>
    <row r="35" spans="1:43" s="436" customFormat="1" ht="15.75" x14ac:dyDescent="0.25">
      <c r="A35" s="429">
        <f t="shared" si="9"/>
        <v>28</v>
      </c>
      <c r="B35" s="430"/>
      <c r="C35" s="331"/>
      <c r="D35" s="435" t="e">
        <f>VLOOKUP(C35,УЗиНП!$C$3:$D$1464,2,FALSE)</f>
        <v>#N/A</v>
      </c>
      <c r="E35" s="430"/>
      <c r="F35" s="431"/>
      <c r="G35" s="431"/>
      <c r="H35" s="431"/>
      <c r="I35" s="431"/>
      <c r="J35" s="431"/>
      <c r="K35" s="431"/>
      <c r="L35" s="431"/>
      <c r="M35" s="431"/>
      <c r="N35" s="431"/>
      <c r="O35" s="431"/>
      <c r="P35" s="431"/>
      <c r="Q35" s="431"/>
      <c r="R35" s="431"/>
      <c r="S35" s="431"/>
      <c r="T35" s="431"/>
      <c r="U35" s="431"/>
      <c r="V35" s="431"/>
      <c r="W35" s="431"/>
      <c r="X35" s="433">
        <f t="shared" si="7"/>
        <v>0</v>
      </c>
      <c r="Y35" s="431"/>
      <c r="Z35" s="431"/>
      <c r="AA35" s="431"/>
      <c r="AB35" s="431"/>
      <c r="AC35" s="431"/>
      <c r="AD35" s="431"/>
      <c r="AE35" s="432"/>
      <c r="AF35" s="431"/>
      <c r="AG35" s="431"/>
      <c r="AH35" s="431"/>
      <c r="AI35" s="431"/>
      <c r="AJ35" s="431"/>
      <c r="AK35" s="431"/>
      <c r="AL35" s="431"/>
      <c r="AM35" s="431"/>
      <c r="AN35" s="431"/>
      <c r="AO35" s="433">
        <f t="shared" si="8"/>
        <v>0</v>
      </c>
      <c r="AP35" s="432"/>
      <c r="AQ35" s="434"/>
    </row>
    <row r="36" spans="1:43" s="436" customFormat="1" ht="15.75" x14ac:dyDescent="0.25">
      <c r="A36" s="429">
        <f t="shared" si="9"/>
        <v>29</v>
      </c>
      <c r="B36" s="430"/>
      <c r="C36" s="331"/>
      <c r="D36" s="435" t="e">
        <f>VLOOKUP(C36,УЗиНП!$C$3:$D$1464,2,FALSE)</f>
        <v>#N/A</v>
      </c>
      <c r="E36" s="430"/>
      <c r="F36" s="431"/>
      <c r="G36" s="431"/>
      <c r="H36" s="431"/>
      <c r="I36" s="431"/>
      <c r="J36" s="431"/>
      <c r="K36" s="431"/>
      <c r="L36" s="431"/>
      <c r="M36" s="431"/>
      <c r="N36" s="431"/>
      <c r="O36" s="431"/>
      <c r="P36" s="431"/>
      <c r="Q36" s="431"/>
      <c r="R36" s="431"/>
      <c r="S36" s="431"/>
      <c r="T36" s="431"/>
      <c r="U36" s="431"/>
      <c r="V36" s="431"/>
      <c r="W36" s="431"/>
      <c r="X36" s="433">
        <f t="shared" si="7"/>
        <v>0</v>
      </c>
      <c r="Y36" s="431"/>
      <c r="Z36" s="431"/>
      <c r="AA36" s="431"/>
      <c r="AB36" s="431"/>
      <c r="AC36" s="431"/>
      <c r="AD36" s="431"/>
      <c r="AE36" s="432"/>
      <c r="AF36" s="431"/>
      <c r="AG36" s="431"/>
      <c r="AH36" s="431"/>
      <c r="AI36" s="431"/>
      <c r="AJ36" s="431"/>
      <c r="AK36" s="431"/>
      <c r="AL36" s="431"/>
      <c r="AM36" s="431"/>
      <c r="AN36" s="431"/>
      <c r="AO36" s="433">
        <f t="shared" si="8"/>
        <v>0</v>
      </c>
      <c r="AP36" s="432"/>
      <c r="AQ36" s="434"/>
    </row>
    <row r="37" spans="1:43" s="436" customFormat="1" ht="15.75" x14ac:dyDescent="0.25">
      <c r="A37" s="429">
        <f t="shared" si="9"/>
        <v>30</v>
      </c>
      <c r="B37" s="430"/>
      <c r="C37" s="331"/>
      <c r="D37" s="435" t="e">
        <f>VLOOKUP(C37,УЗиНП!$C$3:$D$1464,2,FALSE)</f>
        <v>#N/A</v>
      </c>
      <c r="E37" s="430"/>
      <c r="F37" s="431"/>
      <c r="G37" s="431"/>
      <c r="H37" s="431"/>
      <c r="I37" s="431"/>
      <c r="J37" s="431"/>
      <c r="K37" s="431"/>
      <c r="L37" s="431"/>
      <c r="M37" s="431"/>
      <c r="N37" s="431"/>
      <c r="O37" s="431"/>
      <c r="P37" s="431"/>
      <c r="Q37" s="431"/>
      <c r="R37" s="431"/>
      <c r="S37" s="431"/>
      <c r="T37" s="431"/>
      <c r="U37" s="431"/>
      <c r="V37" s="431"/>
      <c r="W37" s="431"/>
      <c r="X37" s="433">
        <f t="shared" si="7"/>
        <v>0</v>
      </c>
      <c r="Y37" s="431"/>
      <c r="Z37" s="431"/>
      <c r="AA37" s="431"/>
      <c r="AB37" s="431"/>
      <c r="AC37" s="431"/>
      <c r="AD37" s="431"/>
      <c r="AE37" s="432"/>
      <c r="AF37" s="431"/>
      <c r="AG37" s="431"/>
      <c r="AH37" s="431"/>
      <c r="AI37" s="431"/>
      <c r="AJ37" s="431"/>
      <c r="AK37" s="431"/>
      <c r="AL37" s="431"/>
      <c r="AM37" s="431"/>
      <c r="AN37" s="431"/>
      <c r="AO37" s="433">
        <f t="shared" si="8"/>
        <v>0</v>
      </c>
      <c r="AP37" s="432"/>
      <c r="AQ37" s="434"/>
    </row>
    <row r="38" spans="1:43" s="436" customFormat="1" ht="15.75" x14ac:dyDescent="0.25">
      <c r="A38" s="429">
        <f t="shared" si="9"/>
        <v>31</v>
      </c>
      <c r="B38" s="430"/>
      <c r="C38" s="331"/>
      <c r="D38" s="435" t="e">
        <f>VLOOKUP(C38,УЗиНП!$C$3:$D$1464,2,FALSE)</f>
        <v>#N/A</v>
      </c>
      <c r="E38" s="430"/>
      <c r="F38" s="431"/>
      <c r="G38" s="431"/>
      <c r="H38" s="431"/>
      <c r="I38" s="431"/>
      <c r="J38" s="431"/>
      <c r="K38" s="431"/>
      <c r="L38" s="431"/>
      <c r="M38" s="431"/>
      <c r="N38" s="431"/>
      <c r="O38" s="431"/>
      <c r="P38" s="431"/>
      <c r="Q38" s="431"/>
      <c r="R38" s="431"/>
      <c r="S38" s="431"/>
      <c r="T38" s="431"/>
      <c r="U38" s="431"/>
      <c r="V38" s="431"/>
      <c r="W38" s="431"/>
      <c r="X38" s="433">
        <f t="shared" si="7"/>
        <v>0</v>
      </c>
      <c r="Y38" s="431"/>
      <c r="Z38" s="431"/>
      <c r="AA38" s="431"/>
      <c r="AB38" s="431"/>
      <c r="AC38" s="431"/>
      <c r="AD38" s="431"/>
      <c r="AE38" s="432"/>
      <c r="AF38" s="431"/>
      <c r="AG38" s="431"/>
      <c r="AH38" s="431"/>
      <c r="AI38" s="431"/>
      <c r="AJ38" s="431"/>
      <c r="AK38" s="431"/>
      <c r="AL38" s="431"/>
      <c r="AM38" s="431"/>
      <c r="AN38" s="431"/>
      <c r="AO38" s="433">
        <f t="shared" si="8"/>
        <v>0</v>
      </c>
      <c r="AP38" s="432"/>
      <c r="AQ38" s="434"/>
    </row>
    <row r="39" spans="1:43" s="436" customFormat="1" ht="15.75" x14ac:dyDescent="0.25">
      <c r="A39" s="429">
        <f t="shared" si="9"/>
        <v>32</v>
      </c>
      <c r="B39" s="430"/>
      <c r="C39" s="331"/>
      <c r="D39" s="435" t="e">
        <f>VLOOKUP(C39,УЗиНП!$C$3:$D$1464,2,FALSE)</f>
        <v>#N/A</v>
      </c>
      <c r="E39" s="430"/>
      <c r="F39" s="431"/>
      <c r="G39" s="431"/>
      <c r="H39" s="431"/>
      <c r="I39" s="431"/>
      <c r="J39" s="431"/>
      <c r="K39" s="431"/>
      <c r="L39" s="431"/>
      <c r="M39" s="431"/>
      <c r="N39" s="431"/>
      <c r="O39" s="431"/>
      <c r="P39" s="431"/>
      <c r="Q39" s="431"/>
      <c r="R39" s="431"/>
      <c r="S39" s="431"/>
      <c r="T39" s="431"/>
      <c r="U39" s="431"/>
      <c r="V39" s="431"/>
      <c r="W39" s="431"/>
      <c r="X39" s="433">
        <f t="shared" si="7"/>
        <v>0</v>
      </c>
      <c r="Y39" s="431"/>
      <c r="Z39" s="431"/>
      <c r="AA39" s="431"/>
      <c r="AB39" s="431"/>
      <c r="AC39" s="431"/>
      <c r="AD39" s="431"/>
      <c r="AE39" s="432"/>
      <c r="AF39" s="431"/>
      <c r="AG39" s="431"/>
      <c r="AH39" s="431"/>
      <c r="AI39" s="431"/>
      <c r="AJ39" s="431"/>
      <c r="AK39" s="431"/>
      <c r="AL39" s="431"/>
      <c r="AM39" s="431"/>
      <c r="AN39" s="431"/>
      <c r="AO39" s="433">
        <f t="shared" si="8"/>
        <v>0</v>
      </c>
      <c r="AP39" s="432"/>
      <c r="AQ39" s="434"/>
    </row>
    <row r="40" spans="1:43" s="436" customFormat="1" ht="15.75" x14ac:dyDescent="0.25">
      <c r="A40" s="429">
        <f t="shared" si="9"/>
        <v>33</v>
      </c>
      <c r="B40" s="430"/>
      <c r="C40" s="331"/>
      <c r="D40" s="435" t="e">
        <f>VLOOKUP(C40,УЗиНП!$C$3:$D$1464,2,FALSE)</f>
        <v>#N/A</v>
      </c>
      <c r="E40" s="430"/>
      <c r="F40" s="431"/>
      <c r="G40" s="431"/>
      <c r="H40" s="431"/>
      <c r="I40" s="431"/>
      <c r="J40" s="431"/>
      <c r="K40" s="431"/>
      <c r="L40" s="431"/>
      <c r="M40" s="431"/>
      <c r="N40" s="431"/>
      <c r="O40" s="431"/>
      <c r="P40" s="431"/>
      <c r="Q40" s="431"/>
      <c r="R40" s="431"/>
      <c r="S40" s="431"/>
      <c r="T40" s="431"/>
      <c r="U40" s="431"/>
      <c r="V40" s="431"/>
      <c r="W40" s="431"/>
      <c r="X40" s="433">
        <f t="shared" si="7"/>
        <v>0</v>
      </c>
      <c r="Y40" s="431"/>
      <c r="Z40" s="431"/>
      <c r="AA40" s="431"/>
      <c r="AB40" s="431"/>
      <c r="AC40" s="431"/>
      <c r="AD40" s="431"/>
      <c r="AE40" s="432"/>
      <c r="AF40" s="431"/>
      <c r="AG40" s="431"/>
      <c r="AH40" s="431"/>
      <c r="AI40" s="431"/>
      <c r="AJ40" s="431"/>
      <c r="AK40" s="431"/>
      <c r="AL40" s="431"/>
      <c r="AM40" s="431"/>
      <c r="AN40" s="431"/>
      <c r="AO40" s="433">
        <f t="shared" si="8"/>
        <v>0</v>
      </c>
      <c r="AP40" s="432"/>
      <c r="AQ40" s="434"/>
    </row>
    <row r="41" spans="1:43" s="436" customFormat="1" ht="15.75" x14ac:dyDescent="0.25">
      <c r="A41" s="429">
        <f t="shared" si="9"/>
        <v>34</v>
      </c>
      <c r="B41" s="430"/>
      <c r="C41" s="331"/>
      <c r="D41" s="435" t="e">
        <f>VLOOKUP(C41,УЗиНП!$C$3:$D$1464,2,FALSE)</f>
        <v>#N/A</v>
      </c>
      <c r="E41" s="430"/>
      <c r="F41" s="431"/>
      <c r="G41" s="431"/>
      <c r="H41" s="431"/>
      <c r="I41" s="431"/>
      <c r="J41" s="431"/>
      <c r="K41" s="431"/>
      <c r="L41" s="431"/>
      <c r="M41" s="431"/>
      <c r="N41" s="431"/>
      <c r="O41" s="431"/>
      <c r="P41" s="431"/>
      <c r="Q41" s="431"/>
      <c r="R41" s="431"/>
      <c r="S41" s="431"/>
      <c r="T41" s="431"/>
      <c r="U41" s="431"/>
      <c r="V41" s="431"/>
      <c r="W41" s="431"/>
      <c r="X41" s="433">
        <f t="shared" si="7"/>
        <v>0</v>
      </c>
      <c r="Y41" s="431"/>
      <c r="Z41" s="431"/>
      <c r="AA41" s="431"/>
      <c r="AB41" s="431"/>
      <c r="AC41" s="431"/>
      <c r="AD41" s="431"/>
      <c r="AE41" s="432"/>
      <c r="AF41" s="431"/>
      <c r="AG41" s="431"/>
      <c r="AH41" s="431"/>
      <c r="AI41" s="431"/>
      <c r="AJ41" s="431"/>
      <c r="AK41" s="431"/>
      <c r="AL41" s="431"/>
      <c r="AM41" s="431"/>
      <c r="AN41" s="431"/>
      <c r="AO41" s="433">
        <f t="shared" si="8"/>
        <v>0</v>
      </c>
      <c r="AP41" s="432"/>
      <c r="AQ41" s="434"/>
    </row>
    <row r="42" spans="1:43" s="436" customFormat="1" ht="15.75" x14ac:dyDescent="0.25">
      <c r="A42" s="429">
        <f t="shared" si="9"/>
        <v>35</v>
      </c>
      <c r="B42" s="430"/>
      <c r="C42" s="331"/>
      <c r="D42" s="435" t="e">
        <f>VLOOKUP(C42,УЗиНП!$C$3:$D$1464,2,FALSE)</f>
        <v>#N/A</v>
      </c>
      <c r="E42" s="430"/>
      <c r="F42" s="431"/>
      <c r="G42" s="431"/>
      <c r="H42" s="431"/>
      <c r="I42" s="431"/>
      <c r="J42" s="431"/>
      <c r="K42" s="431"/>
      <c r="L42" s="431"/>
      <c r="M42" s="431"/>
      <c r="N42" s="431"/>
      <c r="O42" s="431"/>
      <c r="P42" s="431"/>
      <c r="Q42" s="431"/>
      <c r="R42" s="431"/>
      <c r="S42" s="431"/>
      <c r="T42" s="431"/>
      <c r="U42" s="431"/>
      <c r="V42" s="431"/>
      <c r="W42" s="431"/>
      <c r="X42" s="433">
        <f t="shared" si="7"/>
        <v>0</v>
      </c>
      <c r="Y42" s="431"/>
      <c r="Z42" s="431"/>
      <c r="AA42" s="431"/>
      <c r="AB42" s="431"/>
      <c r="AC42" s="431"/>
      <c r="AD42" s="431"/>
      <c r="AE42" s="432"/>
      <c r="AF42" s="431"/>
      <c r="AG42" s="431"/>
      <c r="AH42" s="431"/>
      <c r="AI42" s="431"/>
      <c r="AJ42" s="431"/>
      <c r="AK42" s="431"/>
      <c r="AL42" s="431"/>
      <c r="AM42" s="431"/>
      <c r="AN42" s="431"/>
      <c r="AO42" s="433">
        <f t="shared" si="8"/>
        <v>0</v>
      </c>
      <c r="AP42" s="432"/>
      <c r="AQ42" s="434"/>
    </row>
    <row r="43" spans="1:43" s="436" customFormat="1" ht="15.75" x14ac:dyDescent="0.25">
      <c r="A43" s="429">
        <f t="shared" si="9"/>
        <v>36</v>
      </c>
      <c r="B43" s="430"/>
      <c r="C43" s="331"/>
      <c r="D43" s="435" t="e">
        <f>VLOOKUP(C43,УЗиНП!$C$3:$D$1464,2,FALSE)</f>
        <v>#N/A</v>
      </c>
      <c r="E43" s="430"/>
      <c r="F43" s="431"/>
      <c r="G43" s="431"/>
      <c r="H43" s="431"/>
      <c r="I43" s="431"/>
      <c r="J43" s="431"/>
      <c r="K43" s="431"/>
      <c r="L43" s="431"/>
      <c r="M43" s="431"/>
      <c r="N43" s="431"/>
      <c r="O43" s="431"/>
      <c r="P43" s="431"/>
      <c r="Q43" s="431"/>
      <c r="R43" s="431"/>
      <c r="S43" s="431"/>
      <c r="T43" s="431"/>
      <c r="U43" s="431"/>
      <c r="V43" s="431"/>
      <c r="W43" s="431"/>
      <c r="X43" s="433">
        <f t="shared" si="7"/>
        <v>0</v>
      </c>
      <c r="Y43" s="431"/>
      <c r="Z43" s="431"/>
      <c r="AA43" s="431"/>
      <c r="AB43" s="431"/>
      <c r="AC43" s="431"/>
      <c r="AD43" s="431"/>
      <c r="AE43" s="432"/>
      <c r="AF43" s="431"/>
      <c r="AG43" s="431"/>
      <c r="AH43" s="431"/>
      <c r="AI43" s="431"/>
      <c r="AJ43" s="431"/>
      <c r="AK43" s="431"/>
      <c r="AL43" s="431"/>
      <c r="AM43" s="431"/>
      <c r="AN43" s="431"/>
      <c r="AO43" s="433">
        <f t="shared" si="8"/>
        <v>0</v>
      </c>
      <c r="AP43" s="432"/>
      <c r="AQ43" s="434"/>
    </row>
    <row r="44" spans="1:43" s="436" customFormat="1" ht="15.75" x14ac:dyDescent="0.25">
      <c r="A44" s="429">
        <f t="shared" si="9"/>
        <v>37</v>
      </c>
      <c r="B44" s="430"/>
      <c r="C44" s="331"/>
      <c r="D44" s="435" t="e">
        <f>VLOOKUP(C44,УЗиНП!$C$3:$D$1464,2,FALSE)</f>
        <v>#N/A</v>
      </c>
      <c r="E44" s="430"/>
      <c r="F44" s="431"/>
      <c r="G44" s="431"/>
      <c r="H44" s="431"/>
      <c r="I44" s="431"/>
      <c r="J44" s="431"/>
      <c r="K44" s="431"/>
      <c r="L44" s="431"/>
      <c r="M44" s="431"/>
      <c r="N44" s="431"/>
      <c r="O44" s="431"/>
      <c r="P44" s="431"/>
      <c r="Q44" s="431"/>
      <c r="R44" s="431"/>
      <c r="S44" s="431"/>
      <c r="T44" s="431"/>
      <c r="U44" s="431"/>
      <c r="V44" s="431"/>
      <c r="W44" s="431"/>
      <c r="X44" s="433">
        <f t="shared" si="7"/>
        <v>0</v>
      </c>
      <c r="Y44" s="431"/>
      <c r="Z44" s="431"/>
      <c r="AA44" s="431"/>
      <c r="AB44" s="431"/>
      <c r="AC44" s="431"/>
      <c r="AD44" s="431"/>
      <c r="AE44" s="432"/>
      <c r="AF44" s="431"/>
      <c r="AG44" s="431"/>
      <c r="AH44" s="431"/>
      <c r="AI44" s="431"/>
      <c r="AJ44" s="431"/>
      <c r="AK44" s="431"/>
      <c r="AL44" s="431"/>
      <c r="AM44" s="431"/>
      <c r="AN44" s="431"/>
      <c r="AO44" s="433">
        <f t="shared" si="8"/>
        <v>0</v>
      </c>
      <c r="AP44" s="432"/>
      <c r="AQ44" s="434"/>
    </row>
    <row r="45" spans="1:43" s="436" customFormat="1" ht="15.75" x14ac:dyDescent="0.25">
      <c r="A45" s="429">
        <f t="shared" si="9"/>
        <v>38</v>
      </c>
      <c r="B45" s="430"/>
      <c r="C45" s="331"/>
      <c r="D45" s="435" t="e">
        <f>VLOOKUP(C45,УЗиНП!$C$3:$D$1464,2,FALSE)</f>
        <v>#N/A</v>
      </c>
      <c r="E45" s="430"/>
      <c r="F45" s="431"/>
      <c r="G45" s="431"/>
      <c r="H45" s="431"/>
      <c r="I45" s="431"/>
      <c r="J45" s="431"/>
      <c r="K45" s="431"/>
      <c r="L45" s="431"/>
      <c r="M45" s="431"/>
      <c r="N45" s="431"/>
      <c r="O45" s="431"/>
      <c r="P45" s="431"/>
      <c r="Q45" s="431"/>
      <c r="R45" s="431"/>
      <c r="S45" s="431"/>
      <c r="T45" s="431"/>
      <c r="U45" s="431"/>
      <c r="V45" s="431"/>
      <c r="W45" s="431"/>
      <c r="X45" s="433">
        <f t="shared" si="7"/>
        <v>0</v>
      </c>
      <c r="Y45" s="431"/>
      <c r="Z45" s="431"/>
      <c r="AA45" s="431"/>
      <c r="AB45" s="431"/>
      <c r="AC45" s="431"/>
      <c r="AD45" s="431"/>
      <c r="AE45" s="432"/>
      <c r="AF45" s="431"/>
      <c r="AG45" s="431"/>
      <c r="AH45" s="431"/>
      <c r="AI45" s="431"/>
      <c r="AJ45" s="431"/>
      <c r="AK45" s="431"/>
      <c r="AL45" s="431"/>
      <c r="AM45" s="431"/>
      <c r="AN45" s="431"/>
      <c r="AO45" s="433">
        <f t="shared" si="8"/>
        <v>0</v>
      </c>
      <c r="AP45" s="432"/>
      <c r="AQ45" s="434"/>
    </row>
    <row r="46" spans="1:43" s="436" customFormat="1" ht="15.75" x14ac:dyDescent="0.25">
      <c r="A46" s="429">
        <f t="shared" si="9"/>
        <v>39</v>
      </c>
      <c r="B46" s="430"/>
      <c r="C46" s="331"/>
      <c r="D46" s="435" t="e">
        <f>VLOOKUP(C46,УЗиНП!$C$3:$D$1464,2,FALSE)</f>
        <v>#N/A</v>
      </c>
      <c r="E46" s="430"/>
      <c r="F46" s="431"/>
      <c r="G46" s="431"/>
      <c r="H46" s="431"/>
      <c r="I46" s="431"/>
      <c r="J46" s="431"/>
      <c r="K46" s="431"/>
      <c r="L46" s="431"/>
      <c r="M46" s="431"/>
      <c r="N46" s="431"/>
      <c r="O46" s="431"/>
      <c r="P46" s="431"/>
      <c r="Q46" s="431"/>
      <c r="R46" s="431"/>
      <c r="S46" s="431"/>
      <c r="T46" s="431"/>
      <c r="U46" s="431"/>
      <c r="V46" s="431"/>
      <c r="W46" s="431"/>
      <c r="X46" s="433">
        <f t="shared" si="7"/>
        <v>0</v>
      </c>
      <c r="Y46" s="431"/>
      <c r="Z46" s="431"/>
      <c r="AA46" s="431"/>
      <c r="AB46" s="431"/>
      <c r="AC46" s="431"/>
      <c r="AD46" s="431"/>
      <c r="AE46" s="432"/>
      <c r="AF46" s="431"/>
      <c r="AG46" s="431"/>
      <c r="AH46" s="431"/>
      <c r="AI46" s="431"/>
      <c r="AJ46" s="431"/>
      <c r="AK46" s="431"/>
      <c r="AL46" s="431"/>
      <c r="AM46" s="431"/>
      <c r="AN46" s="431"/>
      <c r="AO46" s="433">
        <f t="shared" si="8"/>
        <v>0</v>
      </c>
      <c r="AP46" s="432"/>
      <c r="AQ46" s="434"/>
    </row>
    <row r="47" spans="1:43" s="436" customFormat="1" ht="15.75" x14ac:dyDescent="0.25">
      <c r="A47" s="429">
        <f t="shared" si="9"/>
        <v>40</v>
      </c>
      <c r="B47" s="430"/>
      <c r="C47" s="331"/>
      <c r="D47" s="435" t="e">
        <f>VLOOKUP(C47,УЗиНП!$C$3:$D$1464,2,FALSE)</f>
        <v>#N/A</v>
      </c>
      <c r="E47" s="430"/>
      <c r="F47" s="431"/>
      <c r="G47" s="431"/>
      <c r="H47" s="431"/>
      <c r="I47" s="431"/>
      <c r="J47" s="431"/>
      <c r="K47" s="431"/>
      <c r="L47" s="431"/>
      <c r="M47" s="431"/>
      <c r="N47" s="431"/>
      <c r="O47" s="431"/>
      <c r="P47" s="431"/>
      <c r="Q47" s="431"/>
      <c r="R47" s="431"/>
      <c r="S47" s="431"/>
      <c r="T47" s="431"/>
      <c r="U47" s="431"/>
      <c r="V47" s="431"/>
      <c r="W47" s="431"/>
      <c r="X47" s="433">
        <f t="shared" si="7"/>
        <v>0</v>
      </c>
      <c r="Y47" s="431"/>
      <c r="Z47" s="431"/>
      <c r="AA47" s="431"/>
      <c r="AB47" s="431"/>
      <c r="AC47" s="431"/>
      <c r="AD47" s="431"/>
      <c r="AE47" s="432"/>
      <c r="AF47" s="431"/>
      <c r="AG47" s="431"/>
      <c r="AH47" s="431"/>
      <c r="AI47" s="431"/>
      <c r="AJ47" s="431"/>
      <c r="AK47" s="431"/>
      <c r="AL47" s="431"/>
      <c r="AM47" s="431"/>
      <c r="AN47" s="431"/>
      <c r="AO47" s="433">
        <f t="shared" si="8"/>
        <v>0</v>
      </c>
      <c r="AP47" s="432"/>
      <c r="AQ47" s="434"/>
    </row>
    <row r="48" spans="1:43" s="436" customFormat="1" ht="15.75" x14ac:dyDescent="0.25">
      <c r="A48" s="429">
        <f t="shared" si="9"/>
        <v>41</v>
      </c>
      <c r="B48" s="430"/>
      <c r="C48" s="331"/>
      <c r="D48" s="435" t="e">
        <f>VLOOKUP(C48,УЗиНП!$C$3:$D$1464,2,FALSE)</f>
        <v>#N/A</v>
      </c>
      <c r="E48" s="430"/>
      <c r="F48" s="431"/>
      <c r="G48" s="431"/>
      <c r="H48" s="431"/>
      <c r="I48" s="431"/>
      <c r="J48" s="431"/>
      <c r="K48" s="431"/>
      <c r="L48" s="431"/>
      <c r="M48" s="431"/>
      <c r="N48" s="431"/>
      <c r="O48" s="431"/>
      <c r="P48" s="431"/>
      <c r="Q48" s="431"/>
      <c r="R48" s="431"/>
      <c r="S48" s="431"/>
      <c r="T48" s="431"/>
      <c r="U48" s="431"/>
      <c r="V48" s="431"/>
      <c r="W48" s="431"/>
      <c r="X48" s="433">
        <f t="shared" si="7"/>
        <v>0</v>
      </c>
      <c r="Y48" s="431"/>
      <c r="Z48" s="431"/>
      <c r="AA48" s="431"/>
      <c r="AB48" s="431"/>
      <c r="AC48" s="431"/>
      <c r="AD48" s="431"/>
      <c r="AE48" s="432"/>
      <c r="AF48" s="431"/>
      <c r="AG48" s="431"/>
      <c r="AH48" s="431"/>
      <c r="AI48" s="431"/>
      <c r="AJ48" s="431"/>
      <c r="AK48" s="431"/>
      <c r="AL48" s="431"/>
      <c r="AM48" s="431"/>
      <c r="AN48" s="431"/>
      <c r="AO48" s="433">
        <f t="shared" si="8"/>
        <v>0</v>
      </c>
      <c r="AP48" s="432"/>
      <c r="AQ48" s="434"/>
    </row>
    <row r="49" spans="1:43" s="436" customFormat="1" ht="15.75" x14ac:dyDescent="0.25">
      <c r="A49" s="429">
        <f t="shared" si="9"/>
        <v>42</v>
      </c>
      <c r="B49" s="430"/>
      <c r="C49" s="331"/>
      <c r="D49" s="435" t="e">
        <f>VLOOKUP(C49,УЗиНП!$C$3:$D$1464,2,FALSE)</f>
        <v>#N/A</v>
      </c>
      <c r="E49" s="430"/>
      <c r="F49" s="431"/>
      <c r="G49" s="431"/>
      <c r="H49" s="431"/>
      <c r="I49" s="431"/>
      <c r="J49" s="431"/>
      <c r="K49" s="431"/>
      <c r="L49" s="431"/>
      <c r="M49" s="431"/>
      <c r="N49" s="431"/>
      <c r="O49" s="431"/>
      <c r="P49" s="431"/>
      <c r="Q49" s="431"/>
      <c r="R49" s="431"/>
      <c r="S49" s="431"/>
      <c r="T49" s="431"/>
      <c r="U49" s="431"/>
      <c r="V49" s="431"/>
      <c r="W49" s="431"/>
      <c r="X49" s="433">
        <f t="shared" si="7"/>
        <v>0</v>
      </c>
      <c r="Y49" s="431"/>
      <c r="Z49" s="431"/>
      <c r="AA49" s="431"/>
      <c r="AB49" s="431"/>
      <c r="AC49" s="431"/>
      <c r="AD49" s="431"/>
      <c r="AE49" s="432"/>
      <c r="AF49" s="431"/>
      <c r="AG49" s="431"/>
      <c r="AH49" s="431"/>
      <c r="AI49" s="431"/>
      <c r="AJ49" s="431"/>
      <c r="AK49" s="431"/>
      <c r="AL49" s="431"/>
      <c r="AM49" s="431"/>
      <c r="AN49" s="431"/>
      <c r="AO49" s="433">
        <f t="shared" si="8"/>
        <v>0</v>
      </c>
      <c r="AP49" s="432"/>
      <c r="AQ49" s="434"/>
    </row>
    <row r="50" spans="1:43" s="436" customFormat="1" ht="15.75" x14ac:dyDescent="0.25">
      <c r="A50" s="429">
        <f t="shared" si="9"/>
        <v>43</v>
      </c>
      <c r="B50" s="430"/>
      <c r="C50" s="331"/>
      <c r="D50" s="435" t="e">
        <f>VLOOKUP(C50,УЗиНП!$C$3:$D$1464,2,FALSE)</f>
        <v>#N/A</v>
      </c>
      <c r="E50" s="430"/>
      <c r="F50" s="431"/>
      <c r="G50" s="431"/>
      <c r="H50" s="431"/>
      <c r="I50" s="431"/>
      <c r="J50" s="431"/>
      <c r="K50" s="431"/>
      <c r="L50" s="431"/>
      <c r="M50" s="431"/>
      <c r="N50" s="431"/>
      <c r="O50" s="431"/>
      <c r="P50" s="431"/>
      <c r="Q50" s="431"/>
      <c r="R50" s="431"/>
      <c r="S50" s="431"/>
      <c r="T50" s="431"/>
      <c r="U50" s="431"/>
      <c r="V50" s="431"/>
      <c r="W50" s="431"/>
      <c r="X50" s="433">
        <f t="shared" si="7"/>
        <v>0</v>
      </c>
      <c r="Y50" s="431"/>
      <c r="Z50" s="431"/>
      <c r="AA50" s="431"/>
      <c r="AB50" s="431"/>
      <c r="AC50" s="431"/>
      <c r="AD50" s="431"/>
      <c r="AE50" s="432"/>
      <c r="AF50" s="431"/>
      <c r="AG50" s="431"/>
      <c r="AH50" s="431"/>
      <c r="AI50" s="431"/>
      <c r="AJ50" s="431"/>
      <c r="AK50" s="431"/>
      <c r="AL50" s="431"/>
      <c r="AM50" s="431"/>
      <c r="AN50" s="431"/>
      <c r="AO50" s="433">
        <f t="shared" si="8"/>
        <v>0</v>
      </c>
      <c r="AP50" s="432"/>
      <c r="AQ50" s="434"/>
    </row>
    <row r="51" spans="1:43" s="436" customFormat="1" ht="15.75" x14ac:dyDescent="0.25">
      <c r="A51" s="429">
        <f t="shared" si="9"/>
        <v>44</v>
      </c>
      <c r="B51" s="430"/>
      <c r="C51" s="331"/>
      <c r="D51" s="435" t="e">
        <f>VLOOKUP(C51,УЗиНП!$C$3:$D$1464,2,FALSE)</f>
        <v>#N/A</v>
      </c>
      <c r="E51" s="430"/>
      <c r="F51" s="431"/>
      <c r="G51" s="431"/>
      <c r="H51" s="431"/>
      <c r="I51" s="431"/>
      <c r="J51" s="431"/>
      <c r="K51" s="431"/>
      <c r="L51" s="431"/>
      <c r="M51" s="431"/>
      <c r="N51" s="431"/>
      <c r="O51" s="431"/>
      <c r="P51" s="431"/>
      <c r="Q51" s="431"/>
      <c r="R51" s="431"/>
      <c r="S51" s="431"/>
      <c r="T51" s="431"/>
      <c r="U51" s="431"/>
      <c r="V51" s="431"/>
      <c r="W51" s="431"/>
      <c r="X51" s="433">
        <f t="shared" si="7"/>
        <v>0</v>
      </c>
      <c r="Y51" s="431"/>
      <c r="Z51" s="431"/>
      <c r="AA51" s="431"/>
      <c r="AB51" s="431"/>
      <c r="AC51" s="431"/>
      <c r="AD51" s="431"/>
      <c r="AE51" s="432"/>
      <c r="AF51" s="431"/>
      <c r="AG51" s="431"/>
      <c r="AH51" s="431"/>
      <c r="AI51" s="431"/>
      <c r="AJ51" s="431"/>
      <c r="AK51" s="431"/>
      <c r="AL51" s="431"/>
      <c r="AM51" s="431"/>
      <c r="AN51" s="431"/>
      <c r="AO51" s="433">
        <f t="shared" si="8"/>
        <v>0</v>
      </c>
      <c r="AP51" s="432"/>
      <c r="AQ51" s="434"/>
    </row>
    <row r="52" spans="1:43" s="436" customFormat="1" ht="15.75" x14ac:dyDescent="0.25">
      <c r="A52" s="429">
        <f t="shared" si="9"/>
        <v>45</v>
      </c>
      <c r="B52" s="430"/>
      <c r="C52" s="331"/>
      <c r="D52" s="435" t="e">
        <f>VLOOKUP(C52,УЗиНП!$C$3:$D$1464,2,FALSE)</f>
        <v>#N/A</v>
      </c>
      <c r="E52" s="430"/>
      <c r="F52" s="431"/>
      <c r="G52" s="431"/>
      <c r="H52" s="431"/>
      <c r="I52" s="431"/>
      <c r="J52" s="431"/>
      <c r="K52" s="431"/>
      <c r="L52" s="431"/>
      <c r="M52" s="431"/>
      <c r="N52" s="431"/>
      <c r="O52" s="431"/>
      <c r="P52" s="431"/>
      <c r="Q52" s="431"/>
      <c r="R52" s="431"/>
      <c r="S52" s="431"/>
      <c r="T52" s="431"/>
      <c r="U52" s="431"/>
      <c r="V52" s="431"/>
      <c r="W52" s="431"/>
      <c r="X52" s="433">
        <f t="shared" si="7"/>
        <v>0</v>
      </c>
      <c r="Y52" s="431"/>
      <c r="Z52" s="431"/>
      <c r="AA52" s="431"/>
      <c r="AB52" s="431"/>
      <c r="AC52" s="431"/>
      <c r="AD52" s="431"/>
      <c r="AE52" s="432"/>
      <c r="AF52" s="431"/>
      <c r="AG52" s="431"/>
      <c r="AH52" s="431"/>
      <c r="AI52" s="431"/>
      <c r="AJ52" s="431"/>
      <c r="AK52" s="431"/>
      <c r="AL52" s="431"/>
      <c r="AM52" s="431"/>
      <c r="AN52" s="431"/>
      <c r="AO52" s="433">
        <f t="shared" si="8"/>
        <v>0</v>
      </c>
      <c r="AP52" s="432"/>
      <c r="AQ52" s="434"/>
    </row>
    <row r="53" spans="1:43" s="436" customFormat="1" ht="15.75" x14ac:dyDescent="0.25">
      <c r="A53" s="429">
        <f t="shared" si="9"/>
        <v>46</v>
      </c>
      <c r="B53" s="430"/>
      <c r="C53" s="331"/>
      <c r="D53" s="435" t="e">
        <f>VLOOKUP(C53,УЗиНП!$C$3:$D$1464,2,FALSE)</f>
        <v>#N/A</v>
      </c>
      <c r="E53" s="430"/>
      <c r="F53" s="431"/>
      <c r="G53" s="431"/>
      <c r="H53" s="431"/>
      <c r="I53" s="431"/>
      <c r="J53" s="431"/>
      <c r="K53" s="431"/>
      <c r="L53" s="431"/>
      <c r="M53" s="431"/>
      <c r="N53" s="431"/>
      <c r="O53" s="431"/>
      <c r="P53" s="431"/>
      <c r="Q53" s="431"/>
      <c r="R53" s="431"/>
      <c r="S53" s="431"/>
      <c r="T53" s="431"/>
      <c r="U53" s="431"/>
      <c r="V53" s="431"/>
      <c r="W53" s="431"/>
      <c r="X53" s="433">
        <f t="shared" si="7"/>
        <v>0</v>
      </c>
      <c r="Y53" s="431"/>
      <c r="Z53" s="431"/>
      <c r="AA53" s="431"/>
      <c r="AB53" s="431"/>
      <c r="AC53" s="431"/>
      <c r="AD53" s="431"/>
      <c r="AE53" s="432"/>
      <c r="AF53" s="431"/>
      <c r="AG53" s="431"/>
      <c r="AH53" s="431"/>
      <c r="AI53" s="431"/>
      <c r="AJ53" s="431"/>
      <c r="AK53" s="431"/>
      <c r="AL53" s="431"/>
      <c r="AM53" s="431"/>
      <c r="AN53" s="431"/>
      <c r="AO53" s="433">
        <f t="shared" si="8"/>
        <v>0</v>
      </c>
      <c r="AP53" s="432"/>
      <c r="AQ53" s="434"/>
    </row>
    <row r="54" spans="1:43" s="436" customFormat="1" ht="15.75" x14ac:dyDescent="0.25">
      <c r="A54" s="429">
        <f t="shared" si="9"/>
        <v>47</v>
      </c>
      <c r="B54" s="430"/>
      <c r="C54" s="331"/>
      <c r="D54" s="435" t="e">
        <f>VLOOKUP(C54,УЗиНП!$C$3:$D$1464,2,FALSE)</f>
        <v>#N/A</v>
      </c>
      <c r="E54" s="430"/>
      <c r="F54" s="431"/>
      <c r="G54" s="431"/>
      <c r="H54" s="431"/>
      <c r="I54" s="431"/>
      <c r="J54" s="431"/>
      <c r="K54" s="431"/>
      <c r="L54" s="431"/>
      <c r="M54" s="431"/>
      <c r="N54" s="431"/>
      <c r="O54" s="431"/>
      <c r="P54" s="431"/>
      <c r="Q54" s="431"/>
      <c r="R54" s="431"/>
      <c r="S54" s="431"/>
      <c r="T54" s="431"/>
      <c r="U54" s="431"/>
      <c r="V54" s="431"/>
      <c r="W54" s="431"/>
      <c r="X54" s="433">
        <f t="shared" si="7"/>
        <v>0</v>
      </c>
      <c r="Y54" s="431"/>
      <c r="Z54" s="431"/>
      <c r="AA54" s="431"/>
      <c r="AB54" s="431"/>
      <c r="AC54" s="431"/>
      <c r="AD54" s="431"/>
      <c r="AE54" s="432"/>
      <c r="AF54" s="431"/>
      <c r="AG54" s="431"/>
      <c r="AH54" s="431"/>
      <c r="AI54" s="431"/>
      <c r="AJ54" s="431"/>
      <c r="AK54" s="431"/>
      <c r="AL54" s="431"/>
      <c r="AM54" s="431"/>
      <c r="AN54" s="431"/>
      <c r="AO54" s="433">
        <f t="shared" si="8"/>
        <v>0</v>
      </c>
      <c r="AP54" s="432"/>
      <c r="AQ54" s="434"/>
    </row>
    <row r="55" spans="1:43" s="436" customFormat="1" ht="15.75" x14ac:dyDescent="0.25">
      <c r="A55" s="429">
        <f t="shared" si="9"/>
        <v>48</v>
      </c>
      <c r="B55" s="430"/>
      <c r="C55" s="331"/>
      <c r="D55" s="435" t="e">
        <f>VLOOKUP(C55,УЗиНП!$C$3:$D$1464,2,FALSE)</f>
        <v>#N/A</v>
      </c>
      <c r="E55" s="430"/>
      <c r="F55" s="431"/>
      <c r="G55" s="431"/>
      <c r="H55" s="431"/>
      <c r="I55" s="431"/>
      <c r="J55" s="431"/>
      <c r="K55" s="431"/>
      <c r="L55" s="431"/>
      <c r="M55" s="431"/>
      <c r="N55" s="431"/>
      <c r="O55" s="431"/>
      <c r="P55" s="431"/>
      <c r="Q55" s="431"/>
      <c r="R55" s="431"/>
      <c r="S55" s="431"/>
      <c r="T55" s="431"/>
      <c r="U55" s="431"/>
      <c r="V55" s="431"/>
      <c r="W55" s="431"/>
      <c r="X55" s="433">
        <f t="shared" si="7"/>
        <v>0</v>
      </c>
      <c r="Y55" s="431"/>
      <c r="Z55" s="431"/>
      <c r="AA55" s="431"/>
      <c r="AB55" s="431"/>
      <c r="AC55" s="431"/>
      <c r="AD55" s="431"/>
      <c r="AE55" s="432"/>
      <c r="AF55" s="431"/>
      <c r="AG55" s="431"/>
      <c r="AH55" s="431"/>
      <c r="AI55" s="431"/>
      <c r="AJ55" s="431"/>
      <c r="AK55" s="431"/>
      <c r="AL55" s="431"/>
      <c r="AM55" s="431"/>
      <c r="AN55" s="431"/>
      <c r="AO55" s="433">
        <f t="shared" si="8"/>
        <v>0</v>
      </c>
      <c r="AP55" s="432"/>
      <c r="AQ55" s="434"/>
    </row>
    <row r="56" spans="1:43" s="436" customFormat="1" ht="15.75" x14ac:dyDescent="0.25">
      <c r="A56" s="429">
        <f t="shared" si="9"/>
        <v>49</v>
      </c>
      <c r="B56" s="430"/>
      <c r="C56" s="331"/>
      <c r="D56" s="435" t="e">
        <f>VLOOKUP(C56,УЗиНП!$C$3:$D$1464,2,FALSE)</f>
        <v>#N/A</v>
      </c>
      <c r="E56" s="430"/>
      <c r="F56" s="431"/>
      <c r="G56" s="431"/>
      <c r="H56" s="431"/>
      <c r="I56" s="431"/>
      <c r="J56" s="431"/>
      <c r="K56" s="431"/>
      <c r="L56" s="431"/>
      <c r="M56" s="431"/>
      <c r="N56" s="431"/>
      <c r="O56" s="431"/>
      <c r="P56" s="431"/>
      <c r="Q56" s="431"/>
      <c r="R56" s="431"/>
      <c r="S56" s="431"/>
      <c r="T56" s="431"/>
      <c r="U56" s="431"/>
      <c r="V56" s="431"/>
      <c r="W56" s="431"/>
      <c r="X56" s="433">
        <f t="shared" si="7"/>
        <v>0</v>
      </c>
      <c r="Y56" s="431"/>
      <c r="Z56" s="431"/>
      <c r="AA56" s="431"/>
      <c r="AB56" s="431"/>
      <c r="AC56" s="431"/>
      <c r="AD56" s="431"/>
      <c r="AE56" s="432"/>
      <c r="AF56" s="431"/>
      <c r="AG56" s="431"/>
      <c r="AH56" s="431"/>
      <c r="AI56" s="431"/>
      <c r="AJ56" s="431"/>
      <c r="AK56" s="431"/>
      <c r="AL56" s="431"/>
      <c r="AM56" s="431"/>
      <c r="AN56" s="431"/>
      <c r="AO56" s="433">
        <f t="shared" si="8"/>
        <v>0</v>
      </c>
      <c r="AP56" s="432"/>
      <c r="AQ56" s="434"/>
    </row>
    <row r="57" spans="1:43" s="436" customFormat="1" ht="15.75" x14ac:dyDescent="0.25">
      <c r="A57" s="429">
        <f t="shared" si="9"/>
        <v>50</v>
      </c>
      <c r="B57" s="430"/>
      <c r="C57" s="331"/>
      <c r="D57" s="435" t="e">
        <f>VLOOKUP(C57,УЗиНП!$C$3:$D$1464,2,FALSE)</f>
        <v>#N/A</v>
      </c>
      <c r="E57" s="430"/>
      <c r="F57" s="431"/>
      <c r="G57" s="431"/>
      <c r="H57" s="431"/>
      <c r="I57" s="431"/>
      <c r="J57" s="431"/>
      <c r="K57" s="431"/>
      <c r="L57" s="431"/>
      <c r="M57" s="431"/>
      <c r="N57" s="431"/>
      <c r="O57" s="431"/>
      <c r="P57" s="431"/>
      <c r="Q57" s="431"/>
      <c r="R57" s="431"/>
      <c r="S57" s="431"/>
      <c r="T57" s="431"/>
      <c r="U57" s="431"/>
      <c r="V57" s="431"/>
      <c r="W57" s="431"/>
      <c r="X57" s="433">
        <f t="shared" si="7"/>
        <v>0</v>
      </c>
      <c r="Y57" s="431"/>
      <c r="Z57" s="431"/>
      <c r="AA57" s="431"/>
      <c r="AB57" s="431"/>
      <c r="AC57" s="431"/>
      <c r="AD57" s="431"/>
      <c r="AE57" s="432"/>
      <c r="AF57" s="431"/>
      <c r="AG57" s="431"/>
      <c r="AH57" s="431"/>
      <c r="AI57" s="431"/>
      <c r="AJ57" s="431"/>
      <c r="AK57" s="431"/>
      <c r="AL57" s="431"/>
      <c r="AM57" s="431"/>
      <c r="AN57" s="431"/>
      <c r="AO57" s="433">
        <f t="shared" si="8"/>
        <v>0</v>
      </c>
      <c r="AP57" s="432"/>
      <c r="AQ57" s="434"/>
    </row>
    <row r="58" spans="1:43" s="436" customFormat="1" ht="15.75" x14ac:dyDescent="0.25">
      <c r="A58" s="429">
        <f t="shared" si="9"/>
        <v>51</v>
      </c>
      <c r="B58" s="430"/>
      <c r="C58" s="331"/>
      <c r="D58" s="435" t="e">
        <f>VLOOKUP(C58,УЗиНП!$C$3:$D$1464,2,FALSE)</f>
        <v>#N/A</v>
      </c>
      <c r="E58" s="430"/>
      <c r="F58" s="431"/>
      <c r="G58" s="431"/>
      <c r="H58" s="431"/>
      <c r="I58" s="431"/>
      <c r="J58" s="431"/>
      <c r="K58" s="431"/>
      <c r="L58" s="431"/>
      <c r="M58" s="431"/>
      <c r="N58" s="431"/>
      <c r="O58" s="431"/>
      <c r="P58" s="431"/>
      <c r="Q58" s="431"/>
      <c r="R58" s="431"/>
      <c r="S58" s="431"/>
      <c r="T58" s="431"/>
      <c r="U58" s="431"/>
      <c r="V58" s="431"/>
      <c r="W58" s="431"/>
      <c r="X58" s="433">
        <f t="shared" si="7"/>
        <v>0</v>
      </c>
      <c r="Y58" s="431"/>
      <c r="Z58" s="431"/>
      <c r="AA58" s="431"/>
      <c r="AB58" s="431"/>
      <c r="AC58" s="431"/>
      <c r="AD58" s="431"/>
      <c r="AE58" s="432"/>
      <c r="AF58" s="431"/>
      <c r="AG58" s="431"/>
      <c r="AH58" s="431"/>
      <c r="AI58" s="431"/>
      <c r="AJ58" s="431"/>
      <c r="AK58" s="431"/>
      <c r="AL58" s="431"/>
      <c r="AM58" s="431"/>
      <c r="AN58" s="431"/>
      <c r="AO58" s="433">
        <f t="shared" si="8"/>
        <v>0</v>
      </c>
      <c r="AP58" s="432"/>
      <c r="AQ58" s="434"/>
    </row>
    <row r="59" spans="1:43" s="436" customFormat="1" ht="15.75" x14ac:dyDescent="0.25">
      <c r="A59" s="429">
        <f t="shared" si="9"/>
        <v>52</v>
      </c>
      <c r="B59" s="430"/>
      <c r="C59" s="331"/>
      <c r="D59" s="435" t="e">
        <f>VLOOKUP(C59,УЗиНП!$C$3:$D$1464,2,FALSE)</f>
        <v>#N/A</v>
      </c>
      <c r="E59" s="430"/>
      <c r="F59" s="431"/>
      <c r="G59" s="431"/>
      <c r="H59" s="431"/>
      <c r="I59" s="431"/>
      <c r="J59" s="431"/>
      <c r="K59" s="431"/>
      <c r="L59" s="431"/>
      <c r="M59" s="431"/>
      <c r="N59" s="431"/>
      <c r="O59" s="431"/>
      <c r="P59" s="431"/>
      <c r="Q59" s="431"/>
      <c r="R59" s="431"/>
      <c r="S59" s="431"/>
      <c r="T59" s="431"/>
      <c r="U59" s="431"/>
      <c r="V59" s="431"/>
      <c r="W59" s="431"/>
      <c r="X59" s="433">
        <f t="shared" si="7"/>
        <v>0</v>
      </c>
      <c r="Y59" s="431"/>
      <c r="Z59" s="431"/>
      <c r="AA59" s="431"/>
      <c r="AB59" s="431"/>
      <c r="AC59" s="431"/>
      <c r="AD59" s="431"/>
      <c r="AE59" s="432"/>
      <c r="AF59" s="431"/>
      <c r="AG59" s="431"/>
      <c r="AH59" s="431"/>
      <c r="AI59" s="431"/>
      <c r="AJ59" s="431"/>
      <c r="AK59" s="431"/>
      <c r="AL59" s="431"/>
      <c r="AM59" s="431"/>
      <c r="AN59" s="431"/>
      <c r="AO59" s="433">
        <f t="shared" si="8"/>
        <v>0</v>
      </c>
      <c r="AP59" s="432"/>
      <c r="AQ59" s="434"/>
    </row>
    <row r="60" spans="1:43" s="436" customFormat="1" ht="15.75" x14ac:dyDescent="0.25">
      <c r="A60" s="429">
        <f t="shared" si="9"/>
        <v>53</v>
      </c>
      <c r="B60" s="430"/>
      <c r="C60" s="331"/>
      <c r="D60" s="435" t="e">
        <f>VLOOKUP(C60,УЗиНП!$C$3:$D$1464,2,FALSE)</f>
        <v>#N/A</v>
      </c>
      <c r="E60" s="430"/>
      <c r="F60" s="431"/>
      <c r="G60" s="431"/>
      <c r="H60" s="431"/>
      <c r="I60" s="431"/>
      <c r="J60" s="431"/>
      <c r="K60" s="431"/>
      <c r="L60" s="431"/>
      <c r="M60" s="431"/>
      <c r="N60" s="431"/>
      <c r="O60" s="431"/>
      <c r="P60" s="431"/>
      <c r="Q60" s="431"/>
      <c r="R60" s="431"/>
      <c r="S60" s="431"/>
      <c r="T60" s="431"/>
      <c r="U60" s="431"/>
      <c r="V60" s="431"/>
      <c r="W60" s="431"/>
      <c r="X60" s="433">
        <f t="shared" si="7"/>
        <v>0</v>
      </c>
      <c r="Y60" s="431"/>
      <c r="Z60" s="431"/>
      <c r="AA60" s="431"/>
      <c r="AB60" s="431"/>
      <c r="AC60" s="431"/>
      <c r="AD60" s="431"/>
      <c r="AE60" s="432"/>
      <c r="AF60" s="431"/>
      <c r="AG60" s="431"/>
      <c r="AH60" s="431"/>
      <c r="AI60" s="431"/>
      <c r="AJ60" s="431"/>
      <c r="AK60" s="431"/>
      <c r="AL60" s="431"/>
      <c r="AM60" s="431"/>
      <c r="AN60" s="431"/>
      <c r="AO60" s="433">
        <f t="shared" si="8"/>
        <v>0</v>
      </c>
      <c r="AP60" s="432"/>
      <c r="AQ60" s="434"/>
    </row>
    <row r="61" spans="1:43" s="436" customFormat="1" ht="15.75" x14ac:dyDescent="0.25">
      <c r="A61" s="429">
        <f t="shared" si="9"/>
        <v>54</v>
      </c>
      <c r="B61" s="430"/>
      <c r="C61" s="331"/>
      <c r="D61" s="435" t="e">
        <f>VLOOKUP(C61,УЗиНП!$C$3:$D$1464,2,FALSE)</f>
        <v>#N/A</v>
      </c>
      <c r="E61" s="430"/>
      <c r="F61" s="431"/>
      <c r="G61" s="431"/>
      <c r="H61" s="431"/>
      <c r="I61" s="431"/>
      <c r="J61" s="431"/>
      <c r="K61" s="431"/>
      <c r="L61" s="431"/>
      <c r="M61" s="431"/>
      <c r="N61" s="431"/>
      <c r="O61" s="431"/>
      <c r="P61" s="431"/>
      <c r="Q61" s="431"/>
      <c r="R61" s="431"/>
      <c r="S61" s="431"/>
      <c r="T61" s="431"/>
      <c r="U61" s="431"/>
      <c r="V61" s="431"/>
      <c r="W61" s="431"/>
      <c r="X61" s="433">
        <f t="shared" si="7"/>
        <v>0</v>
      </c>
      <c r="Y61" s="431"/>
      <c r="Z61" s="431"/>
      <c r="AA61" s="431"/>
      <c r="AB61" s="431"/>
      <c r="AC61" s="431"/>
      <c r="AD61" s="431"/>
      <c r="AE61" s="432"/>
      <c r="AF61" s="431"/>
      <c r="AG61" s="431"/>
      <c r="AH61" s="431"/>
      <c r="AI61" s="431"/>
      <c r="AJ61" s="431"/>
      <c r="AK61" s="431"/>
      <c r="AL61" s="431"/>
      <c r="AM61" s="431"/>
      <c r="AN61" s="431"/>
      <c r="AO61" s="433">
        <f t="shared" si="8"/>
        <v>0</v>
      </c>
      <c r="AP61" s="432"/>
      <c r="AQ61" s="434"/>
    </row>
    <row r="62" spans="1:43" s="436" customFormat="1" ht="15.75" x14ac:dyDescent="0.25">
      <c r="A62" s="429">
        <f t="shared" si="9"/>
        <v>55</v>
      </c>
      <c r="B62" s="430"/>
      <c r="C62" s="331"/>
      <c r="D62" s="435" t="e">
        <f>VLOOKUP(C62,УЗиНП!$C$3:$D$1464,2,FALSE)</f>
        <v>#N/A</v>
      </c>
      <c r="E62" s="430"/>
      <c r="F62" s="431"/>
      <c r="G62" s="431"/>
      <c r="H62" s="431"/>
      <c r="I62" s="431"/>
      <c r="J62" s="431"/>
      <c r="K62" s="431"/>
      <c r="L62" s="431"/>
      <c r="M62" s="431"/>
      <c r="N62" s="431"/>
      <c r="O62" s="431"/>
      <c r="P62" s="431"/>
      <c r="Q62" s="431"/>
      <c r="R62" s="431"/>
      <c r="S62" s="431"/>
      <c r="T62" s="431"/>
      <c r="U62" s="431"/>
      <c r="V62" s="431"/>
      <c r="W62" s="431"/>
      <c r="X62" s="433">
        <f t="shared" si="7"/>
        <v>0</v>
      </c>
      <c r="Y62" s="431"/>
      <c r="Z62" s="431"/>
      <c r="AA62" s="431"/>
      <c r="AB62" s="431"/>
      <c r="AC62" s="431"/>
      <c r="AD62" s="431"/>
      <c r="AE62" s="432"/>
      <c r="AF62" s="431"/>
      <c r="AG62" s="431"/>
      <c r="AH62" s="431"/>
      <c r="AI62" s="431"/>
      <c r="AJ62" s="431"/>
      <c r="AK62" s="431"/>
      <c r="AL62" s="431"/>
      <c r="AM62" s="431"/>
      <c r="AN62" s="431"/>
      <c r="AO62" s="433">
        <f t="shared" si="8"/>
        <v>0</v>
      </c>
      <c r="AP62" s="432"/>
      <c r="AQ62" s="434"/>
    </row>
    <row r="63" spans="1:43" s="436" customFormat="1" ht="15.75" x14ac:dyDescent="0.25">
      <c r="A63" s="429">
        <f t="shared" si="9"/>
        <v>56</v>
      </c>
      <c r="B63" s="430"/>
      <c r="C63" s="331"/>
      <c r="D63" s="435" t="e">
        <f>VLOOKUP(C63,УЗиНП!$C$3:$D$1464,2,FALSE)</f>
        <v>#N/A</v>
      </c>
      <c r="E63" s="430"/>
      <c r="F63" s="431"/>
      <c r="G63" s="431"/>
      <c r="H63" s="431"/>
      <c r="I63" s="431"/>
      <c r="J63" s="431"/>
      <c r="K63" s="431"/>
      <c r="L63" s="431"/>
      <c r="M63" s="431"/>
      <c r="N63" s="431"/>
      <c r="O63" s="431"/>
      <c r="P63" s="431"/>
      <c r="Q63" s="431"/>
      <c r="R63" s="431"/>
      <c r="S63" s="431"/>
      <c r="T63" s="431"/>
      <c r="U63" s="431"/>
      <c r="V63" s="431"/>
      <c r="W63" s="431"/>
      <c r="X63" s="433">
        <f t="shared" si="7"/>
        <v>0</v>
      </c>
      <c r="Y63" s="431"/>
      <c r="Z63" s="431"/>
      <c r="AA63" s="431"/>
      <c r="AB63" s="431"/>
      <c r="AC63" s="431"/>
      <c r="AD63" s="431"/>
      <c r="AE63" s="432"/>
      <c r="AF63" s="431"/>
      <c r="AG63" s="431"/>
      <c r="AH63" s="431"/>
      <c r="AI63" s="431"/>
      <c r="AJ63" s="431"/>
      <c r="AK63" s="431"/>
      <c r="AL63" s="431"/>
      <c r="AM63" s="431"/>
      <c r="AN63" s="431"/>
      <c r="AO63" s="433">
        <f t="shared" si="8"/>
        <v>0</v>
      </c>
      <c r="AP63" s="432"/>
      <c r="AQ63" s="434"/>
    </row>
    <row r="64" spans="1:43" s="436" customFormat="1" ht="15.75" x14ac:dyDescent="0.25">
      <c r="A64" s="429">
        <f t="shared" si="9"/>
        <v>57</v>
      </c>
      <c r="B64" s="430"/>
      <c r="C64" s="331"/>
      <c r="D64" s="435" t="e">
        <f>VLOOKUP(C64,УЗиНП!$C$3:$D$1464,2,FALSE)</f>
        <v>#N/A</v>
      </c>
      <c r="E64" s="430"/>
      <c r="F64" s="431"/>
      <c r="G64" s="431"/>
      <c r="H64" s="431"/>
      <c r="I64" s="431"/>
      <c r="J64" s="431"/>
      <c r="K64" s="431"/>
      <c r="L64" s="431"/>
      <c r="M64" s="431"/>
      <c r="N64" s="431"/>
      <c r="O64" s="431"/>
      <c r="P64" s="431"/>
      <c r="Q64" s="431"/>
      <c r="R64" s="431"/>
      <c r="S64" s="431"/>
      <c r="T64" s="431"/>
      <c r="U64" s="431"/>
      <c r="V64" s="431"/>
      <c r="W64" s="431"/>
      <c r="X64" s="433">
        <f t="shared" si="7"/>
        <v>0</v>
      </c>
      <c r="Y64" s="431"/>
      <c r="Z64" s="431"/>
      <c r="AA64" s="431"/>
      <c r="AB64" s="431"/>
      <c r="AC64" s="431"/>
      <c r="AD64" s="431"/>
      <c r="AE64" s="432"/>
      <c r="AF64" s="431"/>
      <c r="AG64" s="431"/>
      <c r="AH64" s="431"/>
      <c r="AI64" s="431"/>
      <c r="AJ64" s="431"/>
      <c r="AK64" s="431"/>
      <c r="AL64" s="431"/>
      <c r="AM64" s="431"/>
      <c r="AN64" s="431"/>
      <c r="AO64" s="433">
        <f t="shared" si="8"/>
        <v>0</v>
      </c>
      <c r="AP64" s="432"/>
      <c r="AQ64" s="434"/>
    </row>
    <row r="65" spans="1:43" s="436" customFormat="1" ht="15.75" x14ac:dyDescent="0.25">
      <c r="A65" s="429">
        <f t="shared" si="9"/>
        <v>58</v>
      </c>
      <c r="B65" s="430"/>
      <c r="C65" s="331"/>
      <c r="D65" s="435" t="e">
        <f>VLOOKUP(C65,УЗиНП!$C$3:$D$1464,2,FALSE)</f>
        <v>#N/A</v>
      </c>
      <c r="E65" s="430"/>
      <c r="F65" s="431"/>
      <c r="G65" s="431"/>
      <c r="H65" s="431"/>
      <c r="I65" s="431"/>
      <c r="J65" s="431"/>
      <c r="K65" s="431"/>
      <c r="L65" s="431"/>
      <c r="M65" s="431"/>
      <c r="N65" s="431"/>
      <c r="O65" s="431"/>
      <c r="P65" s="431"/>
      <c r="Q65" s="431"/>
      <c r="R65" s="431"/>
      <c r="S65" s="431"/>
      <c r="T65" s="431"/>
      <c r="U65" s="431"/>
      <c r="V65" s="431"/>
      <c r="W65" s="431"/>
      <c r="X65" s="433">
        <f t="shared" si="7"/>
        <v>0</v>
      </c>
      <c r="Y65" s="431"/>
      <c r="Z65" s="431"/>
      <c r="AA65" s="431"/>
      <c r="AB65" s="431"/>
      <c r="AC65" s="431"/>
      <c r="AD65" s="431"/>
      <c r="AE65" s="432"/>
      <c r="AF65" s="431"/>
      <c r="AG65" s="431"/>
      <c r="AH65" s="431"/>
      <c r="AI65" s="431"/>
      <c r="AJ65" s="431"/>
      <c r="AK65" s="431"/>
      <c r="AL65" s="431"/>
      <c r="AM65" s="431"/>
      <c r="AN65" s="431"/>
      <c r="AO65" s="433">
        <f t="shared" si="8"/>
        <v>0</v>
      </c>
      <c r="AP65" s="432"/>
      <c r="AQ65" s="434"/>
    </row>
    <row r="66" spans="1:43" s="436" customFormat="1" ht="15.75" x14ac:dyDescent="0.25">
      <c r="A66" s="429">
        <f t="shared" si="9"/>
        <v>59</v>
      </c>
      <c r="B66" s="430"/>
      <c r="C66" s="331"/>
      <c r="D66" s="435" t="e">
        <f>VLOOKUP(C66,УЗиНП!$C$3:$D$1464,2,FALSE)</f>
        <v>#N/A</v>
      </c>
      <c r="E66" s="430"/>
      <c r="F66" s="431"/>
      <c r="G66" s="431"/>
      <c r="H66" s="431"/>
      <c r="I66" s="431"/>
      <c r="J66" s="431"/>
      <c r="K66" s="431"/>
      <c r="L66" s="431"/>
      <c r="M66" s="431"/>
      <c r="N66" s="431"/>
      <c r="O66" s="431"/>
      <c r="P66" s="431"/>
      <c r="Q66" s="431"/>
      <c r="R66" s="431"/>
      <c r="S66" s="431"/>
      <c r="T66" s="431"/>
      <c r="U66" s="431"/>
      <c r="V66" s="431"/>
      <c r="W66" s="431"/>
      <c r="X66" s="433">
        <f t="shared" si="7"/>
        <v>0</v>
      </c>
      <c r="Y66" s="431"/>
      <c r="Z66" s="431"/>
      <c r="AA66" s="431"/>
      <c r="AB66" s="431"/>
      <c r="AC66" s="431"/>
      <c r="AD66" s="431"/>
      <c r="AE66" s="432"/>
      <c r="AF66" s="431"/>
      <c r="AG66" s="431"/>
      <c r="AH66" s="431"/>
      <c r="AI66" s="431"/>
      <c r="AJ66" s="431"/>
      <c r="AK66" s="431"/>
      <c r="AL66" s="431"/>
      <c r="AM66" s="431"/>
      <c r="AN66" s="431"/>
      <c r="AO66" s="433">
        <f t="shared" si="8"/>
        <v>0</v>
      </c>
      <c r="AP66" s="432"/>
      <c r="AQ66" s="434"/>
    </row>
    <row r="67" spans="1:43" s="436" customFormat="1" ht="15.75" x14ac:dyDescent="0.25">
      <c r="A67" s="429">
        <f t="shared" si="9"/>
        <v>60</v>
      </c>
      <c r="B67" s="430"/>
      <c r="C67" s="331"/>
      <c r="D67" s="435" t="e">
        <f>VLOOKUP(C67,УЗиНП!$C$3:$D$1464,2,FALSE)</f>
        <v>#N/A</v>
      </c>
      <c r="E67" s="430"/>
      <c r="F67" s="431"/>
      <c r="G67" s="431"/>
      <c r="H67" s="431"/>
      <c r="I67" s="431"/>
      <c r="J67" s="431"/>
      <c r="K67" s="431"/>
      <c r="L67" s="431"/>
      <c r="M67" s="431"/>
      <c r="N67" s="431"/>
      <c r="O67" s="431"/>
      <c r="P67" s="431"/>
      <c r="Q67" s="431"/>
      <c r="R67" s="431"/>
      <c r="S67" s="431"/>
      <c r="T67" s="431"/>
      <c r="U67" s="431"/>
      <c r="V67" s="431"/>
      <c r="W67" s="431"/>
      <c r="X67" s="433">
        <f t="shared" si="7"/>
        <v>0</v>
      </c>
      <c r="Y67" s="431"/>
      <c r="Z67" s="431"/>
      <c r="AA67" s="431"/>
      <c r="AB67" s="431"/>
      <c r="AC67" s="431"/>
      <c r="AD67" s="431"/>
      <c r="AE67" s="432"/>
      <c r="AF67" s="431"/>
      <c r="AG67" s="431"/>
      <c r="AH67" s="431"/>
      <c r="AI67" s="431"/>
      <c r="AJ67" s="431"/>
      <c r="AK67" s="431"/>
      <c r="AL67" s="431"/>
      <c r="AM67" s="431"/>
      <c r="AN67" s="431"/>
      <c r="AO67" s="433">
        <f t="shared" si="8"/>
        <v>0</v>
      </c>
      <c r="AP67" s="432"/>
      <c r="AQ67" s="434"/>
    </row>
    <row r="68" spans="1:43" s="436" customFormat="1" ht="15.75" x14ac:dyDescent="0.25">
      <c r="A68" s="429">
        <f t="shared" si="9"/>
        <v>61</v>
      </c>
      <c r="B68" s="430"/>
      <c r="C68" s="331"/>
      <c r="D68" s="435" t="e">
        <f>VLOOKUP(C68,УЗиНП!$C$3:$D$1464,2,FALSE)</f>
        <v>#N/A</v>
      </c>
      <c r="E68" s="430"/>
      <c r="F68" s="431"/>
      <c r="G68" s="431"/>
      <c r="H68" s="431"/>
      <c r="I68" s="431"/>
      <c r="J68" s="431"/>
      <c r="K68" s="431"/>
      <c r="L68" s="431"/>
      <c r="M68" s="431"/>
      <c r="N68" s="431"/>
      <c r="O68" s="431"/>
      <c r="P68" s="431"/>
      <c r="Q68" s="431"/>
      <c r="R68" s="431"/>
      <c r="S68" s="431"/>
      <c r="T68" s="431"/>
      <c r="U68" s="431"/>
      <c r="V68" s="431"/>
      <c r="W68" s="431"/>
      <c r="X68" s="433">
        <f t="shared" si="7"/>
        <v>0</v>
      </c>
      <c r="Y68" s="431"/>
      <c r="Z68" s="431"/>
      <c r="AA68" s="431"/>
      <c r="AB68" s="431"/>
      <c r="AC68" s="431"/>
      <c r="AD68" s="431"/>
      <c r="AE68" s="432"/>
      <c r="AF68" s="431"/>
      <c r="AG68" s="431"/>
      <c r="AH68" s="431"/>
      <c r="AI68" s="431"/>
      <c r="AJ68" s="431"/>
      <c r="AK68" s="431"/>
      <c r="AL68" s="431"/>
      <c r="AM68" s="431"/>
      <c r="AN68" s="431"/>
      <c r="AO68" s="433">
        <f t="shared" si="8"/>
        <v>0</v>
      </c>
      <c r="AP68" s="432"/>
      <c r="AQ68" s="434"/>
    </row>
    <row r="69" spans="1:43" s="436" customFormat="1" ht="15.75" x14ac:dyDescent="0.25">
      <c r="A69" s="429">
        <f t="shared" si="9"/>
        <v>62</v>
      </c>
      <c r="B69" s="430"/>
      <c r="C69" s="331"/>
      <c r="D69" s="435" t="e">
        <f>VLOOKUP(C69,УЗиНП!$C$3:$D$1464,2,FALSE)</f>
        <v>#N/A</v>
      </c>
      <c r="E69" s="430"/>
      <c r="F69" s="431"/>
      <c r="G69" s="431"/>
      <c r="H69" s="431"/>
      <c r="I69" s="431"/>
      <c r="J69" s="431"/>
      <c r="K69" s="431"/>
      <c r="L69" s="431"/>
      <c r="M69" s="431"/>
      <c r="N69" s="431"/>
      <c r="O69" s="431"/>
      <c r="P69" s="431"/>
      <c r="Q69" s="431"/>
      <c r="R69" s="431"/>
      <c r="S69" s="431"/>
      <c r="T69" s="431"/>
      <c r="U69" s="431"/>
      <c r="V69" s="431"/>
      <c r="W69" s="431"/>
      <c r="X69" s="433">
        <f t="shared" si="7"/>
        <v>0</v>
      </c>
      <c r="Y69" s="431"/>
      <c r="Z69" s="431"/>
      <c r="AA69" s="431"/>
      <c r="AB69" s="431"/>
      <c r="AC69" s="431"/>
      <c r="AD69" s="431"/>
      <c r="AE69" s="432"/>
      <c r="AF69" s="431"/>
      <c r="AG69" s="431"/>
      <c r="AH69" s="431"/>
      <c r="AI69" s="431"/>
      <c r="AJ69" s="431"/>
      <c r="AK69" s="431"/>
      <c r="AL69" s="431"/>
      <c r="AM69" s="431"/>
      <c r="AN69" s="431"/>
      <c r="AO69" s="433">
        <f t="shared" si="8"/>
        <v>0</v>
      </c>
      <c r="AP69" s="432"/>
      <c r="AQ69" s="434"/>
    </row>
    <row r="70" spans="1:43" s="436" customFormat="1" ht="15.75" x14ac:dyDescent="0.25">
      <c r="A70" s="429">
        <f t="shared" si="9"/>
        <v>63</v>
      </c>
      <c r="B70" s="430"/>
      <c r="C70" s="331"/>
      <c r="D70" s="435" t="e">
        <f>VLOOKUP(C70,УЗиНП!$C$3:$D$1464,2,FALSE)</f>
        <v>#N/A</v>
      </c>
      <c r="E70" s="430"/>
      <c r="F70" s="431"/>
      <c r="G70" s="431"/>
      <c r="H70" s="431"/>
      <c r="I70" s="431"/>
      <c r="J70" s="431"/>
      <c r="K70" s="431"/>
      <c r="L70" s="431"/>
      <c r="M70" s="431"/>
      <c r="N70" s="431"/>
      <c r="O70" s="431"/>
      <c r="P70" s="431"/>
      <c r="Q70" s="431"/>
      <c r="R70" s="431"/>
      <c r="S70" s="431"/>
      <c r="T70" s="431"/>
      <c r="U70" s="431"/>
      <c r="V70" s="431"/>
      <c r="W70" s="431"/>
      <c r="X70" s="433">
        <f t="shared" si="7"/>
        <v>0</v>
      </c>
      <c r="Y70" s="431"/>
      <c r="Z70" s="431"/>
      <c r="AA70" s="431"/>
      <c r="AB70" s="431"/>
      <c r="AC70" s="431"/>
      <c r="AD70" s="431"/>
      <c r="AE70" s="432"/>
      <c r="AF70" s="431"/>
      <c r="AG70" s="431"/>
      <c r="AH70" s="431"/>
      <c r="AI70" s="431"/>
      <c r="AJ70" s="431"/>
      <c r="AK70" s="431"/>
      <c r="AL70" s="431"/>
      <c r="AM70" s="431"/>
      <c r="AN70" s="431"/>
      <c r="AO70" s="433">
        <f t="shared" si="8"/>
        <v>0</v>
      </c>
      <c r="AP70" s="432"/>
      <c r="AQ70" s="434"/>
    </row>
    <row r="71" spans="1:43" s="436" customFormat="1" ht="15.75" x14ac:dyDescent="0.25">
      <c r="A71" s="429">
        <f t="shared" si="9"/>
        <v>64</v>
      </c>
      <c r="B71" s="430"/>
      <c r="C71" s="331"/>
      <c r="D71" s="435" t="e">
        <f>VLOOKUP(C71,УЗиНП!$C$3:$D$1464,2,FALSE)</f>
        <v>#N/A</v>
      </c>
      <c r="E71" s="430"/>
      <c r="F71" s="431"/>
      <c r="G71" s="431"/>
      <c r="H71" s="431"/>
      <c r="I71" s="431"/>
      <c r="J71" s="431"/>
      <c r="K71" s="431"/>
      <c r="L71" s="431"/>
      <c r="M71" s="431"/>
      <c r="N71" s="431"/>
      <c r="O71" s="431"/>
      <c r="P71" s="431"/>
      <c r="Q71" s="431"/>
      <c r="R71" s="431"/>
      <c r="S71" s="431"/>
      <c r="T71" s="431"/>
      <c r="U71" s="431"/>
      <c r="V71" s="431"/>
      <c r="W71" s="431"/>
      <c r="X71" s="433">
        <f t="shared" si="7"/>
        <v>0</v>
      </c>
      <c r="Y71" s="431"/>
      <c r="Z71" s="431"/>
      <c r="AA71" s="431"/>
      <c r="AB71" s="431"/>
      <c r="AC71" s="431"/>
      <c r="AD71" s="431"/>
      <c r="AE71" s="432"/>
      <c r="AF71" s="431"/>
      <c r="AG71" s="431"/>
      <c r="AH71" s="431"/>
      <c r="AI71" s="431"/>
      <c r="AJ71" s="431"/>
      <c r="AK71" s="431"/>
      <c r="AL71" s="431"/>
      <c r="AM71" s="431"/>
      <c r="AN71" s="431"/>
      <c r="AO71" s="433">
        <f t="shared" si="8"/>
        <v>0</v>
      </c>
      <c r="AP71" s="432"/>
      <c r="AQ71" s="434"/>
    </row>
    <row r="72" spans="1:43" s="436" customFormat="1" ht="15.75" x14ac:dyDescent="0.25">
      <c r="A72" s="429">
        <f t="shared" si="9"/>
        <v>65</v>
      </c>
      <c r="B72" s="430"/>
      <c r="C72" s="331"/>
      <c r="D72" s="435" t="e">
        <f>VLOOKUP(C72,УЗиНП!$C$3:$D$1464,2,FALSE)</f>
        <v>#N/A</v>
      </c>
      <c r="E72" s="430"/>
      <c r="F72" s="431"/>
      <c r="G72" s="431"/>
      <c r="H72" s="431"/>
      <c r="I72" s="431"/>
      <c r="J72" s="431"/>
      <c r="K72" s="431"/>
      <c r="L72" s="431"/>
      <c r="M72" s="431"/>
      <c r="N72" s="431"/>
      <c r="O72" s="431"/>
      <c r="P72" s="431"/>
      <c r="Q72" s="431"/>
      <c r="R72" s="431"/>
      <c r="S72" s="431"/>
      <c r="T72" s="431"/>
      <c r="U72" s="431"/>
      <c r="V72" s="431"/>
      <c r="W72" s="431"/>
      <c r="X72" s="433">
        <f t="shared" si="7"/>
        <v>0</v>
      </c>
      <c r="Y72" s="431"/>
      <c r="Z72" s="431"/>
      <c r="AA72" s="431"/>
      <c r="AB72" s="431"/>
      <c r="AC72" s="431"/>
      <c r="AD72" s="431"/>
      <c r="AE72" s="432"/>
      <c r="AF72" s="431"/>
      <c r="AG72" s="431"/>
      <c r="AH72" s="431"/>
      <c r="AI72" s="431"/>
      <c r="AJ72" s="431"/>
      <c r="AK72" s="431"/>
      <c r="AL72" s="431"/>
      <c r="AM72" s="431"/>
      <c r="AN72" s="431"/>
      <c r="AO72" s="433">
        <f t="shared" si="8"/>
        <v>0</v>
      </c>
      <c r="AP72" s="432"/>
      <c r="AQ72" s="434"/>
    </row>
    <row r="73" spans="1:43" ht="18.75" x14ac:dyDescent="0.3">
      <c r="A73" s="831" t="s">
        <v>492</v>
      </c>
      <c r="B73" s="831"/>
      <c r="C73" s="831"/>
      <c r="D73" s="831"/>
      <c r="E73" s="831"/>
      <c r="F73" s="326">
        <f>SUM(F9:F72)</f>
        <v>0</v>
      </c>
      <c r="G73" s="326">
        <f t="shared" ref="G73:AQ73" si="10">SUM(G9:G72)</f>
        <v>0</v>
      </c>
      <c r="H73" s="326">
        <f t="shared" si="10"/>
        <v>0</v>
      </c>
      <c r="I73" s="326">
        <f t="shared" si="10"/>
        <v>0</v>
      </c>
      <c r="J73" s="326">
        <f t="shared" si="10"/>
        <v>0</v>
      </c>
      <c r="K73" s="326">
        <f t="shared" si="10"/>
        <v>0</v>
      </c>
      <c r="L73" s="326">
        <f t="shared" si="10"/>
        <v>0</v>
      </c>
      <c r="M73" s="326">
        <f t="shared" si="10"/>
        <v>0</v>
      </c>
      <c r="N73" s="326">
        <f t="shared" si="10"/>
        <v>0</v>
      </c>
      <c r="O73" s="326">
        <f t="shared" si="10"/>
        <v>0</v>
      </c>
      <c r="P73" s="326">
        <f t="shared" si="10"/>
        <v>0</v>
      </c>
      <c r="Q73" s="326">
        <f t="shared" si="10"/>
        <v>0</v>
      </c>
      <c r="R73" s="326">
        <f t="shared" si="10"/>
        <v>0</v>
      </c>
      <c r="S73" s="326">
        <f t="shared" si="10"/>
        <v>0</v>
      </c>
      <c r="T73" s="326">
        <f t="shared" si="10"/>
        <v>0</v>
      </c>
      <c r="U73" s="326">
        <f t="shared" si="10"/>
        <v>0</v>
      </c>
      <c r="V73" s="326">
        <f t="shared" si="10"/>
        <v>0</v>
      </c>
      <c r="W73" s="326">
        <f t="shared" si="10"/>
        <v>0</v>
      </c>
      <c r="X73" s="326">
        <f t="shared" si="10"/>
        <v>0</v>
      </c>
      <c r="Y73" s="326">
        <f t="shared" si="10"/>
        <v>0</v>
      </c>
      <c r="Z73" s="326">
        <f t="shared" si="10"/>
        <v>0</v>
      </c>
      <c r="AA73" s="326">
        <f t="shared" si="10"/>
        <v>0</v>
      </c>
      <c r="AB73" s="326">
        <f t="shared" si="10"/>
        <v>0</v>
      </c>
      <c r="AC73" s="326">
        <f t="shared" si="10"/>
        <v>0</v>
      </c>
      <c r="AD73" s="326">
        <f t="shared" si="10"/>
        <v>0</v>
      </c>
      <c r="AE73" s="327">
        <f t="shared" si="10"/>
        <v>0</v>
      </c>
      <c r="AF73" s="326">
        <f t="shared" si="10"/>
        <v>0</v>
      </c>
      <c r="AG73" s="326">
        <f t="shared" si="10"/>
        <v>0</v>
      </c>
      <c r="AH73" s="326">
        <f t="shared" si="10"/>
        <v>0</v>
      </c>
      <c r="AI73" s="326">
        <f t="shared" si="10"/>
        <v>0</v>
      </c>
      <c r="AJ73" s="326">
        <f t="shared" si="10"/>
        <v>0</v>
      </c>
      <c r="AK73" s="326">
        <f t="shared" si="10"/>
        <v>0</v>
      </c>
      <c r="AL73" s="326">
        <f t="shared" si="10"/>
        <v>0</v>
      </c>
      <c r="AM73" s="326">
        <f t="shared" si="10"/>
        <v>0</v>
      </c>
      <c r="AN73" s="326">
        <f t="shared" si="10"/>
        <v>0</v>
      </c>
      <c r="AO73" s="326">
        <f t="shared" ref="AO73" si="11">SUM(AO9:AO72)</f>
        <v>0</v>
      </c>
      <c r="AP73" s="327">
        <f t="shared" si="10"/>
        <v>0</v>
      </c>
      <c r="AQ73" s="325">
        <f t="shared" si="10"/>
        <v>0</v>
      </c>
    </row>
  </sheetData>
  <sheetProtection password="D8E9" sheet="1" objects="1" scenarios="1"/>
  <mergeCells count="53">
    <mergeCell ref="AF5:AF7"/>
    <mergeCell ref="AG5:AG7"/>
    <mergeCell ref="AH5:AH7"/>
    <mergeCell ref="AI5:AI7"/>
    <mergeCell ref="AJ5:AN5"/>
    <mergeCell ref="I6:I7"/>
    <mergeCell ref="J6:J7"/>
    <mergeCell ref="AE4:AE7"/>
    <mergeCell ref="A73:E73"/>
    <mergeCell ref="O6:O7"/>
    <mergeCell ref="P6:P7"/>
    <mergeCell ref="Q6:Q7"/>
    <mergeCell ref="R6:R7"/>
    <mergeCell ref="S6:S7"/>
    <mergeCell ref="T6:T7"/>
    <mergeCell ref="F6:F7"/>
    <mergeCell ref="A4:A7"/>
    <mergeCell ref="B4:B7"/>
    <mergeCell ref="C4:C7"/>
    <mergeCell ref="D4:D7"/>
    <mergeCell ref="E4:E7"/>
    <mergeCell ref="AP4:AQ6"/>
    <mergeCell ref="F5:H5"/>
    <mergeCell ref="I5:K5"/>
    <mergeCell ref="L5:N5"/>
    <mergeCell ref="O5:Q5"/>
    <mergeCell ref="R5:T5"/>
    <mergeCell ref="X5:X7"/>
    <mergeCell ref="Y4:Y7"/>
    <mergeCell ref="Z4:Z7"/>
    <mergeCell ref="AA4:AA6"/>
    <mergeCell ref="AB4:AB7"/>
    <mergeCell ref="AC4:AC6"/>
    <mergeCell ref="AD4:AD7"/>
    <mergeCell ref="F4:X4"/>
    <mergeCell ref="K6:K7"/>
    <mergeCell ref="L6:L7"/>
    <mergeCell ref="C1:E1"/>
    <mergeCell ref="C2:E2"/>
    <mergeCell ref="C3:E3"/>
    <mergeCell ref="AO4:AO7"/>
    <mergeCell ref="U5:W5"/>
    <mergeCell ref="U6:U7"/>
    <mergeCell ref="V6:V7"/>
    <mergeCell ref="W6:W7"/>
    <mergeCell ref="AF4:AN4"/>
    <mergeCell ref="M6:M7"/>
    <mergeCell ref="N6:N7"/>
    <mergeCell ref="AJ6:AJ7"/>
    <mergeCell ref="AK6:AL6"/>
    <mergeCell ref="AM6:AN6"/>
    <mergeCell ref="G6:G7"/>
    <mergeCell ref="H6:H7"/>
  </mergeCells>
  <pageMargins left="0.51181102362204722" right="0.51181102362204722" top="0.55118110236220474" bottom="0.55118110236220474" header="0.31496062992125984" footer="0.31496062992125984"/>
  <pageSetup paperSize="9" scale="37" fitToWidth="2"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Перечни!$C$2:$C$1858</xm:f>
          </x14:formula1>
          <xm:sqref>B9:B72</xm:sqref>
        </x14:dataValidation>
        <x14:dataValidation type="list" allowBlank="1" showInputMessage="1" showErrorMessage="1">
          <x14:formula1>
            <xm:f>УЗиНП!$C$3:$C$1464</xm:f>
          </x14:formula1>
          <xm:sqref>C9:C72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D41"/>
  <sheetViews>
    <sheetView zoomScaleNormal="100" workbookViewId="0">
      <selection activeCell="D10" sqref="D10"/>
    </sheetView>
  </sheetViews>
  <sheetFormatPr defaultRowHeight="15" x14ac:dyDescent="0.25"/>
  <cols>
    <col min="1" max="1" width="3" style="621" bestFit="1" customWidth="1"/>
    <col min="2" max="2" width="27.85546875" style="621" customWidth="1"/>
    <col min="3" max="3" width="24.85546875" style="621" customWidth="1"/>
    <col min="4" max="4" width="24.140625" style="621" customWidth="1"/>
    <col min="5" max="16384" width="9.140625" style="621"/>
  </cols>
  <sheetData>
    <row r="1" spans="1:4" ht="21" x14ac:dyDescent="0.25">
      <c r="A1" s="370"/>
      <c r="B1" s="844" t="s">
        <v>7458</v>
      </c>
      <c r="C1" s="844"/>
      <c r="D1" s="209"/>
    </row>
    <row r="2" spans="1:4" ht="21" x14ac:dyDescent="0.25">
      <c r="A2" s="370"/>
      <c r="B2" s="845" t="s">
        <v>1685</v>
      </c>
      <c r="C2" s="845"/>
      <c r="D2" s="209"/>
    </row>
    <row r="3" spans="1:4" ht="21" x14ac:dyDescent="0.25">
      <c r="A3" s="370"/>
      <c r="B3" s="845" t="s">
        <v>88</v>
      </c>
      <c r="C3" s="845"/>
      <c r="D3" s="209"/>
    </row>
    <row r="4" spans="1:4" ht="15" customHeight="1" x14ac:dyDescent="0.25">
      <c r="A4" s="719" t="s">
        <v>3</v>
      </c>
      <c r="B4" s="719" t="s">
        <v>46</v>
      </c>
      <c r="C4" s="719" t="s">
        <v>142</v>
      </c>
      <c r="D4" s="620" t="s">
        <v>145</v>
      </c>
    </row>
    <row r="5" spans="1:4" x14ac:dyDescent="0.25">
      <c r="A5" s="719"/>
      <c r="B5" s="719"/>
      <c r="C5" s="719"/>
      <c r="D5" s="620" t="s">
        <v>147</v>
      </c>
    </row>
    <row r="6" spans="1:4" x14ac:dyDescent="0.25">
      <c r="A6" s="622">
        <v>1</v>
      </c>
      <c r="B6" s="622">
        <f>A6+1</f>
        <v>2</v>
      </c>
      <c r="C6" s="622">
        <f t="shared" ref="C6" si="0">B6+1</f>
        <v>3</v>
      </c>
      <c r="D6" s="622">
        <v>4</v>
      </c>
    </row>
    <row r="7" spans="1:4" x14ac:dyDescent="0.25">
      <c r="A7" s="622">
        <v>2</v>
      </c>
      <c r="B7" s="842" t="s">
        <v>7459</v>
      </c>
      <c r="C7" s="623" t="s">
        <v>7460</v>
      </c>
      <c r="D7" s="215"/>
    </row>
    <row r="8" spans="1:4" x14ac:dyDescent="0.25">
      <c r="A8" s="622">
        <v>3</v>
      </c>
      <c r="B8" s="843"/>
      <c r="C8" s="623" t="s">
        <v>52</v>
      </c>
      <c r="D8" s="215"/>
    </row>
    <row r="9" spans="1:4" x14ac:dyDescent="0.25">
      <c r="A9" s="622">
        <v>4</v>
      </c>
      <c r="B9" s="843"/>
      <c r="C9" s="623" t="s">
        <v>60</v>
      </c>
      <c r="D9" s="215"/>
    </row>
    <row r="10" spans="1:4" x14ac:dyDescent="0.25">
      <c r="A10" s="622">
        <v>5</v>
      </c>
      <c r="B10" s="843"/>
      <c r="C10" s="623" t="s">
        <v>61</v>
      </c>
      <c r="D10" s="215"/>
    </row>
    <row r="11" spans="1:4" x14ac:dyDescent="0.25">
      <c r="A11" s="622">
        <v>6</v>
      </c>
      <c r="B11" s="843"/>
      <c r="C11" s="623" t="s">
        <v>62</v>
      </c>
      <c r="D11" s="215"/>
    </row>
    <row r="12" spans="1:4" x14ac:dyDescent="0.25">
      <c r="A12" s="622">
        <v>7</v>
      </c>
      <c r="B12" s="843"/>
      <c r="C12" s="623" t="s">
        <v>109</v>
      </c>
      <c r="D12" s="215"/>
    </row>
    <row r="13" spans="1:4" ht="25.5" x14ac:dyDescent="0.25">
      <c r="A13" s="622">
        <v>8</v>
      </c>
      <c r="B13" s="846"/>
      <c r="C13" s="623" t="s">
        <v>63</v>
      </c>
      <c r="D13" s="215"/>
    </row>
    <row r="14" spans="1:4" x14ac:dyDescent="0.25">
      <c r="A14" s="622">
        <v>9</v>
      </c>
      <c r="B14" s="847" t="s">
        <v>56</v>
      </c>
      <c r="C14" s="623" t="s">
        <v>150</v>
      </c>
      <c r="D14" s="215"/>
    </row>
    <row r="15" spans="1:4" x14ac:dyDescent="0.25">
      <c r="A15" s="622">
        <v>10</v>
      </c>
      <c r="B15" s="847"/>
      <c r="C15" s="623" t="s">
        <v>151</v>
      </c>
      <c r="D15" s="215"/>
    </row>
    <row r="16" spans="1:4" x14ac:dyDescent="0.25">
      <c r="A16" s="622">
        <v>11</v>
      </c>
      <c r="B16" s="847"/>
      <c r="C16" s="623" t="s">
        <v>152</v>
      </c>
      <c r="D16" s="215"/>
    </row>
    <row r="17" spans="1:4" x14ac:dyDescent="0.25">
      <c r="A17" s="622">
        <v>12</v>
      </c>
      <c r="B17" s="847"/>
      <c r="C17" s="623" t="s">
        <v>153</v>
      </c>
      <c r="D17" s="215"/>
    </row>
    <row r="18" spans="1:4" x14ac:dyDescent="0.25">
      <c r="A18" s="622">
        <v>13</v>
      </c>
      <c r="B18" s="847"/>
      <c r="C18" s="623" t="s">
        <v>265</v>
      </c>
      <c r="D18" s="215"/>
    </row>
    <row r="19" spans="1:4" x14ac:dyDescent="0.25">
      <c r="A19" s="622">
        <v>14</v>
      </c>
      <c r="B19" s="847" t="s">
        <v>149</v>
      </c>
      <c r="C19" s="623" t="s">
        <v>150</v>
      </c>
      <c r="D19" s="215"/>
    </row>
    <row r="20" spans="1:4" x14ac:dyDescent="0.25">
      <c r="A20" s="622">
        <v>15</v>
      </c>
      <c r="B20" s="847"/>
      <c r="C20" s="623" t="s">
        <v>151</v>
      </c>
      <c r="D20" s="215"/>
    </row>
    <row r="21" spans="1:4" x14ac:dyDescent="0.25">
      <c r="A21" s="622">
        <v>16</v>
      </c>
      <c r="B21" s="847"/>
      <c r="C21" s="623" t="s">
        <v>152</v>
      </c>
      <c r="D21" s="215"/>
    </row>
    <row r="22" spans="1:4" x14ac:dyDescent="0.25">
      <c r="A22" s="622">
        <v>17</v>
      </c>
      <c r="B22" s="847"/>
      <c r="C22" s="623" t="s">
        <v>153</v>
      </c>
      <c r="D22" s="215"/>
    </row>
    <row r="23" spans="1:4" x14ac:dyDescent="0.25">
      <c r="A23" s="622">
        <v>18</v>
      </c>
      <c r="B23" s="847"/>
      <c r="C23" s="623" t="s">
        <v>265</v>
      </c>
      <c r="D23" s="215"/>
    </row>
    <row r="24" spans="1:4" x14ac:dyDescent="0.25">
      <c r="A24" s="622">
        <v>19</v>
      </c>
      <c r="B24" s="847" t="s">
        <v>161</v>
      </c>
      <c r="C24" s="623" t="s">
        <v>150</v>
      </c>
      <c r="D24" s="624">
        <f>IF(D14=0,0,D19/D14/12)*1000</f>
        <v>0</v>
      </c>
    </row>
    <row r="25" spans="1:4" x14ac:dyDescent="0.25">
      <c r="A25" s="622">
        <v>20</v>
      </c>
      <c r="B25" s="847"/>
      <c r="C25" s="623" t="s">
        <v>151</v>
      </c>
      <c r="D25" s="624">
        <f>IF(D15=0,0,D20/D15/12)*1000</f>
        <v>0</v>
      </c>
    </row>
    <row r="26" spans="1:4" x14ac:dyDescent="0.25">
      <c r="A26" s="622">
        <v>21</v>
      </c>
      <c r="B26" s="847"/>
      <c r="C26" s="623" t="s">
        <v>152</v>
      </c>
      <c r="D26" s="624">
        <f>IF(D16=0,0,D21/D16/12)*1000</f>
        <v>0</v>
      </c>
    </row>
    <row r="27" spans="1:4" x14ac:dyDescent="0.25">
      <c r="A27" s="622">
        <v>22</v>
      </c>
      <c r="B27" s="847"/>
      <c r="C27" s="623" t="s">
        <v>153</v>
      </c>
      <c r="D27" s="624">
        <f>IF(D17=0,0,D22/D17/12)*1000</f>
        <v>0</v>
      </c>
    </row>
    <row r="28" spans="1:4" x14ac:dyDescent="0.25">
      <c r="A28" s="622">
        <v>23</v>
      </c>
      <c r="B28" s="847"/>
      <c r="C28" s="623" t="s">
        <v>265</v>
      </c>
      <c r="D28" s="624">
        <f>IF(D18=0,0,D23/D18/12)*1000</f>
        <v>0</v>
      </c>
    </row>
    <row r="29" spans="1:4" x14ac:dyDescent="0.25">
      <c r="A29" s="622">
        <v>24</v>
      </c>
      <c r="B29" s="847" t="s">
        <v>7461</v>
      </c>
      <c r="C29" s="623" t="s">
        <v>150</v>
      </c>
      <c r="D29" s="215"/>
    </row>
    <row r="30" spans="1:4" x14ac:dyDescent="0.25">
      <c r="A30" s="622">
        <v>25</v>
      </c>
      <c r="B30" s="847"/>
      <c r="C30" s="623" t="s">
        <v>151</v>
      </c>
      <c r="D30" s="215"/>
    </row>
    <row r="31" spans="1:4" x14ac:dyDescent="0.25">
      <c r="A31" s="622">
        <v>26</v>
      </c>
      <c r="B31" s="847"/>
      <c r="C31" s="623" t="s">
        <v>7462</v>
      </c>
      <c r="D31" s="215"/>
    </row>
    <row r="32" spans="1:4" x14ac:dyDescent="0.25">
      <c r="A32" s="622">
        <v>27</v>
      </c>
      <c r="B32" s="847"/>
      <c r="C32" s="623" t="s">
        <v>7463</v>
      </c>
      <c r="D32" s="215"/>
    </row>
    <row r="33" spans="1:4" x14ac:dyDescent="0.25">
      <c r="A33" s="622">
        <v>28</v>
      </c>
      <c r="B33" s="847"/>
      <c r="C33" s="623" t="s">
        <v>153</v>
      </c>
      <c r="D33" s="215"/>
    </row>
    <row r="34" spans="1:4" x14ac:dyDescent="0.25">
      <c r="A34" s="622">
        <v>29</v>
      </c>
      <c r="B34" s="842" t="s">
        <v>321</v>
      </c>
      <c r="C34" s="623" t="s">
        <v>315</v>
      </c>
      <c r="D34" s="215"/>
    </row>
    <row r="35" spans="1:4" ht="25.5" x14ac:dyDescent="0.25">
      <c r="A35" s="622">
        <v>30</v>
      </c>
      <c r="B35" s="843"/>
      <c r="C35" s="623" t="s">
        <v>316</v>
      </c>
      <c r="D35" s="215"/>
    </row>
    <row r="36" spans="1:4" x14ac:dyDescent="0.25">
      <c r="A36" s="622">
        <v>31</v>
      </c>
      <c r="B36" s="843"/>
      <c r="C36" s="623" t="s">
        <v>317</v>
      </c>
      <c r="D36" s="215"/>
    </row>
    <row r="37" spans="1:4" ht="38.25" x14ac:dyDescent="0.25">
      <c r="A37" s="622">
        <v>32</v>
      </c>
      <c r="B37" s="843"/>
      <c r="C37" s="625" t="s">
        <v>7464</v>
      </c>
      <c r="D37" s="215"/>
    </row>
    <row r="38" spans="1:4" ht="25.5" x14ac:dyDescent="0.25">
      <c r="A38" s="622">
        <v>33</v>
      </c>
      <c r="B38" s="843"/>
      <c r="C38" s="625" t="s">
        <v>7465</v>
      </c>
      <c r="D38" s="215"/>
    </row>
    <row r="39" spans="1:4" ht="25.5" x14ac:dyDescent="0.25">
      <c r="A39" s="622">
        <v>34</v>
      </c>
      <c r="B39" s="626" t="s">
        <v>3610</v>
      </c>
      <c r="C39" s="623" t="s">
        <v>3612</v>
      </c>
      <c r="D39" s="215"/>
    </row>
    <row r="40" spans="1:4" ht="38.25" x14ac:dyDescent="0.25">
      <c r="A40" s="622">
        <v>35</v>
      </c>
      <c r="B40" s="626" t="s">
        <v>3615</v>
      </c>
      <c r="C40" s="623" t="s">
        <v>3613</v>
      </c>
      <c r="D40" s="215"/>
    </row>
    <row r="41" spans="1:4" ht="38.25" x14ac:dyDescent="0.25">
      <c r="A41" s="622">
        <v>36</v>
      </c>
      <c r="B41" s="626" t="s">
        <v>3611</v>
      </c>
      <c r="C41" s="623" t="s">
        <v>3614</v>
      </c>
      <c r="D41" s="215"/>
    </row>
  </sheetData>
  <sheetProtection password="D8E9" sheet="1" objects="1" scenarios="1"/>
  <mergeCells count="12">
    <mergeCell ref="B34:B38"/>
    <mergeCell ref="B1:C1"/>
    <mergeCell ref="B2:C2"/>
    <mergeCell ref="B3:C3"/>
    <mergeCell ref="A4:A5"/>
    <mergeCell ref="B4:B5"/>
    <mergeCell ref="C4:C5"/>
    <mergeCell ref="B7:B13"/>
    <mergeCell ref="B14:B18"/>
    <mergeCell ref="B19:B23"/>
    <mergeCell ref="B24:B28"/>
    <mergeCell ref="B29:B33"/>
  </mergeCells>
  <conditionalFormatting sqref="D7:D23 D29:D41">
    <cfRule type="expression" dxfId="19" priority="1">
      <formula>ISTEXT(D7)</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64"/>
  <sheetViews>
    <sheetView zoomScale="90" zoomScaleNormal="90" workbookViewId="0">
      <selection activeCell="A7" sqref="A7"/>
    </sheetView>
  </sheetViews>
  <sheetFormatPr defaultColWidth="9.140625" defaultRowHeight="15.75" x14ac:dyDescent="0.25"/>
  <cols>
    <col min="1" max="1" width="128" style="312" customWidth="1"/>
    <col min="2" max="2" width="2.28515625" style="312" customWidth="1"/>
    <col min="3" max="3" width="28.28515625" style="312" bestFit="1" customWidth="1"/>
    <col min="4" max="4" width="142.28515625" style="312" customWidth="1"/>
    <col min="5" max="16384" width="9.140625" style="310"/>
  </cols>
  <sheetData>
    <row r="1" spans="1:4" x14ac:dyDescent="0.25">
      <c r="A1" s="313" t="s">
        <v>937</v>
      </c>
      <c r="B1" s="315"/>
      <c r="C1" s="318" t="s">
        <v>938</v>
      </c>
      <c r="D1" s="111" t="s">
        <v>939</v>
      </c>
    </row>
    <row r="2" spans="1:4" x14ac:dyDescent="0.25">
      <c r="A2" s="314" t="s">
        <v>505</v>
      </c>
      <c r="B2" s="316"/>
      <c r="C2" s="329" t="s">
        <v>1086</v>
      </c>
      <c r="D2" s="311" t="s">
        <v>5701</v>
      </c>
    </row>
    <row r="3" spans="1:4" x14ac:dyDescent="0.25">
      <c r="A3" s="314" t="s">
        <v>506</v>
      </c>
      <c r="B3" s="317"/>
      <c r="C3" s="329" t="s">
        <v>1087</v>
      </c>
      <c r="D3" s="311" t="s">
        <v>5702</v>
      </c>
    </row>
    <row r="4" spans="1:4" x14ac:dyDescent="0.25">
      <c r="A4" s="314" t="s">
        <v>507</v>
      </c>
      <c r="B4" s="317"/>
      <c r="C4" s="329" t="s">
        <v>430</v>
      </c>
      <c r="D4" s="311" t="s">
        <v>5703</v>
      </c>
    </row>
    <row r="5" spans="1:4" x14ac:dyDescent="0.25">
      <c r="A5" s="314" t="s">
        <v>508</v>
      </c>
      <c r="B5" s="317"/>
      <c r="C5" s="329" t="s">
        <v>1088</v>
      </c>
      <c r="D5" s="311" t="s">
        <v>5704</v>
      </c>
    </row>
    <row r="6" spans="1:4" x14ac:dyDescent="0.25">
      <c r="A6" s="314" t="s">
        <v>509</v>
      </c>
      <c r="B6" s="317"/>
      <c r="C6" s="329" t="s">
        <v>1089</v>
      </c>
      <c r="D6" s="311" t="s">
        <v>5705</v>
      </c>
    </row>
    <row r="7" spans="1:4" x14ac:dyDescent="0.25">
      <c r="A7" s="314" t="s">
        <v>510</v>
      </c>
      <c r="B7" s="317"/>
      <c r="C7" s="329" t="s">
        <v>1090</v>
      </c>
      <c r="D7" s="311" t="s">
        <v>5706</v>
      </c>
    </row>
    <row r="8" spans="1:4" x14ac:dyDescent="0.25">
      <c r="A8" s="314" t="s">
        <v>511</v>
      </c>
      <c r="B8" s="317"/>
      <c r="C8" s="329" t="s">
        <v>1091</v>
      </c>
      <c r="D8" s="311" t="s">
        <v>5707</v>
      </c>
    </row>
    <row r="9" spans="1:4" x14ac:dyDescent="0.25">
      <c r="A9" s="314" t="s">
        <v>512</v>
      </c>
      <c r="B9" s="317"/>
      <c r="C9" s="329" t="s">
        <v>1092</v>
      </c>
      <c r="D9" s="311" t="s">
        <v>5708</v>
      </c>
    </row>
    <row r="10" spans="1:4" x14ac:dyDescent="0.25">
      <c r="A10" s="314" t="s">
        <v>513</v>
      </c>
      <c r="B10" s="317"/>
      <c r="C10" s="329" t="s">
        <v>1093</v>
      </c>
      <c r="D10" s="311" t="s">
        <v>5709</v>
      </c>
    </row>
    <row r="11" spans="1:4" x14ac:dyDescent="0.25">
      <c r="A11" s="314" t="s">
        <v>514</v>
      </c>
      <c r="B11" s="317"/>
      <c r="C11" s="329" t="s">
        <v>371</v>
      </c>
      <c r="D11" s="311" t="s">
        <v>5710</v>
      </c>
    </row>
    <row r="12" spans="1:4" x14ac:dyDescent="0.25">
      <c r="A12" s="314" t="s">
        <v>515</v>
      </c>
      <c r="B12" s="317"/>
      <c r="C12" s="329" t="s">
        <v>1094</v>
      </c>
      <c r="D12" s="311" t="s">
        <v>5711</v>
      </c>
    </row>
    <row r="13" spans="1:4" x14ac:dyDescent="0.25">
      <c r="A13" s="314" t="s">
        <v>516</v>
      </c>
      <c r="B13" s="317"/>
      <c r="C13" s="329" t="s">
        <v>1095</v>
      </c>
      <c r="D13" s="311" t="s">
        <v>5712</v>
      </c>
    </row>
    <row r="14" spans="1:4" x14ac:dyDescent="0.25">
      <c r="A14" s="314" t="s">
        <v>517</v>
      </c>
      <c r="B14" s="317"/>
      <c r="C14" s="329" t="s">
        <v>1097</v>
      </c>
      <c r="D14" s="311" t="s">
        <v>5713</v>
      </c>
    </row>
    <row r="15" spans="1:4" x14ac:dyDescent="0.25">
      <c r="A15" s="314" t="s">
        <v>518</v>
      </c>
      <c r="B15" s="317"/>
      <c r="C15" s="329" t="s">
        <v>1098</v>
      </c>
      <c r="D15" s="311" t="s">
        <v>5714</v>
      </c>
    </row>
    <row r="16" spans="1:4" x14ac:dyDescent="0.25">
      <c r="A16" s="314" t="s">
        <v>519</v>
      </c>
      <c r="B16" s="317"/>
      <c r="C16" s="329" t="s">
        <v>1099</v>
      </c>
      <c r="D16" s="311" t="s">
        <v>5715</v>
      </c>
    </row>
    <row r="17" spans="1:4" x14ac:dyDescent="0.25">
      <c r="A17" s="314" t="s">
        <v>520</v>
      </c>
      <c r="B17" s="317"/>
      <c r="C17" s="329" t="s">
        <v>1100</v>
      </c>
      <c r="D17" s="311" t="s">
        <v>5716</v>
      </c>
    </row>
    <row r="18" spans="1:4" x14ac:dyDescent="0.25">
      <c r="A18" s="314" t="s">
        <v>521</v>
      </c>
      <c r="B18" s="317"/>
      <c r="C18" s="329" t="s">
        <v>1101</v>
      </c>
      <c r="D18" s="311" t="s">
        <v>5717</v>
      </c>
    </row>
    <row r="19" spans="1:4" x14ac:dyDescent="0.25">
      <c r="A19" s="314" t="s">
        <v>522</v>
      </c>
      <c r="B19" s="317"/>
      <c r="C19" s="329" t="s">
        <v>1096</v>
      </c>
      <c r="D19" s="311" t="s">
        <v>5718</v>
      </c>
    </row>
    <row r="20" spans="1:4" x14ac:dyDescent="0.25">
      <c r="A20" s="314" t="s">
        <v>523</v>
      </c>
      <c r="B20" s="317"/>
      <c r="C20" s="329" t="s">
        <v>1102</v>
      </c>
      <c r="D20" s="311" t="s">
        <v>5719</v>
      </c>
    </row>
    <row r="21" spans="1:4" x14ac:dyDescent="0.25">
      <c r="A21" s="314" t="s">
        <v>524</v>
      </c>
      <c r="B21" s="317"/>
      <c r="C21" s="329" t="s">
        <v>1103</v>
      </c>
      <c r="D21" s="311" t="s">
        <v>5720</v>
      </c>
    </row>
    <row r="22" spans="1:4" x14ac:dyDescent="0.25">
      <c r="A22" s="314" t="s">
        <v>525</v>
      </c>
      <c r="B22" s="317"/>
      <c r="C22" s="329" t="s">
        <v>388</v>
      </c>
      <c r="D22" s="311" t="s">
        <v>5721</v>
      </c>
    </row>
    <row r="23" spans="1:4" x14ac:dyDescent="0.25">
      <c r="A23" s="314" t="s">
        <v>526</v>
      </c>
      <c r="B23" s="317"/>
      <c r="C23" s="329" t="s">
        <v>1104</v>
      </c>
      <c r="D23" s="311" t="s">
        <v>5722</v>
      </c>
    </row>
    <row r="24" spans="1:4" x14ac:dyDescent="0.25">
      <c r="A24" s="314" t="s">
        <v>527</v>
      </c>
      <c r="B24" s="317"/>
      <c r="C24" s="329" t="s">
        <v>1105</v>
      </c>
      <c r="D24" s="311" t="s">
        <v>5723</v>
      </c>
    </row>
    <row r="25" spans="1:4" x14ac:dyDescent="0.25">
      <c r="A25" s="314" t="s">
        <v>528</v>
      </c>
      <c r="B25" s="317"/>
      <c r="C25" s="329" t="s">
        <v>1106</v>
      </c>
      <c r="D25" s="311" t="s">
        <v>5724</v>
      </c>
    </row>
    <row r="26" spans="1:4" x14ac:dyDescent="0.25">
      <c r="A26" s="314" t="s">
        <v>529</v>
      </c>
      <c r="B26" s="317"/>
      <c r="C26" s="329" t="s">
        <v>372</v>
      </c>
      <c r="D26" s="311" t="s">
        <v>5725</v>
      </c>
    </row>
    <row r="27" spans="1:4" x14ac:dyDescent="0.25">
      <c r="A27" s="314" t="s">
        <v>530</v>
      </c>
      <c r="B27" s="317"/>
      <c r="C27" s="329" t="s">
        <v>332</v>
      </c>
      <c r="D27" s="311" t="s">
        <v>5726</v>
      </c>
    </row>
    <row r="28" spans="1:4" x14ac:dyDescent="0.25">
      <c r="A28" s="314" t="s">
        <v>531</v>
      </c>
      <c r="B28" s="317"/>
      <c r="C28" s="329" t="s">
        <v>333</v>
      </c>
      <c r="D28" s="311" t="s">
        <v>5727</v>
      </c>
    </row>
    <row r="29" spans="1:4" x14ac:dyDescent="0.25">
      <c r="A29" s="314" t="s">
        <v>532</v>
      </c>
      <c r="B29" s="317"/>
      <c r="C29" s="329" t="s">
        <v>377</v>
      </c>
      <c r="D29" s="311" t="s">
        <v>5728</v>
      </c>
    </row>
    <row r="30" spans="1:4" x14ac:dyDescent="0.25">
      <c r="A30" s="314" t="s">
        <v>533</v>
      </c>
      <c r="B30" s="317"/>
      <c r="C30" s="329" t="s">
        <v>341</v>
      </c>
      <c r="D30" s="311" t="s">
        <v>5729</v>
      </c>
    </row>
    <row r="31" spans="1:4" x14ac:dyDescent="0.25">
      <c r="A31" s="314" t="s">
        <v>534</v>
      </c>
      <c r="B31" s="317"/>
      <c r="C31" s="329" t="s">
        <v>370</v>
      </c>
      <c r="D31" s="311" t="s">
        <v>5730</v>
      </c>
    </row>
    <row r="32" spans="1:4" x14ac:dyDescent="0.25">
      <c r="A32" s="314" t="s">
        <v>535</v>
      </c>
      <c r="B32" s="317"/>
      <c r="C32" s="329" t="s">
        <v>342</v>
      </c>
      <c r="D32" s="311" t="s">
        <v>5731</v>
      </c>
    </row>
    <row r="33" spans="1:4" x14ac:dyDescent="0.25">
      <c r="A33" s="314" t="s">
        <v>536</v>
      </c>
      <c r="B33" s="317"/>
      <c r="C33" s="329" t="s">
        <v>369</v>
      </c>
      <c r="D33" s="311" t="s">
        <v>5732</v>
      </c>
    </row>
    <row r="34" spans="1:4" x14ac:dyDescent="0.25">
      <c r="A34" s="314" t="s">
        <v>537</v>
      </c>
      <c r="B34" s="317"/>
      <c r="C34" s="329" t="s">
        <v>414</v>
      </c>
      <c r="D34" s="311" t="s">
        <v>5733</v>
      </c>
    </row>
    <row r="35" spans="1:4" x14ac:dyDescent="0.25">
      <c r="A35" s="314" t="s">
        <v>538</v>
      </c>
      <c r="B35" s="317"/>
      <c r="C35" s="329" t="s">
        <v>378</v>
      </c>
      <c r="D35" s="311" t="s">
        <v>5734</v>
      </c>
    </row>
    <row r="36" spans="1:4" x14ac:dyDescent="0.25">
      <c r="A36" s="314" t="s">
        <v>539</v>
      </c>
      <c r="B36" s="317"/>
      <c r="C36" s="329" t="s">
        <v>339</v>
      </c>
      <c r="D36" s="311" t="s">
        <v>5735</v>
      </c>
    </row>
    <row r="37" spans="1:4" x14ac:dyDescent="0.25">
      <c r="A37" s="314" t="s">
        <v>540</v>
      </c>
      <c r="B37" s="317"/>
      <c r="C37" s="329" t="s">
        <v>338</v>
      </c>
      <c r="D37" s="311" t="s">
        <v>5736</v>
      </c>
    </row>
    <row r="38" spans="1:4" x14ac:dyDescent="0.25">
      <c r="A38" s="314" t="s">
        <v>541</v>
      </c>
      <c r="B38" s="317"/>
      <c r="C38" s="329" t="s">
        <v>348</v>
      </c>
      <c r="D38" s="311" t="s">
        <v>5737</v>
      </c>
    </row>
    <row r="39" spans="1:4" x14ac:dyDescent="0.25">
      <c r="A39" s="314" t="s">
        <v>542</v>
      </c>
      <c r="B39" s="317"/>
      <c r="C39" s="329" t="s">
        <v>413</v>
      </c>
      <c r="D39" s="311" t="s">
        <v>5738</v>
      </c>
    </row>
    <row r="40" spans="1:4" x14ac:dyDescent="0.25">
      <c r="A40" s="314" t="s">
        <v>543</v>
      </c>
      <c r="B40" s="317"/>
      <c r="C40" s="329" t="s">
        <v>335</v>
      </c>
      <c r="D40" s="311" t="s">
        <v>5739</v>
      </c>
    </row>
    <row r="41" spans="1:4" x14ac:dyDescent="0.25">
      <c r="A41" s="314" t="s">
        <v>544</v>
      </c>
      <c r="B41" s="317"/>
      <c r="C41" s="329" t="s">
        <v>345</v>
      </c>
      <c r="D41" s="311" t="s">
        <v>5740</v>
      </c>
    </row>
    <row r="42" spans="1:4" x14ac:dyDescent="0.25">
      <c r="A42" s="314" t="s">
        <v>545</v>
      </c>
      <c r="B42" s="317"/>
      <c r="C42" s="329" t="s">
        <v>390</v>
      </c>
      <c r="D42" s="311" t="s">
        <v>5741</v>
      </c>
    </row>
    <row r="43" spans="1:4" x14ac:dyDescent="0.25">
      <c r="A43" s="314" t="s">
        <v>546</v>
      </c>
      <c r="B43" s="317"/>
      <c r="C43" s="329" t="s">
        <v>349</v>
      </c>
      <c r="D43" s="311" t="s">
        <v>5742</v>
      </c>
    </row>
    <row r="44" spans="1:4" x14ac:dyDescent="0.25">
      <c r="A44" s="314" t="s">
        <v>547</v>
      </c>
      <c r="B44" s="317"/>
      <c r="C44" s="329" t="s">
        <v>425</v>
      </c>
      <c r="D44" s="311" t="s">
        <v>5743</v>
      </c>
    </row>
    <row r="45" spans="1:4" x14ac:dyDescent="0.25">
      <c r="A45" s="314" t="s">
        <v>548</v>
      </c>
      <c r="B45" s="317"/>
      <c r="C45" s="329" t="s">
        <v>431</v>
      </c>
      <c r="D45" s="311" t="s">
        <v>5744</v>
      </c>
    </row>
    <row r="46" spans="1:4" x14ac:dyDescent="0.25">
      <c r="A46" s="314" t="s">
        <v>549</v>
      </c>
      <c r="B46" s="317"/>
      <c r="C46" s="329" t="s">
        <v>336</v>
      </c>
      <c r="D46" s="311" t="s">
        <v>5745</v>
      </c>
    </row>
    <row r="47" spans="1:4" x14ac:dyDescent="0.25">
      <c r="A47" s="314" t="s">
        <v>550</v>
      </c>
      <c r="B47" s="317"/>
      <c r="C47" s="329" t="s">
        <v>382</v>
      </c>
      <c r="D47" s="311" t="s">
        <v>5746</v>
      </c>
    </row>
    <row r="48" spans="1:4" x14ac:dyDescent="0.25">
      <c r="A48" s="314" t="s">
        <v>551</v>
      </c>
      <c r="B48" s="317"/>
      <c r="C48" s="329" t="s">
        <v>340</v>
      </c>
      <c r="D48" s="311" t="s">
        <v>5747</v>
      </c>
    </row>
    <row r="49" spans="1:4" x14ac:dyDescent="0.25">
      <c r="A49" s="314" t="s">
        <v>552</v>
      </c>
      <c r="B49" s="317"/>
      <c r="C49" s="329" t="s">
        <v>387</v>
      </c>
      <c r="D49" s="311" t="s">
        <v>5748</v>
      </c>
    </row>
    <row r="50" spans="1:4" x14ac:dyDescent="0.25">
      <c r="A50" s="314" t="s">
        <v>553</v>
      </c>
      <c r="B50" s="317"/>
      <c r="C50" s="329" t="s">
        <v>334</v>
      </c>
      <c r="D50" s="311" t="s">
        <v>5749</v>
      </c>
    </row>
    <row r="51" spans="1:4" x14ac:dyDescent="0.25">
      <c r="A51" s="314" t="s">
        <v>554</v>
      </c>
      <c r="B51" s="317"/>
      <c r="C51" s="329" t="s">
        <v>337</v>
      </c>
      <c r="D51" s="311" t="s">
        <v>5750</v>
      </c>
    </row>
    <row r="52" spans="1:4" x14ac:dyDescent="0.25">
      <c r="A52" s="314" t="s">
        <v>555</v>
      </c>
      <c r="B52" s="317"/>
      <c r="C52" s="329" t="s">
        <v>381</v>
      </c>
      <c r="D52" s="311" t="s">
        <v>5751</v>
      </c>
    </row>
    <row r="53" spans="1:4" x14ac:dyDescent="0.25">
      <c r="A53" s="314" t="s">
        <v>556</v>
      </c>
      <c r="B53" s="317"/>
      <c r="C53" s="329" t="s">
        <v>461</v>
      </c>
      <c r="D53" s="311" t="s">
        <v>5752</v>
      </c>
    </row>
    <row r="54" spans="1:4" x14ac:dyDescent="0.25">
      <c r="A54" s="314" t="s">
        <v>557</v>
      </c>
      <c r="B54" s="317"/>
      <c r="C54" s="329" t="s">
        <v>441</v>
      </c>
      <c r="D54" s="311" t="s">
        <v>5753</v>
      </c>
    </row>
    <row r="55" spans="1:4" x14ac:dyDescent="0.25">
      <c r="A55" s="314" t="s">
        <v>558</v>
      </c>
      <c r="B55" s="317"/>
      <c r="C55" s="329" t="s">
        <v>475</v>
      </c>
      <c r="D55" s="311" t="s">
        <v>5754</v>
      </c>
    </row>
    <row r="56" spans="1:4" x14ac:dyDescent="0.25">
      <c r="A56" s="314" t="s">
        <v>559</v>
      </c>
      <c r="B56" s="317"/>
      <c r="C56" s="329" t="s">
        <v>384</v>
      </c>
      <c r="D56" s="311" t="s">
        <v>5755</v>
      </c>
    </row>
    <row r="57" spans="1:4" x14ac:dyDescent="0.25">
      <c r="A57" s="314" t="s">
        <v>560</v>
      </c>
      <c r="B57" s="317"/>
      <c r="C57" s="329" t="s">
        <v>391</v>
      </c>
      <c r="D57" s="311" t="s">
        <v>5756</v>
      </c>
    </row>
    <row r="58" spans="1:4" x14ac:dyDescent="0.25">
      <c r="A58" s="314" t="s">
        <v>561</v>
      </c>
      <c r="B58" s="317"/>
      <c r="C58" s="329" t="s">
        <v>379</v>
      </c>
      <c r="D58" s="311" t="s">
        <v>5757</v>
      </c>
    </row>
    <row r="59" spans="1:4" x14ac:dyDescent="0.25">
      <c r="A59" s="314" t="s">
        <v>562</v>
      </c>
      <c r="B59" s="317"/>
      <c r="C59" s="329" t="s">
        <v>1107</v>
      </c>
      <c r="D59" s="311" t="s">
        <v>5758</v>
      </c>
    </row>
    <row r="60" spans="1:4" x14ac:dyDescent="0.25">
      <c r="A60" s="314" t="s">
        <v>563</v>
      </c>
      <c r="B60" s="317"/>
      <c r="C60" s="329" t="s">
        <v>1108</v>
      </c>
      <c r="D60" s="311" t="s">
        <v>5759</v>
      </c>
    </row>
    <row r="61" spans="1:4" x14ac:dyDescent="0.25">
      <c r="A61" s="314" t="s">
        <v>564</v>
      </c>
      <c r="B61" s="317"/>
      <c r="C61" s="329" t="s">
        <v>1109</v>
      </c>
      <c r="D61" s="311" t="s">
        <v>5760</v>
      </c>
    </row>
    <row r="62" spans="1:4" x14ac:dyDescent="0.25">
      <c r="A62" s="314" t="s">
        <v>565</v>
      </c>
      <c r="B62" s="317"/>
      <c r="C62" s="329" t="s">
        <v>346</v>
      </c>
      <c r="D62" s="311" t="s">
        <v>5761</v>
      </c>
    </row>
    <row r="63" spans="1:4" x14ac:dyDescent="0.25">
      <c r="A63" s="314" t="s">
        <v>566</v>
      </c>
      <c r="B63" s="317"/>
      <c r="C63" s="329" t="s">
        <v>1110</v>
      </c>
      <c r="D63" s="311" t="s">
        <v>5762</v>
      </c>
    </row>
    <row r="64" spans="1:4" x14ac:dyDescent="0.25">
      <c r="A64" s="314" t="s">
        <v>567</v>
      </c>
      <c r="B64" s="317"/>
      <c r="C64" s="329" t="s">
        <v>1111</v>
      </c>
      <c r="D64" s="311" t="s">
        <v>5763</v>
      </c>
    </row>
    <row r="65" spans="1:4" x14ac:dyDescent="0.25">
      <c r="A65" s="314" t="s">
        <v>568</v>
      </c>
      <c r="B65" s="317"/>
      <c r="C65" s="329" t="s">
        <v>368</v>
      </c>
      <c r="D65" s="311" t="s">
        <v>5764</v>
      </c>
    </row>
    <row r="66" spans="1:4" x14ac:dyDescent="0.25">
      <c r="A66" s="314" t="s">
        <v>569</v>
      </c>
      <c r="B66" s="317"/>
      <c r="C66" s="329" t="s">
        <v>446</v>
      </c>
      <c r="D66" s="311" t="s">
        <v>5765</v>
      </c>
    </row>
    <row r="67" spans="1:4" x14ac:dyDescent="0.25">
      <c r="A67" s="314" t="s">
        <v>570</v>
      </c>
      <c r="B67" s="317"/>
      <c r="C67" s="329" t="s">
        <v>380</v>
      </c>
      <c r="D67" s="311" t="s">
        <v>5766</v>
      </c>
    </row>
    <row r="68" spans="1:4" x14ac:dyDescent="0.25">
      <c r="A68" s="314" t="s">
        <v>571</v>
      </c>
      <c r="B68" s="317"/>
      <c r="C68" s="329" t="s">
        <v>422</v>
      </c>
      <c r="D68" s="311" t="s">
        <v>5767</v>
      </c>
    </row>
    <row r="69" spans="1:4" x14ac:dyDescent="0.25">
      <c r="A69" s="314" t="s">
        <v>572</v>
      </c>
      <c r="B69" s="317"/>
      <c r="C69" s="329" t="s">
        <v>373</v>
      </c>
      <c r="D69" s="311" t="s">
        <v>5768</v>
      </c>
    </row>
    <row r="70" spans="1:4" x14ac:dyDescent="0.25">
      <c r="A70" s="314" t="s">
        <v>573</v>
      </c>
      <c r="B70" s="317"/>
      <c r="C70" s="329" t="s">
        <v>389</v>
      </c>
      <c r="D70" s="311" t="s">
        <v>5769</v>
      </c>
    </row>
    <row r="71" spans="1:4" x14ac:dyDescent="0.25">
      <c r="A71" s="314" t="s">
        <v>574</v>
      </c>
      <c r="B71" s="317"/>
      <c r="C71" s="329" t="s">
        <v>385</v>
      </c>
      <c r="D71" s="311" t="s">
        <v>5770</v>
      </c>
    </row>
    <row r="72" spans="1:4" x14ac:dyDescent="0.25">
      <c r="A72" s="314" t="s">
        <v>575</v>
      </c>
      <c r="B72" s="317"/>
      <c r="C72" s="329" t="s">
        <v>343</v>
      </c>
      <c r="D72" s="311" t="s">
        <v>5771</v>
      </c>
    </row>
    <row r="73" spans="1:4" x14ac:dyDescent="0.25">
      <c r="A73" s="314" t="s">
        <v>576</v>
      </c>
      <c r="B73" s="317"/>
      <c r="C73" s="329" t="s">
        <v>448</v>
      </c>
      <c r="D73" s="311" t="s">
        <v>5772</v>
      </c>
    </row>
    <row r="74" spans="1:4" x14ac:dyDescent="0.25">
      <c r="A74" s="314" t="s">
        <v>577</v>
      </c>
      <c r="B74" s="317"/>
      <c r="C74" s="329" t="s">
        <v>330</v>
      </c>
      <c r="D74" s="311" t="s">
        <v>5773</v>
      </c>
    </row>
    <row r="75" spans="1:4" x14ac:dyDescent="0.25">
      <c r="A75" s="314" t="s">
        <v>578</v>
      </c>
      <c r="B75" s="317"/>
      <c r="C75" s="329" t="s">
        <v>435</v>
      </c>
      <c r="D75" s="311" t="s">
        <v>5774</v>
      </c>
    </row>
    <row r="76" spans="1:4" x14ac:dyDescent="0.25">
      <c r="A76" s="314" t="s">
        <v>579</v>
      </c>
      <c r="B76" s="317"/>
      <c r="C76" s="329" t="s">
        <v>331</v>
      </c>
      <c r="D76" s="311" t="s">
        <v>5775</v>
      </c>
    </row>
    <row r="77" spans="1:4" x14ac:dyDescent="0.25">
      <c r="A77" s="314" t="s">
        <v>580</v>
      </c>
      <c r="B77" s="317"/>
      <c r="C77" s="329" t="s">
        <v>445</v>
      </c>
      <c r="D77" s="311" t="s">
        <v>5776</v>
      </c>
    </row>
    <row r="78" spans="1:4" x14ac:dyDescent="0.25">
      <c r="A78" s="314" t="s">
        <v>581</v>
      </c>
      <c r="B78" s="317"/>
      <c r="C78" s="329" t="s">
        <v>473</v>
      </c>
      <c r="D78" s="311" t="s">
        <v>5777</v>
      </c>
    </row>
    <row r="79" spans="1:4" x14ac:dyDescent="0.25">
      <c r="A79" s="314" t="s">
        <v>582</v>
      </c>
      <c r="B79" s="317"/>
      <c r="C79" s="329" t="s">
        <v>1112</v>
      </c>
      <c r="D79" s="311" t="s">
        <v>5778</v>
      </c>
    </row>
    <row r="80" spans="1:4" x14ac:dyDescent="0.25">
      <c r="A80" s="314" t="s">
        <v>583</v>
      </c>
      <c r="B80" s="317"/>
      <c r="C80" s="329" t="s">
        <v>1113</v>
      </c>
      <c r="D80" s="311" t="s">
        <v>5779</v>
      </c>
    </row>
    <row r="81" spans="1:4" x14ac:dyDescent="0.25">
      <c r="A81" s="314" t="s">
        <v>584</v>
      </c>
      <c r="B81" s="317"/>
      <c r="C81" s="329" t="s">
        <v>1114</v>
      </c>
      <c r="D81" s="311" t="s">
        <v>5780</v>
      </c>
    </row>
    <row r="82" spans="1:4" x14ac:dyDescent="0.25">
      <c r="A82" s="314" t="s">
        <v>585</v>
      </c>
      <c r="B82" s="317"/>
      <c r="C82" s="329" t="s">
        <v>436</v>
      </c>
      <c r="D82" s="311" t="s">
        <v>5781</v>
      </c>
    </row>
    <row r="83" spans="1:4" x14ac:dyDescent="0.25">
      <c r="A83" s="314" t="s">
        <v>586</v>
      </c>
      <c r="B83" s="317"/>
      <c r="C83" s="329" t="s">
        <v>344</v>
      </c>
      <c r="D83" s="311" t="s">
        <v>5782</v>
      </c>
    </row>
    <row r="84" spans="1:4" x14ac:dyDescent="0.25">
      <c r="A84" s="314" t="s">
        <v>587</v>
      </c>
      <c r="B84" s="317"/>
      <c r="C84" s="329" t="s">
        <v>383</v>
      </c>
      <c r="D84" s="311" t="s">
        <v>5783</v>
      </c>
    </row>
    <row r="85" spans="1:4" x14ac:dyDescent="0.25">
      <c r="A85" s="314" t="s">
        <v>588</v>
      </c>
      <c r="B85" s="317"/>
      <c r="C85" s="329" t="s">
        <v>442</v>
      </c>
      <c r="D85" s="311" t="s">
        <v>5784</v>
      </c>
    </row>
    <row r="86" spans="1:4" x14ac:dyDescent="0.25">
      <c r="A86" s="314" t="s">
        <v>589</v>
      </c>
      <c r="B86" s="317"/>
      <c r="C86" s="329" t="s">
        <v>347</v>
      </c>
      <c r="D86" s="311" t="s">
        <v>5785</v>
      </c>
    </row>
    <row r="87" spans="1:4" x14ac:dyDescent="0.25">
      <c r="A87" s="314" t="s">
        <v>590</v>
      </c>
      <c r="B87" s="317"/>
      <c r="C87" s="329" t="s">
        <v>408</v>
      </c>
      <c r="D87" s="311" t="s">
        <v>5786</v>
      </c>
    </row>
    <row r="88" spans="1:4" x14ac:dyDescent="0.25">
      <c r="A88" s="314" t="s">
        <v>591</v>
      </c>
      <c r="B88" s="317"/>
      <c r="C88" s="329" t="s">
        <v>416</v>
      </c>
      <c r="D88" s="311" t="s">
        <v>5787</v>
      </c>
    </row>
    <row r="89" spans="1:4" x14ac:dyDescent="0.25">
      <c r="A89" s="314" t="s">
        <v>592</v>
      </c>
      <c r="B89" s="317"/>
      <c r="C89" s="329" t="s">
        <v>415</v>
      </c>
      <c r="D89" s="311" t="s">
        <v>5788</v>
      </c>
    </row>
    <row r="90" spans="1:4" x14ac:dyDescent="0.25">
      <c r="A90" s="314" t="s">
        <v>593</v>
      </c>
      <c r="B90" s="317"/>
      <c r="C90" s="329" t="s">
        <v>468</v>
      </c>
      <c r="D90" s="311" t="s">
        <v>5789</v>
      </c>
    </row>
    <row r="91" spans="1:4" x14ac:dyDescent="0.25">
      <c r="A91" s="314" t="s">
        <v>594</v>
      </c>
      <c r="B91" s="317"/>
      <c r="C91" s="329" t="s">
        <v>1115</v>
      </c>
      <c r="D91" s="311" t="s">
        <v>5790</v>
      </c>
    </row>
    <row r="92" spans="1:4" x14ac:dyDescent="0.25">
      <c r="A92" s="314" t="s">
        <v>595</v>
      </c>
      <c r="B92" s="317"/>
      <c r="C92" s="329" t="s">
        <v>1116</v>
      </c>
      <c r="D92" s="311" t="s">
        <v>5791</v>
      </c>
    </row>
    <row r="93" spans="1:4" x14ac:dyDescent="0.25">
      <c r="A93" s="314" t="s">
        <v>596</v>
      </c>
      <c r="B93" s="317"/>
      <c r="C93" s="329" t="s">
        <v>1117</v>
      </c>
      <c r="D93" s="311" t="s">
        <v>5792</v>
      </c>
    </row>
    <row r="94" spans="1:4" x14ac:dyDescent="0.25">
      <c r="A94" s="314" t="s">
        <v>597</v>
      </c>
      <c r="B94" s="317"/>
      <c r="C94" s="329" t="s">
        <v>1118</v>
      </c>
      <c r="D94" s="311" t="s">
        <v>5793</v>
      </c>
    </row>
    <row r="95" spans="1:4" x14ac:dyDescent="0.25">
      <c r="A95" s="314" t="s">
        <v>598</v>
      </c>
      <c r="B95" s="317"/>
      <c r="C95" s="329" t="s">
        <v>1119</v>
      </c>
      <c r="D95" s="311" t="s">
        <v>5794</v>
      </c>
    </row>
    <row r="96" spans="1:4" x14ac:dyDescent="0.25">
      <c r="A96" s="314" t="s">
        <v>599</v>
      </c>
      <c r="B96" s="317"/>
      <c r="C96" s="329" t="s">
        <v>1120</v>
      </c>
      <c r="D96" s="311" t="s">
        <v>5795</v>
      </c>
    </row>
    <row r="97" spans="1:4" x14ac:dyDescent="0.25">
      <c r="A97" s="314" t="s">
        <v>600</v>
      </c>
      <c r="B97" s="317"/>
      <c r="C97" s="329" t="s">
        <v>1121</v>
      </c>
      <c r="D97" s="311" t="s">
        <v>5796</v>
      </c>
    </row>
    <row r="98" spans="1:4" x14ac:dyDescent="0.25">
      <c r="A98" s="314" t="s">
        <v>601</v>
      </c>
      <c r="B98" s="317"/>
      <c r="C98" s="329" t="s">
        <v>1122</v>
      </c>
      <c r="D98" s="311" t="s">
        <v>5797</v>
      </c>
    </row>
    <row r="99" spans="1:4" x14ac:dyDescent="0.25">
      <c r="A99" s="314" t="s">
        <v>602</v>
      </c>
      <c r="B99" s="317"/>
      <c r="C99" s="329" t="s">
        <v>1124</v>
      </c>
      <c r="D99" s="311" t="s">
        <v>5798</v>
      </c>
    </row>
    <row r="100" spans="1:4" x14ac:dyDescent="0.25">
      <c r="A100" s="314" t="s">
        <v>603</v>
      </c>
      <c r="B100" s="317"/>
      <c r="C100" s="329" t="s">
        <v>1125</v>
      </c>
      <c r="D100" s="311" t="s">
        <v>5799</v>
      </c>
    </row>
    <row r="101" spans="1:4" x14ac:dyDescent="0.25">
      <c r="A101" s="314" t="s">
        <v>604</v>
      </c>
      <c r="B101" s="317"/>
      <c r="C101" s="329" t="s">
        <v>1126</v>
      </c>
      <c r="D101" s="311" t="s">
        <v>5800</v>
      </c>
    </row>
    <row r="102" spans="1:4" x14ac:dyDescent="0.25">
      <c r="A102" s="314" t="s">
        <v>605</v>
      </c>
      <c r="B102" s="317"/>
      <c r="C102" s="329" t="s">
        <v>1127</v>
      </c>
      <c r="D102" s="311" t="s">
        <v>5801</v>
      </c>
    </row>
    <row r="103" spans="1:4" x14ac:dyDescent="0.25">
      <c r="A103" s="314" t="s">
        <v>606</v>
      </c>
      <c r="B103" s="317"/>
      <c r="C103" s="329" t="s">
        <v>1128</v>
      </c>
      <c r="D103" s="311" t="s">
        <v>5802</v>
      </c>
    </row>
    <row r="104" spans="1:4" x14ac:dyDescent="0.25">
      <c r="A104" s="314" t="s">
        <v>607</v>
      </c>
      <c r="B104" s="317"/>
      <c r="C104" s="329" t="s">
        <v>1129</v>
      </c>
      <c r="D104" s="311" t="s">
        <v>5803</v>
      </c>
    </row>
    <row r="105" spans="1:4" x14ac:dyDescent="0.25">
      <c r="A105" s="314" t="s">
        <v>608</v>
      </c>
      <c r="B105" s="317"/>
      <c r="C105" s="329" t="s">
        <v>1130</v>
      </c>
      <c r="D105" s="311" t="s">
        <v>5804</v>
      </c>
    </row>
    <row r="106" spans="1:4" x14ac:dyDescent="0.25">
      <c r="A106" s="314" t="s">
        <v>609</v>
      </c>
      <c r="B106" s="317"/>
      <c r="C106" s="329" t="s">
        <v>1123</v>
      </c>
      <c r="D106" s="311" t="s">
        <v>5805</v>
      </c>
    </row>
    <row r="107" spans="1:4" x14ac:dyDescent="0.25">
      <c r="A107" s="314" t="s">
        <v>610</v>
      </c>
      <c r="B107" s="317"/>
      <c r="C107" s="329" t="s">
        <v>1131</v>
      </c>
      <c r="D107" s="311" t="s">
        <v>5806</v>
      </c>
    </row>
    <row r="108" spans="1:4" x14ac:dyDescent="0.25">
      <c r="A108" s="314" t="s">
        <v>611</v>
      </c>
      <c r="B108" s="317"/>
      <c r="C108" s="329" t="s">
        <v>1132</v>
      </c>
      <c r="D108" s="311" t="s">
        <v>5807</v>
      </c>
    </row>
    <row r="109" spans="1:4" x14ac:dyDescent="0.25">
      <c r="A109" s="314" t="s">
        <v>612</v>
      </c>
      <c r="B109" s="317"/>
      <c r="C109" s="329" t="s">
        <v>1133</v>
      </c>
      <c r="D109" s="311" t="s">
        <v>5808</v>
      </c>
    </row>
    <row r="110" spans="1:4" x14ac:dyDescent="0.25">
      <c r="A110" s="314" t="s">
        <v>613</v>
      </c>
      <c r="B110" s="317"/>
      <c r="C110" s="329" t="s">
        <v>1134</v>
      </c>
      <c r="D110" s="311" t="s">
        <v>5809</v>
      </c>
    </row>
    <row r="111" spans="1:4" x14ac:dyDescent="0.25">
      <c r="A111" s="314" t="s">
        <v>614</v>
      </c>
      <c r="B111" s="317"/>
      <c r="C111" s="329" t="s">
        <v>1135</v>
      </c>
      <c r="D111" s="311" t="s">
        <v>5810</v>
      </c>
    </row>
    <row r="112" spans="1:4" x14ac:dyDescent="0.25">
      <c r="A112" s="314" t="s">
        <v>615</v>
      </c>
      <c r="B112" s="317"/>
      <c r="C112" s="329" t="s">
        <v>1136</v>
      </c>
      <c r="D112" s="311" t="s">
        <v>5811</v>
      </c>
    </row>
    <row r="113" spans="1:4" x14ac:dyDescent="0.25">
      <c r="A113" s="314" t="s">
        <v>616</v>
      </c>
      <c r="B113" s="317"/>
      <c r="C113" s="329" t="s">
        <v>1137</v>
      </c>
      <c r="D113" s="311" t="s">
        <v>5812</v>
      </c>
    </row>
    <row r="114" spans="1:4" x14ac:dyDescent="0.25">
      <c r="A114" s="314" t="s">
        <v>617</v>
      </c>
      <c r="B114" s="317"/>
      <c r="C114" s="329" t="s">
        <v>1138</v>
      </c>
      <c r="D114" s="311" t="s">
        <v>5813</v>
      </c>
    </row>
    <row r="115" spans="1:4" x14ac:dyDescent="0.25">
      <c r="A115" s="314" t="s">
        <v>618</v>
      </c>
      <c r="B115" s="317"/>
      <c r="C115" s="329" t="s">
        <v>1139</v>
      </c>
      <c r="D115" s="311" t="s">
        <v>5814</v>
      </c>
    </row>
    <row r="116" spans="1:4" x14ac:dyDescent="0.25">
      <c r="A116" s="314" t="s">
        <v>619</v>
      </c>
      <c r="B116" s="317"/>
      <c r="C116" s="329" t="s">
        <v>1140</v>
      </c>
      <c r="D116" s="311" t="s">
        <v>5815</v>
      </c>
    </row>
    <row r="117" spans="1:4" x14ac:dyDescent="0.25">
      <c r="A117" s="314" t="s">
        <v>620</v>
      </c>
      <c r="B117" s="317"/>
      <c r="C117" s="329" t="s">
        <v>1141</v>
      </c>
      <c r="D117" s="311" t="s">
        <v>5816</v>
      </c>
    </row>
    <row r="118" spans="1:4" x14ac:dyDescent="0.25">
      <c r="A118" s="314" t="s">
        <v>621</v>
      </c>
      <c r="B118" s="317"/>
      <c r="C118" s="329" t="s">
        <v>5817</v>
      </c>
      <c r="D118" s="311" t="s">
        <v>5818</v>
      </c>
    </row>
    <row r="119" spans="1:4" x14ac:dyDescent="0.25">
      <c r="A119" s="314" t="s">
        <v>622</v>
      </c>
      <c r="B119" s="317"/>
      <c r="C119" s="329" t="s">
        <v>1143</v>
      </c>
      <c r="D119" s="311" t="s">
        <v>5819</v>
      </c>
    </row>
    <row r="120" spans="1:4" x14ac:dyDescent="0.25">
      <c r="A120" s="314" t="s">
        <v>623</v>
      </c>
      <c r="B120" s="317"/>
      <c r="C120" s="329" t="s">
        <v>1144</v>
      </c>
      <c r="D120" s="311" t="s">
        <v>5820</v>
      </c>
    </row>
    <row r="121" spans="1:4" x14ac:dyDescent="0.25">
      <c r="A121" s="314" t="s">
        <v>624</v>
      </c>
      <c r="B121" s="317"/>
      <c r="C121" s="329" t="s">
        <v>1142</v>
      </c>
      <c r="D121" s="311" t="s">
        <v>5821</v>
      </c>
    </row>
    <row r="122" spans="1:4" x14ac:dyDescent="0.25">
      <c r="A122" s="314" t="s">
        <v>625</v>
      </c>
      <c r="B122" s="317"/>
      <c r="C122" s="329" t="s">
        <v>1145</v>
      </c>
      <c r="D122" s="311" t="s">
        <v>5822</v>
      </c>
    </row>
    <row r="123" spans="1:4" x14ac:dyDescent="0.25">
      <c r="A123" s="314" t="s">
        <v>626</v>
      </c>
      <c r="B123" s="317"/>
      <c r="C123" s="329" t="s">
        <v>1147</v>
      </c>
      <c r="D123" s="311" t="s">
        <v>5823</v>
      </c>
    </row>
    <row r="124" spans="1:4" x14ac:dyDescent="0.25">
      <c r="A124" s="314" t="s">
        <v>627</v>
      </c>
      <c r="B124" s="317"/>
      <c r="C124" s="329" t="s">
        <v>1148</v>
      </c>
      <c r="D124" s="311" t="s">
        <v>5824</v>
      </c>
    </row>
    <row r="125" spans="1:4" x14ac:dyDescent="0.25">
      <c r="A125" s="314" t="s">
        <v>628</v>
      </c>
      <c r="B125" s="317"/>
      <c r="C125" s="329" t="s">
        <v>1149</v>
      </c>
      <c r="D125" s="311" t="s">
        <v>5825</v>
      </c>
    </row>
    <row r="126" spans="1:4" x14ac:dyDescent="0.25">
      <c r="A126" s="314" t="s">
        <v>629</v>
      </c>
      <c r="B126" s="317"/>
      <c r="C126" s="329" t="s">
        <v>1150</v>
      </c>
      <c r="D126" s="311" t="s">
        <v>5826</v>
      </c>
    </row>
    <row r="127" spans="1:4" x14ac:dyDescent="0.25">
      <c r="A127" s="314" t="s">
        <v>630</v>
      </c>
      <c r="B127" s="317"/>
      <c r="C127" s="329" t="s">
        <v>1151</v>
      </c>
      <c r="D127" s="311" t="s">
        <v>5827</v>
      </c>
    </row>
    <row r="128" spans="1:4" x14ac:dyDescent="0.25">
      <c r="A128" s="314" t="s">
        <v>631</v>
      </c>
      <c r="B128" s="317"/>
      <c r="C128" s="329" t="s">
        <v>1146</v>
      </c>
      <c r="D128" s="311" t="s">
        <v>5828</v>
      </c>
    </row>
    <row r="129" spans="1:4" x14ac:dyDescent="0.25">
      <c r="A129" s="314" t="s">
        <v>632</v>
      </c>
      <c r="B129" s="317"/>
      <c r="C129" s="329" t="s">
        <v>1153</v>
      </c>
      <c r="D129" s="311" t="s">
        <v>5829</v>
      </c>
    </row>
    <row r="130" spans="1:4" x14ac:dyDescent="0.25">
      <c r="A130" s="314" t="s">
        <v>633</v>
      </c>
      <c r="B130" s="317"/>
      <c r="C130" s="329" t="s">
        <v>1154</v>
      </c>
      <c r="D130" s="311" t="s">
        <v>5830</v>
      </c>
    </row>
    <row r="131" spans="1:4" x14ac:dyDescent="0.25">
      <c r="A131" s="314" t="s">
        <v>634</v>
      </c>
      <c r="B131" s="317"/>
      <c r="C131" s="329" t="s">
        <v>1155</v>
      </c>
      <c r="D131" s="311" t="s">
        <v>5831</v>
      </c>
    </row>
    <row r="132" spans="1:4" x14ac:dyDescent="0.25">
      <c r="A132" s="314" t="s">
        <v>635</v>
      </c>
      <c r="B132" s="317"/>
      <c r="C132" s="329" t="s">
        <v>1152</v>
      </c>
      <c r="D132" s="311" t="s">
        <v>5832</v>
      </c>
    </row>
    <row r="133" spans="1:4" x14ac:dyDescent="0.25">
      <c r="A133" s="314" t="s">
        <v>636</v>
      </c>
      <c r="B133" s="317"/>
      <c r="C133" s="329" t="s">
        <v>1156</v>
      </c>
      <c r="D133" s="311" t="s">
        <v>5833</v>
      </c>
    </row>
    <row r="134" spans="1:4" x14ac:dyDescent="0.25">
      <c r="A134" s="314" t="s">
        <v>637</v>
      </c>
      <c r="B134" s="317"/>
      <c r="C134" s="329" t="s">
        <v>1158</v>
      </c>
      <c r="D134" s="311" t="s">
        <v>5834</v>
      </c>
    </row>
    <row r="135" spans="1:4" x14ac:dyDescent="0.25">
      <c r="A135" s="314" t="s">
        <v>638</v>
      </c>
      <c r="B135" s="317"/>
      <c r="C135" s="329" t="s">
        <v>1157</v>
      </c>
      <c r="D135" s="311" t="s">
        <v>5835</v>
      </c>
    </row>
    <row r="136" spans="1:4" x14ac:dyDescent="0.25">
      <c r="A136" s="314" t="s">
        <v>639</v>
      </c>
      <c r="B136" s="317"/>
      <c r="C136" s="329" t="s">
        <v>1159</v>
      </c>
      <c r="D136" s="311" t="s">
        <v>5836</v>
      </c>
    </row>
    <row r="137" spans="1:4" x14ac:dyDescent="0.25">
      <c r="A137" s="314" t="s">
        <v>640</v>
      </c>
      <c r="B137" s="317"/>
      <c r="C137" s="329" t="s">
        <v>1160</v>
      </c>
      <c r="D137" s="311" t="s">
        <v>5837</v>
      </c>
    </row>
    <row r="138" spans="1:4" x14ac:dyDescent="0.25">
      <c r="A138" s="314" t="s">
        <v>641</v>
      </c>
      <c r="B138" s="317"/>
      <c r="C138" s="329" t="s">
        <v>1161</v>
      </c>
      <c r="D138" s="311" t="s">
        <v>5838</v>
      </c>
    </row>
    <row r="139" spans="1:4" x14ac:dyDescent="0.25">
      <c r="A139" s="314" t="s">
        <v>642</v>
      </c>
      <c r="B139" s="317"/>
      <c r="C139" s="329" t="s">
        <v>1162</v>
      </c>
      <c r="D139" s="311" t="s">
        <v>5839</v>
      </c>
    </row>
    <row r="140" spans="1:4" x14ac:dyDescent="0.25">
      <c r="A140" s="314" t="s">
        <v>643</v>
      </c>
      <c r="B140" s="317"/>
      <c r="C140" s="329" t="s">
        <v>1163</v>
      </c>
      <c r="D140" s="311" t="s">
        <v>5840</v>
      </c>
    </row>
    <row r="141" spans="1:4" x14ac:dyDescent="0.25">
      <c r="A141" s="314" t="s">
        <v>644</v>
      </c>
      <c r="B141" s="317"/>
      <c r="C141" s="329" t="s">
        <v>1164</v>
      </c>
      <c r="D141" s="311" t="s">
        <v>5841</v>
      </c>
    </row>
    <row r="142" spans="1:4" x14ac:dyDescent="0.25">
      <c r="A142" s="314" t="s">
        <v>645</v>
      </c>
      <c r="B142" s="317"/>
      <c r="C142" s="329" t="s">
        <v>1165</v>
      </c>
      <c r="D142" s="311" t="s">
        <v>5842</v>
      </c>
    </row>
    <row r="143" spans="1:4" x14ac:dyDescent="0.25">
      <c r="A143" s="314" t="s">
        <v>646</v>
      </c>
      <c r="B143" s="317"/>
      <c r="C143" s="329" t="s">
        <v>1166</v>
      </c>
      <c r="D143" s="311" t="s">
        <v>5843</v>
      </c>
    </row>
    <row r="144" spans="1:4" x14ac:dyDescent="0.25">
      <c r="A144" s="314" t="s">
        <v>647</v>
      </c>
      <c r="B144" s="317"/>
      <c r="C144" s="329" t="s">
        <v>1167</v>
      </c>
      <c r="D144" s="311" t="s">
        <v>5844</v>
      </c>
    </row>
    <row r="145" spans="1:4" x14ac:dyDescent="0.25">
      <c r="A145" s="314" t="s">
        <v>648</v>
      </c>
      <c r="B145" s="317"/>
      <c r="C145" s="329" t="s">
        <v>1168</v>
      </c>
      <c r="D145" s="311" t="s">
        <v>5845</v>
      </c>
    </row>
    <row r="146" spans="1:4" x14ac:dyDescent="0.25">
      <c r="A146" s="314" t="s">
        <v>649</v>
      </c>
      <c r="B146" s="317"/>
      <c r="C146" s="329" t="s">
        <v>1170</v>
      </c>
      <c r="D146" s="311" t="s">
        <v>5846</v>
      </c>
    </row>
    <row r="147" spans="1:4" x14ac:dyDescent="0.25">
      <c r="A147" s="314" t="s">
        <v>650</v>
      </c>
      <c r="B147" s="317"/>
      <c r="C147" s="329" t="s">
        <v>1169</v>
      </c>
      <c r="D147" s="311" t="s">
        <v>5847</v>
      </c>
    </row>
    <row r="148" spans="1:4" x14ac:dyDescent="0.25">
      <c r="A148" s="314" t="s">
        <v>651</v>
      </c>
      <c r="B148" s="317"/>
      <c r="C148" s="329" t="s">
        <v>1171</v>
      </c>
      <c r="D148" s="311" t="s">
        <v>5848</v>
      </c>
    </row>
    <row r="149" spans="1:4" x14ac:dyDescent="0.25">
      <c r="A149" s="314" t="s">
        <v>652</v>
      </c>
      <c r="B149" s="317"/>
      <c r="C149" s="329" t="s">
        <v>1174</v>
      </c>
      <c r="D149" s="311" t="s">
        <v>5849</v>
      </c>
    </row>
    <row r="150" spans="1:4" x14ac:dyDescent="0.25">
      <c r="A150" s="314" t="s">
        <v>653</v>
      </c>
      <c r="B150" s="317"/>
      <c r="C150" s="329" t="s">
        <v>1172</v>
      </c>
      <c r="D150" s="311" t="s">
        <v>5850</v>
      </c>
    </row>
    <row r="151" spans="1:4" x14ac:dyDescent="0.25">
      <c r="A151" s="314" t="s">
        <v>654</v>
      </c>
      <c r="B151" s="317"/>
      <c r="C151" s="329" t="s">
        <v>1173</v>
      </c>
      <c r="D151" s="311" t="s">
        <v>5851</v>
      </c>
    </row>
    <row r="152" spans="1:4" x14ac:dyDescent="0.25">
      <c r="A152" s="314" t="s">
        <v>655</v>
      </c>
      <c r="B152" s="317"/>
      <c r="C152" s="329" t="s">
        <v>1175</v>
      </c>
      <c r="D152" s="311" t="s">
        <v>5852</v>
      </c>
    </row>
    <row r="153" spans="1:4" x14ac:dyDescent="0.25">
      <c r="A153" s="314" t="s">
        <v>656</v>
      </c>
      <c r="B153" s="317"/>
      <c r="C153" s="329" t="s">
        <v>1176</v>
      </c>
      <c r="D153" s="311" t="s">
        <v>5853</v>
      </c>
    </row>
    <row r="154" spans="1:4" x14ac:dyDescent="0.25">
      <c r="A154" s="314" t="s">
        <v>657</v>
      </c>
      <c r="B154" s="317"/>
      <c r="C154" s="329" t="s">
        <v>1177</v>
      </c>
      <c r="D154" s="311" t="s">
        <v>5854</v>
      </c>
    </row>
    <row r="155" spans="1:4" x14ac:dyDescent="0.25">
      <c r="A155" s="314" t="s">
        <v>658</v>
      </c>
      <c r="B155" s="317"/>
      <c r="C155" s="329" t="s">
        <v>1178</v>
      </c>
      <c r="D155" s="311" t="s">
        <v>5855</v>
      </c>
    </row>
    <row r="156" spans="1:4" x14ac:dyDescent="0.25">
      <c r="A156" s="314" t="s">
        <v>659</v>
      </c>
      <c r="B156" s="317"/>
      <c r="C156" s="329" t="s">
        <v>1179</v>
      </c>
      <c r="D156" s="311" t="s">
        <v>5856</v>
      </c>
    </row>
    <row r="157" spans="1:4" x14ac:dyDescent="0.25">
      <c r="A157" s="314" t="s">
        <v>660</v>
      </c>
      <c r="B157" s="317"/>
      <c r="C157" s="329" t="s">
        <v>1180</v>
      </c>
      <c r="D157" s="311" t="s">
        <v>5857</v>
      </c>
    </row>
    <row r="158" spans="1:4" x14ac:dyDescent="0.25">
      <c r="A158" s="314" t="s">
        <v>661</v>
      </c>
      <c r="B158" s="317"/>
      <c r="C158" s="329" t="s">
        <v>1181</v>
      </c>
      <c r="D158" s="311" t="s">
        <v>5858</v>
      </c>
    </row>
    <row r="159" spans="1:4" x14ac:dyDescent="0.25">
      <c r="A159" s="314" t="s">
        <v>662</v>
      </c>
      <c r="B159" s="317"/>
      <c r="C159" s="329" t="s">
        <v>1182</v>
      </c>
      <c r="D159" s="311" t="s">
        <v>5859</v>
      </c>
    </row>
    <row r="160" spans="1:4" x14ac:dyDescent="0.25">
      <c r="A160" s="314" t="s">
        <v>663</v>
      </c>
      <c r="B160" s="317"/>
      <c r="C160" s="329" t="s">
        <v>1183</v>
      </c>
      <c r="D160" s="311" t="s">
        <v>5860</v>
      </c>
    </row>
    <row r="161" spans="1:4" x14ac:dyDescent="0.25">
      <c r="A161" s="314" t="s">
        <v>664</v>
      </c>
      <c r="B161" s="317"/>
      <c r="C161" s="329" t="s">
        <v>1184</v>
      </c>
      <c r="D161" s="311" t="s">
        <v>5861</v>
      </c>
    </row>
    <row r="162" spans="1:4" x14ac:dyDescent="0.25">
      <c r="A162" s="314" t="s">
        <v>665</v>
      </c>
      <c r="B162" s="317"/>
      <c r="C162" s="329" t="s">
        <v>1185</v>
      </c>
      <c r="D162" s="311" t="s">
        <v>5862</v>
      </c>
    </row>
    <row r="163" spans="1:4" x14ac:dyDescent="0.25">
      <c r="A163" s="314" t="s">
        <v>666</v>
      </c>
      <c r="B163" s="317"/>
      <c r="C163" s="329" t="s">
        <v>1186</v>
      </c>
      <c r="D163" s="311" t="s">
        <v>5863</v>
      </c>
    </row>
    <row r="164" spans="1:4" x14ac:dyDescent="0.25">
      <c r="A164" s="314" t="s">
        <v>667</v>
      </c>
      <c r="B164" s="317"/>
      <c r="C164" s="329" t="s">
        <v>1187</v>
      </c>
      <c r="D164" s="311" t="s">
        <v>5864</v>
      </c>
    </row>
    <row r="165" spans="1:4" x14ac:dyDescent="0.25">
      <c r="A165" s="314" t="s">
        <v>668</v>
      </c>
      <c r="B165" s="317"/>
      <c r="C165" s="329" t="s">
        <v>1188</v>
      </c>
      <c r="D165" s="311" t="s">
        <v>5865</v>
      </c>
    </row>
    <row r="166" spans="1:4" x14ac:dyDescent="0.25">
      <c r="A166" s="314" t="s">
        <v>669</v>
      </c>
      <c r="B166" s="317"/>
      <c r="C166" s="329" t="s">
        <v>1189</v>
      </c>
      <c r="D166" s="311" t="s">
        <v>5866</v>
      </c>
    </row>
    <row r="167" spans="1:4" x14ac:dyDescent="0.25">
      <c r="A167" s="314" t="s">
        <v>670</v>
      </c>
      <c r="B167" s="317"/>
      <c r="C167" s="329" t="s">
        <v>1190</v>
      </c>
      <c r="D167" s="311" t="s">
        <v>5867</v>
      </c>
    </row>
    <row r="168" spans="1:4" x14ac:dyDescent="0.25">
      <c r="A168" s="314" t="s">
        <v>671</v>
      </c>
      <c r="B168" s="317"/>
      <c r="C168" s="329" t="s">
        <v>1191</v>
      </c>
      <c r="D168" s="311" t="s">
        <v>5868</v>
      </c>
    </row>
    <row r="169" spans="1:4" x14ac:dyDescent="0.25">
      <c r="A169" s="314" t="s">
        <v>672</v>
      </c>
      <c r="B169" s="317"/>
      <c r="C169" s="329" t="s">
        <v>1192</v>
      </c>
      <c r="D169" s="311" t="s">
        <v>5869</v>
      </c>
    </row>
    <row r="170" spans="1:4" x14ac:dyDescent="0.25">
      <c r="A170" s="314" t="s">
        <v>673</v>
      </c>
      <c r="B170" s="317"/>
      <c r="C170" s="329" t="s">
        <v>1193</v>
      </c>
      <c r="D170" s="311" t="s">
        <v>5870</v>
      </c>
    </row>
    <row r="171" spans="1:4" x14ac:dyDescent="0.25">
      <c r="A171" s="314" t="s">
        <v>674</v>
      </c>
      <c r="B171" s="317"/>
      <c r="C171" s="329" t="s">
        <v>1194</v>
      </c>
      <c r="D171" s="311" t="s">
        <v>5871</v>
      </c>
    </row>
    <row r="172" spans="1:4" x14ac:dyDescent="0.25">
      <c r="A172" s="314" t="s">
        <v>675</v>
      </c>
      <c r="B172" s="317"/>
      <c r="C172" s="329" t="s">
        <v>1195</v>
      </c>
      <c r="D172" s="311" t="s">
        <v>5872</v>
      </c>
    </row>
    <row r="173" spans="1:4" x14ac:dyDescent="0.25">
      <c r="A173" s="314" t="s">
        <v>676</v>
      </c>
      <c r="B173" s="317"/>
      <c r="C173" s="329" t="s">
        <v>1196</v>
      </c>
      <c r="D173" s="311" t="s">
        <v>5873</v>
      </c>
    </row>
    <row r="174" spans="1:4" x14ac:dyDescent="0.25">
      <c r="A174" s="314" t="s">
        <v>677</v>
      </c>
      <c r="B174" s="317"/>
      <c r="C174" s="329" t="s">
        <v>1197</v>
      </c>
      <c r="D174" s="311" t="s">
        <v>5874</v>
      </c>
    </row>
    <row r="175" spans="1:4" x14ac:dyDescent="0.25">
      <c r="A175" s="314" t="s">
        <v>678</v>
      </c>
      <c r="B175" s="317"/>
      <c r="C175" s="329" t="s">
        <v>1198</v>
      </c>
      <c r="D175" s="311" t="s">
        <v>5875</v>
      </c>
    </row>
    <row r="176" spans="1:4" x14ac:dyDescent="0.25">
      <c r="A176" s="314" t="s">
        <v>679</v>
      </c>
      <c r="B176" s="317"/>
      <c r="C176" s="329" t="s">
        <v>1199</v>
      </c>
      <c r="D176" s="311" t="s">
        <v>5876</v>
      </c>
    </row>
    <row r="177" spans="1:4" x14ac:dyDescent="0.25">
      <c r="A177" s="314" t="s">
        <v>680</v>
      </c>
      <c r="B177" s="317"/>
      <c r="C177" s="329" t="s">
        <v>1200</v>
      </c>
      <c r="D177" s="311" t="s">
        <v>5877</v>
      </c>
    </row>
    <row r="178" spans="1:4" x14ac:dyDescent="0.25">
      <c r="A178" s="314" t="s">
        <v>681</v>
      </c>
      <c r="B178" s="317"/>
      <c r="C178" s="329" t="s">
        <v>1201</v>
      </c>
      <c r="D178" s="311" t="s">
        <v>5878</v>
      </c>
    </row>
    <row r="179" spans="1:4" x14ac:dyDescent="0.25">
      <c r="A179" s="314" t="s">
        <v>682</v>
      </c>
      <c r="B179" s="317"/>
      <c r="C179" s="329" t="s">
        <v>1202</v>
      </c>
      <c r="D179" s="311" t="s">
        <v>5879</v>
      </c>
    </row>
    <row r="180" spans="1:4" x14ac:dyDescent="0.25">
      <c r="A180" s="314" t="s">
        <v>683</v>
      </c>
      <c r="B180" s="317"/>
      <c r="C180" s="329" t="s">
        <v>1203</v>
      </c>
      <c r="D180" s="311" t="s">
        <v>5880</v>
      </c>
    </row>
    <row r="181" spans="1:4" x14ac:dyDescent="0.25">
      <c r="A181" s="314" t="s">
        <v>684</v>
      </c>
      <c r="B181" s="317"/>
      <c r="C181" s="329" t="s">
        <v>1204</v>
      </c>
      <c r="D181" s="311" t="s">
        <v>5881</v>
      </c>
    </row>
    <row r="182" spans="1:4" x14ac:dyDescent="0.25">
      <c r="A182" s="314" t="s">
        <v>685</v>
      </c>
      <c r="B182" s="317"/>
      <c r="C182" s="329" t="s">
        <v>5882</v>
      </c>
      <c r="D182" s="311" t="s">
        <v>5702</v>
      </c>
    </row>
    <row r="183" spans="1:4" x14ac:dyDescent="0.25">
      <c r="A183" s="314" t="s">
        <v>686</v>
      </c>
      <c r="B183" s="317"/>
      <c r="C183" s="329" t="s">
        <v>5883</v>
      </c>
      <c r="D183" s="311" t="s">
        <v>5707</v>
      </c>
    </row>
    <row r="184" spans="1:4" x14ac:dyDescent="0.25">
      <c r="A184" s="314" t="s">
        <v>687</v>
      </c>
      <c r="B184" s="317"/>
      <c r="C184" s="329" t="s">
        <v>5884</v>
      </c>
      <c r="D184" s="311" t="s">
        <v>5885</v>
      </c>
    </row>
    <row r="185" spans="1:4" x14ac:dyDescent="0.25">
      <c r="A185" s="314" t="s">
        <v>688</v>
      </c>
      <c r="B185" s="317"/>
      <c r="C185" s="329" t="s">
        <v>5886</v>
      </c>
      <c r="D185" s="311" t="s">
        <v>5887</v>
      </c>
    </row>
    <row r="186" spans="1:4" x14ac:dyDescent="0.25">
      <c r="A186" s="314" t="s">
        <v>689</v>
      </c>
      <c r="B186" s="317"/>
      <c r="C186" s="329" t="s">
        <v>5888</v>
      </c>
      <c r="D186" s="311" t="s">
        <v>5730</v>
      </c>
    </row>
    <row r="187" spans="1:4" x14ac:dyDescent="0.25">
      <c r="A187" s="314" t="s">
        <v>690</v>
      </c>
      <c r="B187" s="317"/>
      <c r="C187" s="329" t="s">
        <v>5889</v>
      </c>
      <c r="D187" s="311" t="s">
        <v>5740</v>
      </c>
    </row>
    <row r="188" spans="1:4" x14ac:dyDescent="0.25">
      <c r="A188" s="314" t="s">
        <v>691</v>
      </c>
      <c r="B188" s="317"/>
      <c r="C188" s="329" t="s">
        <v>5890</v>
      </c>
      <c r="D188" s="311" t="s">
        <v>5891</v>
      </c>
    </row>
    <row r="189" spans="1:4" x14ac:dyDescent="0.25">
      <c r="A189" s="314" t="s">
        <v>692</v>
      </c>
      <c r="B189" s="317"/>
      <c r="C189" s="329" t="s">
        <v>5892</v>
      </c>
      <c r="D189" s="311" t="s">
        <v>5766</v>
      </c>
    </row>
    <row r="190" spans="1:4" x14ac:dyDescent="0.25">
      <c r="A190" s="314" t="s">
        <v>693</v>
      </c>
      <c r="B190" s="317"/>
      <c r="C190" s="329" t="s">
        <v>5893</v>
      </c>
      <c r="D190" s="311" t="s">
        <v>5767</v>
      </c>
    </row>
    <row r="191" spans="1:4" x14ac:dyDescent="0.25">
      <c r="A191" s="314" t="s">
        <v>694</v>
      </c>
      <c r="B191" s="317"/>
      <c r="C191" s="329" t="s">
        <v>5894</v>
      </c>
      <c r="D191" s="311" t="s">
        <v>5745</v>
      </c>
    </row>
    <row r="192" spans="1:4" x14ac:dyDescent="0.25">
      <c r="A192" s="314" t="s">
        <v>695</v>
      </c>
      <c r="B192" s="317"/>
      <c r="C192" s="329" t="s">
        <v>5895</v>
      </c>
      <c r="D192" s="311" t="s">
        <v>5896</v>
      </c>
    </row>
    <row r="193" spans="1:4" x14ac:dyDescent="0.25">
      <c r="A193" s="314" t="s">
        <v>696</v>
      </c>
      <c r="B193" s="317"/>
      <c r="C193" s="329" t="s">
        <v>5897</v>
      </c>
      <c r="D193" s="311" t="s">
        <v>5749</v>
      </c>
    </row>
    <row r="194" spans="1:4" x14ac:dyDescent="0.25">
      <c r="A194" s="314" t="s">
        <v>697</v>
      </c>
      <c r="B194" s="317"/>
      <c r="C194" s="329" t="s">
        <v>5898</v>
      </c>
      <c r="D194" s="311" t="s">
        <v>5899</v>
      </c>
    </row>
    <row r="195" spans="1:4" x14ac:dyDescent="0.25">
      <c r="A195" s="314" t="s">
        <v>698</v>
      </c>
      <c r="B195" s="317"/>
      <c r="C195" s="329" t="s">
        <v>5900</v>
      </c>
      <c r="D195" s="311" t="s">
        <v>5775</v>
      </c>
    </row>
    <row r="196" spans="1:4" x14ac:dyDescent="0.25">
      <c r="A196" s="314" t="s">
        <v>699</v>
      </c>
      <c r="B196" s="317"/>
      <c r="C196" s="329" t="s">
        <v>5901</v>
      </c>
      <c r="D196" s="311" t="s">
        <v>5772</v>
      </c>
    </row>
    <row r="197" spans="1:4" x14ac:dyDescent="0.25">
      <c r="A197" s="314" t="s">
        <v>700</v>
      </c>
      <c r="B197" s="317"/>
      <c r="C197" s="329" t="s">
        <v>5902</v>
      </c>
      <c r="D197" s="311" t="s">
        <v>5903</v>
      </c>
    </row>
    <row r="198" spans="1:4" x14ac:dyDescent="0.25">
      <c r="A198" s="314" t="s">
        <v>701</v>
      </c>
      <c r="B198" s="317"/>
      <c r="C198" s="329" t="s">
        <v>5904</v>
      </c>
      <c r="D198" s="311" t="s">
        <v>5773</v>
      </c>
    </row>
    <row r="199" spans="1:4" x14ac:dyDescent="0.25">
      <c r="A199" s="314" t="s">
        <v>702</v>
      </c>
      <c r="B199" s="317"/>
      <c r="C199" s="329" t="s">
        <v>5905</v>
      </c>
      <c r="D199" s="311" t="s">
        <v>5776</v>
      </c>
    </row>
    <row r="200" spans="1:4" x14ac:dyDescent="0.25">
      <c r="A200" s="314" t="s">
        <v>703</v>
      </c>
      <c r="B200" s="317"/>
      <c r="C200" s="329" t="s">
        <v>5906</v>
      </c>
      <c r="D200" s="311" t="s">
        <v>5777</v>
      </c>
    </row>
    <row r="201" spans="1:4" x14ac:dyDescent="0.25">
      <c r="A201" s="314" t="s">
        <v>704</v>
      </c>
      <c r="B201" s="317"/>
      <c r="C201" s="329" t="s">
        <v>5907</v>
      </c>
      <c r="D201" s="311" t="s">
        <v>5908</v>
      </c>
    </row>
    <row r="202" spans="1:4" x14ac:dyDescent="0.25">
      <c r="A202" s="314" t="s">
        <v>705</v>
      </c>
      <c r="B202" s="317"/>
      <c r="C202" s="329" t="s">
        <v>5909</v>
      </c>
      <c r="D202" s="311" t="s">
        <v>5735</v>
      </c>
    </row>
    <row r="203" spans="1:4" x14ac:dyDescent="0.25">
      <c r="A203" s="314" t="s">
        <v>706</v>
      </c>
      <c r="B203" s="317"/>
      <c r="C203" s="329" t="s">
        <v>5910</v>
      </c>
      <c r="D203" s="311" t="s">
        <v>5736</v>
      </c>
    </row>
    <row r="204" spans="1:4" x14ac:dyDescent="0.25">
      <c r="A204" s="314" t="s">
        <v>707</v>
      </c>
      <c r="B204" s="317"/>
      <c r="C204" s="329" t="s">
        <v>5911</v>
      </c>
      <c r="D204" s="311" t="s">
        <v>5912</v>
      </c>
    </row>
    <row r="205" spans="1:4" x14ac:dyDescent="0.25">
      <c r="A205" s="314" t="s">
        <v>708</v>
      </c>
      <c r="B205" s="317"/>
      <c r="C205" s="329" t="s">
        <v>5913</v>
      </c>
      <c r="D205" s="311" t="s">
        <v>5734</v>
      </c>
    </row>
    <row r="206" spans="1:4" x14ac:dyDescent="0.25">
      <c r="A206" s="314" t="s">
        <v>709</v>
      </c>
      <c r="B206" s="317"/>
      <c r="C206" s="329" t="s">
        <v>5914</v>
      </c>
      <c r="D206" s="311" t="s">
        <v>5731</v>
      </c>
    </row>
    <row r="207" spans="1:4" x14ac:dyDescent="0.25">
      <c r="A207" s="314" t="s">
        <v>710</v>
      </c>
      <c r="B207" s="317"/>
      <c r="C207" s="329" t="s">
        <v>5915</v>
      </c>
      <c r="D207" s="311" t="s">
        <v>5732</v>
      </c>
    </row>
    <row r="208" spans="1:4" x14ac:dyDescent="0.25">
      <c r="A208" s="314" t="s">
        <v>711</v>
      </c>
      <c r="B208" s="317"/>
      <c r="C208" s="329" t="s">
        <v>5916</v>
      </c>
      <c r="D208" s="311" t="s">
        <v>5733</v>
      </c>
    </row>
    <row r="209" spans="1:4" x14ac:dyDescent="0.25">
      <c r="A209" s="314" t="s">
        <v>712</v>
      </c>
      <c r="B209" s="317"/>
      <c r="C209" s="329" t="s">
        <v>5917</v>
      </c>
      <c r="D209" s="311" t="s">
        <v>5784</v>
      </c>
    </row>
    <row r="210" spans="1:4" x14ac:dyDescent="0.25">
      <c r="A210" s="314" t="s">
        <v>713</v>
      </c>
      <c r="B210" s="317"/>
      <c r="C210" s="329" t="s">
        <v>5918</v>
      </c>
      <c r="D210" s="311" t="s">
        <v>5785</v>
      </c>
    </row>
    <row r="211" spans="1:4" x14ac:dyDescent="0.25">
      <c r="A211" s="314" t="s">
        <v>714</v>
      </c>
      <c r="B211" s="317"/>
      <c r="C211" s="329" t="s">
        <v>5919</v>
      </c>
      <c r="D211" s="311" t="s">
        <v>5748</v>
      </c>
    </row>
    <row r="212" spans="1:4" x14ac:dyDescent="0.25">
      <c r="A212" s="314" t="s">
        <v>715</v>
      </c>
      <c r="B212" s="317"/>
      <c r="C212" s="329" t="s">
        <v>5920</v>
      </c>
      <c r="D212" s="311" t="s">
        <v>5750</v>
      </c>
    </row>
    <row r="213" spans="1:4" x14ac:dyDescent="0.25">
      <c r="A213" s="314" t="s">
        <v>716</v>
      </c>
      <c r="B213" s="317"/>
      <c r="C213" s="329" t="s">
        <v>5921</v>
      </c>
      <c r="D213" s="311" t="s">
        <v>5783</v>
      </c>
    </row>
    <row r="214" spans="1:4" x14ac:dyDescent="0.25">
      <c r="A214" s="314" t="s">
        <v>717</v>
      </c>
      <c r="B214" s="317"/>
      <c r="C214" s="329" t="s">
        <v>5922</v>
      </c>
      <c r="D214" s="311" t="s">
        <v>5782</v>
      </c>
    </row>
    <row r="215" spans="1:4" x14ac:dyDescent="0.25">
      <c r="A215" s="314" t="s">
        <v>718</v>
      </c>
      <c r="B215" s="317"/>
      <c r="C215" s="329" t="s">
        <v>5923</v>
      </c>
      <c r="D215" s="311" t="s">
        <v>5787</v>
      </c>
    </row>
    <row r="216" spans="1:4" x14ac:dyDescent="0.25">
      <c r="A216" s="314" t="s">
        <v>719</v>
      </c>
      <c r="B216" s="317"/>
      <c r="C216" s="329" t="s">
        <v>5924</v>
      </c>
      <c r="D216" s="311" t="s">
        <v>5751</v>
      </c>
    </row>
    <row r="217" spans="1:4" x14ac:dyDescent="0.25">
      <c r="A217" s="314" t="s">
        <v>720</v>
      </c>
      <c r="B217" s="317"/>
      <c r="C217" s="329" t="s">
        <v>5925</v>
      </c>
      <c r="D217" s="311" t="s">
        <v>5726</v>
      </c>
    </row>
    <row r="218" spans="1:4" x14ac:dyDescent="0.25">
      <c r="A218" s="314" t="s">
        <v>721</v>
      </c>
      <c r="B218" s="317"/>
      <c r="C218" s="329" t="s">
        <v>5926</v>
      </c>
      <c r="D218" s="311" t="s">
        <v>5727</v>
      </c>
    </row>
    <row r="219" spans="1:4" x14ac:dyDescent="0.25">
      <c r="A219" s="314" t="s">
        <v>722</v>
      </c>
      <c r="B219" s="317"/>
      <c r="C219" s="329" t="s">
        <v>5927</v>
      </c>
      <c r="D219" s="311" t="s">
        <v>5729</v>
      </c>
    </row>
    <row r="220" spans="1:4" x14ac:dyDescent="0.25">
      <c r="A220" s="314" t="s">
        <v>723</v>
      </c>
      <c r="B220" s="317"/>
      <c r="C220" s="329" t="s">
        <v>5928</v>
      </c>
      <c r="D220" s="311" t="s">
        <v>5704</v>
      </c>
    </row>
    <row r="221" spans="1:4" x14ac:dyDescent="0.25">
      <c r="A221" s="314" t="s">
        <v>724</v>
      </c>
      <c r="B221" s="317"/>
      <c r="C221" s="329" t="s">
        <v>5929</v>
      </c>
      <c r="D221" s="311" t="s">
        <v>5755</v>
      </c>
    </row>
    <row r="222" spans="1:4" x14ac:dyDescent="0.25">
      <c r="A222" s="314" t="s">
        <v>725</v>
      </c>
      <c r="B222" s="317"/>
      <c r="C222" s="329" t="s">
        <v>1205</v>
      </c>
      <c r="D222" s="311" t="s">
        <v>5701</v>
      </c>
    </row>
    <row r="223" spans="1:4" x14ac:dyDescent="0.25">
      <c r="A223" s="314" t="s">
        <v>726</v>
      </c>
      <c r="B223" s="317"/>
      <c r="C223" s="329" t="s">
        <v>1206</v>
      </c>
      <c r="D223" s="311" t="s">
        <v>5702</v>
      </c>
    </row>
    <row r="224" spans="1:4" x14ac:dyDescent="0.25">
      <c r="A224" s="314" t="s">
        <v>727</v>
      </c>
      <c r="B224" s="317"/>
      <c r="C224" s="329" t="s">
        <v>432</v>
      </c>
      <c r="D224" s="311" t="s">
        <v>5703</v>
      </c>
    </row>
    <row r="225" spans="1:4" x14ac:dyDescent="0.25">
      <c r="A225" s="314" t="s">
        <v>728</v>
      </c>
      <c r="B225" s="317"/>
      <c r="C225" s="329" t="s">
        <v>1207</v>
      </c>
      <c r="D225" s="311" t="s">
        <v>5704</v>
      </c>
    </row>
    <row r="226" spans="1:4" x14ac:dyDescent="0.25">
      <c r="A226" s="314" t="s">
        <v>729</v>
      </c>
      <c r="B226" s="317"/>
      <c r="C226" s="329" t="s">
        <v>1209</v>
      </c>
      <c r="D226" s="311" t="s">
        <v>5705</v>
      </c>
    </row>
    <row r="227" spans="1:4" x14ac:dyDescent="0.25">
      <c r="A227" s="314" t="s">
        <v>730</v>
      </c>
      <c r="B227" s="317"/>
      <c r="C227" s="329" t="s">
        <v>1210</v>
      </c>
      <c r="D227" s="311" t="s">
        <v>5930</v>
      </c>
    </row>
    <row r="228" spans="1:4" x14ac:dyDescent="0.25">
      <c r="A228" s="314" t="s">
        <v>731</v>
      </c>
      <c r="B228" s="317"/>
      <c r="C228" s="329" t="s">
        <v>1211</v>
      </c>
      <c r="D228" s="311" t="s">
        <v>5707</v>
      </c>
    </row>
    <row r="229" spans="1:4" x14ac:dyDescent="0.25">
      <c r="A229" s="314" t="s">
        <v>732</v>
      </c>
      <c r="B229" s="317"/>
      <c r="C229" s="329" t="s">
        <v>1212</v>
      </c>
      <c r="D229" s="311" t="s">
        <v>5708</v>
      </c>
    </row>
    <row r="230" spans="1:4" x14ac:dyDescent="0.25">
      <c r="A230" s="314" t="s">
        <v>733</v>
      </c>
      <c r="B230" s="317"/>
      <c r="C230" s="329" t="s">
        <v>1213</v>
      </c>
      <c r="D230" s="311" t="s">
        <v>5709</v>
      </c>
    </row>
    <row r="231" spans="1:4" x14ac:dyDescent="0.25">
      <c r="A231" s="314" t="s">
        <v>734</v>
      </c>
      <c r="B231" s="317"/>
      <c r="C231" s="329" t="s">
        <v>1214</v>
      </c>
      <c r="D231" s="311" t="s">
        <v>5710</v>
      </c>
    </row>
    <row r="232" spans="1:4" x14ac:dyDescent="0.25">
      <c r="A232" s="314" t="s">
        <v>735</v>
      </c>
      <c r="B232" s="317"/>
      <c r="C232" s="329" t="s">
        <v>1216</v>
      </c>
      <c r="D232" s="311" t="s">
        <v>5711</v>
      </c>
    </row>
    <row r="233" spans="1:4" x14ac:dyDescent="0.25">
      <c r="A233" s="314" t="s">
        <v>736</v>
      </c>
      <c r="B233" s="317"/>
      <c r="C233" s="329" t="s">
        <v>433</v>
      </c>
      <c r="D233" s="311" t="s">
        <v>5712</v>
      </c>
    </row>
    <row r="234" spans="1:4" x14ac:dyDescent="0.25">
      <c r="A234" s="314" t="s">
        <v>737</v>
      </c>
      <c r="B234" s="317"/>
      <c r="C234" s="329" t="s">
        <v>1221</v>
      </c>
      <c r="D234" s="311" t="s">
        <v>5713</v>
      </c>
    </row>
    <row r="235" spans="1:4" x14ac:dyDescent="0.25">
      <c r="A235" s="314" t="s">
        <v>738</v>
      </c>
      <c r="B235" s="317"/>
      <c r="C235" s="329" t="s">
        <v>1222</v>
      </c>
      <c r="D235" s="311" t="s">
        <v>5714</v>
      </c>
    </row>
    <row r="236" spans="1:4" x14ac:dyDescent="0.25">
      <c r="A236" s="314" t="s">
        <v>739</v>
      </c>
      <c r="B236" s="317"/>
      <c r="C236" s="329" t="s">
        <v>1223</v>
      </c>
      <c r="D236" s="311" t="s">
        <v>5715</v>
      </c>
    </row>
    <row r="237" spans="1:4" x14ac:dyDescent="0.25">
      <c r="A237" s="314" t="s">
        <v>740</v>
      </c>
      <c r="B237" s="317"/>
      <c r="C237" s="329" t="s">
        <v>1224</v>
      </c>
      <c r="D237" s="311" t="s">
        <v>5716</v>
      </c>
    </row>
    <row r="238" spans="1:4" x14ac:dyDescent="0.25">
      <c r="A238" s="314" t="s">
        <v>741</v>
      </c>
      <c r="B238" s="317"/>
      <c r="C238" s="329" t="s">
        <v>1225</v>
      </c>
      <c r="D238" s="311" t="s">
        <v>5717</v>
      </c>
    </row>
    <row r="239" spans="1:4" x14ac:dyDescent="0.25">
      <c r="A239" s="314" t="s">
        <v>742</v>
      </c>
      <c r="B239" s="317"/>
      <c r="C239" s="329" t="s">
        <v>1220</v>
      </c>
      <c r="D239" s="311" t="s">
        <v>5718</v>
      </c>
    </row>
    <row r="240" spans="1:4" x14ac:dyDescent="0.25">
      <c r="A240" s="314" t="s">
        <v>743</v>
      </c>
      <c r="B240" s="316"/>
      <c r="C240" s="329" t="s">
        <v>1226</v>
      </c>
      <c r="D240" s="311" t="s">
        <v>5719</v>
      </c>
    </row>
    <row r="241" spans="1:4" x14ac:dyDescent="0.25">
      <c r="A241" s="314" t="s">
        <v>744</v>
      </c>
      <c r="B241" s="317"/>
      <c r="C241" s="329" t="s">
        <v>1227</v>
      </c>
      <c r="D241" s="311" t="s">
        <v>5720</v>
      </c>
    </row>
    <row r="242" spans="1:4" x14ac:dyDescent="0.25">
      <c r="A242" s="314" t="s">
        <v>745</v>
      </c>
      <c r="B242" s="317"/>
      <c r="C242" s="329" t="s">
        <v>1229</v>
      </c>
      <c r="D242" s="311" t="s">
        <v>5721</v>
      </c>
    </row>
    <row r="243" spans="1:4" x14ac:dyDescent="0.25">
      <c r="A243" s="314" t="s">
        <v>746</v>
      </c>
      <c r="B243" s="317"/>
      <c r="C243" s="329" t="s">
        <v>1230</v>
      </c>
      <c r="D243" s="311" t="s">
        <v>5722</v>
      </c>
    </row>
    <row r="244" spans="1:4" x14ac:dyDescent="0.25">
      <c r="A244" s="314" t="s">
        <v>747</v>
      </c>
      <c r="B244" s="317"/>
      <c r="C244" s="329" t="s">
        <v>1231</v>
      </c>
      <c r="D244" s="311" t="s">
        <v>5723</v>
      </c>
    </row>
    <row r="245" spans="1:4" x14ac:dyDescent="0.25">
      <c r="A245" s="314" t="s">
        <v>748</v>
      </c>
      <c r="B245" s="317"/>
      <c r="C245" s="329" t="s">
        <v>1232</v>
      </c>
      <c r="D245" s="311" t="s">
        <v>5724</v>
      </c>
    </row>
    <row r="246" spans="1:4" x14ac:dyDescent="0.25">
      <c r="A246" s="314" t="s">
        <v>749</v>
      </c>
      <c r="B246" s="317"/>
      <c r="C246" s="329" t="s">
        <v>402</v>
      </c>
      <c r="D246" s="311" t="s">
        <v>5725</v>
      </c>
    </row>
    <row r="247" spans="1:4" x14ac:dyDescent="0.25">
      <c r="A247" s="314" t="s">
        <v>750</v>
      </c>
      <c r="B247" s="317"/>
      <c r="C247" s="329" t="s">
        <v>361</v>
      </c>
      <c r="D247" s="311" t="s">
        <v>5726</v>
      </c>
    </row>
    <row r="248" spans="1:4" x14ac:dyDescent="0.25">
      <c r="A248" s="314" t="s">
        <v>751</v>
      </c>
      <c r="B248" s="317"/>
      <c r="C248" s="329" t="s">
        <v>411</v>
      </c>
      <c r="D248" s="311" t="s">
        <v>5727</v>
      </c>
    </row>
    <row r="249" spans="1:4" x14ac:dyDescent="0.25">
      <c r="A249" s="314" t="s">
        <v>752</v>
      </c>
      <c r="B249" s="317"/>
      <c r="C249" s="329" t="s">
        <v>1234</v>
      </c>
      <c r="D249" s="311" t="s">
        <v>5728</v>
      </c>
    </row>
    <row r="250" spans="1:4" x14ac:dyDescent="0.25">
      <c r="A250" s="314" t="s">
        <v>753</v>
      </c>
      <c r="B250" s="317"/>
      <c r="C250" s="329" t="s">
        <v>400</v>
      </c>
      <c r="D250" s="311" t="s">
        <v>5729</v>
      </c>
    </row>
    <row r="251" spans="1:4" x14ac:dyDescent="0.25">
      <c r="A251" s="314" t="s">
        <v>754</v>
      </c>
      <c r="B251" s="317"/>
      <c r="C251" s="329" t="s">
        <v>1235</v>
      </c>
      <c r="D251" s="311" t="s">
        <v>5730</v>
      </c>
    </row>
    <row r="252" spans="1:4" x14ac:dyDescent="0.25">
      <c r="A252" s="314" t="s">
        <v>755</v>
      </c>
      <c r="B252" s="317"/>
      <c r="C252" s="329" t="s">
        <v>365</v>
      </c>
      <c r="D252" s="311" t="s">
        <v>5731</v>
      </c>
    </row>
    <row r="253" spans="1:4" x14ac:dyDescent="0.25">
      <c r="A253" s="314" t="s">
        <v>756</v>
      </c>
      <c r="B253" s="317"/>
      <c r="C253" s="329" t="s">
        <v>375</v>
      </c>
      <c r="D253" s="311" t="s">
        <v>5732</v>
      </c>
    </row>
    <row r="254" spans="1:4" x14ac:dyDescent="0.25">
      <c r="A254" s="314" t="s">
        <v>757</v>
      </c>
      <c r="B254" s="317"/>
      <c r="C254" s="329" t="s">
        <v>418</v>
      </c>
      <c r="D254" s="311" t="s">
        <v>5733</v>
      </c>
    </row>
    <row r="255" spans="1:4" x14ac:dyDescent="0.25">
      <c r="A255" s="314" t="s">
        <v>758</v>
      </c>
      <c r="B255" s="317"/>
      <c r="C255" s="329" t="s">
        <v>429</v>
      </c>
      <c r="D255" s="311" t="s">
        <v>5734</v>
      </c>
    </row>
    <row r="256" spans="1:4" x14ac:dyDescent="0.25">
      <c r="A256" s="314" t="s">
        <v>759</v>
      </c>
      <c r="B256" s="317"/>
      <c r="C256" s="329" t="s">
        <v>363</v>
      </c>
      <c r="D256" s="311" t="s">
        <v>5735</v>
      </c>
    </row>
    <row r="257" spans="1:4" x14ac:dyDescent="0.25">
      <c r="A257" s="314" t="s">
        <v>760</v>
      </c>
      <c r="B257" s="317"/>
      <c r="C257" s="329" t="s">
        <v>421</v>
      </c>
      <c r="D257" s="311" t="s">
        <v>5736</v>
      </c>
    </row>
    <row r="258" spans="1:4" x14ac:dyDescent="0.25">
      <c r="A258" s="314" t="s">
        <v>761</v>
      </c>
      <c r="B258" s="317"/>
      <c r="C258" s="329" t="s">
        <v>479</v>
      </c>
      <c r="D258" s="311" t="s">
        <v>5737</v>
      </c>
    </row>
    <row r="259" spans="1:4" x14ac:dyDescent="0.25">
      <c r="A259" s="314" t="s">
        <v>762</v>
      </c>
      <c r="B259" s="317"/>
      <c r="C259" s="329" t="s">
        <v>417</v>
      </c>
      <c r="D259" s="311" t="s">
        <v>5738</v>
      </c>
    </row>
    <row r="260" spans="1:4" x14ac:dyDescent="0.25">
      <c r="A260" s="314" t="s">
        <v>763</v>
      </c>
      <c r="B260" s="317"/>
      <c r="C260" s="329" t="s">
        <v>419</v>
      </c>
      <c r="D260" s="311" t="s">
        <v>5739</v>
      </c>
    </row>
    <row r="261" spans="1:4" x14ac:dyDescent="0.25">
      <c r="A261" s="314" t="s">
        <v>764</v>
      </c>
      <c r="B261" s="317"/>
      <c r="C261" s="329" t="s">
        <v>403</v>
      </c>
      <c r="D261" s="311" t="s">
        <v>5740</v>
      </c>
    </row>
    <row r="262" spans="1:4" x14ac:dyDescent="0.25">
      <c r="A262" s="314" t="s">
        <v>765</v>
      </c>
      <c r="B262" s="317"/>
      <c r="C262" s="329" t="s">
        <v>407</v>
      </c>
      <c r="D262" s="311" t="s">
        <v>5741</v>
      </c>
    </row>
    <row r="263" spans="1:4" x14ac:dyDescent="0.25">
      <c r="A263" s="314" t="s">
        <v>766</v>
      </c>
      <c r="B263" s="317"/>
      <c r="C263" s="329" t="s">
        <v>412</v>
      </c>
      <c r="D263" s="311" t="s">
        <v>5742</v>
      </c>
    </row>
    <row r="264" spans="1:4" x14ac:dyDescent="0.25">
      <c r="A264" s="314" t="s">
        <v>767</v>
      </c>
      <c r="B264" s="317"/>
      <c r="C264" s="329" t="s">
        <v>454</v>
      </c>
      <c r="D264" s="311" t="s">
        <v>5743</v>
      </c>
    </row>
    <row r="265" spans="1:4" x14ac:dyDescent="0.25">
      <c r="A265" s="314" t="s">
        <v>768</v>
      </c>
      <c r="B265" s="317"/>
      <c r="C265" s="329" t="s">
        <v>470</v>
      </c>
      <c r="D265" s="311" t="s">
        <v>5744</v>
      </c>
    </row>
    <row r="266" spans="1:4" x14ac:dyDescent="0.25">
      <c r="A266" s="314" t="s">
        <v>769</v>
      </c>
      <c r="B266" s="317"/>
      <c r="C266" s="329" t="s">
        <v>424</v>
      </c>
      <c r="D266" s="311" t="s">
        <v>5745</v>
      </c>
    </row>
    <row r="267" spans="1:4" x14ac:dyDescent="0.25">
      <c r="A267" s="314" t="s">
        <v>770</v>
      </c>
      <c r="B267" s="317"/>
      <c r="C267" s="329" t="s">
        <v>386</v>
      </c>
      <c r="D267" s="311" t="s">
        <v>5746</v>
      </c>
    </row>
    <row r="268" spans="1:4" x14ac:dyDescent="0.25">
      <c r="A268" s="314" t="s">
        <v>771</v>
      </c>
      <c r="B268" s="317"/>
      <c r="C268" s="329" t="s">
        <v>364</v>
      </c>
      <c r="D268" s="311" t="s">
        <v>5747</v>
      </c>
    </row>
    <row r="269" spans="1:4" x14ac:dyDescent="0.25">
      <c r="A269" s="314" t="s">
        <v>772</v>
      </c>
      <c r="B269" s="317"/>
      <c r="C269" s="329" t="s">
        <v>397</v>
      </c>
      <c r="D269" s="311" t="s">
        <v>5748</v>
      </c>
    </row>
    <row r="270" spans="1:4" x14ac:dyDescent="0.25">
      <c r="A270" s="314" t="s">
        <v>773</v>
      </c>
      <c r="B270" s="317"/>
      <c r="C270" s="329" t="s">
        <v>398</v>
      </c>
      <c r="D270" s="311" t="s">
        <v>5749</v>
      </c>
    </row>
    <row r="271" spans="1:4" x14ac:dyDescent="0.25">
      <c r="A271" s="314" t="s">
        <v>774</v>
      </c>
      <c r="B271" s="317"/>
      <c r="C271" s="329" t="s">
        <v>362</v>
      </c>
      <c r="D271" s="311" t="s">
        <v>5750</v>
      </c>
    </row>
    <row r="272" spans="1:4" x14ac:dyDescent="0.25">
      <c r="A272" s="314" t="s">
        <v>775</v>
      </c>
      <c r="B272" s="317"/>
      <c r="C272" s="329" t="s">
        <v>428</v>
      </c>
      <c r="D272" s="311" t="s">
        <v>5751</v>
      </c>
    </row>
    <row r="273" spans="1:4" x14ac:dyDescent="0.25">
      <c r="A273" s="314" t="s">
        <v>776</v>
      </c>
      <c r="B273" s="317"/>
      <c r="C273" s="329" t="s">
        <v>465</v>
      </c>
      <c r="D273" s="311" t="s">
        <v>5752</v>
      </c>
    </row>
    <row r="274" spans="1:4" x14ac:dyDescent="0.25">
      <c r="A274" s="314" t="s">
        <v>777</v>
      </c>
      <c r="B274" s="317"/>
      <c r="C274" s="329" t="s">
        <v>455</v>
      </c>
      <c r="D274" s="311" t="s">
        <v>5753</v>
      </c>
    </row>
    <row r="275" spans="1:4" x14ac:dyDescent="0.25">
      <c r="A275" s="314" t="s">
        <v>778</v>
      </c>
      <c r="B275" s="317"/>
      <c r="C275" s="329" t="s">
        <v>477</v>
      </c>
      <c r="D275" s="311" t="s">
        <v>5754</v>
      </c>
    </row>
    <row r="276" spans="1:4" x14ac:dyDescent="0.25">
      <c r="A276" s="314" t="s">
        <v>779</v>
      </c>
      <c r="B276" s="317"/>
      <c r="C276" s="329" t="s">
        <v>405</v>
      </c>
      <c r="D276" s="311" t="s">
        <v>5755</v>
      </c>
    </row>
    <row r="277" spans="1:4" x14ac:dyDescent="0.25">
      <c r="A277" s="314" t="s">
        <v>780</v>
      </c>
      <c r="B277" s="317"/>
      <c r="C277" s="329" t="s">
        <v>1244</v>
      </c>
      <c r="D277" s="311" t="s">
        <v>5756</v>
      </c>
    </row>
    <row r="278" spans="1:4" x14ac:dyDescent="0.25">
      <c r="A278" s="314" t="s">
        <v>781</v>
      </c>
      <c r="B278" s="317"/>
      <c r="C278" s="329" t="s">
        <v>1245</v>
      </c>
      <c r="D278" s="311" t="s">
        <v>5757</v>
      </c>
    </row>
    <row r="279" spans="1:4" x14ac:dyDescent="0.25">
      <c r="A279" s="314" t="s">
        <v>782</v>
      </c>
      <c r="B279" s="317"/>
      <c r="C279" s="329" t="s">
        <v>1246</v>
      </c>
      <c r="D279" s="311" t="s">
        <v>5758</v>
      </c>
    </row>
    <row r="280" spans="1:4" x14ac:dyDescent="0.25">
      <c r="A280" s="314" t="s">
        <v>783</v>
      </c>
      <c r="B280" s="317"/>
      <c r="C280" s="329" t="s">
        <v>1247</v>
      </c>
      <c r="D280" s="311" t="s">
        <v>5759</v>
      </c>
    </row>
    <row r="281" spans="1:4" x14ac:dyDescent="0.25">
      <c r="A281" s="314" t="s">
        <v>784</v>
      </c>
      <c r="B281" s="317"/>
      <c r="C281" s="329" t="s">
        <v>1248</v>
      </c>
      <c r="D281" s="311" t="s">
        <v>5760</v>
      </c>
    </row>
    <row r="282" spans="1:4" x14ac:dyDescent="0.25">
      <c r="A282" s="314" t="s">
        <v>785</v>
      </c>
      <c r="B282" s="317"/>
      <c r="C282" s="329" t="s">
        <v>1249</v>
      </c>
      <c r="D282" s="311" t="s">
        <v>5931</v>
      </c>
    </row>
    <row r="283" spans="1:4" x14ac:dyDescent="0.25">
      <c r="A283" s="314" t="s">
        <v>786</v>
      </c>
      <c r="B283" s="317"/>
      <c r="C283" s="329" t="s">
        <v>1251</v>
      </c>
      <c r="D283" s="311" t="s">
        <v>5761</v>
      </c>
    </row>
    <row r="284" spans="1:4" x14ac:dyDescent="0.25">
      <c r="A284" s="314" t="s">
        <v>787</v>
      </c>
      <c r="B284" s="317"/>
      <c r="C284" s="329" t="s">
        <v>1250</v>
      </c>
      <c r="D284" s="311" t="s">
        <v>5762</v>
      </c>
    </row>
    <row r="285" spans="1:4" x14ac:dyDescent="0.25">
      <c r="A285" s="314" t="s">
        <v>788</v>
      </c>
      <c r="B285" s="317"/>
      <c r="C285" s="329" t="s">
        <v>1253</v>
      </c>
      <c r="D285" s="311" t="s">
        <v>5763</v>
      </c>
    </row>
    <row r="286" spans="1:4" x14ac:dyDescent="0.25">
      <c r="A286" s="314" t="s">
        <v>789</v>
      </c>
      <c r="B286" s="317"/>
      <c r="C286" s="329" t="s">
        <v>1259</v>
      </c>
      <c r="D286" s="311" t="s">
        <v>5764</v>
      </c>
    </row>
    <row r="287" spans="1:4" x14ac:dyDescent="0.25">
      <c r="A287" s="314" t="s">
        <v>790</v>
      </c>
      <c r="B287" s="317"/>
      <c r="C287" s="329" t="s">
        <v>447</v>
      </c>
      <c r="D287" s="311" t="s">
        <v>5765</v>
      </c>
    </row>
    <row r="288" spans="1:4" x14ac:dyDescent="0.25">
      <c r="A288" s="314" t="s">
        <v>791</v>
      </c>
      <c r="B288" s="317"/>
      <c r="C288" s="329" t="s">
        <v>423</v>
      </c>
      <c r="D288" s="311" t="s">
        <v>5766</v>
      </c>
    </row>
    <row r="289" spans="1:4" x14ac:dyDescent="0.25">
      <c r="A289" s="314" t="s">
        <v>792</v>
      </c>
      <c r="B289" s="317"/>
      <c r="C289" s="329" t="s">
        <v>420</v>
      </c>
      <c r="D289" s="311" t="s">
        <v>5767</v>
      </c>
    </row>
    <row r="290" spans="1:4" x14ac:dyDescent="0.25">
      <c r="A290" s="314" t="s">
        <v>793</v>
      </c>
      <c r="B290" s="317"/>
      <c r="C290" s="329" t="s">
        <v>376</v>
      </c>
      <c r="D290" s="311" t="s">
        <v>5768</v>
      </c>
    </row>
    <row r="291" spans="1:4" x14ac:dyDescent="0.25">
      <c r="A291" s="314" t="s">
        <v>794</v>
      </c>
      <c r="B291" s="317"/>
      <c r="C291" s="329" t="s">
        <v>399</v>
      </c>
      <c r="D291" s="311" t="s">
        <v>5769</v>
      </c>
    </row>
    <row r="292" spans="1:4" x14ac:dyDescent="0.25">
      <c r="A292" s="314" t="s">
        <v>795</v>
      </c>
      <c r="B292" s="317"/>
      <c r="C292" s="329" t="s">
        <v>406</v>
      </c>
      <c r="D292" s="311" t="s">
        <v>5770</v>
      </c>
    </row>
    <row r="293" spans="1:4" x14ac:dyDescent="0.25">
      <c r="A293" s="314" t="s">
        <v>796</v>
      </c>
      <c r="B293" s="317"/>
      <c r="C293" s="329" t="s">
        <v>366</v>
      </c>
      <c r="D293" s="311" t="s">
        <v>5771</v>
      </c>
    </row>
    <row r="294" spans="1:4" x14ac:dyDescent="0.25">
      <c r="A294" s="314" t="s">
        <v>797</v>
      </c>
      <c r="B294" s="317"/>
      <c r="C294" s="329" t="s">
        <v>466</v>
      </c>
      <c r="D294" s="311" t="s">
        <v>5772</v>
      </c>
    </row>
    <row r="295" spans="1:4" x14ac:dyDescent="0.25">
      <c r="A295" s="314" t="s">
        <v>798</v>
      </c>
      <c r="B295" s="317"/>
      <c r="C295" s="329" t="s">
        <v>359</v>
      </c>
      <c r="D295" s="311" t="s">
        <v>5773</v>
      </c>
    </row>
    <row r="296" spans="1:4" x14ac:dyDescent="0.25">
      <c r="A296" s="314" t="s">
        <v>799</v>
      </c>
      <c r="B296" s="317"/>
      <c r="C296" s="329" t="s">
        <v>450</v>
      </c>
      <c r="D296" s="311" t="s">
        <v>5774</v>
      </c>
    </row>
    <row r="297" spans="1:4" x14ac:dyDescent="0.25">
      <c r="A297" s="314" t="s">
        <v>800</v>
      </c>
      <c r="B297" s="317"/>
      <c r="C297" s="329" t="s">
        <v>360</v>
      </c>
      <c r="D297" s="311" t="s">
        <v>5775</v>
      </c>
    </row>
    <row r="298" spans="1:4" x14ac:dyDescent="0.25">
      <c r="A298" s="314" t="s">
        <v>801</v>
      </c>
      <c r="B298" s="317"/>
      <c r="C298" s="329" t="s">
        <v>480</v>
      </c>
      <c r="D298" s="311" t="s">
        <v>5776</v>
      </c>
    </row>
    <row r="299" spans="1:4" x14ac:dyDescent="0.25">
      <c r="A299" s="314" t="s">
        <v>802</v>
      </c>
      <c r="B299" s="317"/>
      <c r="C299" s="329" t="s">
        <v>474</v>
      </c>
      <c r="D299" s="311" t="s">
        <v>5777</v>
      </c>
    </row>
    <row r="300" spans="1:4" x14ac:dyDescent="0.25">
      <c r="A300" s="314" t="s">
        <v>803</v>
      </c>
      <c r="B300" s="317"/>
      <c r="C300" s="329" t="s">
        <v>1264</v>
      </c>
      <c r="D300" s="311" t="s">
        <v>5778</v>
      </c>
    </row>
    <row r="301" spans="1:4" x14ac:dyDescent="0.25">
      <c r="A301" s="314" t="s">
        <v>804</v>
      </c>
      <c r="B301" s="317"/>
      <c r="C301" s="329" t="s">
        <v>1265</v>
      </c>
      <c r="D301" s="311" t="s">
        <v>5779</v>
      </c>
    </row>
    <row r="302" spans="1:4" x14ac:dyDescent="0.25">
      <c r="A302" s="314" t="s">
        <v>805</v>
      </c>
      <c r="B302" s="317"/>
      <c r="C302" s="329" t="s">
        <v>1269</v>
      </c>
      <c r="D302" s="311" t="s">
        <v>5780</v>
      </c>
    </row>
    <row r="303" spans="1:4" x14ac:dyDescent="0.25">
      <c r="A303" s="314" t="s">
        <v>806</v>
      </c>
      <c r="B303" s="317"/>
      <c r="C303" s="329" t="s">
        <v>440</v>
      </c>
      <c r="D303" s="311" t="s">
        <v>5781</v>
      </c>
    </row>
    <row r="304" spans="1:4" x14ac:dyDescent="0.25">
      <c r="A304" s="314" t="s">
        <v>807</v>
      </c>
      <c r="B304" s="317"/>
      <c r="C304" s="329" t="s">
        <v>401</v>
      </c>
      <c r="D304" s="311" t="s">
        <v>5782</v>
      </c>
    </row>
    <row r="305" spans="1:4" x14ac:dyDescent="0.25">
      <c r="A305" s="314" t="s">
        <v>808</v>
      </c>
      <c r="B305" s="317"/>
      <c r="C305" s="329" t="s">
        <v>404</v>
      </c>
      <c r="D305" s="311" t="s">
        <v>5783</v>
      </c>
    </row>
    <row r="306" spans="1:4" x14ac:dyDescent="0.25">
      <c r="A306" s="314" t="s">
        <v>809</v>
      </c>
      <c r="B306" s="317"/>
      <c r="C306" s="329" t="s">
        <v>444</v>
      </c>
      <c r="D306" s="311" t="s">
        <v>5784</v>
      </c>
    </row>
    <row r="307" spans="1:4" x14ac:dyDescent="0.25">
      <c r="A307" s="314" t="s">
        <v>810</v>
      </c>
      <c r="B307" s="317"/>
      <c r="C307" s="329" t="s">
        <v>367</v>
      </c>
      <c r="D307" s="311" t="s">
        <v>5785</v>
      </c>
    </row>
    <row r="308" spans="1:4" x14ac:dyDescent="0.25">
      <c r="A308" s="314" t="s">
        <v>811</v>
      </c>
      <c r="B308" s="317"/>
      <c r="C308" s="329" t="s">
        <v>410</v>
      </c>
      <c r="D308" s="311" t="s">
        <v>5786</v>
      </c>
    </row>
    <row r="309" spans="1:4" x14ac:dyDescent="0.25">
      <c r="A309" s="314" t="s">
        <v>812</v>
      </c>
      <c r="B309" s="317"/>
      <c r="C309" s="329" t="s">
        <v>451</v>
      </c>
      <c r="D309" s="311" t="s">
        <v>5932</v>
      </c>
    </row>
    <row r="310" spans="1:4" x14ac:dyDescent="0.25">
      <c r="A310" s="314" t="s">
        <v>813</v>
      </c>
      <c r="B310" s="317"/>
      <c r="C310" s="329" t="s">
        <v>434</v>
      </c>
      <c r="D310" s="311" t="s">
        <v>5933</v>
      </c>
    </row>
    <row r="311" spans="1:4" x14ac:dyDescent="0.25">
      <c r="A311" s="314" t="s">
        <v>814</v>
      </c>
      <c r="B311" s="317"/>
      <c r="C311" s="329" t="s">
        <v>1273</v>
      </c>
      <c r="D311" s="311" t="s">
        <v>5934</v>
      </c>
    </row>
    <row r="312" spans="1:4" x14ac:dyDescent="0.25">
      <c r="A312" s="314" t="s">
        <v>815</v>
      </c>
      <c r="B312" s="317"/>
      <c r="C312" s="329" t="s">
        <v>467</v>
      </c>
      <c r="D312" s="311" t="s">
        <v>5787</v>
      </c>
    </row>
    <row r="313" spans="1:4" x14ac:dyDescent="0.25">
      <c r="A313" s="314" t="s">
        <v>816</v>
      </c>
      <c r="B313" s="317"/>
      <c r="C313" s="329" t="s">
        <v>453</v>
      </c>
      <c r="D313" s="311" t="s">
        <v>5788</v>
      </c>
    </row>
    <row r="314" spans="1:4" x14ac:dyDescent="0.25">
      <c r="A314" s="314" t="s">
        <v>817</v>
      </c>
      <c r="B314" s="317"/>
      <c r="C314" s="329" t="s">
        <v>1275</v>
      </c>
      <c r="D314" s="311" t="s">
        <v>5789</v>
      </c>
    </row>
    <row r="315" spans="1:4" x14ac:dyDescent="0.25">
      <c r="A315" s="314" t="s">
        <v>818</v>
      </c>
      <c r="B315" s="317"/>
      <c r="C315" s="329" t="s">
        <v>1276</v>
      </c>
      <c r="D315" s="311" t="s">
        <v>5935</v>
      </c>
    </row>
    <row r="316" spans="1:4" x14ac:dyDescent="0.25">
      <c r="A316" s="314" t="s">
        <v>819</v>
      </c>
      <c r="B316" s="317"/>
      <c r="C316" s="329" t="s">
        <v>1277</v>
      </c>
      <c r="D316" s="311" t="s">
        <v>5790</v>
      </c>
    </row>
    <row r="317" spans="1:4" x14ac:dyDescent="0.25">
      <c r="A317" s="314" t="s">
        <v>820</v>
      </c>
      <c r="B317" s="317"/>
      <c r="C317" s="329" t="s">
        <v>1278</v>
      </c>
      <c r="D317" s="311" t="s">
        <v>5791</v>
      </c>
    </row>
    <row r="318" spans="1:4" x14ac:dyDescent="0.25">
      <c r="A318" s="314" t="s">
        <v>821</v>
      </c>
      <c r="B318" s="317"/>
      <c r="C318" s="329" t="s">
        <v>1279</v>
      </c>
      <c r="D318" s="311" t="s">
        <v>5792</v>
      </c>
    </row>
    <row r="319" spans="1:4" x14ac:dyDescent="0.25">
      <c r="A319" s="314" t="s">
        <v>822</v>
      </c>
      <c r="B319" s="317"/>
      <c r="C319" s="329" t="s">
        <v>1280</v>
      </c>
      <c r="D319" s="311" t="s">
        <v>5793</v>
      </c>
    </row>
    <row r="320" spans="1:4" x14ac:dyDescent="0.25">
      <c r="A320" s="314" t="s">
        <v>823</v>
      </c>
      <c r="B320" s="317"/>
      <c r="C320" s="329" t="s">
        <v>1281</v>
      </c>
      <c r="D320" s="311" t="s">
        <v>5794</v>
      </c>
    </row>
    <row r="321" spans="1:4" x14ac:dyDescent="0.25">
      <c r="A321" s="314" t="s">
        <v>824</v>
      </c>
      <c r="B321" s="317"/>
      <c r="C321" s="329" t="s">
        <v>1288</v>
      </c>
      <c r="D321" s="311" t="s">
        <v>5936</v>
      </c>
    </row>
    <row r="322" spans="1:4" x14ac:dyDescent="0.25">
      <c r="A322" s="314" t="s">
        <v>825</v>
      </c>
      <c r="B322" s="317"/>
      <c r="C322" s="329" t="s">
        <v>1291</v>
      </c>
      <c r="D322" s="311" t="s">
        <v>5796</v>
      </c>
    </row>
    <row r="323" spans="1:4" x14ac:dyDescent="0.25">
      <c r="A323" s="314" t="s">
        <v>826</v>
      </c>
      <c r="B323" s="317"/>
      <c r="C323" s="329" t="s">
        <v>1292</v>
      </c>
      <c r="D323" s="311" t="s">
        <v>5797</v>
      </c>
    </row>
    <row r="324" spans="1:4" x14ac:dyDescent="0.25">
      <c r="A324" s="314" t="s">
        <v>827</v>
      </c>
      <c r="B324" s="317"/>
      <c r="C324" s="329" t="s">
        <v>1294</v>
      </c>
      <c r="D324" s="311" t="s">
        <v>5798</v>
      </c>
    </row>
    <row r="325" spans="1:4" x14ac:dyDescent="0.25">
      <c r="A325" s="314" t="s">
        <v>828</v>
      </c>
      <c r="B325" s="317"/>
      <c r="C325" s="329" t="s">
        <v>1295</v>
      </c>
      <c r="D325" s="311" t="s">
        <v>5799</v>
      </c>
    </row>
    <row r="326" spans="1:4" x14ac:dyDescent="0.25">
      <c r="A326" s="314" t="s">
        <v>829</v>
      </c>
      <c r="B326" s="317"/>
      <c r="C326" s="329" t="s">
        <v>1296</v>
      </c>
      <c r="D326" s="311" t="s">
        <v>5800</v>
      </c>
    </row>
    <row r="327" spans="1:4" x14ac:dyDescent="0.25">
      <c r="A327" s="314" t="s">
        <v>830</v>
      </c>
      <c r="B327" s="317"/>
      <c r="C327" s="329" t="s">
        <v>1297</v>
      </c>
      <c r="D327" s="311" t="s">
        <v>5801</v>
      </c>
    </row>
    <row r="328" spans="1:4" x14ac:dyDescent="0.25">
      <c r="A328" s="314" t="s">
        <v>831</v>
      </c>
      <c r="B328" s="317"/>
      <c r="C328" s="329" t="s">
        <v>1298</v>
      </c>
      <c r="D328" s="311" t="s">
        <v>5803</v>
      </c>
    </row>
    <row r="329" spans="1:4" x14ac:dyDescent="0.25">
      <c r="A329" s="314" t="s">
        <v>832</v>
      </c>
      <c r="B329" s="317"/>
      <c r="C329" s="329" t="s">
        <v>1299</v>
      </c>
      <c r="D329" s="311" t="s">
        <v>5804</v>
      </c>
    </row>
    <row r="330" spans="1:4" x14ac:dyDescent="0.25">
      <c r="A330" s="314" t="s">
        <v>833</v>
      </c>
      <c r="B330" s="317"/>
      <c r="C330" s="329" t="s">
        <v>1293</v>
      </c>
      <c r="D330" s="311" t="s">
        <v>5805</v>
      </c>
    </row>
    <row r="331" spans="1:4" x14ac:dyDescent="0.25">
      <c r="A331" s="314" t="s">
        <v>834</v>
      </c>
      <c r="B331" s="317"/>
      <c r="C331" s="329" t="s">
        <v>1300</v>
      </c>
      <c r="D331" s="311" t="s">
        <v>5806</v>
      </c>
    </row>
    <row r="332" spans="1:4" x14ac:dyDescent="0.25">
      <c r="A332" s="314" t="s">
        <v>835</v>
      </c>
      <c r="B332" s="317"/>
      <c r="C332" s="329" t="s">
        <v>1301</v>
      </c>
      <c r="D332" s="311" t="s">
        <v>5807</v>
      </c>
    </row>
    <row r="333" spans="1:4" x14ac:dyDescent="0.25">
      <c r="A333" s="314" t="s">
        <v>836</v>
      </c>
      <c r="B333" s="317"/>
      <c r="C333" s="329" t="s">
        <v>1304</v>
      </c>
      <c r="D333" s="311" t="s">
        <v>5808</v>
      </c>
    </row>
    <row r="334" spans="1:4" x14ac:dyDescent="0.25">
      <c r="A334" s="314" t="s">
        <v>837</v>
      </c>
      <c r="B334" s="317"/>
      <c r="C334" s="329" t="s">
        <v>1305</v>
      </c>
      <c r="D334" s="311" t="s">
        <v>5809</v>
      </c>
    </row>
    <row r="335" spans="1:4" x14ac:dyDescent="0.25">
      <c r="A335" s="314" t="s">
        <v>838</v>
      </c>
      <c r="B335" s="317"/>
      <c r="C335" s="329" t="s">
        <v>1307</v>
      </c>
      <c r="D335" s="311" t="s">
        <v>5810</v>
      </c>
    </row>
    <row r="336" spans="1:4" x14ac:dyDescent="0.25">
      <c r="A336" s="314" t="s">
        <v>839</v>
      </c>
      <c r="B336" s="317"/>
      <c r="C336" s="329" t="s">
        <v>1308</v>
      </c>
      <c r="D336" s="311" t="s">
        <v>5811</v>
      </c>
    </row>
    <row r="337" spans="1:4" x14ac:dyDescent="0.25">
      <c r="A337" s="314" t="s">
        <v>840</v>
      </c>
      <c r="B337" s="317"/>
      <c r="C337" s="329" t="s">
        <v>1309</v>
      </c>
      <c r="D337" s="311" t="s">
        <v>5812</v>
      </c>
    </row>
    <row r="338" spans="1:4" x14ac:dyDescent="0.25">
      <c r="A338" s="314" t="s">
        <v>841</v>
      </c>
      <c r="B338" s="317"/>
      <c r="C338" s="329" t="s">
        <v>1310</v>
      </c>
      <c r="D338" s="311" t="s">
        <v>5813</v>
      </c>
    </row>
    <row r="339" spans="1:4" x14ac:dyDescent="0.25">
      <c r="A339" s="314" t="s">
        <v>842</v>
      </c>
      <c r="B339" s="317"/>
      <c r="C339" s="329" t="s">
        <v>1311</v>
      </c>
      <c r="D339" s="311" t="s">
        <v>5814</v>
      </c>
    </row>
    <row r="340" spans="1:4" x14ac:dyDescent="0.25">
      <c r="A340" s="314" t="s">
        <v>843</v>
      </c>
      <c r="B340" s="317"/>
      <c r="C340" s="329" t="s">
        <v>1312</v>
      </c>
      <c r="D340" s="311" t="s">
        <v>5815</v>
      </c>
    </row>
    <row r="341" spans="1:4" x14ac:dyDescent="0.25">
      <c r="A341" s="314" t="s">
        <v>844</v>
      </c>
      <c r="B341" s="317"/>
      <c r="C341" s="329" t="s">
        <v>1313</v>
      </c>
      <c r="D341" s="311" t="s">
        <v>5816</v>
      </c>
    </row>
    <row r="342" spans="1:4" x14ac:dyDescent="0.25">
      <c r="A342" s="314" t="s">
        <v>845</v>
      </c>
      <c r="B342" s="317"/>
      <c r="C342" s="329" t="s">
        <v>1314</v>
      </c>
      <c r="D342" s="311" t="s">
        <v>5937</v>
      </c>
    </row>
    <row r="343" spans="1:4" x14ac:dyDescent="0.25">
      <c r="A343" s="314" t="s">
        <v>846</v>
      </c>
      <c r="B343" s="317"/>
      <c r="C343" s="329" t="s">
        <v>1315</v>
      </c>
      <c r="D343" s="311" t="s">
        <v>5938</v>
      </c>
    </row>
    <row r="344" spans="1:4" x14ac:dyDescent="0.25">
      <c r="A344" s="314" t="s">
        <v>847</v>
      </c>
      <c r="B344" s="317"/>
      <c r="C344" s="329" t="s">
        <v>5939</v>
      </c>
      <c r="D344" s="311" t="s">
        <v>5818</v>
      </c>
    </row>
    <row r="345" spans="1:4" x14ac:dyDescent="0.25">
      <c r="A345" s="314" t="s">
        <v>848</v>
      </c>
      <c r="B345" s="317"/>
      <c r="C345" s="329" t="s">
        <v>1319</v>
      </c>
      <c r="D345" s="311" t="s">
        <v>5819</v>
      </c>
    </row>
    <row r="346" spans="1:4" x14ac:dyDescent="0.25">
      <c r="A346" s="314" t="s">
        <v>849</v>
      </c>
      <c r="B346" s="317"/>
      <c r="C346" s="329" t="s">
        <v>1320</v>
      </c>
      <c r="D346" s="311" t="s">
        <v>5820</v>
      </c>
    </row>
    <row r="347" spans="1:4" x14ac:dyDescent="0.25">
      <c r="A347" s="314" t="s">
        <v>850</v>
      </c>
      <c r="B347" s="317"/>
      <c r="C347" s="329" t="s">
        <v>1318</v>
      </c>
      <c r="D347" s="311" t="s">
        <v>5821</v>
      </c>
    </row>
    <row r="348" spans="1:4" x14ac:dyDescent="0.25">
      <c r="A348" s="314" t="s">
        <v>851</v>
      </c>
      <c r="B348" s="317"/>
      <c r="C348" s="329" t="s">
        <v>1321</v>
      </c>
      <c r="D348" s="311" t="s">
        <v>5822</v>
      </c>
    </row>
    <row r="349" spans="1:4" x14ac:dyDescent="0.25">
      <c r="A349" s="314" t="s">
        <v>852</v>
      </c>
      <c r="B349" s="317"/>
      <c r="C349" s="329" t="s">
        <v>1325</v>
      </c>
      <c r="D349" s="311" t="s">
        <v>5823</v>
      </c>
    </row>
    <row r="350" spans="1:4" x14ac:dyDescent="0.25">
      <c r="A350" s="314" t="s">
        <v>853</v>
      </c>
      <c r="B350" s="317"/>
      <c r="C350" s="329" t="s">
        <v>1326</v>
      </c>
      <c r="D350" s="311" t="s">
        <v>5824</v>
      </c>
    </row>
    <row r="351" spans="1:4" x14ac:dyDescent="0.25">
      <c r="A351" s="314" t="s">
        <v>854</v>
      </c>
      <c r="B351" s="317"/>
      <c r="C351" s="329" t="s">
        <v>1327</v>
      </c>
      <c r="D351" s="311" t="s">
        <v>5825</v>
      </c>
    </row>
    <row r="352" spans="1:4" x14ac:dyDescent="0.25">
      <c r="A352" s="314" t="s">
        <v>855</v>
      </c>
      <c r="B352" s="317"/>
      <c r="C352" s="329" t="s">
        <v>1328</v>
      </c>
      <c r="D352" s="311" t="s">
        <v>5826</v>
      </c>
    </row>
    <row r="353" spans="1:4" x14ac:dyDescent="0.25">
      <c r="A353" s="314" t="s">
        <v>856</v>
      </c>
      <c r="B353" s="317"/>
      <c r="C353" s="329" t="s">
        <v>1329</v>
      </c>
      <c r="D353" s="311" t="s">
        <v>5827</v>
      </c>
    </row>
    <row r="354" spans="1:4" x14ac:dyDescent="0.25">
      <c r="A354" s="314" t="s">
        <v>857</v>
      </c>
      <c r="B354" s="317"/>
      <c r="C354" s="329" t="s">
        <v>1331</v>
      </c>
      <c r="D354" s="311" t="s">
        <v>5829</v>
      </c>
    </row>
    <row r="355" spans="1:4" x14ac:dyDescent="0.25">
      <c r="A355" s="314" t="s">
        <v>858</v>
      </c>
      <c r="B355" s="317"/>
      <c r="C355" s="329" t="s">
        <v>1332</v>
      </c>
      <c r="D355" s="311" t="s">
        <v>5830</v>
      </c>
    </row>
    <row r="356" spans="1:4" x14ac:dyDescent="0.25">
      <c r="A356" s="314" t="s">
        <v>859</v>
      </c>
      <c r="B356" s="317"/>
      <c r="C356" s="329" t="s">
        <v>1333</v>
      </c>
      <c r="D356" s="311" t="s">
        <v>5831</v>
      </c>
    </row>
    <row r="357" spans="1:4" x14ac:dyDescent="0.25">
      <c r="A357" s="314" t="s">
        <v>860</v>
      </c>
      <c r="B357" s="317"/>
      <c r="C357" s="329" t="s">
        <v>1330</v>
      </c>
      <c r="D357" s="311" t="s">
        <v>5832</v>
      </c>
    </row>
    <row r="358" spans="1:4" x14ac:dyDescent="0.25">
      <c r="A358" s="314" t="s">
        <v>861</v>
      </c>
      <c r="B358" s="317"/>
      <c r="C358" s="329" t="s">
        <v>1334</v>
      </c>
      <c r="D358" s="311" t="s">
        <v>5833</v>
      </c>
    </row>
    <row r="359" spans="1:4" x14ac:dyDescent="0.25">
      <c r="A359" s="314" t="s">
        <v>862</v>
      </c>
      <c r="B359" s="317"/>
      <c r="C359" s="329" t="s">
        <v>1336</v>
      </c>
      <c r="D359" s="311" t="s">
        <v>5834</v>
      </c>
    </row>
    <row r="360" spans="1:4" x14ac:dyDescent="0.25">
      <c r="A360" s="314" t="s">
        <v>863</v>
      </c>
      <c r="B360" s="317"/>
      <c r="C360" s="329" t="s">
        <v>1335</v>
      </c>
      <c r="D360" s="311" t="s">
        <v>5835</v>
      </c>
    </row>
    <row r="361" spans="1:4" x14ac:dyDescent="0.25">
      <c r="A361" s="314" t="s">
        <v>864</v>
      </c>
      <c r="B361" s="317"/>
      <c r="C361" s="329" t="s">
        <v>1337</v>
      </c>
      <c r="D361" s="311" t="s">
        <v>5836</v>
      </c>
    </row>
    <row r="362" spans="1:4" x14ac:dyDescent="0.25">
      <c r="A362" s="314" t="s">
        <v>865</v>
      </c>
      <c r="B362" s="317"/>
      <c r="C362" s="329" t="s">
        <v>1338</v>
      </c>
      <c r="D362" s="311" t="s">
        <v>5837</v>
      </c>
    </row>
    <row r="363" spans="1:4" x14ac:dyDescent="0.25">
      <c r="A363" s="314" t="s">
        <v>866</v>
      </c>
      <c r="B363" s="317"/>
      <c r="C363" s="329" t="s">
        <v>1339</v>
      </c>
      <c r="D363" s="311" t="s">
        <v>5838</v>
      </c>
    </row>
    <row r="364" spans="1:4" x14ac:dyDescent="0.25">
      <c r="A364" s="314" t="s">
        <v>867</v>
      </c>
      <c r="B364" s="317"/>
      <c r="C364" s="329" t="s">
        <v>1340</v>
      </c>
      <c r="D364" s="311" t="s">
        <v>5839</v>
      </c>
    </row>
    <row r="365" spans="1:4" x14ac:dyDescent="0.25">
      <c r="A365" s="314" t="s">
        <v>868</v>
      </c>
      <c r="B365" s="317"/>
      <c r="C365" s="329" t="s">
        <v>1341</v>
      </c>
      <c r="D365" s="311" t="s">
        <v>5840</v>
      </c>
    </row>
    <row r="366" spans="1:4" x14ac:dyDescent="0.25">
      <c r="A366" s="314" t="s">
        <v>869</v>
      </c>
      <c r="B366" s="317"/>
      <c r="C366" s="329" t="s">
        <v>1343</v>
      </c>
      <c r="D366" s="311" t="s">
        <v>5842</v>
      </c>
    </row>
    <row r="367" spans="1:4" x14ac:dyDescent="0.25">
      <c r="A367" s="314" t="s">
        <v>870</v>
      </c>
      <c r="B367" s="317"/>
      <c r="C367" s="329" t="s">
        <v>1344</v>
      </c>
      <c r="D367" s="311" t="s">
        <v>5843</v>
      </c>
    </row>
    <row r="368" spans="1:4" x14ac:dyDescent="0.25">
      <c r="A368" s="314" t="s">
        <v>871</v>
      </c>
      <c r="B368" s="317"/>
      <c r="C368" s="329" t="s">
        <v>1345</v>
      </c>
      <c r="D368" s="311" t="s">
        <v>5844</v>
      </c>
    </row>
    <row r="369" spans="1:4" x14ac:dyDescent="0.25">
      <c r="A369" s="314" t="s">
        <v>872</v>
      </c>
      <c r="B369" s="317"/>
      <c r="C369" s="329" t="s">
        <v>1346</v>
      </c>
      <c r="D369" s="311" t="s">
        <v>5940</v>
      </c>
    </row>
    <row r="370" spans="1:4" x14ac:dyDescent="0.25">
      <c r="A370" s="314" t="s">
        <v>873</v>
      </c>
      <c r="B370" s="317"/>
      <c r="C370" s="329" t="s">
        <v>1349</v>
      </c>
      <c r="D370" s="311" t="s">
        <v>5846</v>
      </c>
    </row>
    <row r="371" spans="1:4" x14ac:dyDescent="0.25">
      <c r="A371" s="314" t="s">
        <v>874</v>
      </c>
      <c r="B371" s="317"/>
      <c r="C371" s="329" t="s">
        <v>1348</v>
      </c>
      <c r="D371" s="311" t="s">
        <v>5847</v>
      </c>
    </row>
    <row r="372" spans="1:4" x14ac:dyDescent="0.25">
      <c r="A372" s="314" t="s">
        <v>875</v>
      </c>
      <c r="B372" s="317"/>
      <c r="C372" s="329" t="s">
        <v>1350</v>
      </c>
      <c r="D372" s="311" t="s">
        <v>5848</v>
      </c>
    </row>
    <row r="373" spans="1:4" x14ac:dyDescent="0.25">
      <c r="A373" s="314" t="s">
        <v>876</v>
      </c>
      <c r="B373" s="317"/>
      <c r="C373" s="329" t="s">
        <v>1353</v>
      </c>
      <c r="D373" s="311" t="s">
        <v>5849</v>
      </c>
    </row>
    <row r="374" spans="1:4" x14ac:dyDescent="0.25">
      <c r="A374" s="314" t="s">
        <v>877</v>
      </c>
      <c r="B374" s="317"/>
      <c r="C374" s="329" t="s">
        <v>1351</v>
      </c>
      <c r="D374" s="311" t="s">
        <v>5850</v>
      </c>
    </row>
    <row r="375" spans="1:4" x14ac:dyDescent="0.25">
      <c r="A375" s="314" t="s">
        <v>878</v>
      </c>
      <c r="B375" s="317"/>
      <c r="C375" s="329" t="s">
        <v>1352</v>
      </c>
      <c r="D375" s="311" t="s">
        <v>5851</v>
      </c>
    </row>
    <row r="376" spans="1:4" x14ac:dyDescent="0.25">
      <c r="A376" s="314" t="s">
        <v>879</v>
      </c>
      <c r="B376" s="317"/>
      <c r="C376" s="329" t="s">
        <v>1354</v>
      </c>
      <c r="D376" s="311" t="s">
        <v>5852</v>
      </c>
    </row>
    <row r="377" spans="1:4" x14ac:dyDescent="0.25">
      <c r="A377" s="314" t="s">
        <v>880</v>
      </c>
      <c r="B377" s="317"/>
      <c r="C377" s="329" t="s">
        <v>1355</v>
      </c>
      <c r="D377" s="311" t="s">
        <v>5853</v>
      </c>
    </row>
    <row r="378" spans="1:4" x14ac:dyDescent="0.25">
      <c r="A378" s="314" t="s">
        <v>881</v>
      </c>
      <c r="B378" s="317"/>
      <c r="C378" s="329" t="s">
        <v>1356</v>
      </c>
      <c r="D378" s="311" t="s">
        <v>5854</v>
      </c>
    </row>
    <row r="379" spans="1:4" x14ac:dyDescent="0.25">
      <c r="A379" s="314" t="s">
        <v>882</v>
      </c>
      <c r="B379" s="317"/>
      <c r="C379" s="329" t="s">
        <v>1357</v>
      </c>
      <c r="D379" s="311" t="s">
        <v>5941</v>
      </c>
    </row>
    <row r="380" spans="1:4" x14ac:dyDescent="0.25">
      <c r="A380" s="314" t="s">
        <v>883</v>
      </c>
      <c r="B380" s="317"/>
      <c r="C380" s="329" t="s">
        <v>1358</v>
      </c>
      <c r="D380" s="311" t="s">
        <v>5856</v>
      </c>
    </row>
    <row r="381" spans="1:4" x14ac:dyDescent="0.25">
      <c r="A381" s="314" t="s">
        <v>884</v>
      </c>
      <c r="B381" s="317"/>
      <c r="C381" s="329" t="s">
        <v>1359</v>
      </c>
      <c r="D381" s="311" t="s">
        <v>5857</v>
      </c>
    </row>
    <row r="382" spans="1:4" x14ac:dyDescent="0.25">
      <c r="A382" s="314" t="s">
        <v>885</v>
      </c>
      <c r="B382" s="317"/>
      <c r="C382" s="329" t="s">
        <v>1360</v>
      </c>
      <c r="D382" s="311" t="s">
        <v>5858</v>
      </c>
    </row>
    <row r="383" spans="1:4" x14ac:dyDescent="0.25">
      <c r="A383" s="314" t="s">
        <v>886</v>
      </c>
      <c r="B383" s="317"/>
      <c r="C383" s="329" t="s">
        <v>1361</v>
      </c>
      <c r="D383" s="311" t="s">
        <v>5859</v>
      </c>
    </row>
    <row r="384" spans="1:4" x14ac:dyDescent="0.25">
      <c r="A384" s="314" t="s">
        <v>887</v>
      </c>
      <c r="B384" s="317"/>
      <c r="C384" s="329" t="s">
        <v>1362</v>
      </c>
      <c r="D384" s="311" t="s">
        <v>5860</v>
      </c>
    </row>
    <row r="385" spans="1:4" x14ac:dyDescent="0.25">
      <c r="A385" s="314" t="s">
        <v>888</v>
      </c>
      <c r="B385" s="317"/>
      <c r="C385" s="329" t="s">
        <v>1363</v>
      </c>
      <c r="D385" s="311" t="s">
        <v>5861</v>
      </c>
    </row>
    <row r="386" spans="1:4" x14ac:dyDescent="0.25">
      <c r="A386" s="314" t="s">
        <v>889</v>
      </c>
      <c r="B386" s="317"/>
      <c r="C386" s="329" t="s">
        <v>1364</v>
      </c>
      <c r="D386" s="311" t="s">
        <v>5862</v>
      </c>
    </row>
    <row r="387" spans="1:4" x14ac:dyDescent="0.25">
      <c r="A387" s="314" t="s">
        <v>890</v>
      </c>
      <c r="B387" s="317"/>
      <c r="C387" s="329" t="s">
        <v>1365</v>
      </c>
      <c r="D387" s="311" t="s">
        <v>5863</v>
      </c>
    </row>
    <row r="388" spans="1:4" x14ac:dyDescent="0.25">
      <c r="A388" s="314" t="s">
        <v>891</v>
      </c>
      <c r="B388" s="317"/>
      <c r="C388" s="329" t="s">
        <v>1366</v>
      </c>
      <c r="D388" s="311" t="s">
        <v>5864</v>
      </c>
    </row>
    <row r="389" spans="1:4" x14ac:dyDescent="0.25">
      <c r="A389" s="314" t="s">
        <v>892</v>
      </c>
      <c r="B389" s="317"/>
      <c r="C389" s="329" t="s">
        <v>1367</v>
      </c>
      <c r="D389" s="311" t="s">
        <v>5865</v>
      </c>
    </row>
    <row r="390" spans="1:4" x14ac:dyDescent="0.25">
      <c r="A390" s="314" t="s">
        <v>893</v>
      </c>
      <c r="B390" s="317"/>
      <c r="C390" s="329" t="s">
        <v>1369</v>
      </c>
      <c r="D390" s="311" t="s">
        <v>5866</v>
      </c>
    </row>
    <row r="391" spans="1:4" x14ac:dyDescent="0.25">
      <c r="A391" s="314" t="s">
        <v>894</v>
      </c>
      <c r="B391" s="317"/>
      <c r="C391" s="329" t="s">
        <v>1370</v>
      </c>
      <c r="D391" s="311" t="s">
        <v>5871</v>
      </c>
    </row>
    <row r="392" spans="1:4" x14ac:dyDescent="0.25">
      <c r="A392" s="314" t="s">
        <v>895</v>
      </c>
      <c r="B392" s="317"/>
      <c r="C392" s="329" t="s">
        <v>1371</v>
      </c>
      <c r="D392" s="311" t="s">
        <v>5942</v>
      </c>
    </row>
    <row r="393" spans="1:4" x14ac:dyDescent="0.25">
      <c r="A393" s="314" t="s">
        <v>896</v>
      </c>
      <c r="B393" s="317"/>
      <c r="C393" s="329" t="s">
        <v>1376</v>
      </c>
      <c r="D393" s="311" t="s">
        <v>5873</v>
      </c>
    </row>
    <row r="394" spans="1:4" x14ac:dyDescent="0.25">
      <c r="A394" s="314" t="s">
        <v>897</v>
      </c>
      <c r="B394" s="317"/>
      <c r="C394" s="329" t="s">
        <v>1377</v>
      </c>
      <c r="D394" s="311" t="s">
        <v>5874</v>
      </c>
    </row>
    <row r="395" spans="1:4" x14ac:dyDescent="0.25">
      <c r="A395" s="314" t="s">
        <v>898</v>
      </c>
      <c r="B395" s="317"/>
      <c r="C395" s="329" t="s">
        <v>1378</v>
      </c>
      <c r="D395" s="311" t="s">
        <v>5875</v>
      </c>
    </row>
    <row r="396" spans="1:4" x14ac:dyDescent="0.25">
      <c r="A396" s="314" t="s">
        <v>899</v>
      </c>
      <c r="B396" s="317"/>
      <c r="C396" s="329" t="s">
        <v>1379</v>
      </c>
      <c r="D396" s="311" t="s">
        <v>5876</v>
      </c>
    </row>
    <row r="397" spans="1:4" x14ac:dyDescent="0.25">
      <c r="A397" s="314" t="s">
        <v>900</v>
      </c>
      <c r="B397" s="317"/>
      <c r="C397" s="329" t="s">
        <v>1380</v>
      </c>
      <c r="D397" s="311" t="s">
        <v>5943</v>
      </c>
    </row>
    <row r="398" spans="1:4" x14ac:dyDescent="0.25">
      <c r="A398" s="314" t="s">
        <v>901</v>
      </c>
      <c r="B398" s="317"/>
      <c r="C398" s="329" t="s">
        <v>1381</v>
      </c>
      <c r="D398" s="311" t="s">
        <v>5877</v>
      </c>
    </row>
    <row r="399" spans="1:4" x14ac:dyDescent="0.25">
      <c r="A399" s="314" t="s">
        <v>902</v>
      </c>
      <c r="B399" s="317"/>
      <c r="C399" s="329" t="s">
        <v>1389</v>
      </c>
      <c r="D399" s="311" t="s">
        <v>5878</v>
      </c>
    </row>
    <row r="400" spans="1:4" x14ac:dyDescent="0.25">
      <c r="A400" s="314" t="s">
        <v>903</v>
      </c>
      <c r="B400" s="317"/>
      <c r="C400" s="329" t="s">
        <v>1390</v>
      </c>
      <c r="D400" s="311" t="s">
        <v>5879</v>
      </c>
    </row>
    <row r="401" spans="1:4" x14ac:dyDescent="0.25">
      <c r="A401" s="314" t="s">
        <v>904</v>
      </c>
      <c r="B401" s="317"/>
      <c r="C401" s="329" t="s">
        <v>1391</v>
      </c>
      <c r="D401" s="311" t="s">
        <v>5880</v>
      </c>
    </row>
    <row r="402" spans="1:4" x14ac:dyDescent="0.25">
      <c r="A402" s="314" t="s">
        <v>905</v>
      </c>
      <c r="B402" s="317"/>
      <c r="C402" s="329" t="s">
        <v>1392</v>
      </c>
      <c r="D402" s="311" t="s">
        <v>5881</v>
      </c>
    </row>
    <row r="403" spans="1:4" x14ac:dyDescent="0.25">
      <c r="A403" s="314" t="s">
        <v>906</v>
      </c>
      <c r="B403" s="317"/>
      <c r="C403" s="329" t="s">
        <v>5944</v>
      </c>
      <c r="D403" s="311" t="s">
        <v>5945</v>
      </c>
    </row>
    <row r="404" spans="1:4" x14ac:dyDescent="0.25">
      <c r="A404" s="314" t="s">
        <v>907</v>
      </c>
      <c r="B404" s="317"/>
      <c r="C404" s="329" t="s">
        <v>5946</v>
      </c>
      <c r="D404" s="311" t="s">
        <v>5947</v>
      </c>
    </row>
    <row r="405" spans="1:4" x14ac:dyDescent="0.25">
      <c r="A405" s="314" t="s">
        <v>908</v>
      </c>
      <c r="B405" s="317"/>
      <c r="C405" s="329" t="s">
        <v>5948</v>
      </c>
      <c r="D405" s="311" t="s">
        <v>5949</v>
      </c>
    </row>
    <row r="406" spans="1:4" x14ac:dyDescent="0.25">
      <c r="A406" s="314" t="s">
        <v>909</v>
      </c>
      <c r="B406" s="317"/>
      <c r="C406" s="329" t="s">
        <v>5950</v>
      </c>
      <c r="D406" s="311" t="s">
        <v>5951</v>
      </c>
    </row>
    <row r="407" spans="1:4" x14ac:dyDescent="0.25">
      <c r="A407" s="314" t="s">
        <v>910</v>
      </c>
      <c r="B407" s="317"/>
      <c r="C407" s="329" t="s">
        <v>5952</v>
      </c>
      <c r="D407" s="311" t="s">
        <v>5953</v>
      </c>
    </row>
    <row r="408" spans="1:4" x14ac:dyDescent="0.25">
      <c r="A408" s="314" t="s">
        <v>911</v>
      </c>
      <c r="B408" s="317"/>
      <c r="C408" s="329" t="s">
        <v>5954</v>
      </c>
      <c r="D408" s="311" t="s">
        <v>5955</v>
      </c>
    </row>
    <row r="409" spans="1:4" ht="31.5" x14ac:dyDescent="0.25">
      <c r="A409" s="314" t="s">
        <v>912</v>
      </c>
      <c r="B409" s="317"/>
      <c r="C409" s="329" t="s">
        <v>5956</v>
      </c>
      <c r="D409" s="311" t="s">
        <v>5957</v>
      </c>
    </row>
    <row r="410" spans="1:4" x14ac:dyDescent="0.25">
      <c r="A410" s="314" t="s">
        <v>913</v>
      </c>
      <c r="B410" s="317"/>
      <c r="C410" s="329" t="s">
        <v>5958</v>
      </c>
      <c r="D410" s="311" t="s">
        <v>5959</v>
      </c>
    </row>
    <row r="411" spans="1:4" x14ac:dyDescent="0.25">
      <c r="A411" s="314" t="s">
        <v>914</v>
      </c>
      <c r="B411" s="317"/>
      <c r="C411" s="329" t="s">
        <v>5960</v>
      </c>
      <c r="D411" s="311" t="s">
        <v>5961</v>
      </c>
    </row>
    <row r="412" spans="1:4" x14ac:dyDescent="0.25">
      <c r="A412" s="314" t="s">
        <v>915</v>
      </c>
      <c r="B412" s="317"/>
      <c r="C412" s="329" t="s">
        <v>5962</v>
      </c>
      <c r="D412" s="311" t="s">
        <v>5963</v>
      </c>
    </row>
    <row r="413" spans="1:4" x14ac:dyDescent="0.25">
      <c r="A413" s="314" t="s">
        <v>916</v>
      </c>
      <c r="B413" s="317"/>
      <c r="C413" s="329" t="s">
        <v>5964</v>
      </c>
      <c r="D413" s="311" t="s">
        <v>5965</v>
      </c>
    </row>
    <row r="414" spans="1:4" x14ac:dyDescent="0.25">
      <c r="A414" s="314" t="s">
        <v>917</v>
      </c>
      <c r="B414" s="317"/>
      <c r="C414" s="329" t="s">
        <v>5966</v>
      </c>
      <c r="D414" s="311" t="s">
        <v>5967</v>
      </c>
    </row>
    <row r="415" spans="1:4" x14ac:dyDescent="0.25">
      <c r="A415" s="314" t="s">
        <v>918</v>
      </c>
      <c r="B415" s="317"/>
      <c r="C415" s="329" t="s">
        <v>5968</v>
      </c>
      <c r="D415" s="311" t="s">
        <v>5969</v>
      </c>
    </row>
    <row r="416" spans="1:4" x14ac:dyDescent="0.25">
      <c r="A416" s="314" t="s">
        <v>919</v>
      </c>
      <c r="B416" s="317"/>
      <c r="C416" s="329" t="s">
        <v>5970</v>
      </c>
      <c r="D416" s="311" t="s">
        <v>5771</v>
      </c>
    </row>
    <row r="417" spans="1:4" x14ac:dyDescent="0.25">
      <c r="A417" s="314" t="s">
        <v>920</v>
      </c>
      <c r="B417" s="317"/>
      <c r="C417" s="329" t="s">
        <v>5971</v>
      </c>
      <c r="D417" s="311" t="s">
        <v>5972</v>
      </c>
    </row>
    <row r="418" spans="1:4" x14ac:dyDescent="0.25">
      <c r="A418" s="314" t="s">
        <v>921</v>
      </c>
      <c r="B418" s="317"/>
      <c r="C418" s="329" t="s">
        <v>5973</v>
      </c>
      <c r="D418" s="311" t="s">
        <v>5730</v>
      </c>
    </row>
    <row r="419" spans="1:4" x14ac:dyDescent="0.25">
      <c r="A419" s="314" t="s">
        <v>922</v>
      </c>
      <c r="B419" s="317"/>
      <c r="C419" s="329" t="s">
        <v>5974</v>
      </c>
      <c r="D419" s="311" t="s">
        <v>5975</v>
      </c>
    </row>
    <row r="420" spans="1:4" x14ac:dyDescent="0.25">
      <c r="A420" s="314" t="s">
        <v>923</v>
      </c>
      <c r="B420" s="317"/>
      <c r="C420" s="329" t="s">
        <v>5976</v>
      </c>
      <c r="D420" s="311" t="s">
        <v>5753</v>
      </c>
    </row>
    <row r="421" spans="1:4" x14ac:dyDescent="0.25">
      <c r="A421" s="314" t="s">
        <v>924</v>
      </c>
      <c r="B421" s="317"/>
      <c r="C421" s="329" t="s">
        <v>5977</v>
      </c>
      <c r="D421" s="311" t="s">
        <v>5978</v>
      </c>
    </row>
    <row r="422" spans="1:4" x14ac:dyDescent="0.25">
      <c r="A422" s="314" t="s">
        <v>925</v>
      </c>
      <c r="B422" s="317"/>
      <c r="C422" s="329" t="s">
        <v>5979</v>
      </c>
      <c r="D422" s="311" t="s">
        <v>5745</v>
      </c>
    </row>
    <row r="423" spans="1:4" x14ac:dyDescent="0.25">
      <c r="A423" s="314" t="s">
        <v>926</v>
      </c>
      <c r="B423" s="317"/>
      <c r="C423" s="329" t="s">
        <v>5980</v>
      </c>
      <c r="D423" s="311" t="s">
        <v>5981</v>
      </c>
    </row>
    <row r="424" spans="1:4" x14ac:dyDescent="0.25">
      <c r="A424" s="314" t="s">
        <v>927</v>
      </c>
      <c r="B424" s="317"/>
      <c r="C424" s="329" t="s">
        <v>5982</v>
      </c>
      <c r="D424" s="311" t="s">
        <v>5749</v>
      </c>
    </row>
    <row r="425" spans="1:4" x14ac:dyDescent="0.25">
      <c r="A425" s="314" t="s">
        <v>928</v>
      </c>
      <c r="B425" s="317"/>
      <c r="C425" s="329" t="s">
        <v>5983</v>
      </c>
      <c r="D425" s="311" t="s">
        <v>5772</v>
      </c>
    </row>
    <row r="426" spans="1:4" x14ac:dyDescent="0.25">
      <c r="A426" s="314" t="s">
        <v>929</v>
      </c>
      <c r="B426" s="317"/>
      <c r="C426" s="329" t="s">
        <v>5984</v>
      </c>
      <c r="D426" s="311" t="s">
        <v>5773</v>
      </c>
    </row>
    <row r="427" spans="1:4" x14ac:dyDescent="0.25">
      <c r="A427" s="314" t="s">
        <v>930</v>
      </c>
      <c r="B427" s="317"/>
      <c r="C427" s="329" t="s">
        <v>5985</v>
      </c>
      <c r="D427" s="311" t="s">
        <v>5735</v>
      </c>
    </row>
    <row r="428" spans="1:4" x14ac:dyDescent="0.25">
      <c r="A428" s="314" t="s">
        <v>931</v>
      </c>
      <c r="B428" s="317"/>
      <c r="C428" s="329" t="s">
        <v>5986</v>
      </c>
      <c r="D428" s="311" t="s">
        <v>5731</v>
      </c>
    </row>
    <row r="429" spans="1:4" x14ac:dyDescent="0.25">
      <c r="A429" s="314" t="s">
        <v>932</v>
      </c>
      <c r="B429" s="317"/>
      <c r="C429" s="329" t="s">
        <v>5987</v>
      </c>
      <c r="D429" s="311" t="s">
        <v>5731</v>
      </c>
    </row>
    <row r="430" spans="1:4" x14ac:dyDescent="0.25">
      <c r="A430" s="314" t="s">
        <v>933</v>
      </c>
      <c r="B430" s="317"/>
      <c r="C430" s="329" t="s">
        <v>5988</v>
      </c>
      <c r="D430" s="311" t="s">
        <v>5732</v>
      </c>
    </row>
    <row r="431" spans="1:4" x14ac:dyDescent="0.25">
      <c r="A431" s="314" t="s">
        <v>934</v>
      </c>
      <c r="B431" s="317"/>
      <c r="C431" s="329" t="s">
        <v>5989</v>
      </c>
      <c r="D431" s="311" t="s">
        <v>5784</v>
      </c>
    </row>
    <row r="432" spans="1:4" x14ac:dyDescent="0.25">
      <c r="A432" s="314" t="s">
        <v>935</v>
      </c>
      <c r="B432" s="317"/>
      <c r="C432" s="329" t="s">
        <v>5990</v>
      </c>
      <c r="D432" s="311" t="s">
        <v>5991</v>
      </c>
    </row>
    <row r="433" spans="1:4" x14ac:dyDescent="0.25">
      <c r="A433" s="314" t="s">
        <v>936</v>
      </c>
      <c r="B433" s="317"/>
      <c r="C433" s="329" t="s">
        <v>5992</v>
      </c>
      <c r="D433" s="311" t="s">
        <v>5748</v>
      </c>
    </row>
    <row r="434" spans="1:4" x14ac:dyDescent="0.25">
      <c r="B434" s="330"/>
      <c r="C434" s="329" t="s">
        <v>5993</v>
      </c>
      <c r="D434" s="311" t="s">
        <v>5783</v>
      </c>
    </row>
    <row r="435" spans="1:4" x14ac:dyDescent="0.25">
      <c r="B435" s="330"/>
      <c r="C435" s="329" t="s">
        <v>5994</v>
      </c>
      <c r="D435" s="311" t="s">
        <v>5726</v>
      </c>
    </row>
    <row r="436" spans="1:4" x14ac:dyDescent="0.25">
      <c r="B436" s="330"/>
      <c r="C436" s="329" t="s">
        <v>5995</v>
      </c>
      <c r="D436" s="311" t="s">
        <v>5727</v>
      </c>
    </row>
    <row r="437" spans="1:4" x14ac:dyDescent="0.25">
      <c r="B437" s="330"/>
      <c r="C437" s="329" t="s">
        <v>5996</v>
      </c>
      <c r="D437" s="311" t="s">
        <v>5729</v>
      </c>
    </row>
    <row r="438" spans="1:4" x14ac:dyDescent="0.25">
      <c r="B438" s="330"/>
      <c r="C438" s="329" t="s">
        <v>5997</v>
      </c>
      <c r="D438" s="311" t="s">
        <v>5725</v>
      </c>
    </row>
    <row r="439" spans="1:4" x14ac:dyDescent="0.25">
      <c r="B439" s="330"/>
      <c r="C439" s="329" t="s">
        <v>5998</v>
      </c>
      <c r="D439" s="311" t="s">
        <v>5999</v>
      </c>
    </row>
    <row r="440" spans="1:4" x14ac:dyDescent="0.25">
      <c r="B440" s="330"/>
      <c r="C440" s="329" t="s">
        <v>1208</v>
      </c>
      <c r="D440" s="311" t="s">
        <v>6000</v>
      </c>
    </row>
    <row r="441" spans="1:4" x14ac:dyDescent="0.25">
      <c r="B441" s="330"/>
      <c r="C441" s="329" t="s">
        <v>1215</v>
      </c>
      <c r="D441" s="311" t="s">
        <v>6001</v>
      </c>
    </row>
    <row r="442" spans="1:4" x14ac:dyDescent="0.25">
      <c r="B442" s="330"/>
      <c r="C442" s="329" t="s">
        <v>1217</v>
      </c>
      <c r="D442" s="311" t="s">
        <v>6002</v>
      </c>
    </row>
    <row r="443" spans="1:4" x14ac:dyDescent="0.25">
      <c r="B443" s="330"/>
      <c r="C443" s="329" t="s">
        <v>1218</v>
      </c>
      <c r="D443" s="311" t="s">
        <v>6003</v>
      </c>
    </row>
    <row r="444" spans="1:4" x14ac:dyDescent="0.25">
      <c r="B444" s="330"/>
      <c r="C444" s="329" t="s">
        <v>1219</v>
      </c>
      <c r="D444" s="311" t="s">
        <v>6004</v>
      </c>
    </row>
    <row r="445" spans="1:4" x14ac:dyDescent="0.25">
      <c r="B445" s="330"/>
      <c r="C445" s="329" t="s">
        <v>1228</v>
      </c>
      <c r="D445" s="311" t="s">
        <v>6005</v>
      </c>
    </row>
    <row r="446" spans="1:4" x14ac:dyDescent="0.25">
      <c r="B446" s="330"/>
      <c r="C446" s="329" t="s">
        <v>396</v>
      </c>
      <c r="D446" s="311" t="s">
        <v>6006</v>
      </c>
    </row>
    <row r="447" spans="1:4" x14ac:dyDescent="0.25">
      <c r="B447" s="330"/>
      <c r="C447" s="329" t="s">
        <v>1233</v>
      </c>
      <c r="D447" s="311" t="s">
        <v>6007</v>
      </c>
    </row>
    <row r="448" spans="1:4" x14ac:dyDescent="0.25">
      <c r="B448" s="330"/>
      <c r="C448" s="329" t="s">
        <v>471</v>
      </c>
      <c r="D448" s="311" t="s">
        <v>6008</v>
      </c>
    </row>
    <row r="449" spans="2:4" x14ac:dyDescent="0.25">
      <c r="B449" s="330"/>
      <c r="C449" s="329" t="s">
        <v>374</v>
      </c>
      <c r="D449" s="311" t="s">
        <v>6009</v>
      </c>
    </row>
    <row r="450" spans="2:4" x14ac:dyDescent="0.25">
      <c r="B450" s="330"/>
      <c r="C450" s="329" t="s">
        <v>426</v>
      </c>
      <c r="D450" s="311" t="s">
        <v>6010</v>
      </c>
    </row>
    <row r="451" spans="2:4" x14ac:dyDescent="0.25">
      <c r="B451" s="330"/>
      <c r="C451" s="329" t="s">
        <v>392</v>
      </c>
      <c r="D451" s="311" t="s">
        <v>6011</v>
      </c>
    </row>
    <row r="452" spans="2:4" x14ac:dyDescent="0.25">
      <c r="B452" s="330"/>
      <c r="C452" s="329" t="s">
        <v>409</v>
      </c>
      <c r="D452" s="311" t="s">
        <v>6012</v>
      </c>
    </row>
    <row r="453" spans="2:4" x14ac:dyDescent="0.25">
      <c r="B453" s="330"/>
      <c r="C453" s="329" t="s">
        <v>1236</v>
      </c>
      <c r="D453" s="311" t="s">
        <v>6013</v>
      </c>
    </row>
    <row r="454" spans="2:4" x14ac:dyDescent="0.25">
      <c r="B454" s="330"/>
      <c r="C454" s="329" t="s">
        <v>1237</v>
      </c>
      <c r="D454" s="311" t="s">
        <v>6014</v>
      </c>
    </row>
    <row r="455" spans="2:4" x14ac:dyDescent="0.25">
      <c r="B455" s="330"/>
      <c r="C455" s="329" t="s">
        <v>462</v>
      </c>
      <c r="D455" s="311" t="s">
        <v>6015</v>
      </c>
    </row>
    <row r="456" spans="2:4" x14ac:dyDescent="0.25">
      <c r="B456" s="330"/>
      <c r="C456" s="329" t="s">
        <v>354</v>
      </c>
      <c r="D456" s="311" t="s">
        <v>6016</v>
      </c>
    </row>
    <row r="457" spans="2:4" x14ac:dyDescent="0.25">
      <c r="B457" s="330"/>
      <c r="C457" s="329" t="s">
        <v>357</v>
      </c>
      <c r="D457" s="311" t="s">
        <v>6017</v>
      </c>
    </row>
    <row r="458" spans="2:4" x14ac:dyDescent="0.25">
      <c r="B458" s="330"/>
      <c r="C458" s="329" t="s">
        <v>1239</v>
      </c>
      <c r="D458" s="311" t="s">
        <v>6018</v>
      </c>
    </row>
    <row r="459" spans="2:4" x14ac:dyDescent="0.25">
      <c r="B459" s="330"/>
      <c r="C459" s="329" t="s">
        <v>1238</v>
      </c>
      <c r="D459" s="311" t="s">
        <v>6019</v>
      </c>
    </row>
    <row r="460" spans="2:4" x14ac:dyDescent="0.25">
      <c r="B460" s="330"/>
      <c r="C460" s="329" t="s">
        <v>463</v>
      </c>
      <c r="D460" s="311" t="s">
        <v>6020</v>
      </c>
    </row>
    <row r="461" spans="2:4" x14ac:dyDescent="0.25">
      <c r="B461" s="330"/>
      <c r="C461" s="329" t="s">
        <v>1240</v>
      </c>
      <c r="D461" s="311" t="s">
        <v>6021</v>
      </c>
    </row>
    <row r="462" spans="2:4" x14ac:dyDescent="0.25">
      <c r="B462" s="330"/>
      <c r="C462" s="329" t="s">
        <v>1241</v>
      </c>
      <c r="D462" s="311" t="s">
        <v>6022</v>
      </c>
    </row>
    <row r="463" spans="2:4" x14ac:dyDescent="0.25">
      <c r="B463" s="330"/>
      <c r="C463" s="329" t="s">
        <v>464</v>
      </c>
      <c r="D463" s="311" t="s">
        <v>6023</v>
      </c>
    </row>
    <row r="464" spans="2:4" x14ac:dyDescent="0.25">
      <c r="B464" s="330"/>
      <c r="C464" s="329" t="s">
        <v>443</v>
      </c>
      <c r="D464" s="311" t="s">
        <v>6024</v>
      </c>
    </row>
    <row r="465" spans="2:4" x14ac:dyDescent="0.25">
      <c r="B465" s="330"/>
      <c r="C465" s="329" t="s">
        <v>472</v>
      </c>
      <c r="D465" s="311" t="s">
        <v>6025</v>
      </c>
    </row>
    <row r="466" spans="2:4" x14ac:dyDescent="0.25">
      <c r="B466" s="330"/>
      <c r="C466" s="329" t="s">
        <v>469</v>
      </c>
      <c r="D466" s="311" t="s">
        <v>6026</v>
      </c>
    </row>
    <row r="467" spans="2:4" x14ac:dyDescent="0.25">
      <c r="B467" s="330"/>
      <c r="C467" s="329" t="s">
        <v>395</v>
      </c>
      <c r="D467" s="311" t="s">
        <v>6027</v>
      </c>
    </row>
    <row r="468" spans="2:4" x14ac:dyDescent="0.25">
      <c r="B468" s="330"/>
      <c r="C468" s="329" t="s">
        <v>457</v>
      </c>
      <c r="D468" s="311" t="s">
        <v>6028</v>
      </c>
    </row>
    <row r="469" spans="2:4" x14ac:dyDescent="0.25">
      <c r="B469" s="330"/>
      <c r="C469" s="329" t="s">
        <v>350</v>
      </c>
      <c r="D469" s="311" t="s">
        <v>5908</v>
      </c>
    </row>
    <row r="470" spans="2:4" x14ac:dyDescent="0.25">
      <c r="B470" s="330"/>
      <c r="C470" s="329" t="s">
        <v>358</v>
      </c>
      <c r="D470" s="311" t="s">
        <v>6029</v>
      </c>
    </row>
    <row r="471" spans="2:4" x14ac:dyDescent="0.25">
      <c r="B471" s="330"/>
      <c r="C471" s="329" t="s">
        <v>1242</v>
      </c>
      <c r="D471" s="311" t="s">
        <v>6030</v>
      </c>
    </row>
    <row r="472" spans="2:4" x14ac:dyDescent="0.25">
      <c r="B472" s="330"/>
      <c r="C472" s="329" t="s">
        <v>1243</v>
      </c>
      <c r="D472" s="311" t="s">
        <v>6031</v>
      </c>
    </row>
    <row r="473" spans="2:4" x14ac:dyDescent="0.25">
      <c r="B473" s="330"/>
      <c r="C473" s="329" t="s">
        <v>452</v>
      </c>
      <c r="D473" s="311" t="s">
        <v>6032</v>
      </c>
    </row>
    <row r="474" spans="2:4" x14ac:dyDescent="0.25">
      <c r="B474" s="330"/>
      <c r="C474" s="329" t="s">
        <v>437</v>
      </c>
      <c r="D474" s="311" t="s">
        <v>6033</v>
      </c>
    </row>
    <row r="475" spans="2:4" x14ac:dyDescent="0.25">
      <c r="B475" s="330"/>
      <c r="C475" s="329" t="s">
        <v>1252</v>
      </c>
      <c r="D475" s="311" t="s">
        <v>6034</v>
      </c>
    </row>
    <row r="476" spans="2:4" x14ac:dyDescent="0.25">
      <c r="B476" s="330"/>
      <c r="C476" s="329" t="s">
        <v>394</v>
      </c>
      <c r="D476" s="311" t="s">
        <v>6035</v>
      </c>
    </row>
    <row r="477" spans="2:4" x14ac:dyDescent="0.25">
      <c r="B477" s="330"/>
      <c r="C477" s="329" t="s">
        <v>1254</v>
      </c>
      <c r="D477" s="311" t="s">
        <v>6036</v>
      </c>
    </row>
    <row r="478" spans="2:4" x14ac:dyDescent="0.25">
      <c r="B478" s="330"/>
      <c r="C478" s="329" t="s">
        <v>1255</v>
      </c>
      <c r="D478" s="311" t="s">
        <v>6037</v>
      </c>
    </row>
    <row r="479" spans="2:4" x14ac:dyDescent="0.25">
      <c r="B479" s="330"/>
      <c r="C479" s="329" t="s">
        <v>1256</v>
      </c>
      <c r="D479" s="311" t="s">
        <v>6038</v>
      </c>
    </row>
    <row r="480" spans="2:4" x14ac:dyDescent="0.25">
      <c r="B480" s="330"/>
      <c r="C480" s="329" t="s">
        <v>1257</v>
      </c>
      <c r="D480" s="311" t="s">
        <v>6039</v>
      </c>
    </row>
    <row r="481" spans="2:4" x14ac:dyDescent="0.25">
      <c r="B481" s="330"/>
      <c r="C481" s="329" t="s">
        <v>1258</v>
      </c>
      <c r="D481" s="311" t="s">
        <v>6040</v>
      </c>
    </row>
    <row r="482" spans="2:4" x14ac:dyDescent="0.25">
      <c r="B482" s="330"/>
      <c r="C482" s="329" t="s">
        <v>393</v>
      </c>
      <c r="D482" s="311" t="s">
        <v>6041</v>
      </c>
    </row>
    <row r="483" spans="2:4" x14ac:dyDescent="0.25">
      <c r="B483" s="330"/>
      <c r="C483" s="329" t="s">
        <v>458</v>
      </c>
      <c r="D483" s="311" t="s">
        <v>6042</v>
      </c>
    </row>
    <row r="484" spans="2:4" x14ac:dyDescent="0.25">
      <c r="B484" s="330"/>
      <c r="C484" s="329" t="s">
        <v>1260</v>
      </c>
      <c r="D484" s="311" t="s">
        <v>6043</v>
      </c>
    </row>
    <row r="485" spans="2:4" x14ac:dyDescent="0.25">
      <c r="B485" s="330"/>
      <c r="C485" s="329" t="s">
        <v>1261</v>
      </c>
      <c r="D485" s="311" t="s">
        <v>6044</v>
      </c>
    </row>
    <row r="486" spans="2:4" x14ac:dyDescent="0.25">
      <c r="B486" s="330"/>
      <c r="C486" s="329" t="s">
        <v>1262</v>
      </c>
      <c r="D486" s="311" t="s">
        <v>6045</v>
      </c>
    </row>
    <row r="487" spans="2:4" x14ac:dyDescent="0.25">
      <c r="B487" s="330"/>
      <c r="C487" s="329" t="s">
        <v>1263</v>
      </c>
      <c r="D487" s="311" t="s">
        <v>6046</v>
      </c>
    </row>
    <row r="488" spans="2:4" x14ac:dyDescent="0.25">
      <c r="B488" s="330"/>
      <c r="C488" s="329" t="s">
        <v>353</v>
      </c>
      <c r="D488" s="311" t="s">
        <v>6047</v>
      </c>
    </row>
    <row r="489" spans="2:4" x14ac:dyDescent="0.25">
      <c r="B489" s="330"/>
      <c r="C489" s="329" t="s">
        <v>352</v>
      </c>
      <c r="D489" s="311" t="s">
        <v>6048</v>
      </c>
    </row>
    <row r="490" spans="2:4" x14ac:dyDescent="0.25">
      <c r="B490" s="330"/>
      <c r="C490" s="329" t="s">
        <v>459</v>
      </c>
      <c r="D490" s="311" t="s">
        <v>6049</v>
      </c>
    </row>
    <row r="491" spans="2:4" x14ac:dyDescent="0.25">
      <c r="B491" s="330"/>
      <c r="C491" s="329" t="s">
        <v>351</v>
      </c>
      <c r="D491" s="311" t="s">
        <v>6050</v>
      </c>
    </row>
    <row r="492" spans="2:4" x14ac:dyDescent="0.25">
      <c r="B492" s="330"/>
      <c r="C492" s="329" t="s">
        <v>460</v>
      </c>
      <c r="D492" s="311" t="s">
        <v>6051</v>
      </c>
    </row>
    <row r="493" spans="2:4" x14ac:dyDescent="0.25">
      <c r="B493" s="330"/>
      <c r="C493" s="329" t="s">
        <v>355</v>
      </c>
      <c r="D493" s="311" t="s">
        <v>5903</v>
      </c>
    </row>
    <row r="494" spans="2:4" x14ac:dyDescent="0.25">
      <c r="B494" s="330"/>
      <c r="C494" s="329" t="s">
        <v>427</v>
      </c>
      <c r="D494" s="311" t="s">
        <v>6052</v>
      </c>
    </row>
    <row r="495" spans="2:4" x14ac:dyDescent="0.25">
      <c r="B495" s="330"/>
      <c r="C495" s="329" t="s">
        <v>1267</v>
      </c>
      <c r="D495" s="311" t="s">
        <v>6053</v>
      </c>
    </row>
    <row r="496" spans="2:4" x14ac:dyDescent="0.25">
      <c r="B496" s="330"/>
      <c r="C496" s="329" t="s">
        <v>478</v>
      </c>
      <c r="D496" s="311" t="s">
        <v>6054</v>
      </c>
    </row>
    <row r="497" spans="2:4" x14ac:dyDescent="0.25">
      <c r="B497" s="330"/>
      <c r="C497" s="329" t="s">
        <v>449</v>
      </c>
      <c r="D497" s="311" t="s">
        <v>6055</v>
      </c>
    </row>
    <row r="498" spans="2:4" x14ac:dyDescent="0.25">
      <c r="B498" s="330"/>
      <c r="C498" s="329" t="s">
        <v>1268</v>
      </c>
      <c r="D498" s="311" t="s">
        <v>6056</v>
      </c>
    </row>
    <row r="499" spans="2:4" x14ac:dyDescent="0.25">
      <c r="B499" s="330"/>
      <c r="C499" s="329" t="s">
        <v>1266</v>
      </c>
      <c r="D499" s="311" t="s">
        <v>6057</v>
      </c>
    </row>
    <row r="500" spans="2:4" x14ac:dyDescent="0.25">
      <c r="B500" s="330"/>
      <c r="C500" s="329" t="s">
        <v>1271</v>
      </c>
      <c r="D500" s="311" t="s">
        <v>6058</v>
      </c>
    </row>
    <row r="501" spans="2:4" x14ac:dyDescent="0.25">
      <c r="B501" s="330"/>
      <c r="C501" s="329" t="s">
        <v>1272</v>
      </c>
      <c r="D501" s="311" t="s">
        <v>6059</v>
      </c>
    </row>
    <row r="502" spans="2:4" x14ac:dyDescent="0.25">
      <c r="B502" s="330"/>
      <c r="C502" s="329" t="s">
        <v>456</v>
      </c>
      <c r="D502" s="311" t="s">
        <v>6060</v>
      </c>
    </row>
    <row r="503" spans="2:4" x14ac:dyDescent="0.25">
      <c r="B503" s="330"/>
      <c r="C503" s="329" t="s">
        <v>476</v>
      </c>
      <c r="D503" s="311" t="s">
        <v>6061</v>
      </c>
    </row>
    <row r="504" spans="2:4" x14ac:dyDescent="0.25">
      <c r="B504" s="330"/>
      <c r="C504" s="329" t="s">
        <v>1270</v>
      </c>
      <c r="D504" s="311" t="s">
        <v>6062</v>
      </c>
    </row>
    <row r="505" spans="2:4" x14ac:dyDescent="0.25">
      <c r="B505" s="330"/>
      <c r="C505" s="329" t="s">
        <v>439</v>
      </c>
      <c r="D505" s="311" t="s">
        <v>6063</v>
      </c>
    </row>
    <row r="506" spans="2:4" x14ac:dyDescent="0.25">
      <c r="B506" s="330"/>
      <c r="C506" s="329" t="s">
        <v>438</v>
      </c>
      <c r="D506" s="311" t="s">
        <v>6064</v>
      </c>
    </row>
    <row r="507" spans="2:4" x14ac:dyDescent="0.25">
      <c r="B507" s="330"/>
      <c r="C507" s="329" t="s">
        <v>356</v>
      </c>
      <c r="D507" s="311" t="s">
        <v>6065</v>
      </c>
    </row>
    <row r="508" spans="2:4" x14ac:dyDescent="0.25">
      <c r="B508" s="330"/>
      <c r="C508" s="329" t="s">
        <v>1274</v>
      </c>
      <c r="D508" s="311" t="s">
        <v>6066</v>
      </c>
    </row>
    <row r="509" spans="2:4" x14ac:dyDescent="0.25">
      <c r="B509" s="330"/>
      <c r="C509" s="329" t="s">
        <v>1282</v>
      </c>
      <c r="D509" s="311" t="s">
        <v>6067</v>
      </c>
    </row>
    <row r="510" spans="2:4" x14ac:dyDescent="0.25">
      <c r="B510" s="330"/>
      <c r="C510" s="329" t="s">
        <v>1283</v>
      </c>
      <c r="D510" s="311" t="s">
        <v>6068</v>
      </c>
    </row>
    <row r="511" spans="2:4" x14ac:dyDescent="0.25">
      <c r="B511" s="330"/>
      <c r="C511" s="329" t="s">
        <v>1284</v>
      </c>
      <c r="D511" s="311" t="s">
        <v>6069</v>
      </c>
    </row>
    <row r="512" spans="2:4" x14ac:dyDescent="0.25">
      <c r="B512" s="330"/>
      <c r="C512" s="329" t="s">
        <v>1285</v>
      </c>
      <c r="D512" s="311" t="s">
        <v>6070</v>
      </c>
    </row>
    <row r="513" spans="2:4" x14ac:dyDescent="0.25">
      <c r="B513" s="330"/>
      <c r="C513" s="329" t="s">
        <v>1286</v>
      </c>
      <c r="D513" s="311" t="s">
        <v>6071</v>
      </c>
    </row>
    <row r="514" spans="2:4" x14ac:dyDescent="0.25">
      <c r="B514" s="330"/>
      <c r="C514" s="329" t="s">
        <v>1287</v>
      </c>
      <c r="D514" s="311" t="s">
        <v>6072</v>
      </c>
    </row>
    <row r="515" spans="2:4" x14ac:dyDescent="0.25">
      <c r="B515" s="330"/>
      <c r="C515" s="329" t="s">
        <v>1289</v>
      </c>
      <c r="D515" s="311" t="s">
        <v>6073</v>
      </c>
    </row>
    <row r="516" spans="2:4" x14ac:dyDescent="0.25">
      <c r="B516" s="330"/>
      <c r="C516" s="329" t="s">
        <v>1290</v>
      </c>
      <c r="D516" s="311" t="s">
        <v>6074</v>
      </c>
    </row>
    <row r="517" spans="2:4" x14ac:dyDescent="0.25">
      <c r="B517" s="330"/>
      <c r="C517" s="329" t="s">
        <v>1302</v>
      </c>
      <c r="D517" s="311" t="s">
        <v>6075</v>
      </c>
    </row>
    <row r="518" spans="2:4" x14ac:dyDescent="0.25">
      <c r="B518" s="330"/>
      <c r="C518" s="329" t="s">
        <v>1303</v>
      </c>
      <c r="D518" s="311" t="s">
        <v>6076</v>
      </c>
    </row>
    <row r="519" spans="2:4" x14ac:dyDescent="0.25">
      <c r="B519" s="330"/>
      <c r="C519" s="329" t="s">
        <v>1306</v>
      </c>
      <c r="D519" s="311" t="s">
        <v>6077</v>
      </c>
    </row>
    <row r="520" spans="2:4" x14ac:dyDescent="0.25">
      <c r="B520" s="330"/>
      <c r="C520" s="329" t="s">
        <v>1316</v>
      </c>
      <c r="D520" s="311" t="s">
        <v>6078</v>
      </c>
    </row>
    <row r="521" spans="2:4" x14ac:dyDescent="0.25">
      <c r="B521" s="330"/>
      <c r="C521" s="329" t="s">
        <v>1317</v>
      </c>
      <c r="D521" s="311" t="s">
        <v>6079</v>
      </c>
    </row>
    <row r="522" spans="2:4" x14ac:dyDescent="0.25">
      <c r="B522" s="330"/>
      <c r="C522" s="329" t="s">
        <v>1322</v>
      </c>
      <c r="D522" s="311" t="s">
        <v>6080</v>
      </c>
    </row>
    <row r="523" spans="2:4" x14ac:dyDescent="0.25">
      <c r="B523" s="330"/>
      <c r="C523" s="329" t="s">
        <v>1323</v>
      </c>
      <c r="D523" s="311" t="s">
        <v>6081</v>
      </c>
    </row>
    <row r="524" spans="2:4" x14ac:dyDescent="0.25">
      <c r="B524" s="330"/>
      <c r="C524" s="329" t="s">
        <v>1324</v>
      </c>
      <c r="D524" s="311" t="s">
        <v>6082</v>
      </c>
    </row>
    <row r="525" spans="2:4" x14ac:dyDescent="0.25">
      <c r="B525" s="330"/>
      <c r="C525" s="329" t="s">
        <v>1342</v>
      </c>
      <c r="D525" s="311" t="s">
        <v>6083</v>
      </c>
    </row>
    <row r="526" spans="2:4" x14ac:dyDescent="0.25">
      <c r="B526" s="330"/>
      <c r="C526" s="329" t="s">
        <v>1347</v>
      </c>
      <c r="D526" s="311" t="s">
        <v>6084</v>
      </c>
    </row>
    <row r="527" spans="2:4" x14ac:dyDescent="0.25">
      <c r="B527" s="330"/>
      <c r="C527" s="329" t="s">
        <v>1368</v>
      </c>
      <c r="D527" s="311" t="s">
        <v>6085</v>
      </c>
    </row>
    <row r="528" spans="2:4" x14ac:dyDescent="0.25">
      <c r="B528" s="330"/>
      <c r="C528" s="329" t="s">
        <v>1372</v>
      </c>
      <c r="D528" s="311" t="s">
        <v>6086</v>
      </c>
    </row>
    <row r="529" spans="2:4" x14ac:dyDescent="0.25">
      <c r="B529" s="330"/>
      <c r="C529" s="329" t="s">
        <v>1373</v>
      </c>
      <c r="D529" s="311" t="s">
        <v>6087</v>
      </c>
    </row>
    <row r="530" spans="2:4" x14ac:dyDescent="0.25">
      <c r="B530" s="330"/>
      <c r="C530" s="329" t="s">
        <v>1374</v>
      </c>
      <c r="D530" s="311" t="s">
        <v>6088</v>
      </c>
    </row>
    <row r="531" spans="2:4" x14ac:dyDescent="0.25">
      <c r="B531" s="330"/>
      <c r="C531" s="329" t="s">
        <v>1375</v>
      </c>
      <c r="D531" s="311" t="s">
        <v>6089</v>
      </c>
    </row>
    <row r="532" spans="2:4" x14ac:dyDescent="0.25">
      <c r="B532" s="330"/>
      <c r="C532" s="329" t="s">
        <v>1382</v>
      </c>
      <c r="D532" s="311" t="s">
        <v>6090</v>
      </c>
    </row>
    <row r="533" spans="2:4" x14ac:dyDescent="0.25">
      <c r="B533" s="330"/>
      <c r="C533" s="329" t="s">
        <v>1383</v>
      </c>
      <c r="D533" s="311" t="s">
        <v>6091</v>
      </c>
    </row>
    <row r="534" spans="2:4" x14ac:dyDescent="0.25">
      <c r="B534" s="330"/>
      <c r="C534" s="329" t="s">
        <v>1384</v>
      </c>
      <c r="D534" s="311" t="s">
        <v>6092</v>
      </c>
    </row>
    <row r="535" spans="2:4" x14ac:dyDescent="0.25">
      <c r="B535" s="330"/>
      <c r="C535" s="329" t="s">
        <v>1385</v>
      </c>
      <c r="D535" s="311" t="s">
        <v>6093</v>
      </c>
    </row>
    <row r="536" spans="2:4" x14ac:dyDescent="0.25">
      <c r="B536" s="330"/>
      <c r="C536" s="329" t="s">
        <v>1386</v>
      </c>
      <c r="D536" s="311" t="s">
        <v>6094</v>
      </c>
    </row>
    <row r="537" spans="2:4" x14ac:dyDescent="0.25">
      <c r="B537" s="330"/>
      <c r="C537" s="329" t="s">
        <v>1387</v>
      </c>
      <c r="D537" s="311" t="s">
        <v>6095</v>
      </c>
    </row>
    <row r="538" spans="2:4" x14ac:dyDescent="0.25">
      <c r="B538" s="330"/>
      <c r="C538" s="329" t="s">
        <v>1388</v>
      </c>
      <c r="D538" s="311" t="s">
        <v>6096</v>
      </c>
    </row>
    <row r="539" spans="2:4" x14ac:dyDescent="0.25">
      <c r="B539" s="330"/>
      <c r="C539" s="329" t="s">
        <v>1393</v>
      </c>
      <c r="D539" s="311" t="s">
        <v>6097</v>
      </c>
    </row>
    <row r="540" spans="2:4" x14ac:dyDescent="0.25">
      <c r="B540" s="330"/>
      <c r="C540" s="329" t="s">
        <v>1394</v>
      </c>
      <c r="D540" s="311" t="s">
        <v>6098</v>
      </c>
    </row>
    <row r="541" spans="2:4" x14ac:dyDescent="0.25">
      <c r="B541" s="330"/>
      <c r="C541" s="329" t="s">
        <v>1395</v>
      </c>
      <c r="D541" s="311" t="s">
        <v>6099</v>
      </c>
    </row>
    <row r="542" spans="2:4" x14ac:dyDescent="0.25">
      <c r="B542" s="330"/>
      <c r="C542" s="329" t="s">
        <v>1396</v>
      </c>
      <c r="D542" s="311" t="s">
        <v>6100</v>
      </c>
    </row>
    <row r="543" spans="2:4" x14ac:dyDescent="0.25">
      <c r="B543" s="330"/>
      <c r="C543" s="329" t="s">
        <v>1397</v>
      </c>
      <c r="D543" s="311" t="s">
        <v>6101</v>
      </c>
    </row>
    <row r="544" spans="2:4" x14ac:dyDescent="0.25">
      <c r="B544" s="330"/>
      <c r="C544" s="329" t="s">
        <v>1398</v>
      </c>
      <c r="D544" s="311" t="s">
        <v>6102</v>
      </c>
    </row>
    <row r="545" spans="2:4" x14ac:dyDescent="0.25">
      <c r="B545" s="330"/>
      <c r="C545" s="329" t="s">
        <v>1399</v>
      </c>
      <c r="D545" s="311" t="s">
        <v>6103</v>
      </c>
    </row>
    <row r="546" spans="2:4" x14ac:dyDescent="0.25">
      <c r="B546" s="330"/>
      <c r="C546" s="329" t="s">
        <v>1400</v>
      </c>
      <c r="D546" s="311" t="s">
        <v>6104</v>
      </c>
    </row>
    <row r="547" spans="2:4" x14ac:dyDescent="0.25">
      <c r="B547" s="330"/>
      <c r="C547" s="329" t="s">
        <v>1401</v>
      </c>
      <c r="D547" s="311" t="s">
        <v>6105</v>
      </c>
    </row>
    <row r="548" spans="2:4" x14ac:dyDescent="0.25">
      <c r="B548" s="330"/>
      <c r="C548" s="329" t="s">
        <v>1402</v>
      </c>
      <c r="D548" s="311" t="s">
        <v>6106</v>
      </c>
    </row>
    <row r="549" spans="2:4" x14ac:dyDescent="0.25">
      <c r="B549" s="330"/>
      <c r="C549" s="329" t="s">
        <v>6107</v>
      </c>
      <c r="D549" s="311" t="s">
        <v>6108</v>
      </c>
    </row>
    <row r="550" spans="2:4" x14ac:dyDescent="0.25">
      <c r="B550" s="330"/>
      <c r="C550" s="329" t="s">
        <v>1403</v>
      </c>
      <c r="D550" s="311" t="s">
        <v>6109</v>
      </c>
    </row>
    <row r="551" spans="2:4" x14ac:dyDescent="0.25">
      <c r="B551" s="330"/>
      <c r="C551" s="329" t="s">
        <v>6110</v>
      </c>
      <c r="D551" s="311" t="s">
        <v>6111</v>
      </c>
    </row>
    <row r="552" spans="2:4" x14ac:dyDescent="0.25">
      <c r="B552" s="330"/>
      <c r="C552" s="329" t="s">
        <v>6112</v>
      </c>
      <c r="D552" s="311" t="s">
        <v>6113</v>
      </c>
    </row>
    <row r="553" spans="2:4" x14ac:dyDescent="0.25">
      <c r="B553" s="330"/>
      <c r="C553" s="329" t="s">
        <v>1404</v>
      </c>
      <c r="D553" s="311" t="s">
        <v>6114</v>
      </c>
    </row>
    <row r="554" spans="2:4" x14ac:dyDescent="0.25">
      <c r="B554" s="330"/>
      <c r="C554" s="329" t="s">
        <v>6115</v>
      </c>
      <c r="D554" s="311" t="s">
        <v>6116</v>
      </c>
    </row>
    <row r="555" spans="2:4" x14ac:dyDescent="0.25">
      <c r="B555" s="330"/>
      <c r="C555" s="329" t="s">
        <v>6117</v>
      </c>
      <c r="D555" s="311" t="s">
        <v>5701</v>
      </c>
    </row>
    <row r="556" spans="2:4" x14ac:dyDescent="0.25">
      <c r="B556" s="330"/>
      <c r="C556" s="329" t="s">
        <v>6118</v>
      </c>
      <c r="D556" s="311" t="s">
        <v>5702</v>
      </c>
    </row>
    <row r="557" spans="2:4" x14ac:dyDescent="0.25">
      <c r="B557" s="330"/>
      <c r="C557" s="329" t="s">
        <v>6119</v>
      </c>
      <c r="D557" s="311" t="s">
        <v>6120</v>
      </c>
    </row>
    <row r="558" spans="2:4" x14ac:dyDescent="0.25">
      <c r="B558" s="330"/>
      <c r="C558" s="329" t="s">
        <v>6121</v>
      </c>
      <c r="D558" s="311" t="s">
        <v>6122</v>
      </c>
    </row>
    <row r="559" spans="2:4" x14ac:dyDescent="0.25">
      <c r="B559" s="330"/>
      <c r="C559" s="329" t="s">
        <v>6123</v>
      </c>
      <c r="D559" s="311" t="s">
        <v>6009</v>
      </c>
    </row>
    <row r="560" spans="2:4" x14ac:dyDescent="0.25">
      <c r="B560" s="330"/>
      <c r="C560" s="329" t="s">
        <v>6124</v>
      </c>
      <c r="D560" s="311" t="s">
        <v>6010</v>
      </c>
    </row>
    <row r="561" spans="2:4" x14ac:dyDescent="0.25">
      <c r="B561" s="330"/>
      <c r="C561" s="329" t="s">
        <v>6125</v>
      </c>
      <c r="D561" s="311" t="s">
        <v>6011</v>
      </c>
    </row>
    <row r="562" spans="2:4" x14ac:dyDescent="0.25">
      <c r="B562" s="330"/>
      <c r="C562" s="329" t="s">
        <v>6126</v>
      </c>
      <c r="D562" s="311" t="s">
        <v>6127</v>
      </c>
    </row>
    <row r="563" spans="2:4" x14ac:dyDescent="0.25">
      <c r="B563" s="330"/>
      <c r="C563" s="329" t="s">
        <v>6128</v>
      </c>
      <c r="D563" s="311" t="s">
        <v>6129</v>
      </c>
    </row>
    <row r="564" spans="2:4" x14ac:dyDescent="0.25">
      <c r="B564" s="330"/>
      <c r="C564" s="329" t="s">
        <v>6130</v>
      </c>
      <c r="D564" s="311" t="s">
        <v>6131</v>
      </c>
    </row>
    <row r="565" spans="2:4" x14ac:dyDescent="0.25">
      <c r="B565" s="330"/>
      <c r="C565" s="329" t="s">
        <v>6132</v>
      </c>
      <c r="D565" s="311" t="s">
        <v>6133</v>
      </c>
    </row>
    <row r="566" spans="2:4" x14ac:dyDescent="0.25">
      <c r="B566" s="330"/>
      <c r="C566" s="329" t="s">
        <v>6134</v>
      </c>
      <c r="D566" s="311" t="s">
        <v>6135</v>
      </c>
    </row>
    <row r="567" spans="2:4" x14ac:dyDescent="0.25">
      <c r="B567" s="330"/>
      <c r="C567" s="329" t="s">
        <v>6136</v>
      </c>
      <c r="D567" s="311" t="s">
        <v>6137</v>
      </c>
    </row>
    <row r="568" spans="2:4" x14ac:dyDescent="0.25">
      <c r="B568" s="330"/>
      <c r="C568" s="329" t="s">
        <v>6138</v>
      </c>
      <c r="D568" s="311" t="s">
        <v>6139</v>
      </c>
    </row>
    <row r="569" spans="2:4" x14ac:dyDescent="0.25">
      <c r="B569" s="330"/>
      <c r="C569" s="329" t="s">
        <v>6140</v>
      </c>
      <c r="D569" s="311" t="s">
        <v>6141</v>
      </c>
    </row>
    <row r="570" spans="2:4" x14ac:dyDescent="0.25">
      <c r="B570" s="330"/>
      <c r="C570" s="329" t="s">
        <v>6142</v>
      </c>
      <c r="D570" s="311" t="s">
        <v>6143</v>
      </c>
    </row>
    <row r="571" spans="2:4" x14ac:dyDescent="0.25">
      <c r="B571" s="330"/>
      <c r="C571" s="329" t="s">
        <v>6144</v>
      </c>
      <c r="D571" s="311" t="s">
        <v>6145</v>
      </c>
    </row>
    <row r="572" spans="2:4" x14ac:dyDescent="0.25">
      <c r="B572" s="330"/>
      <c r="C572" s="329" t="s">
        <v>6146</v>
      </c>
      <c r="D572" s="311" t="s">
        <v>6147</v>
      </c>
    </row>
    <row r="573" spans="2:4" x14ac:dyDescent="0.25">
      <c r="B573" s="330"/>
      <c r="C573" s="329" t="s">
        <v>6148</v>
      </c>
      <c r="D573" s="311" t="s">
        <v>6149</v>
      </c>
    </row>
    <row r="574" spans="2:4" x14ac:dyDescent="0.25">
      <c r="B574" s="330"/>
      <c r="C574" s="329" t="s">
        <v>6150</v>
      </c>
      <c r="D574" s="311" t="s">
        <v>6151</v>
      </c>
    </row>
    <row r="575" spans="2:4" x14ac:dyDescent="0.25">
      <c r="B575" s="330"/>
      <c r="C575" s="329" t="s">
        <v>6152</v>
      </c>
      <c r="D575" s="311" t="s">
        <v>6153</v>
      </c>
    </row>
    <row r="576" spans="2:4" x14ac:dyDescent="0.25">
      <c r="B576" s="330"/>
      <c r="C576" s="329" t="s">
        <v>6154</v>
      </c>
      <c r="D576" s="311" t="s">
        <v>6155</v>
      </c>
    </row>
    <row r="577" spans="2:4" x14ac:dyDescent="0.25">
      <c r="B577" s="330"/>
      <c r="C577" s="329" t="s">
        <v>6156</v>
      </c>
      <c r="D577" s="311" t="s">
        <v>6157</v>
      </c>
    </row>
    <row r="578" spans="2:4" x14ac:dyDescent="0.25">
      <c r="B578" s="330"/>
      <c r="C578" s="329" t="s">
        <v>6158</v>
      </c>
      <c r="D578" s="311" t="s">
        <v>6159</v>
      </c>
    </row>
    <row r="579" spans="2:4" x14ac:dyDescent="0.25">
      <c r="B579" s="330"/>
      <c r="C579" s="329" t="s">
        <v>6160</v>
      </c>
      <c r="D579" s="311" t="s">
        <v>6027</v>
      </c>
    </row>
    <row r="580" spans="2:4" x14ac:dyDescent="0.25">
      <c r="B580" s="330"/>
      <c r="C580" s="329" t="s">
        <v>6161</v>
      </c>
      <c r="D580" s="311" t="s">
        <v>6052</v>
      </c>
    </row>
    <row r="581" spans="2:4" x14ac:dyDescent="0.25">
      <c r="B581" s="330"/>
      <c r="C581" s="329" t="s">
        <v>6162</v>
      </c>
      <c r="D581" s="311" t="s">
        <v>6163</v>
      </c>
    </row>
    <row r="582" spans="2:4" x14ac:dyDescent="0.25">
      <c r="B582" s="330"/>
      <c r="C582" s="329" t="s">
        <v>6164</v>
      </c>
      <c r="D582" s="311" t="s">
        <v>6165</v>
      </c>
    </row>
    <row r="583" spans="2:4" x14ac:dyDescent="0.25">
      <c r="B583" s="330"/>
      <c r="C583" s="329" t="s">
        <v>6166</v>
      </c>
      <c r="D583" s="311" t="s">
        <v>6167</v>
      </c>
    </row>
    <row r="584" spans="2:4" x14ac:dyDescent="0.25">
      <c r="B584" s="330"/>
      <c r="C584" s="329" t="s">
        <v>6168</v>
      </c>
      <c r="D584" s="311" t="s">
        <v>6169</v>
      </c>
    </row>
    <row r="585" spans="2:4" x14ac:dyDescent="0.25">
      <c r="B585" s="330"/>
      <c r="C585" s="329" t="s">
        <v>6170</v>
      </c>
      <c r="D585" s="311" t="s">
        <v>6047</v>
      </c>
    </row>
    <row r="586" spans="2:4" x14ac:dyDescent="0.25">
      <c r="B586" s="330"/>
      <c r="C586" s="329" t="s">
        <v>6171</v>
      </c>
      <c r="D586" s="311" t="s">
        <v>6172</v>
      </c>
    </row>
    <row r="587" spans="2:4" x14ac:dyDescent="0.25">
      <c r="B587" s="330"/>
      <c r="C587" s="329" t="s">
        <v>6173</v>
      </c>
      <c r="D587" s="311" t="s">
        <v>5903</v>
      </c>
    </row>
    <row r="588" spans="2:4" x14ac:dyDescent="0.25">
      <c r="B588" s="330"/>
      <c r="C588" s="329" t="s">
        <v>6174</v>
      </c>
      <c r="D588" s="311" t="s">
        <v>6048</v>
      </c>
    </row>
    <row r="589" spans="2:4" x14ac:dyDescent="0.25">
      <c r="B589" s="330"/>
      <c r="C589" s="329" t="s">
        <v>6175</v>
      </c>
      <c r="D589" s="311" t="s">
        <v>6176</v>
      </c>
    </row>
    <row r="590" spans="2:4" x14ac:dyDescent="0.25">
      <c r="B590" s="330"/>
      <c r="C590" s="329" t="s">
        <v>6177</v>
      </c>
      <c r="D590" s="311" t="s">
        <v>6178</v>
      </c>
    </row>
    <row r="591" spans="2:4" x14ac:dyDescent="0.25">
      <c r="B591" s="330"/>
      <c r="C591" s="329" t="s">
        <v>6179</v>
      </c>
      <c r="D591" s="311" t="s">
        <v>5903</v>
      </c>
    </row>
    <row r="592" spans="2:4" x14ac:dyDescent="0.25">
      <c r="B592" s="330"/>
      <c r="C592" s="329" t="s">
        <v>6180</v>
      </c>
      <c r="D592" s="311" t="s">
        <v>6181</v>
      </c>
    </row>
    <row r="593" spans="2:4" x14ac:dyDescent="0.25">
      <c r="B593" s="330"/>
      <c r="C593" s="329" t="s">
        <v>6182</v>
      </c>
      <c r="D593" s="311" t="s">
        <v>6183</v>
      </c>
    </row>
    <row r="594" spans="2:4" x14ac:dyDescent="0.25">
      <c r="B594" s="330"/>
      <c r="C594" s="329" t="s">
        <v>6184</v>
      </c>
      <c r="D594" s="311" t="s">
        <v>6185</v>
      </c>
    </row>
    <row r="595" spans="2:4" x14ac:dyDescent="0.25">
      <c r="B595" s="330"/>
      <c r="C595" s="329" t="s">
        <v>6186</v>
      </c>
      <c r="D595" s="311" t="s">
        <v>6187</v>
      </c>
    </row>
    <row r="596" spans="2:4" x14ac:dyDescent="0.25">
      <c r="B596" s="330"/>
      <c r="C596" s="329" t="s">
        <v>6188</v>
      </c>
      <c r="D596" s="311" t="s">
        <v>6020</v>
      </c>
    </row>
    <row r="597" spans="2:4" x14ac:dyDescent="0.25">
      <c r="B597" s="330"/>
      <c r="C597" s="329" t="s">
        <v>6189</v>
      </c>
      <c r="D597" s="311" t="s">
        <v>6190</v>
      </c>
    </row>
    <row r="598" spans="2:4" x14ac:dyDescent="0.25">
      <c r="B598" s="330"/>
      <c r="C598" s="329" t="s">
        <v>6191</v>
      </c>
      <c r="D598" s="311" t="s">
        <v>5731</v>
      </c>
    </row>
    <row r="599" spans="2:4" x14ac:dyDescent="0.25">
      <c r="B599" s="330"/>
      <c r="C599" s="329" t="s">
        <v>6192</v>
      </c>
      <c r="D599" s="311" t="s">
        <v>6193</v>
      </c>
    </row>
    <row r="600" spans="2:4" x14ac:dyDescent="0.25">
      <c r="B600" s="330"/>
      <c r="C600" s="329" t="s">
        <v>6194</v>
      </c>
      <c r="D600" s="311" t="s">
        <v>6195</v>
      </c>
    </row>
    <row r="601" spans="2:4" x14ac:dyDescent="0.25">
      <c r="B601" s="330"/>
      <c r="C601" s="329" t="s">
        <v>6196</v>
      </c>
      <c r="D601" s="311" t="s">
        <v>6016</v>
      </c>
    </row>
    <row r="602" spans="2:4" x14ac:dyDescent="0.25">
      <c r="B602" s="330"/>
      <c r="C602" s="329" t="s">
        <v>6197</v>
      </c>
      <c r="D602" s="311" t="s">
        <v>6017</v>
      </c>
    </row>
    <row r="603" spans="2:4" x14ac:dyDescent="0.25">
      <c r="B603" s="330"/>
      <c r="C603" s="329" t="s">
        <v>6198</v>
      </c>
      <c r="D603" s="311" t="s">
        <v>6199</v>
      </c>
    </row>
    <row r="604" spans="2:4" x14ac:dyDescent="0.25">
      <c r="B604" s="330"/>
      <c r="C604" s="329" t="s">
        <v>6200</v>
      </c>
      <c r="D604" s="311" t="s">
        <v>5748</v>
      </c>
    </row>
    <row r="605" spans="2:4" x14ac:dyDescent="0.25">
      <c r="B605" s="330"/>
      <c r="C605" s="329" t="s">
        <v>6201</v>
      </c>
      <c r="D605" s="311" t="s">
        <v>6202</v>
      </c>
    </row>
    <row r="606" spans="2:4" x14ac:dyDescent="0.25">
      <c r="B606" s="330"/>
      <c r="C606" s="329" t="s">
        <v>6203</v>
      </c>
      <c r="D606" s="311" t="s">
        <v>5783</v>
      </c>
    </row>
    <row r="607" spans="2:4" x14ac:dyDescent="0.25">
      <c r="B607" s="330"/>
      <c r="C607" s="329" t="s">
        <v>6204</v>
      </c>
      <c r="D607" s="311" t="s">
        <v>6066</v>
      </c>
    </row>
    <row r="608" spans="2:4" x14ac:dyDescent="0.25">
      <c r="B608" s="330"/>
      <c r="C608" s="329" t="s">
        <v>6205</v>
      </c>
      <c r="D608" s="311" t="s">
        <v>6206</v>
      </c>
    </row>
    <row r="609" spans="2:4" x14ac:dyDescent="0.25">
      <c r="B609" s="330"/>
      <c r="C609" s="329" t="s">
        <v>6207</v>
      </c>
      <c r="D609" s="311" t="s">
        <v>6208</v>
      </c>
    </row>
    <row r="610" spans="2:4" x14ac:dyDescent="0.25">
      <c r="B610" s="330"/>
      <c r="C610" s="329" t="s">
        <v>6209</v>
      </c>
      <c r="D610" s="311" t="s">
        <v>6032</v>
      </c>
    </row>
    <row r="611" spans="2:4" x14ac:dyDescent="0.25">
      <c r="B611" s="330"/>
      <c r="C611" s="329" t="s">
        <v>6210</v>
      </c>
      <c r="D611" s="311" t="s">
        <v>6211</v>
      </c>
    </row>
    <row r="612" spans="2:4" x14ac:dyDescent="0.25">
      <c r="B612" s="330"/>
      <c r="C612" s="329" t="s">
        <v>6212</v>
      </c>
      <c r="D612" s="311" t="s">
        <v>6035</v>
      </c>
    </row>
    <row r="613" spans="2:4" x14ac:dyDescent="0.25">
      <c r="B613" s="330"/>
      <c r="C613" s="329" t="s">
        <v>6213</v>
      </c>
      <c r="D613" s="311" t="s">
        <v>5740</v>
      </c>
    </row>
    <row r="614" spans="2:4" x14ac:dyDescent="0.25">
      <c r="B614" s="330"/>
      <c r="C614" s="329" t="s">
        <v>6214</v>
      </c>
      <c r="D614" s="311" t="s">
        <v>6127</v>
      </c>
    </row>
    <row r="615" spans="2:4" x14ac:dyDescent="0.25">
      <c r="B615" s="330"/>
      <c r="C615" s="329" t="s">
        <v>6215</v>
      </c>
      <c r="D615" s="311" t="s">
        <v>6216</v>
      </c>
    </row>
    <row r="616" spans="2:4" x14ac:dyDescent="0.25">
      <c r="B616" s="330"/>
      <c r="C616" s="329" t="s">
        <v>6217</v>
      </c>
      <c r="D616" s="311" t="s">
        <v>6026</v>
      </c>
    </row>
    <row r="617" spans="2:4" x14ac:dyDescent="0.25">
      <c r="B617" s="330"/>
      <c r="C617" s="329" t="s">
        <v>6218</v>
      </c>
      <c r="D617" s="311" t="s">
        <v>6219</v>
      </c>
    </row>
    <row r="618" spans="2:4" x14ac:dyDescent="0.25">
      <c r="B618" s="330"/>
      <c r="C618" s="329" t="s">
        <v>6220</v>
      </c>
      <c r="D618" s="311" t="s">
        <v>5741</v>
      </c>
    </row>
    <row r="619" spans="2:4" x14ac:dyDescent="0.25">
      <c r="B619" s="330"/>
      <c r="C619" s="329" t="s">
        <v>6221</v>
      </c>
      <c r="D619" s="311" t="s">
        <v>6222</v>
      </c>
    </row>
    <row r="620" spans="2:4" x14ac:dyDescent="0.25">
      <c r="B620" s="330"/>
      <c r="C620" s="329" t="s">
        <v>6223</v>
      </c>
      <c r="D620" s="311" t="s">
        <v>6224</v>
      </c>
    </row>
    <row r="621" spans="2:4" x14ac:dyDescent="0.25">
      <c r="B621" s="330"/>
      <c r="C621" s="329" t="s">
        <v>6225</v>
      </c>
      <c r="D621" s="311" t="s">
        <v>6226</v>
      </c>
    </row>
    <row r="622" spans="2:4" x14ac:dyDescent="0.25">
      <c r="B622" s="330"/>
      <c r="C622" s="329" t="s">
        <v>6227</v>
      </c>
      <c r="D622" s="311" t="s">
        <v>6228</v>
      </c>
    </row>
    <row r="623" spans="2:4" x14ac:dyDescent="0.25">
      <c r="B623" s="330"/>
      <c r="C623" s="329" t="s">
        <v>6229</v>
      </c>
      <c r="D623" s="311" t="s">
        <v>6135</v>
      </c>
    </row>
    <row r="624" spans="2:4" x14ac:dyDescent="0.25">
      <c r="B624" s="330"/>
      <c r="C624" s="329" t="s">
        <v>6230</v>
      </c>
      <c r="D624" s="311" t="s">
        <v>6231</v>
      </c>
    </row>
    <row r="625" spans="2:4" x14ac:dyDescent="0.25">
      <c r="B625" s="330"/>
      <c r="C625" s="329" t="s">
        <v>6232</v>
      </c>
      <c r="D625" s="311" t="s">
        <v>5891</v>
      </c>
    </row>
    <row r="626" spans="2:4" x14ac:dyDescent="0.25">
      <c r="B626" s="330"/>
      <c r="C626" s="329" t="s">
        <v>6233</v>
      </c>
      <c r="D626" s="311" t="s">
        <v>6234</v>
      </c>
    </row>
    <row r="627" spans="2:4" x14ac:dyDescent="0.25">
      <c r="B627" s="330"/>
      <c r="C627" s="329" t="s">
        <v>6235</v>
      </c>
      <c r="D627" s="311" t="s">
        <v>5891</v>
      </c>
    </row>
    <row r="628" spans="2:4" x14ac:dyDescent="0.25">
      <c r="B628" s="330"/>
      <c r="C628" s="329" t="s">
        <v>6236</v>
      </c>
      <c r="D628" s="311" t="s">
        <v>6234</v>
      </c>
    </row>
    <row r="629" spans="2:4" x14ac:dyDescent="0.25">
      <c r="B629" s="330"/>
      <c r="C629" s="329" t="s">
        <v>6237</v>
      </c>
      <c r="D629" s="311" t="s">
        <v>5743</v>
      </c>
    </row>
    <row r="630" spans="2:4" x14ac:dyDescent="0.25">
      <c r="B630" s="330"/>
      <c r="C630" s="329" t="s">
        <v>6238</v>
      </c>
      <c r="D630" s="311" t="s">
        <v>6026</v>
      </c>
    </row>
    <row r="631" spans="2:4" x14ac:dyDescent="0.25">
      <c r="B631" s="330"/>
      <c r="C631" s="329" t="s">
        <v>6239</v>
      </c>
      <c r="D631" s="311" t="s">
        <v>5742</v>
      </c>
    </row>
    <row r="632" spans="2:4" x14ac:dyDescent="0.25">
      <c r="B632" s="330"/>
      <c r="C632" s="329" t="s">
        <v>6240</v>
      </c>
      <c r="D632" s="311" t="s">
        <v>6241</v>
      </c>
    </row>
    <row r="633" spans="2:4" x14ac:dyDescent="0.25">
      <c r="B633" s="330"/>
      <c r="C633" s="329" t="s">
        <v>6242</v>
      </c>
      <c r="D633" s="311" t="s">
        <v>6243</v>
      </c>
    </row>
    <row r="634" spans="2:4" x14ac:dyDescent="0.25">
      <c r="B634" s="330"/>
      <c r="C634" s="329" t="s">
        <v>6244</v>
      </c>
      <c r="D634" s="311" t="s">
        <v>6245</v>
      </c>
    </row>
    <row r="635" spans="2:4" x14ac:dyDescent="0.25">
      <c r="B635" s="330"/>
      <c r="C635" s="329" t="s">
        <v>6246</v>
      </c>
      <c r="D635" s="311" t="s">
        <v>6247</v>
      </c>
    </row>
    <row r="636" spans="2:4" x14ac:dyDescent="0.25">
      <c r="B636" s="330"/>
      <c r="C636" s="329" t="s">
        <v>6248</v>
      </c>
      <c r="D636" s="311" t="s">
        <v>6141</v>
      </c>
    </row>
    <row r="637" spans="2:4" x14ac:dyDescent="0.25">
      <c r="B637" s="330"/>
      <c r="C637" s="329" t="s">
        <v>6249</v>
      </c>
      <c r="D637" s="311" t="s">
        <v>6250</v>
      </c>
    </row>
    <row r="638" spans="2:4" x14ac:dyDescent="0.25">
      <c r="B638" s="330"/>
      <c r="C638" s="329" t="s">
        <v>6251</v>
      </c>
      <c r="D638" s="311" t="s">
        <v>6252</v>
      </c>
    </row>
    <row r="639" spans="2:4" x14ac:dyDescent="0.25">
      <c r="B639" s="330"/>
      <c r="C639" s="329" t="s">
        <v>6253</v>
      </c>
      <c r="D639" s="311" t="s">
        <v>6145</v>
      </c>
    </row>
    <row r="640" spans="2:4" x14ac:dyDescent="0.25">
      <c r="B640" s="330"/>
      <c r="C640" s="329" t="s">
        <v>6254</v>
      </c>
      <c r="D640" s="311" t="s">
        <v>6255</v>
      </c>
    </row>
    <row r="641" spans="2:4" x14ac:dyDescent="0.25">
      <c r="B641" s="330"/>
      <c r="C641" s="329" t="s">
        <v>6256</v>
      </c>
      <c r="D641" s="311" t="s">
        <v>6147</v>
      </c>
    </row>
    <row r="642" spans="2:4" x14ac:dyDescent="0.25">
      <c r="B642" s="330"/>
      <c r="C642" s="329" t="s">
        <v>6257</v>
      </c>
      <c r="D642" s="311" t="s">
        <v>5747</v>
      </c>
    </row>
    <row r="643" spans="2:4" x14ac:dyDescent="0.25">
      <c r="B643" s="330"/>
      <c r="C643" s="329" t="s">
        <v>6258</v>
      </c>
      <c r="D643" s="311" t="s">
        <v>6149</v>
      </c>
    </row>
    <row r="644" spans="2:4" x14ac:dyDescent="0.25">
      <c r="B644" s="330"/>
      <c r="C644" s="329" t="s">
        <v>6259</v>
      </c>
      <c r="D644" s="311" t="s">
        <v>5767</v>
      </c>
    </row>
    <row r="645" spans="2:4" x14ac:dyDescent="0.25">
      <c r="B645" s="330"/>
      <c r="C645" s="329" t="s">
        <v>6260</v>
      </c>
      <c r="D645" s="311" t="s">
        <v>6151</v>
      </c>
    </row>
    <row r="646" spans="2:4" x14ac:dyDescent="0.25">
      <c r="B646" s="330"/>
      <c r="C646" s="329" t="s">
        <v>6261</v>
      </c>
      <c r="D646" s="311" t="s">
        <v>6262</v>
      </c>
    </row>
    <row r="647" spans="2:4" x14ac:dyDescent="0.25">
      <c r="B647" s="330"/>
      <c r="C647" s="329" t="s">
        <v>6263</v>
      </c>
      <c r="D647" s="311" t="s">
        <v>6262</v>
      </c>
    </row>
    <row r="648" spans="2:4" x14ac:dyDescent="0.25">
      <c r="B648" s="330"/>
      <c r="C648" s="329" t="s">
        <v>6264</v>
      </c>
      <c r="D648" s="311" t="s">
        <v>6145</v>
      </c>
    </row>
    <row r="649" spans="2:4" x14ac:dyDescent="0.25">
      <c r="B649" s="330"/>
      <c r="C649" s="329" t="s">
        <v>6265</v>
      </c>
      <c r="D649" s="311" t="s">
        <v>6266</v>
      </c>
    </row>
    <row r="650" spans="2:4" x14ac:dyDescent="0.25">
      <c r="B650" s="330"/>
      <c r="C650" s="329" t="s">
        <v>6267</v>
      </c>
      <c r="D650" s="311" t="s">
        <v>6268</v>
      </c>
    </row>
    <row r="651" spans="2:4" x14ac:dyDescent="0.25">
      <c r="B651" s="330"/>
      <c r="C651" s="329" t="s">
        <v>6269</v>
      </c>
      <c r="D651" s="311" t="s">
        <v>6270</v>
      </c>
    </row>
    <row r="652" spans="2:4" x14ac:dyDescent="0.25">
      <c r="B652" s="330"/>
      <c r="C652" s="329" t="s">
        <v>6271</v>
      </c>
      <c r="D652" s="311" t="s">
        <v>5746</v>
      </c>
    </row>
    <row r="653" spans="2:4" x14ac:dyDescent="0.25">
      <c r="B653" s="330"/>
      <c r="C653" s="329" t="s">
        <v>6272</v>
      </c>
      <c r="D653" s="311" t="s">
        <v>6157</v>
      </c>
    </row>
    <row r="654" spans="2:4" x14ac:dyDescent="0.25">
      <c r="B654" s="330"/>
      <c r="C654" s="329" t="s">
        <v>6273</v>
      </c>
      <c r="D654" s="311" t="s">
        <v>6159</v>
      </c>
    </row>
    <row r="655" spans="2:4" x14ac:dyDescent="0.25">
      <c r="B655" s="330"/>
      <c r="C655" s="329" t="s">
        <v>6274</v>
      </c>
      <c r="D655" s="311" t="s">
        <v>6275</v>
      </c>
    </row>
    <row r="656" spans="2:4" x14ac:dyDescent="0.25">
      <c r="B656" s="330"/>
      <c r="C656" s="329" t="s">
        <v>6276</v>
      </c>
      <c r="D656" s="311" t="s">
        <v>5704</v>
      </c>
    </row>
    <row r="657" spans="2:4" x14ac:dyDescent="0.25">
      <c r="B657" s="330"/>
      <c r="C657" s="329" t="s">
        <v>6277</v>
      </c>
      <c r="D657" s="311" t="s">
        <v>6027</v>
      </c>
    </row>
    <row r="658" spans="2:4" x14ac:dyDescent="0.25">
      <c r="B658" s="330"/>
      <c r="C658" s="329" t="s">
        <v>6278</v>
      </c>
      <c r="D658" s="311" t="s">
        <v>5749</v>
      </c>
    </row>
    <row r="659" spans="2:4" x14ac:dyDescent="0.25">
      <c r="B659" s="330"/>
      <c r="C659" s="329" t="s">
        <v>6279</v>
      </c>
      <c r="D659" s="311" t="s">
        <v>6280</v>
      </c>
    </row>
    <row r="660" spans="2:4" x14ac:dyDescent="0.25">
      <c r="B660" s="330"/>
      <c r="C660" s="329" t="s">
        <v>6281</v>
      </c>
      <c r="D660" s="311" t="s">
        <v>6282</v>
      </c>
    </row>
    <row r="661" spans="2:4" x14ac:dyDescent="0.25">
      <c r="B661" s="330"/>
      <c r="C661" s="329" t="s">
        <v>6283</v>
      </c>
      <c r="D661" s="311" t="s">
        <v>6284</v>
      </c>
    </row>
    <row r="662" spans="2:4" x14ac:dyDescent="0.25">
      <c r="B662" s="330"/>
      <c r="C662" s="329" t="s">
        <v>6285</v>
      </c>
      <c r="D662" s="311" t="s">
        <v>6286</v>
      </c>
    </row>
    <row r="663" spans="2:4" x14ac:dyDescent="0.25">
      <c r="B663" s="330"/>
      <c r="C663" s="329" t="s">
        <v>6287</v>
      </c>
      <c r="D663" s="311" t="s">
        <v>6052</v>
      </c>
    </row>
    <row r="664" spans="2:4" x14ac:dyDescent="0.25">
      <c r="B664" s="330"/>
      <c r="C664" s="329" t="s">
        <v>6288</v>
      </c>
      <c r="D664" s="311" t="s">
        <v>5775</v>
      </c>
    </row>
    <row r="665" spans="2:4" x14ac:dyDescent="0.25">
      <c r="B665" s="330"/>
      <c r="C665" s="329" t="s">
        <v>6289</v>
      </c>
      <c r="D665" s="311" t="s">
        <v>6165</v>
      </c>
    </row>
    <row r="666" spans="2:4" x14ac:dyDescent="0.25">
      <c r="B666" s="330"/>
      <c r="C666" s="329" t="s">
        <v>6290</v>
      </c>
      <c r="D666" s="311" t="s">
        <v>6291</v>
      </c>
    </row>
    <row r="667" spans="2:4" x14ac:dyDescent="0.25">
      <c r="B667" s="330"/>
      <c r="C667" s="329" t="s">
        <v>6292</v>
      </c>
      <c r="D667" s="311" t="s">
        <v>6167</v>
      </c>
    </row>
    <row r="668" spans="2:4" x14ac:dyDescent="0.25">
      <c r="B668" s="330"/>
      <c r="C668" s="329" t="s">
        <v>6293</v>
      </c>
      <c r="D668" s="311" t="s">
        <v>5771</v>
      </c>
    </row>
    <row r="669" spans="2:4" x14ac:dyDescent="0.25">
      <c r="B669" s="330"/>
      <c r="C669" s="329" t="s">
        <v>6294</v>
      </c>
      <c r="D669" s="311" t="s">
        <v>6047</v>
      </c>
    </row>
    <row r="670" spans="2:4" x14ac:dyDescent="0.25">
      <c r="B670" s="330"/>
      <c r="C670" s="329" t="s">
        <v>6295</v>
      </c>
      <c r="D670" s="311" t="s">
        <v>6172</v>
      </c>
    </row>
    <row r="671" spans="2:4" x14ac:dyDescent="0.25">
      <c r="B671" s="330"/>
      <c r="C671" s="329" t="s">
        <v>6296</v>
      </c>
      <c r="D671" s="311" t="s">
        <v>5903</v>
      </c>
    </row>
    <row r="672" spans="2:4" x14ac:dyDescent="0.25">
      <c r="B672" s="330"/>
      <c r="C672" s="329" t="s">
        <v>6297</v>
      </c>
      <c r="D672" s="311" t="s">
        <v>6298</v>
      </c>
    </row>
    <row r="673" spans="2:4" x14ac:dyDescent="0.25">
      <c r="B673" s="330"/>
      <c r="C673" s="329" t="s">
        <v>6299</v>
      </c>
      <c r="D673" s="311" t="s">
        <v>6300</v>
      </c>
    </row>
    <row r="674" spans="2:4" x14ac:dyDescent="0.25">
      <c r="B674" s="330"/>
      <c r="C674" s="329" t="s">
        <v>6301</v>
      </c>
      <c r="D674" s="311" t="s">
        <v>6302</v>
      </c>
    </row>
    <row r="675" spans="2:4" x14ac:dyDescent="0.25">
      <c r="B675" s="330"/>
      <c r="C675" s="329" t="s">
        <v>6303</v>
      </c>
      <c r="D675" s="311" t="s">
        <v>6304</v>
      </c>
    </row>
    <row r="676" spans="2:4" x14ac:dyDescent="0.25">
      <c r="B676" s="330"/>
      <c r="C676" s="329" t="s">
        <v>6305</v>
      </c>
      <c r="D676" s="311" t="s">
        <v>6048</v>
      </c>
    </row>
    <row r="677" spans="2:4" x14ac:dyDescent="0.25">
      <c r="B677" s="330"/>
      <c r="C677" s="329" t="s">
        <v>6306</v>
      </c>
      <c r="D677" s="311" t="s">
        <v>6307</v>
      </c>
    </row>
    <row r="678" spans="2:4" x14ac:dyDescent="0.25">
      <c r="B678" s="330"/>
      <c r="C678" s="329" t="s">
        <v>6308</v>
      </c>
      <c r="D678" s="311" t="s">
        <v>6309</v>
      </c>
    </row>
    <row r="679" spans="2:4" x14ac:dyDescent="0.25">
      <c r="B679" s="330"/>
      <c r="C679" s="329" t="s">
        <v>6310</v>
      </c>
      <c r="D679" s="311" t="s">
        <v>6176</v>
      </c>
    </row>
    <row r="680" spans="2:4" x14ac:dyDescent="0.25">
      <c r="B680" s="330"/>
      <c r="C680" s="329" t="s">
        <v>6311</v>
      </c>
      <c r="D680" s="311" t="s">
        <v>6312</v>
      </c>
    </row>
    <row r="681" spans="2:4" x14ac:dyDescent="0.25">
      <c r="B681" s="330"/>
      <c r="C681" s="329" t="s">
        <v>6313</v>
      </c>
      <c r="D681" s="311" t="s">
        <v>6178</v>
      </c>
    </row>
    <row r="682" spans="2:4" x14ac:dyDescent="0.25">
      <c r="B682" s="330"/>
      <c r="C682" s="329" t="s">
        <v>6314</v>
      </c>
      <c r="D682" s="311" t="s">
        <v>6315</v>
      </c>
    </row>
    <row r="683" spans="2:4" x14ac:dyDescent="0.25">
      <c r="B683" s="330"/>
      <c r="C683" s="329" t="s">
        <v>6316</v>
      </c>
      <c r="D683" s="311" t="s">
        <v>6317</v>
      </c>
    </row>
    <row r="684" spans="2:4" x14ac:dyDescent="0.25">
      <c r="B684" s="330"/>
      <c r="C684" s="329" t="s">
        <v>6318</v>
      </c>
      <c r="D684" s="311" t="s">
        <v>6049</v>
      </c>
    </row>
    <row r="685" spans="2:4" x14ac:dyDescent="0.25">
      <c r="B685" s="330"/>
      <c r="C685" s="329" t="s">
        <v>6319</v>
      </c>
      <c r="D685" s="311" t="s">
        <v>5903</v>
      </c>
    </row>
    <row r="686" spans="2:4" x14ac:dyDescent="0.25">
      <c r="B686" s="330"/>
      <c r="C686" s="329" t="s">
        <v>6320</v>
      </c>
      <c r="D686" s="311" t="s">
        <v>6321</v>
      </c>
    </row>
    <row r="687" spans="2:4" x14ac:dyDescent="0.25">
      <c r="B687" s="330"/>
      <c r="C687" s="329" t="s">
        <v>6322</v>
      </c>
      <c r="D687" s="311" t="s">
        <v>5903</v>
      </c>
    </row>
    <row r="688" spans="2:4" x14ac:dyDescent="0.25">
      <c r="B688" s="330"/>
      <c r="C688" s="329" t="s">
        <v>6323</v>
      </c>
      <c r="D688" s="311" t="s">
        <v>6302</v>
      </c>
    </row>
    <row r="689" spans="2:4" x14ac:dyDescent="0.25">
      <c r="B689" s="330"/>
      <c r="C689" s="329" t="s">
        <v>6324</v>
      </c>
      <c r="D689" s="311" t="s">
        <v>6309</v>
      </c>
    </row>
    <row r="690" spans="2:4" x14ac:dyDescent="0.25">
      <c r="B690" s="330"/>
      <c r="C690" s="329" t="s">
        <v>6325</v>
      </c>
      <c r="D690" s="311" t="s">
        <v>6049</v>
      </c>
    </row>
    <row r="691" spans="2:4" x14ac:dyDescent="0.25">
      <c r="B691" s="330"/>
      <c r="C691" s="329" t="s">
        <v>6326</v>
      </c>
      <c r="D691" s="311" t="s">
        <v>6327</v>
      </c>
    </row>
    <row r="692" spans="2:4" x14ac:dyDescent="0.25">
      <c r="B692" s="330"/>
      <c r="C692" s="329" t="s">
        <v>6328</v>
      </c>
      <c r="D692" s="311" t="s">
        <v>6029</v>
      </c>
    </row>
    <row r="693" spans="2:4" x14ac:dyDescent="0.25">
      <c r="B693" s="330"/>
      <c r="C693" s="329" t="s">
        <v>6329</v>
      </c>
      <c r="D693" s="311" t="s">
        <v>6041</v>
      </c>
    </row>
    <row r="694" spans="2:4" x14ac:dyDescent="0.25">
      <c r="B694" s="330"/>
      <c r="C694" s="329" t="s">
        <v>6330</v>
      </c>
      <c r="D694" s="311" t="s">
        <v>6042</v>
      </c>
    </row>
    <row r="695" spans="2:4" x14ac:dyDescent="0.25">
      <c r="B695" s="330"/>
      <c r="C695" s="329" t="s">
        <v>6331</v>
      </c>
      <c r="D695" s="311" t="s">
        <v>6332</v>
      </c>
    </row>
    <row r="696" spans="2:4" x14ac:dyDescent="0.25">
      <c r="B696" s="330"/>
      <c r="C696" s="329" t="s">
        <v>6333</v>
      </c>
      <c r="D696" s="311" t="s">
        <v>6009</v>
      </c>
    </row>
    <row r="697" spans="2:4" x14ac:dyDescent="0.25">
      <c r="B697" s="330"/>
      <c r="C697" s="329" t="s">
        <v>6334</v>
      </c>
      <c r="D697" s="311" t="s">
        <v>5735</v>
      </c>
    </row>
    <row r="698" spans="2:4" x14ac:dyDescent="0.25">
      <c r="B698" s="330"/>
      <c r="C698" s="329" t="s">
        <v>6335</v>
      </c>
      <c r="D698" s="311" t="s">
        <v>6336</v>
      </c>
    </row>
    <row r="699" spans="2:4" x14ac:dyDescent="0.25">
      <c r="B699" s="330"/>
      <c r="C699" s="329" t="s">
        <v>6337</v>
      </c>
      <c r="D699" s="311" t="s">
        <v>6338</v>
      </c>
    </row>
    <row r="700" spans="2:4" x14ac:dyDescent="0.25">
      <c r="B700" s="330"/>
      <c r="C700" s="329" t="s">
        <v>6339</v>
      </c>
      <c r="D700" s="311" t="s">
        <v>6340</v>
      </c>
    </row>
    <row r="701" spans="2:4" x14ac:dyDescent="0.25">
      <c r="B701" s="330"/>
      <c r="C701" s="329" t="s">
        <v>6341</v>
      </c>
      <c r="D701" s="311" t="s">
        <v>6187</v>
      </c>
    </row>
    <row r="702" spans="2:4" x14ac:dyDescent="0.25">
      <c r="B702" s="330"/>
      <c r="C702" s="329" t="s">
        <v>6342</v>
      </c>
      <c r="D702" s="311" t="s">
        <v>5736</v>
      </c>
    </row>
    <row r="703" spans="2:4" x14ac:dyDescent="0.25">
      <c r="B703" s="330"/>
      <c r="C703" s="329" t="s">
        <v>6343</v>
      </c>
      <c r="D703" s="311" t="s">
        <v>5739</v>
      </c>
    </row>
    <row r="704" spans="2:4" x14ac:dyDescent="0.25">
      <c r="B704" s="330"/>
      <c r="C704" s="329" t="s">
        <v>6344</v>
      </c>
      <c r="D704" s="311" t="s">
        <v>6345</v>
      </c>
    </row>
    <row r="705" spans="2:4" x14ac:dyDescent="0.25">
      <c r="B705" s="330"/>
      <c r="C705" s="329" t="s">
        <v>6346</v>
      </c>
      <c r="D705" s="311" t="s">
        <v>6347</v>
      </c>
    </row>
    <row r="706" spans="2:4" x14ac:dyDescent="0.25">
      <c r="B706" s="330"/>
      <c r="C706" s="329" t="s">
        <v>6348</v>
      </c>
      <c r="D706" s="311" t="s">
        <v>6349</v>
      </c>
    </row>
    <row r="707" spans="2:4" x14ac:dyDescent="0.25">
      <c r="B707" s="330"/>
      <c r="C707" s="329" t="s">
        <v>6350</v>
      </c>
      <c r="D707" s="311" t="s">
        <v>5736</v>
      </c>
    </row>
    <row r="708" spans="2:4" x14ac:dyDescent="0.25">
      <c r="B708" s="330"/>
      <c r="C708" s="329" t="s">
        <v>6351</v>
      </c>
      <c r="D708" s="311" t="s">
        <v>6020</v>
      </c>
    </row>
    <row r="709" spans="2:4" x14ac:dyDescent="0.25">
      <c r="B709" s="330"/>
      <c r="C709" s="329" t="s">
        <v>6352</v>
      </c>
      <c r="D709" s="311" t="s">
        <v>6353</v>
      </c>
    </row>
    <row r="710" spans="2:4" x14ac:dyDescent="0.25">
      <c r="B710" s="330"/>
      <c r="C710" s="329" t="s">
        <v>6354</v>
      </c>
      <c r="D710" s="311" t="s">
        <v>6355</v>
      </c>
    </row>
    <row r="711" spans="2:4" x14ac:dyDescent="0.25">
      <c r="B711" s="330"/>
      <c r="C711" s="329" t="s">
        <v>6356</v>
      </c>
      <c r="D711" s="311" t="s">
        <v>5738</v>
      </c>
    </row>
    <row r="712" spans="2:4" x14ac:dyDescent="0.25">
      <c r="B712" s="330"/>
      <c r="C712" s="329" t="s">
        <v>6357</v>
      </c>
      <c r="D712" s="311" t="s">
        <v>6193</v>
      </c>
    </row>
    <row r="713" spans="2:4" x14ac:dyDescent="0.25">
      <c r="B713" s="330"/>
      <c r="C713" s="329" t="s">
        <v>6358</v>
      </c>
      <c r="D713" s="311" t="s">
        <v>5734</v>
      </c>
    </row>
    <row r="714" spans="2:4" x14ac:dyDescent="0.25">
      <c r="B714" s="330"/>
      <c r="C714" s="329" t="s">
        <v>6359</v>
      </c>
      <c r="D714" s="311" t="s">
        <v>6360</v>
      </c>
    </row>
    <row r="715" spans="2:4" x14ac:dyDescent="0.25">
      <c r="B715" s="330"/>
      <c r="C715" s="329" t="s">
        <v>6361</v>
      </c>
      <c r="D715" s="311" t="s">
        <v>6362</v>
      </c>
    </row>
    <row r="716" spans="2:4" x14ac:dyDescent="0.25">
      <c r="B716" s="330"/>
      <c r="C716" s="329" t="s">
        <v>6363</v>
      </c>
      <c r="D716" s="311" t="s">
        <v>6364</v>
      </c>
    </row>
    <row r="717" spans="2:4" x14ac:dyDescent="0.25">
      <c r="B717" s="330"/>
      <c r="C717" s="329" t="s">
        <v>6365</v>
      </c>
      <c r="D717" s="311" t="s">
        <v>6366</v>
      </c>
    </row>
    <row r="718" spans="2:4" x14ac:dyDescent="0.25">
      <c r="B718" s="330"/>
      <c r="C718" s="329" t="s">
        <v>6367</v>
      </c>
      <c r="D718" s="311" t="s">
        <v>6368</v>
      </c>
    </row>
    <row r="719" spans="2:4" x14ac:dyDescent="0.25">
      <c r="B719" s="330"/>
      <c r="C719" s="329" t="s">
        <v>6369</v>
      </c>
      <c r="D719" s="311" t="s">
        <v>6190</v>
      </c>
    </row>
    <row r="720" spans="2:4" x14ac:dyDescent="0.25">
      <c r="B720" s="330"/>
      <c r="C720" s="329" t="s">
        <v>6370</v>
      </c>
      <c r="D720" s="311" t="s">
        <v>6371</v>
      </c>
    </row>
    <row r="721" spans="2:4" x14ac:dyDescent="0.25">
      <c r="B721" s="330"/>
      <c r="C721" s="329" t="s">
        <v>6372</v>
      </c>
      <c r="D721" s="311" t="s">
        <v>5731</v>
      </c>
    </row>
    <row r="722" spans="2:4" x14ac:dyDescent="0.25">
      <c r="B722" s="330"/>
      <c r="C722" s="329" t="s">
        <v>6373</v>
      </c>
      <c r="D722" s="311" t="s">
        <v>6374</v>
      </c>
    </row>
    <row r="723" spans="2:4" x14ac:dyDescent="0.25">
      <c r="B723" s="330"/>
      <c r="C723" s="329" t="s">
        <v>6375</v>
      </c>
      <c r="D723" s="311" t="s">
        <v>5731</v>
      </c>
    </row>
    <row r="724" spans="2:4" x14ac:dyDescent="0.25">
      <c r="B724" s="330"/>
      <c r="C724" s="329" t="s">
        <v>6376</v>
      </c>
      <c r="D724" s="311" t="s">
        <v>6193</v>
      </c>
    </row>
    <row r="725" spans="2:4" x14ac:dyDescent="0.25">
      <c r="B725" s="330"/>
      <c r="C725" s="329" t="s">
        <v>6377</v>
      </c>
      <c r="D725" s="311" t="s">
        <v>6378</v>
      </c>
    </row>
    <row r="726" spans="2:4" x14ac:dyDescent="0.25">
      <c r="B726" s="330"/>
      <c r="C726" s="329" t="s">
        <v>6379</v>
      </c>
      <c r="D726" s="311" t="s">
        <v>6380</v>
      </c>
    </row>
    <row r="727" spans="2:4" x14ac:dyDescent="0.25">
      <c r="B727" s="330"/>
      <c r="C727" s="329" t="s">
        <v>6381</v>
      </c>
      <c r="D727" s="311" t="s">
        <v>6195</v>
      </c>
    </row>
    <row r="728" spans="2:4" x14ac:dyDescent="0.25">
      <c r="B728" s="330"/>
      <c r="C728" s="329" t="s">
        <v>6382</v>
      </c>
      <c r="D728" s="311" t="s">
        <v>6383</v>
      </c>
    </row>
    <row r="729" spans="2:4" x14ac:dyDescent="0.25">
      <c r="B729" s="330"/>
      <c r="C729" s="329" t="s">
        <v>6384</v>
      </c>
      <c r="D729" s="311" t="s">
        <v>6016</v>
      </c>
    </row>
    <row r="730" spans="2:4" x14ac:dyDescent="0.25">
      <c r="B730" s="330"/>
      <c r="C730" s="329" t="s">
        <v>6385</v>
      </c>
      <c r="D730" s="311" t="s">
        <v>5789</v>
      </c>
    </row>
    <row r="731" spans="2:4" x14ac:dyDescent="0.25">
      <c r="B731" s="330"/>
      <c r="C731" s="329" t="s">
        <v>6386</v>
      </c>
      <c r="D731" s="311" t="s">
        <v>5732</v>
      </c>
    </row>
    <row r="732" spans="2:4" x14ac:dyDescent="0.25">
      <c r="B732" s="330"/>
      <c r="C732" s="329" t="s">
        <v>6387</v>
      </c>
      <c r="D732" s="311" t="s">
        <v>5733</v>
      </c>
    </row>
    <row r="733" spans="2:4" x14ac:dyDescent="0.25">
      <c r="B733" s="330"/>
      <c r="C733" s="329" t="s">
        <v>6388</v>
      </c>
      <c r="D733" s="311" t="s">
        <v>5784</v>
      </c>
    </row>
    <row r="734" spans="2:4" x14ac:dyDescent="0.25">
      <c r="B734" s="330"/>
      <c r="C734" s="329" t="s">
        <v>6389</v>
      </c>
      <c r="D734" s="311" t="s">
        <v>6390</v>
      </c>
    </row>
    <row r="735" spans="2:4" x14ac:dyDescent="0.25">
      <c r="B735" s="330"/>
      <c r="C735" s="329" t="s">
        <v>6391</v>
      </c>
      <c r="D735" s="311" t="s">
        <v>6199</v>
      </c>
    </row>
    <row r="736" spans="2:4" x14ac:dyDescent="0.25">
      <c r="B736" s="330"/>
      <c r="C736" s="329" t="s">
        <v>6392</v>
      </c>
      <c r="D736" s="311" t="s">
        <v>6393</v>
      </c>
    </row>
    <row r="737" spans="2:4" x14ac:dyDescent="0.25">
      <c r="B737" s="330"/>
      <c r="C737" s="329" t="s">
        <v>6394</v>
      </c>
      <c r="D737" s="311" t="s">
        <v>5748</v>
      </c>
    </row>
    <row r="738" spans="2:4" x14ac:dyDescent="0.25">
      <c r="B738" s="330"/>
      <c r="C738" s="329" t="s">
        <v>6395</v>
      </c>
      <c r="D738" s="311" t="s">
        <v>5785</v>
      </c>
    </row>
    <row r="739" spans="2:4" x14ac:dyDescent="0.25">
      <c r="B739" s="330"/>
      <c r="C739" s="329" t="s">
        <v>6396</v>
      </c>
      <c r="D739" s="311" t="s">
        <v>6397</v>
      </c>
    </row>
    <row r="740" spans="2:4" x14ac:dyDescent="0.25">
      <c r="B740" s="330"/>
      <c r="C740" s="329" t="s">
        <v>6398</v>
      </c>
      <c r="D740" s="311" t="s">
        <v>6399</v>
      </c>
    </row>
    <row r="741" spans="2:4" x14ac:dyDescent="0.25">
      <c r="B741" s="330"/>
      <c r="C741" s="329" t="s">
        <v>6400</v>
      </c>
      <c r="D741" s="311" t="s">
        <v>5783</v>
      </c>
    </row>
    <row r="742" spans="2:4" x14ac:dyDescent="0.25">
      <c r="B742" s="330"/>
      <c r="C742" s="329" t="s">
        <v>6401</v>
      </c>
      <c r="D742" s="311" t="s">
        <v>5748</v>
      </c>
    </row>
    <row r="743" spans="2:4" x14ac:dyDescent="0.25">
      <c r="B743" s="330"/>
      <c r="C743" s="329" t="s">
        <v>6402</v>
      </c>
      <c r="D743" s="311" t="s">
        <v>5750</v>
      </c>
    </row>
    <row r="744" spans="2:4" x14ac:dyDescent="0.25">
      <c r="B744" s="330"/>
      <c r="C744" s="329" t="s">
        <v>6403</v>
      </c>
      <c r="D744" s="311" t="s">
        <v>6404</v>
      </c>
    </row>
    <row r="745" spans="2:4" x14ac:dyDescent="0.25">
      <c r="B745" s="330"/>
      <c r="C745" s="329" t="s">
        <v>6405</v>
      </c>
      <c r="D745" s="311" t="s">
        <v>5726</v>
      </c>
    </row>
    <row r="746" spans="2:4" x14ac:dyDescent="0.25">
      <c r="B746" s="330"/>
      <c r="C746" s="329" t="s">
        <v>6406</v>
      </c>
      <c r="D746" s="311" t="s">
        <v>6206</v>
      </c>
    </row>
    <row r="747" spans="2:4" x14ac:dyDescent="0.25">
      <c r="B747" s="330"/>
      <c r="C747" s="329" t="s">
        <v>6407</v>
      </c>
      <c r="D747" s="311" t="s">
        <v>6208</v>
      </c>
    </row>
    <row r="748" spans="2:4" x14ac:dyDescent="0.25">
      <c r="B748" s="330"/>
      <c r="C748" s="329" t="s">
        <v>6408</v>
      </c>
      <c r="D748" s="311" t="s">
        <v>6409</v>
      </c>
    </row>
    <row r="749" spans="2:4" x14ac:dyDescent="0.25">
      <c r="B749" s="330"/>
      <c r="C749" s="329" t="s">
        <v>6410</v>
      </c>
      <c r="D749" s="311" t="s">
        <v>6411</v>
      </c>
    </row>
    <row r="750" spans="2:4" x14ac:dyDescent="0.25">
      <c r="B750" s="330"/>
      <c r="C750" s="329" t="s">
        <v>6412</v>
      </c>
      <c r="D750" s="311" t="s">
        <v>5727</v>
      </c>
    </row>
    <row r="751" spans="2:4" x14ac:dyDescent="0.25">
      <c r="B751" s="330"/>
      <c r="C751" s="329" t="s">
        <v>6413</v>
      </c>
      <c r="D751" s="311" t="s">
        <v>5727</v>
      </c>
    </row>
    <row r="752" spans="2:4" x14ac:dyDescent="0.25">
      <c r="B752" s="330"/>
      <c r="C752" s="329" t="s">
        <v>6414</v>
      </c>
      <c r="D752" s="311" t="s">
        <v>5727</v>
      </c>
    </row>
    <row r="753" spans="2:4" x14ac:dyDescent="0.25">
      <c r="B753" s="330"/>
      <c r="C753" s="329" t="s">
        <v>6415</v>
      </c>
      <c r="D753" s="311" t="s">
        <v>5702</v>
      </c>
    </row>
    <row r="754" spans="2:4" x14ac:dyDescent="0.25">
      <c r="B754" s="330"/>
      <c r="C754" s="329" t="s">
        <v>6416</v>
      </c>
      <c r="D754" s="311" t="s">
        <v>5729</v>
      </c>
    </row>
    <row r="755" spans="2:4" x14ac:dyDescent="0.25">
      <c r="B755" s="330"/>
      <c r="C755" s="329" t="s">
        <v>6417</v>
      </c>
      <c r="D755" s="311" t="s">
        <v>5755</v>
      </c>
    </row>
    <row r="756" spans="2:4" x14ac:dyDescent="0.25">
      <c r="B756" s="330"/>
      <c r="C756" s="329" t="s">
        <v>6418</v>
      </c>
      <c r="D756" s="311" t="s">
        <v>6419</v>
      </c>
    </row>
    <row r="757" spans="2:4" x14ac:dyDescent="0.25">
      <c r="B757" s="330"/>
      <c r="C757" s="329" t="s">
        <v>6420</v>
      </c>
      <c r="D757" s="311" t="s">
        <v>6421</v>
      </c>
    </row>
    <row r="758" spans="2:4" x14ac:dyDescent="0.25">
      <c r="B758" s="330"/>
      <c r="C758" s="329" t="s">
        <v>6422</v>
      </c>
      <c r="D758" s="311" t="s">
        <v>6423</v>
      </c>
    </row>
    <row r="759" spans="2:4" x14ac:dyDescent="0.25">
      <c r="B759" s="330"/>
      <c r="C759" s="329" t="s">
        <v>6424</v>
      </c>
      <c r="D759" s="311" t="s">
        <v>6425</v>
      </c>
    </row>
    <row r="760" spans="2:4" x14ac:dyDescent="0.25">
      <c r="B760" s="330"/>
      <c r="C760" s="329" t="s">
        <v>6426</v>
      </c>
      <c r="D760" s="311" t="s">
        <v>5702</v>
      </c>
    </row>
    <row r="761" spans="2:4" x14ac:dyDescent="0.25">
      <c r="B761" s="330"/>
      <c r="C761" s="329" t="s">
        <v>6427</v>
      </c>
      <c r="D761" s="311" t="s">
        <v>5702</v>
      </c>
    </row>
    <row r="762" spans="2:4" x14ac:dyDescent="0.25">
      <c r="B762" s="330"/>
      <c r="C762" s="329" t="s">
        <v>6428</v>
      </c>
      <c r="D762" s="311" t="s">
        <v>5728</v>
      </c>
    </row>
    <row r="763" spans="2:4" x14ac:dyDescent="0.25">
      <c r="B763" s="330"/>
      <c r="C763" s="329" t="s">
        <v>6429</v>
      </c>
      <c r="D763" s="311" t="s">
        <v>5709</v>
      </c>
    </row>
    <row r="764" spans="2:4" x14ac:dyDescent="0.25">
      <c r="B764" s="330"/>
      <c r="C764" s="329" t="s">
        <v>6430</v>
      </c>
      <c r="D764" s="311" t="s">
        <v>6431</v>
      </c>
    </row>
    <row r="765" spans="2:4" x14ac:dyDescent="0.25">
      <c r="B765" s="330"/>
      <c r="C765" s="329" t="s">
        <v>6432</v>
      </c>
      <c r="D765" s="311" t="s">
        <v>6421</v>
      </c>
    </row>
    <row r="766" spans="2:4" x14ac:dyDescent="0.25">
      <c r="B766" s="330"/>
      <c r="C766" s="329" t="s">
        <v>6433</v>
      </c>
      <c r="D766" s="311" t="s">
        <v>6434</v>
      </c>
    </row>
    <row r="767" spans="2:4" x14ac:dyDescent="0.25">
      <c r="C767" s="329" t="s">
        <v>6435</v>
      </c>
      <c r="D767" s="311" t="s">
        <v>6436</v>
      </c>
    </row>
    <row r="768" spans="2:4" x14ac:dyDescent="0.25">
      <c r="C768" s="329" t="s">
        <v>6437</v>
      </c>
      <c r="D768" s="311" t="s">
        <v>6434</v>
      </c>
    </row>
    <row r="769" spans="3:4" x14ac:dyDescent="0.25">
      <c r="C769" s="329" t="s">
        <v>6438</v>
      </c>
      <c r="D769" s="311" t="s">
        <v>6009</v>
      </c>
    </row>
    <row r="770" spans="3:4" x14ac:dyDescent="0.25">
      <c r="C770" s="329" t="s">
        <v>6439</v>
      </c>
      <c r="D770" s="311" t="s">
        <v>6009</v>
      </c>
    </row>
    <row r="771" spans="3:4" x14ac:dyDescent="0.25">
      <c r="C771" s="329" t="s">
        <v>6440</v>
      </c>
      <c r="D771" s="311" t="s">
        <v>6441</v>
      </c>
    </row>
    <row r="772" spans="3:4" x14ac:dyDescent="0.25">
      <c r="C772" s="329" t="s">
        <v>6442</v>
      </c>
      <c r="D772" s="311" t="s">
        <v>6010</v>
      </c>
    </row>
    <row r="773" spans="3:4" x14ac:dyDescent="0.25">
      <c r="C773" s="329" t="s">
        <v>6443</v>
      </c>
      <c r="D773" s="311" t="s">
        <v>6015</v>
      </c>
    </row>
    <row r="774" spans="3:4" x14ac:dyDescent="0.25">
      <c r="C774" s="329" t="s">
        <v>6444</v>
      </c>
      <c r="D774" s="311" t="s">
        <v>6009</v>
      </c>
    </row>
    <row r="775" spans="3:4" x14ac:dyDescent="0.25">
      <c r="C775" s="329" t="s">
        <v>6445</v>
      </c>
      <c r="D775" s="311" t="s">
        <v>6010</v>
      </c>
    </row>
    <row r="776" spans="3:4" x14ac:dyDescent="0.25">
      <c r="C776" s="329" t="s">
        <v>6446</v>
      </c>
      <c r="D776" s="311" t="s">
        <v>6011</v>
      </c>
    </row>
    <row r="777" spans="3:4" x14ac:dyDescent="0.25">
      <c r="C777" s="329" t="s">
        <v>6447</v>
      </c>
      <c r="D777" s="311" t="s">
        <v>6011</v>
      </c>
    </row>
    <row r="778" spans="3:4" x14ac:dyDescent="0.25">
      <c r="C778" s="329" t="s">
        <v>6448</v>
      </c>
      <c r="D778" s="311" t="s">
        <v>5730</v>
      </c>
    </row>
    <row r="779" spans="3:4" x14ac:dyDescent="0.25">
      <c r="C779" s="329" t="s">
        <v>6449</v>
      </c>
      <c r="D779" s="311" t="s">
        <v>5777</v>
      </c>
    </row>
    <row r="780" spans="3:4" x14ac:dyDescent="0.25">
      <c r="C780" s="329" t="s">
        <v>6450</v>
      </c>
      <c r="D780" s="311" t="s">
        <v>6451</v>
      </c>
    </row>
    <row r="781" spans="3:4" x14ac:dyDescent="0.25">
      <c r="C781" s="329" t="s">
        <v>6452</v>
      </c>
      <c r="D781" s="311" t="s">
        <v>6453</v>
      </c>
    </row>
    <row r="782" spans="3:4" x14ac:dyDescent="0.25">
      <c r="C782" s="329" t="s">
        <v>6454</v>
      </c>
      <c r="D782" s="311" t="s">
        <v>6455</v>
      </c>
    </row>
    <row r="783" spans="3:4" x14ac:dyDescent="0.25">
      <c r="C783" s="329" t="s">
        <v>6456</v>
      </c>
      <c r="D783" s="311" t="s">
        <v>5783</v>
      </c>
    </row>
    <row r="784" spans="3:4" x14ac:dyDescent="0.25">
      <c r="C784" s="329" t="s">
        <v>6457</v>
      </c>
      <c r="D784" s="311" t="s">
        <v>6458</v>
      </c>
    </row>
    <row r="785" spans="3:4" x14ac:dyDescent="0.25">
      <c r="C785" s="329" t="s">
        <v>6459</v>
      </c>
      <c r="D785" s="311" t="s">
        <v>6460</v>
      </c>
    </row>
    <row r="786" spans="3:4" x14ac:dyDescent="0.25">
      <c r="C786" s="329" t="s">
        <v>6461</v>
      </c>
      <c r="D786" s="311" t="s">
        <v>6462</v>
      </c>
    </row>
    <row r="787" spans="3:4" x14ac:dyDescent="0.25">
      <c r="C787" s="329" t="s">
        <v>6463</v>
      </c>
      <c r="D787" s="311" t="s">
        <v>6464</v>
      </c>
    </row>
    <row r="788" spans="3:4" x14ac:dyDescent="0.25">
      <c r="C788" s="329" t="s">
        <v>6465</v>
      </c>
      <c r="D788" s="311" t="s">
        <v>6466</v>
      </c>
    </row>
    <row r="789" spans="3:4" x14ac:dyDescent="0.25">
      <c r="C789" s="329" t="s">
        <v>6467</v>
      </c>
      <c r="D789" s="311" t="s">
        <v>6468</v>
      </c>
    </row>
    <row r="790" spans="3:4" x14ac:dyDescent="0.25">
      <c r="C790" s="329" t="s">
        <v>6469</v>
      </c>
      <c r="D790" s="311" t="s">
        <v>6470</v>
      </c>
    </row>
    <row r="791" spans="3:4" x14ac:dyDescent="0.25">
      <c r="C791" s="329" t="s">
        <v>6471</v>
      </c>
      <c r="D791" s="311" t="s">
        <v>6472</v>
      </c>
    </row>
    <row r="792" spans="3:4" x14ac:dyDescent="0.25">
      <c r="C792" s="329" t="s">
        <v>1548</v>
      </c>
      <c r="D792" s="311" t="s">
        <v>6473</v>
      </c>
    </row>
    <row r="793" spans="3:4" x14ac:dyDescent="0.25">
      <c r="C793" s="329" t="s">
        <v>1549</v>
      </c>
      <c r="D793" s="311" t="s">
        <v>6474</v>
      </c>
    </row>
    <row r="794" spans="3:4" x14ac:dyDescent="0.25">
      <c r="C794" s="329" t="s">
        <v>1550</v>
      </c>
      <c r="D794" s="311" t="s">
        <v>6475</v>
      </c>
    </row>
    <row r="795" spans="3:4" x14ac:dyDescent="0.25">
      <c r="C795" s="329" t="s">
        <v>1551</v>
      </c>
      <c r="D795" s="311" t="s">
        <v>6476</v>
      </c>
    </row>
    <row r="796" spans="3:4" x14ac:dyDescent="0.25">
      <c r="C796" s="329" t="s">
        <v>1552</v>
      </c>
      <c r="D796" s="311" t="s">
        <v>6477</v>
      </c>
    </row>
    <row r="797" spans="3:4" x14ac:dyDescent="0.25">
      <c r="C797" s="329" t="s">
        <v>1553</v>
      </c>
      <c r="D797" s="311" t="s">
        <v>6478</v>
      </c>
    </row>
    <row r="798" spans="3:4" x14ac:dyDescent="0.25">
      <c r="C798" s="329" t="s">
        <v>1554</v>
      </c>
      <c r="D798" s="311" t="s">
        <v>5721</v>
      </c>
    </row>
    <row r="799" spans="3:4" x14ac:dyDescent="0.25">
      <c r="C799" s="329" t="s">
        <v>1555</v>
      </c>
      <c r="D799" s="311" t="s">
        <v>6479</v>
      </c>
    </row>
    <row r="800" spans="3:4" x14ac:dyDescent="0.25">
      <c r="C800" s="329" t="s">
        <v>1556</v>
      </c>
      <c r="D800" s="311" t="s">
        <v>5726</v>
      </c>
    </row>
    <row r="801" spans="3:4" x14ac:dyDescent="0.25">
      <c r="C801" s="329" t="s">
        <v>1557</v>
      </c>
      <c r="D801" s="311" t="s">
        <v>5730</v>
      </c>
    </row>
    <row r="802" spans="3:4" x14ac:dyDescent="0.25">
      <c r="C802" s="329" t="s">
        <v>1558</v>
      </c>
      <c r="D802" s="311" t="s">
        <v>6480</v>
      </c>
    </row>
    <row r="803" spans="3:4" x14ac:dyDescent="0.25">
      <c r="C803" s="329" t="s">
        <v>1559</v>
      </c>
      <c r="D803" s="311" t="s">
        <v>6481</v>
      </c>
    </row>
    <row r="804" spans="3:4" x14ac:dyDescent="0.25">
      <c r="C804" s="329" t="s">
        <v>1560</v>
      </c>
      <c r="D804" s="311" t="s">
        <v>6482</v>
      </c>
    </row>
    <row r="805" spans="3:4" x14ac:dyDescent="0.25">
      <c r="C805" s="329" t="s">
        <v>1561</v>
      </c>
      <c r="D805" s="311" t="s">
        <v>6483</v>
      </c>
    </row>
    <row r="806" spans="3:4" x14ac:dyDescent="0.25">
      <c r="C806" s="329" t="s">
        <v>1562</v>
      </c>
      <c r="D806" s="311" t="s">
        <v>5745</v>
      </c>
    </row>
    <row r="807" spans="3:4" x14ac:dyDescent="0.25">
      <c r="C807" s="329" t="s">
        <v>1563</v>
      </c>
      <c r="D807" s="311" t="s">
        <v>6484</v>
      </c>
    </row>
    <row r="808" spans="3:4" x14ac:dyDescent="0.25">
      <c r="C808" s="329" t="s">
        <v>6485</v>
      </c>
      <c r="D808" s="311" t="s">
        <v>6486</v>
      </c>
    </row>
    <row r="809" spans="3:4" x14ac:dyDescent="0.25">
      <c r="C809" s="329" t="s">
        <v>1564</v>
      </c>
      <c r="D809" s="311" t="s">
        <v>6487</v>
      </c>
    </row>
    <row r="810" spans="3:4" x14ac:dyDescent="0.25">
      <c r="C810" s="329" t="s">
        <v>1565</v>
      </c>
      <c r="D810" s="311" t="s">
        <v>6488</v>
      </c>
    </row>
    <row r="811" spans="3:4" x14ac:dyDescent="0.25">
      <c r="C811" s="329" t="s">
        <v>1566</v>
      </c>
      <c r="D811" s="311" t="s">
        <v>5761</v>
      </c>
    </row>
    <row r="812" spans="3:4" x14ac:dyDescent="0.25">
      <c r="C812" s="329" t="s">
        <v>6489</v>
      </c>
      <c r="D812" s="311" t="s">
        <v>6490</v>
      </c>
    </row>
    <row r="813" spans="3:4" x14ac:dyDescent="0.25">
      <c r="C813" s="329" t="s">
        <v>1567</v>
      </c>
      <c r="D813" s="311" t="s">
        <v>6491</v>
      </c>
    </row>
    <row r="814" spans="3:4" x14ac:dyDescent="0.25">
      <c r="C814" s="329" t="s">
        <v>1568</v>
      </c>
      <c r="D814" s="311" t="s">
        <v>6492</v>
      </c>
    </row>
    <row r="815" spans="3:4" x14ac:dyDescent="0.25">
      <c r="C815" s="329" t="s">
        <v>1569</v>
      </c>
      <c r="D815" s="311" t="s">
        <v>6493</v>
      </c>
    </row>
    <row r="816" spans="3:4" x14ac:dyDescent="0.25">
      <c r="C816" s="329" t="s">
        <v>1570</v>
      </c>
      <c r="D816" s="311" t="s">
        <v>6494</v>
      </c>
    </row>
    <row r="817" spans="3:4" x14ac:dyDescent="0.25">
      <c r="C817" s="329" t="s">
        <v>1571</v>
      </c>
      <c r="D817" s="311" t="s">
        <v>6495</v>
      </c>
    </row>
    <row r="818" spans="3:4" x14ac:dyDescent="0.25">
      <c r="C818" s="329" t="s">
        <v>1572</v>
      </c>
      <c r="D818" s="311" t="s">
        <v>6496</v>
      </c>
    </row>
    <row r="819" spans="3:4" x14ac:dyDescent="0.25">
      <c r="C819" s="329" t="s">
        <v>1573</v>
      </c>
      <c r="D819" s="311" t="s">
        <v>6497</v>
      </c>
    </row>
    <row r="820" spans="3:4" x14ac:dyDescent="0.25">
      <c r="C820" s="329" t="s">
        <v>1574</v>
      </c>
      <c r="D820" s="311" t="s">
        <v>5785</v>
      </c>
    </row>
    <row r="821" spans="3:4" x14ac:dyDescent="0.25">
      <c r="C821" s="329" t="s">
        <v>1575</v>
      </c>
      <c r="D821" s="311" t="s">
        <v>6498</v>
      </c>
    </row>
    <row r="822" spans="3:4" x14ac:dyDescent="0.25">
      <c r="C822" s="329" t="s">
        <v>1576</v>
      </c>
      <c r="D822" s="311" t="s">
        <v>6499</v>
      </c>
    </row>
    <row r="823" spans="3:4" x14ac:dyDescent="0.25">
      <c r="C823" s="329" t="s">
        <v>1577</v>
      </c>
      <c r="D823" s="311" t="s">
        <v>6500</v>
      </c>
    </row>
    <row r="824" spans="3:4" x14ac:dyDescent="0.25">
      <c r="C824" s="329" t="s">
        <v>1578</v>
      </c>
      <c r="D824" s="311" t="s">
        <v>6501</v>
      </c>
    </row>
    <row r="825" spans="3:4" x14ac:dyDescent="0.25">
      <c r="C825" s="329" t="s">
        <v>1579</v>
      </c>
      <c r="D825" s="311" t="s">
        <v>6073</v>
      </c>
    </row>
    <row r="826" spans="3:4" x14ac:dyDescent="0.25">
      <c r="C826" s="329" t="s">
        <v>1580</v>
      </c>
      <c r="D826" s="311" t="s">
        <v>6074</v>
      </c>
    </row>
    <row r="827" spans="3:4" x14ac:dyDescent="0.25">
      <c r="C827" s="329" t="s">
        <v>1581</v>
      </c>
      <c r="D827" s="311" t="s">
        <v>6502</v>
      </c>
    </row>
    <row r="828" spans="3:4" x14ac:dyDescent="0.25">
      <c r="C828" s="329" t="s">
        <v>1582</v>
      </c>
      <c r="D828" s="311" t="s">
        <v>6503</v>
      </c>
    </row>
    <row r="829" spans="3:4" x14ac:dyDescent="0.25">
      <c r="C829" s="329" t="s">
        <v>1583</v>
      </c>
      <c r="D829" s="311" t="s">
        <v>6504</v>
      </c>
    </row>
    <row r="830" spans="3:4" x14ac:dyDescent="0.25">
      <c r="C830" s="329" t="s">
        <v>1584</v>
      </c>
      <c r="D830" s="311" t="s">
        <v>6505</v>
      </c>
    </row>
    <row r="831" spans="3:4" x14ac:dyDescent="0.25">
      <c r="C831" s="329" t="s">
        <v>1585</v>
      </c>
      <c r="D831" s="311" t="s">
        <v>6506</v>
      </c>
    </row>
    <row r="832" spans="3:4" x14ac:dyDescent="0.25">
      <c r="C832" s="329" t="s">
        <v>1586</v>
      </c>
      <c r="D832" s="311" t="s">
        <v>6507</v>
      </c>
    </row>
    <row r="833" spans="3:4" x14ac:dyDescent="0.25">
      <c r="C833" s="329" t="s">
        <v>1587</v>
      </c>
      <c r="D833" s="311" t="s">
        <v>5810</v>
      </c>
    </row>
    <row r="834" spans="3:4" x14ac:dyDescent="0.25">
      <c r="C834" s="329" t="s">
        <v>1588</v>
      </c>
      <c r="D834" s="311" t="s">
        <v>6508</v>
      </c>
    </row>
    <row r="835" spans="3:4" x14ac:dyDescent="0.25">
      <c r="C835" s="329" t="s">
        <v>1589</v>
      </c>
      <c r="D835" s="311" t="s">
        <v>5822</v>
      </c>
    </row>
    <row r="836" spans="3:4" x14ac:dyDescent="0.25">
      <c r="C836" s="329" t="s">
        <v>1590</v>
      </c>
      <c r="D836" s="311" t="s">
        <v>6509</v>
      </c>
    </row>
    <row r="837" spans="3:4" x14ac:dyDescent="0.25">
      <c r="C837" s="329" t="s">
        <v>1591</v>
      </c>
      <c r="D837" s="311" t="s">
        <v>6510</v>
      </c>
    </row>
    <row r="838" spans="3:4" x14ac:dyDescent="0.25">
      <c r="C838" s="329" t="s">
        <v>1592</v>
      </c>
      <c r="D838" s="311" t="s">
        <v>6511</v>
      </c>
    </row>
    <row r="839" spans="3:4" x14ac:dyDescent="0.25">
      <c r="C839" s="329" t="s">
        <v>1593</v>
      </c>
      <c r="D839" s="311" t="s">
        <v>6512</v>
      </c>
    </row>
    <row r="840" spans="3:4" x14ac:dyDescent="0.25">
      <c r="C840" s="329" t="s">
        <v>1594</v>
      </c>
      <c r="D840" s="311" t="s">
        <v>6513</v>
      </c>
    </row>
    <row r="841" spans="3:4" x14ac:dyDescent="0.25">
      <c r="C841" s="329" t="s">
        <v>1595</v>
      </c>
      <c r="D841" s="311" t="s">
        <v>6514</v>
      </c>
    </row>
    <row r="842" spans="3:4" x14ac:dyDescent="0.25">
      <c r="C842" s="329" t="s">
        <v>1596</v>
      </c>
      <c r="D842" s="311" t="s">
        <v>5852</v>
      </c>
    </row>
    <row r="843" spans="3:4" x14ac:dyDescent="0.25">
      <c r="C843" s="329" t="s">
        <v>1597</v>
      </c>
      <c r="D843" s="311" t="s">
        <v>6515</v>
      </c>
    </row>
    <row r="844" spans="3:4" x14ac:dyDescent="0.25">
      <c r="C844" s="329" t="s">
        <v>1598</v>
      </c>
      <c r="D844" s="311" t="s">
        <v>6516</v>
      </c>
    </row>
    <row r="845" spans="3:4" x14ac:dyDescent="0.25">
      <c r="C845" s="329" t="s">
        <v>1599</v>
      </c>
      <c r="D845" s="311" t="s">
        <v>5860</v>
      </c>
    </row>
    <row r="846" spans="3:4" x14ac:dyDescent="0.25">
      <c r="C846" s="329" t="s">
        <v>6517</v>
      </c>
      <c r="D846" s="311" t="s">
        <v>6518</v>
      </c>
    </row>
    <row r="847" spans="3:4" x14ac:dyDescent="0.25">
      <c r="C847" s="329" t="s">
        <v>6519</v>
      </c>
      <c r="D847" s="311" t="s">
        <v>6520</v>
      </c>
    </row>
    <row r="848" spans="3:4" x14ac:dyDescent="0.25">
      <c r="C848" s="329" t="s">
        <v>6521</v>
      </c>
      <c r="D848" s="311" t="s">
        <v>6522</v>
      </c>
    </row>
    <row r="849" spans="3:4" x14ac:dyDescent="0.25">
      <c r="C849" s="329" t="s">
        <v>6523</v>
      </c>
      <c r="D849" s="311" t="s">
        <v>6522</v>
      </c>
    </row>
    <row r="850" spans="3:4" x14ac:dyDescent="0.25">
      <c r="C850" s="329" t="s">
        <v>6524</v>
      </c>
      <c r="D850" s="311" t="s">
        <v>6525</v>
      </c>
    </row>
    <row r="851" spans="3:4" x14ac:dyDescent="0.25">
      <c r="C851" s="329" t="s">
        <v>6526</v>
      </c>
      <c r="D851" s="311" t="s">
        <v>6522</v>
      </c>
    </row>
    <row r="852" spans="3:4" x14ac:dyDescent="0.25">
      <c r="C852" s="329" t="s">
        <v>6527</v>
      </c>
      <c r="D852" s="311" t="s">
        <v>6522</v>
      </c>
    </row>
    <row r="853" spans="3:4" x14ac:dyDescent="0.25">
      <c r="C853" s="329" t="s">
        <v>432</v>
      </c>
      <c r="D853" s="311" t="s">
        <v>5710</v>
      </c>
    </row>
    <row r="854" spans="3:4" x14ac:dyDescent="0.25">
      <c r="C854" s="329" t="s">
        <v>6528</v>
      </c>
      <c r="D854" s="311" t="s">
        <v>6529</v>
      </c>
    </row>
    <row r="855" spans="3:4" x14ac:dyDescent="0.25">
      <c r="C855" s="329" t="s">
        <v>6530</v>
      </c>
      <c r="D855" s="311" t="s">
        <v>6531</v>
      </c>
    </row>
    <row r="856" spans="3:4" x14ac:dyDescent="0.25">
      <c r="C856" s="329" t="s">
        <v>6532</v>
      </c>
      <c r="D856" s="311" t="s">
        <v>6533</v>
      </c>
    </row>
    <row r="857" spans="3:4" x14ac:dyDescent="0.25">
      <c r="C857" s="329" t="s">
        <v>6534</v>
      </c>
      <c r="D857" s="311" t="s">
        <v>6535</v>
      </c>
    </row>
    <row r="858" spans="3:4" x14ac:dyDescent="0.25">
      <c r="C858" s="329" t="s">
        <v>1407</v>
      </c>
      <c r="D858" s="311" t="s">
        <v>6536</v>
      </c>
    </row>
    <row r="859" spans="3:4" x14ac:dyDescent="0.25">
      <c r="C859" s="329" t="s">
        <v>6537</v>
      </c>
      <c r="D859" s="311" t="s">
        <v>6538</v>
      </c>
    </row>
    <row r="860" spans="3:4" x14ac:dyDescent="0.25">
      <c r="C860" s="329" t="s">
        <v>6539</v>
      </c>
      <c r="D860" s="311" t="s">
        <v>6540</v>
      </c>
    </row>
    <row r="861" spans="3:4" x14ac:dyDescent="0.25">
      <c r="C861" s="329" t="s">
        <v>6541</v>
      </c>
      <c r="D861" s="311" t="s">
        <v>6542</v>
      </c>
    </row>
    <row r="862" spans="3:4" x14ac:dyDescent="0.25">
      <c r="C862" s="329" t="s">
        <v>6543</v>
      </c>
      <c r="D862" s="311" t="s">
        <v>6544</v>
      </c>
    </row>
    <row r="863" spans="3:4" x14ac:dyDescent="0.25">
      <c r="C863" s="329" t="s">
        <v>6545</v>
      </c>
      <c r="D863" s="311" t="s">
        <v>6546</v>
      </c>
    </row>
    <row r="864" spans="3:4" x14ac:dyDescent="0.25">
      <c r="C864" s="329" t="s">
        <v>1096</v>
      </c>
      <c r="D864" s="311" t="s">
        <v>6547</v>
      </c>
    </row>
    <row r="865" spans="3:4" x14ac:dyDescent="0.25">
      <c r="C865" s="329" t="s">
        <v>6548</v>
      </c>
      <c r="D865" s="311" t="s">
        <v>6549</v>
      </c>
    </row>
    <row r="866" spans="3:4" x14ac:dyDescent="0.25">
      <c r="C866" s="329" t="s">
        <v>6550</v>
      </c>
      <c r="D866" s="311" t="s">
        <v>6551</v>
      </c>
    </row>
    <row r="867" spans="3:4" x14ac:dyDescent="0.25">
      <c r="C867" s="329" t="s">
        <v>6552</v>
      </c>
      <c r="D867" s="311" t="s">
        <v>6553</v>
      </c>
    </row>
    <row r="868" spans="3:4" x14ac:dyDescent="0.25">
      <c r="C868" s="329" t="s">
        <v>6554</v>
      </c>
      <c r="D868" s="311" t="s">
        <v>6555</v>
      </c>
    </row>
    <row r="869" spans="3:4" x14ac:dyDescent="0.25">
      <c r="C869" s="329" t="s">
        <v>6556</v>
      </c>
      <c r="D869" s="311" t="s">
        <v>6557</v>
      </c>
    </row>
    <row r="870" spans="3:4" x14ac:dyDescent="0.25">
      <c r="C870" s="329" t="s">
        <v>6558</v>
      </c>
      <c r="D870" s="311" t="s">
        <v>6559</v>
      </c>
    </row>
    <row r="871" spans="3:4" x14ac:dyDescent="0.25">
      <c r="C871" s="329" t="s">
        <v>6560</v>
      </c>
      <c r="D871" s="311" t="s">
        <v>6561</v>
      </c>
    </row>
    <row r="872" spans="3:4" x14ac:dyDescent="0.25">
      <c r="C872" s="329" t="s">
        <v>6562</v>
      </c>
      <c r="D872" s="311" t="s">
        <v>6563</v>
      </c>
    </row>
    <row r="873" spans="3:4" x14ac:dyDescent="0.25">
      <c r="C873" s="329" t="s">
        <v>6564</v>
      </c>
      <c r="D873" s="311" t="s">
        <v>6565</v>
      </c>
    </row>
    <row r="874" spans="3:4" x14ac:dyDescent="0.25">
      <c r="C874" s="329" t="s">
        <v>6566</v>
      </c>
      <c r="D874" s="311" t="s">
        <v>6567</v>
      </c>
    </row>
    <row r="875" spans="3:4" x14ac:dyDescent="0.25">
      <c r="C875" s="329" t="s">
        <v>6568</v>
      </c>
      <c r="D875" s="311" t="s">
        <v>6569</v>
      </c>
    </row>
    <row r="876" spans="3:4" x14ac:dyDescent="0.25">
      <c r="C876" s="329" t="s">
        <v>6570</v>
      </c>
      <c r="D876" s="311" t="s">
        <v>6571</v>
      </c>
    </row>
    <row r="877" spans="3:4" x14ac:dyDescent="0.25">
      <c r="C877" s="329" t="s">
        <v>6572</v>
      </c>
      <c r="D877" s="311" t="s">
        <v>6573</v>
      </c>
    </row>
    <row r="878" spans="3:4" x14ac:dyDescent="0.25">
      <c r="C878" s="329" t="s">
        <v>6574</v>
      </c>
      <c r="D878" s="311" t="s">
        <v>6575</v>
      </c>
    </row>
    <row r="879" spans="3:4" x14ac:dyDescent="0.25">
      <c r="C879" s="329" t="s">
        <v>6576</v>
      </c>
      <c r="D879" s="311" t="s">
        <v>6577</v>
      </c>
    </row>
    <row r="880" spans="3:4" x14ac:dyDescent="0.25">
      <c r="C880" s="329" t="s">
        <v>6578</v>
      </c>
      <c r="D880" s="311" t="s">
        <v>6579</v>
      </c>
    </row>
    <row r="881" spans="3:4" x14ac:dyDescent="0.25">
      <c r="C881" s="329" t="s">
        <v>6580</v>
      </c>
      <c r="D881" s="311" t="s">
        <v>6581</v>
      </c>
    </row>
    <row r="882" spans="3:4" x14ac:dyDescent="0.25">
      <c r="C882" s="329" t="s">
        <v>6582</v>
      </c>
      <c r="D882" s="311" t="s">
        <v>6583</v>
      </c>
    </row>
    <row r="883" spans="3:4" x14ac:dyDescent="0.25">
      <c r="C883" s="329" t="s">
        <v>6584</v>
      </c>
      <c r="D883" s="311" t="s">
        <v>6585</v>
      </c>
    </row>
    <row r="884" spans="3:4" x14ac:dyDescent="0.25">
      <c r="C884" s="329" t="s">
        <v>6586</v>
      </c>
      <c r="D884" s="311" t="s">
        <v>6587</v>
      </c>
    </row>
    <row r="885" spans="3:4" x14ac:dyDescent="0.25">
      <c r="C885" s="329" t="s">
        <v>6588</v>
      </c>
      <c r="D885" s="311" t="s">
        <v>6589</v>
      </c>
    </row>
    <row r="886" spans="3:4" x14ac:dyDescent="0.25">
      <c r="C886" s="329" t="s">
        <v>6590</v>
      </c>
      <c r="D886" s="311" t="s">
        <v>6591</v>
      </c>
    </row>
    <row r="887" spans="3:4" x14ac:dyDescent="0.25">
      <c r="C887" s="329" t="s">
        <v>6592</v>
      </c>
      <c r="D887" s="311" t="s">
        <v>6593</v>
      </c>
    </row>
    <row r="888" spans="3:4" x14ac:dyDescent="0.25">
      <c r="C888" s="329" t="s">
        <v>6594</v>
      </c>
      <c r="D888" s="311" t="s">
        <v>6595</v>
      </c>
    </row>
    <row r="889" spans="3:4" x14ac:dyDescent="0.25">
      <c r="C889" s="329" t="s">
        <v>6596</v>
      </c>
      <c r="D889" s="311" t="s">
        <v>6409</v>
      </c>
    </row>
    <row r="890" spans="3:4" x14ac:dyDescent="0.25">
      <c r="C890" s="329" t="s">
        <v>6597</v>
      </c>
      <c r="D890" s="311" t="s">
        <v>6598</v>
      </c>
    </row>
    <row r="891" spans="3:4" x14ac:dyDescent="0.25">
      <c r="C891" s="329" t="s">
        <v>6599</v>
      </c>
      <c r="D891" s="311" t="s">
        <v>6600</v>
      </c>
    </row>
    <row r="892" spans="3:4" x14ac:dyDescent="0.25">
      <c r="C892" s="329" t="s">
        <v>6601</v>
      </c>
      <c r="D892" s="311" t="s">
        <v>6247</v>
      </c>
    </row>
    <row r="893" spans="3:4" x14ac:dyDescent="0.25">
      <c r="C893" s="329" t="s">
        <v>6602</v>
      </c>
      <c r="D893" s="311" t="s">
        <v>6603</v>
      </c>
    </row>
    <row r="894" spans="3:4" x14ac:dyDescent="0.25">
      <c r="C894" s="329" t="s">
        <v>6604</v>
      </c>
      <c r="D894" s="311" t="s">
        <v>6141</v>
      </c>
    </row>
    <row r="895" spans="3:4" x14ac:dyDescent="0.25">
      <c r="C895" s="329" t="s">
        <v>6605</v>
      </c>
      <c r="D895" s="311" t="s">
        <v>6606</v>
      </c>
    </row>
    <row r="896" spans="3:4" x14ac:dyDescent="0.25">
      <c r="C896" s="329" t="s">
        <v>6607</v>
      </c>
      <c r="D896" s="311" t="s">
        <v>6606</v>
      </c>
    </row>
    <row r="897" spans="3:4" ht="31.5" x14ac:dyDescent="0.25">
      <c r="C897" s="329" t="s">
        <v>6608</v>
      </c>
      <c r="D897" s="311" t="s">
        <v>6609</v>
      </c>
    </row>
    <row r="898" spans="3:4" x14ac:dyDescent="0.25">
      <c r="C898" s="329" t="s">
        <v>6610</v>
      </c>
      <c r="D898" s="311" t="s">
        <v>6611</v>
      </c>
    </row>
    <row r="899" spans="3:4" x14ac:dyDescent="0.25">
      <c r="C899" s="329" t="s">
        <v>6612</v>
      </c>
      <c r="D899" s="311" t="s">
        <v>6613</v>
      </c>
    </row>
    <row r="900" spans="3:4" x14ac:dyDescent="0.25">
      <c r="C900" s="329" t="s">
        <v>6614</v>
      </c>
      <c r="D900" s="311" t="s">
        <v>6615</v>
      </c>
    </row>
    <row r="901" spans="3:4" x14ac:dyDescent="0.25">
      <c r="C901" s="329" t="s">
        <v>6534</v>
      </c>
      <c r="D901" s="311" t="s">
        <v>6616</v>
      </c>
    </row>
    <row r="902" spans="3:4" x14ac:dyDescent="0.25">
      <c r="C902" s="329" t="s">
        <v>6617</v>
      </c>
      <c r="D902" s="311" t="s">
        <v>6618</v>
      </c>
    </row>
    <row r="903" spans="3:4" x14ac:dyDescent="0.25">
      <c r="C903" s="329" t="s">
        <v>6619</v>
      </c>
      <c r="D903" s="311" t="s">
        <v>6620</v>
      </c>
    </row>
    <row r="904" spans="3:4" x14ac:dyDescent="0.25">
      <c r="C904" s="329" t="s">
        <v>6621</v>
      </c>
      <c r="D904" s="311" t="s">
        <v>6622</v>
      </c>
    </row>
    <row r="905" spans="3:4" x14ac:dyDescent="0.25">
      <c r="C905" s="329" t="s">
        <v>6623</v>
      </c>
      <c r="D905" s="311" t="s">
        <v>6624</v>
      </c>
    </row>
    <row r="906" spans="3:4" x14ac:dyDescent="0.25">
      <c r="C906" s="329" t="s">
        <v>6625</v>
      </c>
      <c r="D906" s="311" t="s">
        <v>6626</v>
      </c>
    </row>
    <row r="907" spans="3:4" x14ac:dyDescent="0.25">
      <c r="C907" s="329" t="s">
        <v>6627</v>
      </c>
      <c r="D907" s="311" t="s">
        <v>6628</v>
      </c>
    </row>
    <row r="908" spans="3:4" x14ac:dyDescent="0.25">
      <c r="C908" s="329" t="s">
        <v>6629</v>
      </c>
      <c r="D908" s="311" t="s">
        <v>6630</v>
      </c>
    </row>
    <row r="909" spans="3:4" x14ac:dyDescent="0.25">
      <c r="C909" s="329" t="s">
        <v>6631</v>
      </c>
      <c r="D909" s="311" t="s">
        <v>6632</v>
      </c>
    </row>
    <row r="910" spans="3:4" x14ac:dyDescent="0.25">
      <c r="C910" s="329" t="s">
        <v>6633</v>
      </c>
      <c r="D910" s="311" t="s">
        <v>6634</v>
      </c>
    </row>
    <row r="911" spans="3:4" x14ac:dyDescent="0.25">
      <c r="C911" s="329" t="s">
        <v>6635</v>
      </c>
      <c r="D911" s="311" t="s">
        <v>6636</v>
      </c>
    </row>
    <row r="912" spans="3:4" x14ac:dyDescent="0.25">
      <c r="C912" s="329" t="s">
        <v>6637</v>
      </c>
      <c r="D912" s="311" t="s">
        <v>6638</v>
      </c>
    </row>
    <row r="913" spans="3:4" x14ac:dyDescent="0.25">
      <c r="C913" s="329" t="s">
        <v>6639</v>
      </c>
      <c r="D913" s="311" t="s">
        <v>6640</v>
      </c>
    </row>
    <row r="914" spans="3:4" x14ac:dyDescent="0.25">
      <c r="C914" s="329" t="s">
        <v>6641</v>
      </c>
      <c r="D914" s="311" t="s">
        <v>6642</v>
      </c>
    </row>
    <row r="915" spans="3:4" x14ac:dyDescent="0.25">
      <c r="C915" s="329" t="s">
        <v>6643</v>
      </c>
      <c r="D915" s="311" t="s">
        <v>6644</v>
      </c>
    </row>
    <row r="916" spans="3:4" x14ac:dyDescent="0.25">
      <c r="C916" s="329" t="s">
        <v>6645</v>
      </c>
      <c r="D916" s="311" t="s">
        <v>6646</v>
      </c>
    </row>
    <row r="917" spans="3:4" x14ac:dyDescent="0.25">
      <c r="C917" s="329" t="s">
        <v>6647</v>
      </c>
      <c r="D917" s="311" t="s">
        <v>6648</v>
      </c>
    </row>
    <row r="918" spans="3:4" x14ac:dyDescent="0.25">
      <c r="C918" s="329" t="s">
        <v>6649</v>
      </c>
      <c r="D918" s="311" t="s">
        <v>6650</v>
      </c>
    </row>
    <row r="919" spans="3:4" x14ac:dyDescent="0.25">
      <c r="C919" s="329" t="s">
        <v>6651</v>
      </c>
      <c r="D919" s="311" t="s">
        <v>6652</v>
      </c>
    </row>
    <row r="920" spans="3:4" x14ac:dyDescent="0.25">
      <c r="C920" s="329" t="s">
        <v>6653</v>
      </c>
      <c r="D920" s="311" t="s">
        <v>6654</v>
      </c>
    </row>
    <row r="921" spans="3:4" x14ac:dyDescent="0.25">
      <c r="C921" s="329" t="s">
        <v>6655</v>
      </c>
      <c r="D921" s="311" t="s">
        <v>6656</v>
      </c>
    </row>
    <row r="922" spans="3:4" x14ac:dyDescent="0.25">
      <c r="C922" s="329" t="s">
        <v>6657</v>
      </c>
      <c r="D922" s="311" t="s">
        <v>6658</v>
      </c>
    </row>
    <row r="923" spans="3:4" x14ac:dyDescent="0.25">
      <c r="C923" s="329" t="s">
        <v>6659</v>
      </c>
      <c r="D923" s="311" t="s">
        <v>6660</v>
      </c>
    </row>
    <row r="924" spans="3:4" x14ac:dyDescent="0.25">
      <c r="C924" s="329" t="s">
        <v>6661</v>
      </c>
      <c r="D924" s="311" t="s">
        <v>6662</v>
      </c>
    </row>
    <row r="925" spans="3:4" x14ac:dyDescent="0.25">
      <c r="C925" s="329" t="s">
        <v>6663</v>
      </c>
      <c r="D925" s="311" t="s">
        <v>6664</v>
      </c>
    </row>
    <row r="926" spans="3:4" x14ac:dyDescent="0.25">
      <c r="C926" s="329" t="s">
        <v>6665</v>
      </c>
      <c r="D926" s="311" t="s">
        <v>6666</v>
      </c>
    </row>
    <row r="927" spans="3:4" x14ac:dyDescent="0.25">
      <c r="C927" s="329" t="s">
        <v>6667</v>
      </c>
      <c r="D927" s="311" t="s">
        <v>6668</v>
      </c>
    </row>
    <row r="928" spans="3:4" x14ac:dyDescent="0.25">
      <c r="C928" s="329" t="s">
        <v>6669</v>
      </c>
      <c r="D928" s="311" t="s">
        <v>6670</v>
      </c>
    </row>
    <row r="929" spans="3:4" x14ac:dyDescent="0.25">
      <c r="C929" s="329" t="s">
        <v>6671</v>
      </c>
      <c r="D929" s="311" t="s">
        <v>6672</v>
      </c>
    </row>
    <row r="930" spans="3:4" x14ac:dyDescent="0.25">
      <c r="C930" s="329" t="s">
        <v>6673</v>
      </c>
      <c r="D930" s="311" t="s">
        <v>6674</v>
      </c>
    </row>
    <row r="931" spans="3:4" x14ac:dyDescent="0.25">
      <c r="C931" s="329" t="s">
        <v>6675</v>
      </c>
      <c r="D931" s="311" t="s">
        <v>6676</v>
      </c>
    </row>
    <row r="932" spans="3:4" x14ac:dyDescent="0.25">
      <c r="C932" s="329" t="s">
        <v>6677</v>
      </c>
      <c r="D932" s="311" t="s">
        <v>6678</v>
      </c>
    </row>
    <row r="933" spans="3:4" x14ac:dyDescent="0.25">
      <c r="C933" s="329" t="s">
        <v>6679</v>
      </c>
      <c r="D933" s="311" t="s">
        <v>6680</v>
      </c>
    </row>
    <row r="934" spans="3:4" x14ac:dyDescent="0.25">
      <c r="C934" s="329" t="s">
        <v>6681</v>
      </c>
      <c r="D934" s="311" t="s">
        <v>6682</v>
      </c>
    </row>
    <row r="935" spans="3:4" x14ac:dyDescent="0.25">
      <c r="C935" s="329" t="s">
        <v>6683</v>
      </c>
      <c r="D935" s="311" t="s">
        <v>6684</v>
      </c>
    </row>
    <row r="936" spans="3:4" x14ac:dyDescent="0.25">
      <c r="C936" s="329" t="s">
        <v>6685</v>
      </c>
      <c r="D936" s="311" t="s">
        <v>6686</v>
      </c>
    </row>
    <row r="937" spans="3:4" x14ac:dyDescent="0.25">
      <c r="C937" s="329" t="s">
        <v>6687</v>
      </c>
      <c r="D937" s="311" t="s">
        <v>6688</v>
      </c>
    </row>
    <row r="938" spans="3:4" x14ac:dyDescent="0.25">
      <c r="C938" s="329" t="s">
        <v>6689</v>
      </c>
      <c r="D938" s="311" t="s">
        <v>6690</v>
      </c>
    </row>
    <row r="939" spans="3:4" x14ac:dyDescent="0.25">
      <c r="C939" s="329" t="s">
        <v>6691</v>
      </c>
      <c r="D939" s="311" t="s">
        <v>6692</v>
      </c>
    </row>
    <row r="940" spans="3:4" x14ac:dyDescent="0.25">
      <c r="C940" s="329" t="s">
        <v>6693</v>
      </c>
      <c r="D940" s="311" t="s">
        <v>6694</v>
      </c>
    </row>
    <row r="941" spans="3:4" x14ac:dyDescent="0.25">
      <c r="C941" s="329" t="s">
        <v>6695</v>
      </c>
      <c r="D941" s="311" t="s">
        <v>6696</v>
      </c>
    </row>
    <row r="942" spans="3:4" x14ac:dyDescent="0.25">
      <c r="C942" s="329" t="s">
        <v>6697</v>
      </c>
      <c r="D942" s="311" t="s">
        <v>6698</v>
      </c>
    </row>
    <row r="943" spans="3:4" x14ac:dyDescent="0.25">
      <c r="C943" s="329" t="s">
        <v>6699</v>
      </c>
      <c r="D943" s="311" t="s">
        <v>6700</v>
      </c>
    </row>
    <row r="944" spans="3:4" x14ac:dyDescent="0.25">
      <c r="C944" s="329" t="s">
        <v>6701</v>
      </c>
      <c r="D944" s="311" t="s">
        <v>6702</v>
      </c>
    </row>
    <row r="945" spans="3:4" x14ac:dyDescent="0.25">
      <c r="C945" s="329" t="s">
        <v>6703</v>
      </c>
      <c r="D945" s="311" t="s">
        <v>6704</v>
      </c>
    </row>
    <row r="946" spans="3:4" x14ac:dyDescent="0.25">
      <c r="C946" s="329" t="s">
        <v>6705</v>
      </c>
      <c r="D946" s="311" t="s">
        <v>6706</v>
      </c>
    </row>
    <row r="947" spans="3:4" x14ac:dyDescent="0.25">
      <c r="C947" s="329" t="s">
        <v>6707</v>
      </c>
      <c r="D947" s="311" t="s">
        <v>6708</v>
      </c>
    </row>
    <row r="948" spans="3:4" x14ac:dyDescent="0.25">
      <c r="C948" s="329" t="s">
        <v>6709</v>
      </c>
      <c r="D948" s="311" t="s">
        <v>6710</v>
      </c>
    </row>
    <row r="949" spans="3:4" x14ac:dyDescent="0.25">
      <c r="C949" s="329" t="s">
        <v>6711</v>
      </c>
      <c r="D949" s="311" t="s">
        <v>6712</v>
      </c>
    </row>
    <row r="950" spans="3:4" x14ac:dyDescent="0.25">
      <c r="C950" s="329" t="s">
        <v>6713</v>
      </c>
      <c r="D950" s="311" t="s">
        <v>6714</v>
      </c>
    </row>
    <row r="951" spans="3:4" x14ac:dyDescent="0.25">
      <c r="C951" s="329" t="s">
        <v>6715</v>
      </c>
      <c r="D951" s="311" t="s">
        <v>6716</v>
      </c>
    </row>
    <row r="952" spans="3:4" x14ac:dyDescent="0.25">
      <c r="C952" s="329" t="s">
        <v>6717</v>
      </c>
      <c r="D952" s="311" t="s">
        <v>6718</v>
      </c>
    </row>
    <row r="953" spans="3:4" x14ac:dyDescent="0.25">
      <c r="C953" s="329" t="s">
        <v>6719</v>
      </c>
      <c r="D953" s="311" t="s">
        <v>6720</v>
      </c>
    </row>
    <row r="954" spans="3:4" x14ac:dyDescent="0.25">
      <c r="C954" s="329" t="s">
        <v>6721</v>
      </c>
      <c r="D954" s="311" t="s">
        <v>6722</v>
      </c>
    </row>
    <row r="955" spans="3:4" x14ac:dyDescent="0.25">
      <c r="C955" s="329" t="s">
        <v>6723</v>
      </c>
      <c r="D955" s="311" t="s">
        <v>6724</v>
      </c>
    </row>
    <row r="956" spans="3:4" x14ac:dyDescent="0.25">
      <c r="C956" s="329" t="s">
        <v>6725</v>
      </c>
      <c r="D956" s="311" t="s">
        <v>6726</v>
      </c>
    </row>
    <row r="957" spans="3:4" x14ac:dyDescent="0.25">
      <c r="C957" s="329" t="s">
        <v>6727</v>
      </c>
      <c r="D957" s="311" t="s">
        <v>6728</v>
      </c>
    </row>
    <row r="958" spans="3:4" x14ac:dyDescent="0.25">
      <c r="C958" s="329" t="s">
        <v>6729</v>
      </c>
      <c r="D958" s="311" t="s">
        <v>6730</v>
      </c>
    </row>
    <row r="959" spans="3:4" x14ac:dyDescent="0.25">
      <c r="C959" s="329" t="s">
        <v>6731</v>
      </c>
      <c r="D959" s="311" t="s">
        <v>6732</v>
      </c>
    </row>
    <row r="960" spans="3:4" x14ac:dyDescent="0.25">
      <c r="C960" s="329" t="s">
        <v>6733</v>
      </c>
      <c r="D960" s="311" t="s">
        <v>6734</v>
      </c>
    </row>
    <row r="961" spans="3:4" x14ac:dyDescent="0.25">
      <c r="C961" s="329" t="s">
        <v>6735</v>
      </c>
      <c r="D961" s="311" t="s">
        <v>6736</v>
      </c>
    </row>
    <row r="962" spans="3:4" x14ac:dyDescent="0.25">
      <c r="C962" s="329" t="s">
        <v>6737</v>
      </c>
      <c r="D962" s="311" t="s">
        <v>6738</v>
      </c>
    </row>
    <row r="963" spans="3:4" x14ac:dyDescent="0.25">
      <c r="C963" s="329" t="s">
        <v>6739</v>
      </c>
      <c r="D963" s="311" t="s">
        <v>6740</v>
      </c>
    </row>
    <row r="964" spans="3:4" x14ac:dyDescent="0.25">
      <c r="C964" s="329" t="s">
        <v>6741</v>
      </c>
      <c r="D964" s="311" t="s">
        <v>6742</v>
      </c>
    </row>
    <row r="965" spans="3:4" x14ac:dyDescent="0.25">
      <c r="C965" s="329" t="s">
        <v>6743</v>
      </c>
      <c r="D965" s="311" t="s">
        <v>6744</v>
      </c>
    </row>
    <row r="966" spans="3:4" x14ac:dyDescent="0.25">
      <c r="C966" s="329" t="s">
        <v>6745</v>
      </c>
      <c r="D966" s="311" t="s">
        <v>6746</v>
      </c>
    </row>
    <row r="967" spans="3:4" x14ac:dyDescent="0.25">
      <c r="C967" s="329" t="s">
        <v>6747</v>
      </c>
      <c r="D967" s="311" t="s">
        <v>6748</v>
      </c>
    </row>
    <row r="968" spans="3:4" x14ac:dyDescent="0.25">
      <c r="C968" s="329" t="s">
        <v>6749</v>
      </c>
      <c r="D968" s="311" t="s">
        <v>6750</v>
      </c>
    </row>
    <row r="969" spans="3:4" x14ac:dyDescent="0.25">
      <c r="C969" s="329" t="s">
        <v>6751</v>
      </c>
      <c r="D969" s="311" t="s">
        <v>6752</v>
      </c>
    </row>
    <row r="970" spans="3:4" x14ac:dyDescent="0.25">
      <c r="C970" s="329" t="s">
        <v>6753</v>
      </c>
      <c r="D970" s="311" t="s">
        <v>6754</v>
      </c>
    </row>
    <row r="971" spans="3:4" x14ac:dyDescent="0.25">
      <c r="C971" s="329" t="s">
        <v>6755</v>
      </c>
      <c r="D971" s="311" t="s">
        <v>6756</v>
      </c>
    </row>
    <row r="972" spans="3:4" x14ac:dyDescent="0.25">
      <c r="C972" s="329" t="s">
        <v>6757</v>
      </c>
      <c r="D972" s="311" t="s">
        <v>6758</v>
      </c>
    </row>
    <row r="973" spans="3:4" x14ac:dyDescent="0.25">
      <c r="C973" s="329" t="s">
        <v>6759</v>
      </c>
      <c r="D973" s="311" t="s">
        <v>6760</v>
      </c>
    </row>
    <row r="974" spans="3:4" x14ac:dyDescent="0.25">
      <c r="C974" s="329" t="s">
        <v>6761</v>
      </c>
      <c r="D974" s="311" t="s">
        <v>6762</v>
      </c>
    </row>
    <row r="975" spans="3:4" x14ac:dyDescent="0.25">
      <c r="C975" s="329" t="s">
        <v>6763</v>
      </c>
      <c r="D975" s="311" t="s">
        <v>6764</v>
      </c>
    </row>
    <row r="976" spans="3:4" x14ac:dyDescent="0.25">
      <c r="C976" s="329" t="s">
        <v>6765</v>
      </c>
      <c r="D976" s="311" t="s">
        <v>6766</v>
      </c>
    </row>
    <row r="977" spans="3:4" x14ac:dyDescent="0.25">
      <c r="C977" s="329" t="s">
        <v>6767</v>
      </c>
      <c r="D977" s="311" t="s">
        <v>6768</v>
      </c>
    </row>
    <row r="978" spans="3:4" x14ac:dyDescent="0.25">
      <c r="C978" s="329" t="s">
        <v>6769</v>
      </c>
      <c r="D978" s="311" t="s">
        <v>6770</v>
      </c>
    </row>
    <row r="979" spans="3:4" x14ac:dyDescent="0.25">
      <c r="C979" s="329" t="s">
        <v>6771</v>
      </c>
      <c r="D979" s="311" t="s">
        <v>6772</v>
      </c>
    </row>
    <row r="980" spans="3:4" x14ac:dyDescent="0.25">
      <c r="C980" s="329" t="s">
        <v>6773</v>
      </c>
      <c r="D980" s="311" t="s">
        <v>6774</v>
      </c>
    </row>
    <row r="981" spans="3:4" x14ac:dyDescent="0.25">
      <c r="C981" s="329" t="s">
        <v>6775</v>
      </c>
      <c r="D981" s="311" t="s">
        <v>6776</v>
      </c>
    </row>
    <row r="982" spans="3:4" x14ac:dyDescent="0.25">
      <c r="C982" s="329" t="s">
        <v>6777</v>
      </c>
      <c r="D982" s="311" t="s">
        <v>6778</v>
      </c>
    </row>
    <row r="983" spans="3:4" x14ac:dyDescent="0.25">
      <c r="C983" s="329" t="s">
        <v>6779</v>
      </c>
      <c r="D983" s="311" t="s">
        <v>6780</v>
      </c>
    </row>
    <row r="984" spans="3:4" x14ac:dyDescent="0.25">
      <c r="C984" s="329" t="s">
        <v>6781</v>
      </c>
      <c r="D984" s="311" t="s">
        <v>6782</v>
      </c>
    </row>
    <row r="985" spans="3:4" x14ac:dyDescent="0.25">
      <c r="C985" s="329" t="s">
        <v>6783</v>
      </c>
      <c r="D985" s="311" t="s">
        <v>6784</v>
      </c>
    </row>
    <row r="986" spans="3:4" x14ac:dyDescent="0.25">
      <c r="C986" s="329" t="s">
        <v>6785</v>
      </c>
      <c r="D986" s="311" t="s">
        <v>6786</v>
      </c>
    </row>
    <row r="987" spans="3:4" x14ac:dyDescent="0.25">
      <c r="C987" s="329" t="s">
        <v>6787</v>
      </c>
      <c r="D987" s="311" t="s">
        <v>6788</v>
      </c>
    </row>
    <row r="988" spans="3:4" x14ac:dyDescent="0.25">
      <c r="C988" s="329" t="s">
        <v>6789</v>
      </c>
      <c r="D988" s="311" t="s">
        <v>6790</v>
      </c>
    </row>
    <row r="989" spans="3:4" x14ac:dyDescent="0.25">
      <c r="C989" s="329" t="s">
        <v>6791</v>
      </c>
      <c r="D989" s="311" t="s">
        <v>6792</v>
      </c>
    </row>
    <row r="990" spans="3:4" x14ac:dyDescent="0.25">
      <c r="C990" s="329" t="s">
        <v>6793</v>
      </c>
      <c r="D990" s="311" t="s">
        <v>6794</v>
      </c>
    </row>
    <row r="991" spans="3:4" x14ac:dyDescent="0.25">
      <c r="C991" s="329" t="s">
        <v>6795</v>
      </c>
      <c r="D991" s="311" t="s">
        <v>6796</v>
      </c>
    </row>
    <row r="992" spans="3:4" x14ac:dyDescent="0.25">
      <c r="C992" s="329" t="s">
        <v>6797</v>
      </c>
      <c r="D992" s="311" t="s">
        <v>6798</v>
      </c>
    </row>
    <row r="993" spans="3:4" x14ac:dyDescent="0.25">
      <c r="C993" s="329" t="s">
        <v>6799</v>
      </c>
      <c r="D993" s="311" t="s">
        <v>6800</v>
      </c>
    </row>
    <row r="994" spans="3:4" x14ac:dyDescent="0.25">
      <c r="C994" s="329" t="s">
        <v>6801</v>
      </c>
      <c r="D994" s="311" t="s">
        <v>6802</v>
      </c>
    </row>
    <row r="995" spans="3:4" x14ac:dyDescent="0.25">
      <c r="C995" s="329" t="s">
        <v>6803</v>
      </c>
      <c r="D995" s="311" t="s">
        <v>6804</v>
      </c>
    </row>
    <row r="996" spans="3:4" x14ac:dyDescent="0.25">
      <c r="C996" s="329" t="s">
        <v>6805</v>
      </c>
      <c r="D996" s="311" t="s">
        <v>6806</v>
      </c>
    </row>
    <row r="997" spans="3:4" x14ac:dyDescent="0.25">
      <c r="C997" s="329" t="s">
        <v>6807</v>
      </c>
      <c r="D997" s="311" t="s">
        <v>6808</v>
      </c>
    </row>
    <row r="998" spans="3:4" x14ac:dyDescent="0.25">
      <c r="C998" s="329" t="s">
        <v>6809</v>
      </c>
      <c r="D998" s="311" t="s">
        <v>6810</v>
      </c>
    </row>
    <row r="999" spans="3:4" x14ac:dyDescent="0.25">
      <c r="C999" s="329" t="s">
        <v>6811</v>
      </c>
      <c r="D999" s="311" t="s">
        <v>6812</v>
      </c>
    </row>
    <row r="1000" spans="3:4" x14ac:dyDescent="0.25">
      <c r="C1000" s="329" t="s">
        <v>6813</v>
      </c>
      <c r="D1000" s="311" t="s">
        <v>6814</v>
      </c>
    </row>
    <row r="1001" spans="3:4" x14ac:dyDescent="0.25">
      <c r="C1001" s="329" t="s">
        <v>6815</v>
      </c>
      <c r="D1001" s="311" t="s">
        <v>6816</v>
      </c>
    </row>
    <row r="1002" spans="3:4" x14ac:dyDescent="0.25">
      <c r="C1002" s="329" t="s">
        <v>6817</v>
      </c>
      <c r="D1002" s="311" t="s">
        <v>6818</v>
      </c>
    </row>
    <row r="1003" spans="3:4" x14ac:dyDescent="0.25">
      <c r="C1003" s="329" t="s">
        <v>6819</v>
      </c>
      <c r="D1003" s="311" t="s">
        <v>6820</v>
      </c>
    </row>
    <row r="1004" spans="3:4" x14ac:dyDescent="0.25">
      <c r="C1004" s="329" t="s">
        <v>6821</v>
      </c>
      <c r="D1004" s="311" t="s">
        <v>6822</v>
      </c>
    </row>
    <row r="1005" spans="3:4" x14ac:dyDescent="0.25">
      <c r="C1005" s="329" t="s">
        <v>6823</v>
      </c>
      <c r="D1005" s="311" t="s">
        <v>6824</v>
      </c>
    </row>
    <row r="1006" spans="3:4" x14ac:dyDescent="0.25">
      <c r="C1006" s="329" t="s">
        <v>6825</v>
      </c>
      <c r="D1006" s="311" t="s">
        <v>6826</v>
      </c>
    </row>
    <row r="1007" spans="3:4" x14ac:dyDescent="0.25">
      <c r="C1007" s="329" t="s">
        <v>6827</v>
      </c>
      <c r="D1007" s="311" t="s">
        <v>6828</v>
      </c>
    </row>
    <row r="1008" spans="3:4" x14ac:dyDescent="0.25">
      <c r="C1008" s="329" t="s">
        <v>6829</v>
      </c>
      <c r="D1008" s="311" t="s">
        <v>6830</v>
      </c>
    </row>
    <row r="1009" spans="3:4" x14ac:dyDescent="0.25">
      <c r="C1009" s="329" t="s">
        <v>6831</v>
      </c>
      <c r="D1009" s="311" t="s">
        <v>6832</v>
      </c>
    </row>
    <row r="1010" spans="3:4" x14ac:dyDescent="0.25">
      <c r="C1010" s="329" t="s">
        <v>6833</v>
      </c>
      <c r="D1010" s="311" t="s">
        <v>6834</v>
      </c>
    </row>
    <row r="1011" spans="3:4" x14ac:dyDescent="0.25">
      <c r="C1011" s="329" t="s">
        <v>6835</v>
      </c>
      <c r="D1011" s="311" t="s">
        <v>6836</v>
      </c>
    </row>
    <row r="1012" spans="3:4" x14ac:dyDescent="0.25">
      <c r="C1012" s="329" t="s">
        <v>6837</v>
      </c>
      <c r="D1012" s="311" t="s">
        <v>6838</v>
      </c>
    </row>
    <row r="1013" spans="3:4" x14ac:dyDescent="0.25">
      <c r="C1013" s="329" t="s">
        <v>6839</v>
      </c>
      <c r="D1013" s="311" t="s">
        <v>6840</v>
      </c>
    </row>
    <row r="1014" spans="3:4" x14ac:dyDescent="0.25">
      <c r="C1014" s="329" t="s">
        <v>6841</v>
      </c>
      <c r="D1014" s="311" t="s">
        <v>6842</v>
      </c>
    </row>
    <row r="1015" spans="3:4" x14ac:dyDescent="0.25">
      <c r="C1015" s="329" t="s">
        <v>6843</v>
      </c>
      <c r="D1015" s="311" t="s">
        <v>6844</v>
      </c>
    </row>
    <row r="1016" spans="3:4" x14ac:dyDescent="0.25">
      <c r="C1016" s="329" t="s">
        <v>6845</v>
      </c>
      <c r="D1016" s="311" t="s">
        <v>6846</v>
      </c>
    </row>
    <row r="1017" spans="3:4" x14ac:dyDescent="0.25">
      <c r="C1017" s="329" t="s">
        <v>6847</v>
      </c>
      <c r="D1017" s="311" t="s">
        <v>6848</v>
      </c>
    </row>
    <row r="1018" spans="3:4" x14ac:dyDescent="0.25">
      <c r="C1018" s="329" t="s">
        <v>6849</v>
      </c>
      <c r="D1018" s="311" t="s">
        <v>6850</v>
      </c>
    </row>
    <row r="1019" spans="3:4" x14ac:dyDescent="0.25">
      <c r="C1019" s="329" t="s">
        <v>6851</v>
      </c>
      <c r="D1019" s="311" t="s">
        <v>6852</v>
      </c>
    </row>
    <row r="1020" spans="3:4" x14ac:dyDescent="0.25">
      <c r="C1020" s="329" t="s">
        <v>6853</v>
      </c>
      <c r="D1020" s="311" t="s">
        <v>6854</v>
      </c>
    </row>
    <row r="1021" spans="3:4" x14ac:dyDescent="0.25">
      <c r="C1021" s="329" t="s">
        <v>6855</v>
      </c>
      <c r="D1021" s="311" t="s">
        <v>6856</v>
      </c>
    </row>
    <row r="1022" spans="3:4" x14ac:dyDescent="0.25">
      <c r="C1022" s="329" t="s">
        <v>6857</v>
      </c>
      <c r="D1022" s="311" t="s">
        <v>6858</v>
      </c>
    </row>
    <row r="1023" spans="3:4" x14ac:dyDescent="0.25">
      <c r="C1023" s="329" t="s">
        <v>6859</v>
      </c>
      <c r="D1023" s="311" t="s">
        <v>6860</v>
      </c>
    </row>
    <row r="1024" spans="3:4" x14ac:dyDescent="0.25">
      <c r="C1024" s="329" t="s">
        <v>6861</v>
      </c>
      <c r="D1024" s="311" t="s">
        <v>6862</v>
      </c>
    </row>
    <row r="1025" spans="3:4" x14ac:dyDescent="0.25">
      <c r="C1025" s="329" t="s">
        <v>6863</v>
      </c>
      <c r="D1025" s="311" t="s">
        <v>6864</v>
      </c>
    </row>
    <row r="1026" spans="3:4" x14ac:dyDescent="0.25">
      <c r="C1026" s="329" t="s">
        <v>6865</v>
      </c>
      <c r="D1026" s="311" t="s">
        <v>6866</v>
      </c>
    </row>
    <row r="1027" spans="3:4" x14ac:dyDescent="0.25">
      <c r="C1027" s="329" t="s">
        <v>6867</v>
      </c>
      <c r="D1027" s="311" t="s">
        <v>6868</v>
      </c>
    </row>
    <row r="1028" spans="3:4" x14ac:dyDescent="0.25">
      <c r="C1028" s="329" t="s">
        <v>6869</v>
      </c>
      <c r="D1028" s="311" t="s">
        <v>6870</v>
      </c>
    </row>
    <row r="1029" spans="3:4" x14ac:dyDescent="0.25">
      <c r="C1029" s="329" t="s">
        <v>6871</v>
      </c>
      <c r="D1029" s="311" t="s">
        <v>6872</v>
      </c>
    </row>
    <row r="1030" spans="3:4" x14ac:dyDescent="0.25">
      <c r="C1030" s="329" t="s">
        <v>6873</v>
      </c>
      <c r="D1030" s="311" t="s">
        <v>6874</v>
      </c>
    </row>
    <row r="1031" spans="3:4" x14ac:dyDescent="0.25">
      <c r="C1031" s="329" t="s">
        <v>6875</v>
      </c>
      <c r="D1031" s="311" t="s">
        <v>6876</v>
      </c>
    </row>
    <row r="1032" spans="3:4" x14ac:dyDescent="0.25">
      <c r="C1032" s="329" t="s">
        <v>6877</v>
      </c>
      <c r="D1032" s="311" t="s">
        <v>6878</v>
      </c>
    </row>
    <row r="1033" spans="3:4" x14ac:dyDescent="0.25">
      <c r="C1033" s="329" t="s">
        <v>6879</v>
      </c>
      <c r="D1033" s="311" t="s">
        <v>6880</v>
      </c>
    </row>
    <row r="1034" spans="3:4" x14ac:dyDescent="0.25">
      <c r="C1034" s="329" t="s">
        <v>6881</v>
      </c>
      <c r="D1034" s="311" t="s">
        <v>6882</v>
      </c>
    </row>
    <row r="1035" spans="3:4" x14ac:dyDescent="0.25">
      <c r="C1035" s="329" t="s">
        <v>6883</v>
      </c>
      <c r="D1035" s="311" t="s">
        <v>6884</v>
      </c>
    </row>
    <row r="1036" spans="3:4" x14ac:dyDescent="0.25">
      <c r="C1036" s="329" t="s">
        <v>6885</v>
      </c>
      <c r="D1036" s="311" t="s">
        <v>6886</v>
      </c>
    </row>
    <row r="1037" spans="3:4" x14ac:dyDescent="0.25">
      <c r="C1037" s="329" t="s">
        <v>6887</v>
      </c>
      <c r="D1037" s="311" t="s">
        <v>6888</v>
      </c>
    </row>
    <row r="1038" spans="3:4" x14ac:dyDescent="0.25">
      <c r="C1038" s="329" t="s">
        <v>6889</v>
      </c>
      <c r="D1038" s="311" t="s">
        <v>6890</v>
      </c>
    </row>
    <row r="1039" spans="3:4" x14ac:dyDescent="0.25">
      <c r="C1039" s="329" t="s">
        <v>6891</v>
      </c>
      <c r="D1039" s="311" t="s">
        <v>6892</v>
      </c>
    </row>
    <row r="1040" spans="3:4" x14ac:dyDescent="0.25">
      <c r="C1040" s="329" t="s">
        <v>6893</v>
      </c>
      <c r="D1040" s="311" t="s">
        <v>6894</v>
      </c>
    </row>
    <row r="1041" spans="3:4" x14ac:dyDescent="0.25">
      <c r="C1041" s="329" t="s">
        <v>6895</v>
      </c>
      <c r="D1041" s="311" t="s">
        <v>6896</v>
      </c>
    </row>
    <row r="1042" spans="3:4" x14ac:dyDescent="0.25">
      <c r="C1042" s="329" t="s">
        <v>6897</v>
      </c>
      <c r="D1042" s="311" t="s">
        <v>6898</v>
      </c>
    </row>
    <row r="1043" spans="3:4" x14ac:dyDescent="0.25">
      <c r="C1043" s="329" t="s">
        <v>6899</v>
      </c>
      <c r="D1043" s="311" t="s">
        <v>6900</v>
      </c>
    </row>
    <row r="1044" spans="3:4" x14ac:dyDescent="0.25">
      <c r="C1044" s="329" t="s">
        <v>6901</v>
      </c>
      <c r="D1044" s="311" t="s">
        <v>6902</v>
      </c>
    </row>
    <row r="1045" spans="3:4" x14ac:dyDescent="0.25">
      <c r="C1045" s="329" t="s">
        <v>6903</v>
      </c>
      <c r="D1045" s="311" t="s">
        <v>6904</v>
      </c>
    </row>
    <row r="1046" spans="3:4" x14ac:dyDescent="0.25">
      <c r="C1046" s="329" t="s">
        <v>6905</v>
      </c>
      <c r="D1046" s="311" t="s">
        <v>6906</v>
      </c>
    </row>
    <row r="1047" spans="3:4" x14ac:dyDescent="0.25">
      <c r="C1047" s="329" t="s">
        <v>6907</v>
      </c>
      <c r="D1047" s="311" t="s">
        <v>6908</v>
      </c>
    </row>
    <row r="1048" spans="3:4" x14ac:dyDescent="0.25">
      <c r="C1048" s="329" t="s">
        <v>6909</v>
      </c>
      <c r="D1048" s="311" t="s">
        <v>6910</v>
      </c>
    </row>
    <row r="1049" spans="3:4" x14ac:dyDescent="0.25">
      <c r="C1049" s="329" t="s">
        <v>6911</v>
      </c>
      <c r="D1049" s="311" t="s">
        <v>6912</v>
      </c>
    </row>
    <row r="1050" spans="3:4" x14ac:dyDescent="0.25">
      <c r="C1050" s="329" t="s">
        <v>6913</v>
      </c>
      <c r="D1050" s="311" t="s">
        <v>6914</v>
      </c>
    </row>
    <row r="1051" spans="3:4" x14ac:dyDescent="0.25">
      <c r="C1051" s="329" t="s">
        <v>6915</v>
      </c>
      <c r="D1051" s="311" t="s">
        <v>6916</v>
      </c>
    </row>
    <row r="1052" spans="3:4" x14ac:dyDescent="0.25">
      <c r="C1052" s="329" t="s">
        <v>6917</v>
      </c>
      <c r="D1052" s="311" t="s">
        <v>6918</v>
      </c>
    </row>
    <row r="1053" spans="3:4" x14ac:dyDescent="0.25">
      <c r="C1053" s="329" t="s">
        <v>6919</v>
      </c>
      <c r="D1053" s="311" t="s">
        <v>6920</v>
      </c>
    </row>
    <row r="1054" spans="3:4" x14ac:dyDescent="0.25">
      <c r="C1054" s="329" t="s">
        <v>6921</v>
      </c>
      <c r="D1054" s="311" t="s">
        <v>6922</v>
      </c>
    </row>
    <row r="1055" spans="3:4" x14ac:dyDescent="0.25">
      <c r="C1055" s="329" t="s">
        <v>6923</v>
      </c>
      <c r="D1055" s="311" t="s">
        <v>6924</v>
      </c>
    </row>
    <row r="1056" spans="3:4" x14ac:dyDescent="0.25">
      <c r="C1056" s="329" t="s">
        <v>6925</v>
      </c>
      <c r="D1056" s="311" t="s">
        <v>6926</v>
      </c>
    </row>
    <row r="1057" spans="3:4" x14ac:dyDescent="0.25">
      <c r="C1057" s="329" t="s">
        <v>6927</v>
      </c>
      <c r="D1057" s="311" t="s">
        <v>6928</v>
      </c>
    </row>
    <row r="1058" spans="3:4" x14ac:dyDescent="0.25">
      <c r="C1058" s="329" t="s">
        <v>6929</v>
      </c>
      <c r="D1058" s="311" t="s">
        <v>6930</v>
      </c>
    </row>
    <row r="1059" spans="3:4" x14ac:dyDescent="0.25">
      <c r="C1059" s="329" t="s">
        <v>6931</v>
      </c>
      <c r="D1059" s="311" t="s">
        <v>6932</v>
      </c>
    </row>
    <row r="1060" spans="3:4" x14ac:dyDescent="0.25">
      <c r="C1060" s="329" t="s">
        <v>6933</v>
      </c>
      <c r="D1060" s="311" t="s">
        <v>6934</v>
      </c>
    </row>
    <row r="1061" spans="3:4" x14ac:dyDescent="0.25">
      <c r="C1061" s="329" t="s">
        <v>6935</v>
      </c>
      <c r="D1061" s="311" t="s">
        <v>6936</v>
      </c>
    </row>
    <row r="1062" spans="3:4" x14ac:dyDescent="0.25">
      <c r="C1062" s="329" t="s">
        <v>6937</v>
      </c>
      <c r="D1062" s="311" t="s">
        <v>6938</v>
      </c>
    </row>
    <row r="1063" spans="3:4" x14ac:dyDescent="0.25">
      <c r="C1063" s="329" t="s">
        <v>6939</v>
      </c>
      <c r="D1063" s="311" t="s">
        <v>6940</v>
      </c>
    </row>
    <row r="1064" spans="3:4" x14ac:dyDescent="0.25">
      <c r="C1064" s="329" t="s">
        <v>6941</v>
      </c>
      <c r="D1064" s="311" t="s">
        <v>6942</v>
      </c>
    </row>
    <row r="1065" spans="3:4" x14ac:dyDescent="0.25">
      <c r="C1065" s="329" t="s">
        <v>6943</v>
      </c>
      <c r="D1065" s="311" t="s">
        <v>6944</v>
      </c>
    </row>
    <row r="1066" spans="3:4" x14ac:dyDescent="0.25">
      <c r="C1066" s="329" t="s">
        <v>6945</v>
      </c>
      <c r="D1066" s="311" t="s">
        <v>6946</v>
      </c>
    </row>
    <row r="1067" spans="3:4" x14ac:dyDescent="0.25">
      <c r="C1067" s="329" t="s">
        <v>6947</v>
      </c>
      <c r="D1067" s="311" t="s">
        <v>6948</v>
      </c>
    </row>
    <row r="1068" spans="3:4" x14ac:dyDescent="0.25">
      <c r="C1068" s="329" t="s">
        <v>6949</v>
      </c>
      <c r="D1068" s="311" t="s">
        <v>6950</v>
      </c>
    </row>
    <row r="1069" spans="3:4" x14ac:dyDescent="0.25">
      <c r="C1069" s="329" t="s">
        <v>6951</v>
      </c>
      <c r="D1069" s="311" t="s">
        <v>6952</v>
      </c>
    </row>
    <row r="1070" spans="3:4" x14ac:dyDescent="0.25">
      <c r="C1070" s="329" t="s">
        <v>6953</v>
      </c>
      <c r="D1070" s="311" t="s">
        <v>6954</v>
      </c>
    </row>
    <row r="1071" spans="3:4" x14ac:dyDescent="0.25">
      <c r="C1071" s="329" t="s">
        <v>6955</v>
      </c>
      <c r="D1071" s="311" t="s">
        <v>6956</v>
      </c>
    </row>
    <row r="1072" spans="3:4" x14ac:dyDescent="0.25">
      <c r="C1072" s="329" t="s">
        <v>6957</v>
      </c>
      <c r="D1072" s="311" t="s">
        <v>6958</v>
      </c>
    </row>
    <row r="1073" spans="3:4" x14ac:dyDescent="0.25">
      <c r="C1073" s="329" t="s">
        <v>6959</v>
      </c>
      <c r="D1073" s="311" t="s">
        <v>6960</v>
      </c>
    </row>
    <row r="1074" spans="3:4" x14ac:dyDescent="0.25">
      <c r="C1074" s="329" t="s">
        <v>6961</v>
      </c>
      <c r="D1074" s="311" t="s">
        <v>6962</v>
      </c>
    </row>
    <row r="1075" spans="3:4" x14ac:dyDescent="0.25">
      <c r="C1075" s="329" t="s">
        <v>6963</v>
      </c>
      <c r="D1075" s="311" t="s">
        <v>6964</v>
      </c>
    </row>
    <row r="1076" spans="3:4" x14ac:dyDescent="0.25">
      <c r="C1076" s="329" t="s">
        <v>6965</v>
      </c>
      <c r="D1076" s="311" t="s">
        <v>6966</v>
      </c>
    </row>
    <row r="1077" spans="3:4" x14ac:dyDescent="0.25">
      <c r="C1077" s="329" t="s">
        <v>6967</v>
      </c>
      <c r="D1077" s="311" t="s">
        <v>6968</v>
      </c>
    </row>
    <row r="1078" spans="3:4" x14ac:dyDescent="0.25">
      <c r="C1078" s="329" t="s">
        <v>6969</v>
      </c>
      <c r="D1078" s="311" t="s">
        <v>6970</v>
      </c>
    </row>
    <row r="1079" spans="3:4" x14ac:dyDescent="0.25">
      <c r="C1079" s="329" t="s">
        <v>6971</v>
      </c>
      <c r="D1079" s="311" t="s">
        <v>6972</v>
      </c>
    </row>
    <row r="1080" spans="3:4" x14ac:dyDescent="0.25">
      <c r="C1080" s="329" t="s">
        <v>6973</v>
      </c>
      <c r="D1080" s="311" t="s">
        <v>6974</v>
      </c>
    </row>
    <row r="1081" spans="3:4" x14ac:dyDescent="0.25">
      <c r="C1081" s="329" t="s">
        <v>6975</v>
      </c>
      <c r="D1081" s="311" t="s">
        <v>6976</v>
      </c>
    </row>
    <row r="1082" spans="3:4" x14ac:dyDescent="0.25">
      <c r="C1082" s="329" t="s">
        <v>6977</v>
      </c>
      <c r="D1082" s="311" t="s">
        <v>6978</v>
      </c>
    </row>
    <row r="1083" spans="3:4" x14ac:dyDescent="0.25">
      <c r="C1083" s="329" t="s">
        <v>6979</v>
      </c>
      <c r="D1083" s="311" t="s">
        <v>6980</v>
      </c>
    </row>
    <row r="1084" spans="3:4" x14ac:dyDescent="0.25">
      <c r="C1084" s="329" t="s">
        <v>6981</v>
      </c>
      <c r="D1084" s="311" t="s">
        <v>6982</v>
      </c>
    </row>
    <row r="1085" spans="3:4" x14ac:dyDescent="0.25">
      <c r="C1085" s="329" t="s">
        <v>6983</v>
      </c>
      <c r="D1085" s="311" t="s">
        <v>6984</v>
      </c>
    </row>
    <row r="1086" spans="3:4" x14ac:dyDescent="0.25">
      <c r="C1086" s="329" t="s">
        <v>6985</v>
      </c>
      <c r="D1086" s="311" t="s">
        <v>6986</v>
      </c>
    </row>
    <row r="1087" spans="3:4" x14ac:dyDescent="0.25">
      <c r="C1087" s="329" t="s">
        <v>6987</v>
      </c>
      <c r="D1087" s="311" t="s">
        <v>6988</v>
      </c>
    </row>
    <row r="1088" spans="3:4" x14ac:dyDescent="0.25">
      <c r="C1088" s="329" t="s">
        <v>6989</v>
      </c>
      <c r="D1088" s="311" t="s">
        <v>6990</v>
      </c>
    </row>
    <row r="1089" spans="3:4" x14ac:dyDescent="0.25">
      <c r="C1089" s="329" t="s">
        <v>6991</v>
      </c>
      <c r="D1089" s="311" t="s">
        <v>6992</v>
      </c>
    </row>
    <row r="1090" spans="3:4" x14ac:dyDescent="0.25">
      <c r="C1090" s="329" t="s">
        <v>6993</v>
      </c>
      <c r="D1090" s="311" t="s">
        <v>6994</v>
      </c>
    </row>
    <row r="1091" spans="3:4" x14ac:dyDescent="0.25">
      <c r="C1091" s="329" t="s">
        <v>6995</v>
      </c>
      <c r="D1091" s="311" t="s">
        <v>6996</v>
      </c>
    </row>
    <row r="1092" spans="3:4" x14ac:dyDescent="0.25">
      <c r="C1092" s="329" t="s">
        <v>6997</v>
      </c>
      <c r="D1092" s="311" t="s">
        <v>6998</v>
      </c>
    </row>
    <row r="1093" spans="3:4" x14ac:dyDescent="0.25">
      <c r="C1093" s="329" t="s">
        <v>6999</v>
      </c>
      <c r="D1093" s="311" t="s">
        <v>7000</v>
      </c>
    </row>
    <row r="1094" spans="3:4" x14ac:dyDescent="0.25">
      <c r="C1094" s="329" t="s">
        <v>7001</v>
      </c>
      <c r="D1094" s="311" t="s">
        <v>7002</v>
      </c>
    </row>
    <row r="1095" spans="3:4" x14ac:dyDescent="0.25">
      <c r="C1095" s="329" t="s">
        <v>7003</v>
      </c>
      <c r="D1095" s="311" t="s">
        <v>7004</v>
      </c>
    </row>
    <row r="1096" spans="3:4" x14ac:dyDescent="0.25">
      <c r="C1096" s="329" t="s">
        <v>7005</v>
      </c>
      <c r="D1096" s="311" t="s">
        <v>7006</v>
      </c>
    </row>
    <row r="1097" spans="3:4" x14ac:dyDescent="0.25">
      <c r="C1097" s="329" t="s">
        <v>7007</v>
      </c>
      <c r="D1097" s="311" t="s">
        <v>7008</v>
      </c>
    </row>
    <row r="1098" spans="3:4" x14ac:dyDescent="0.25">
      <c r="C1098" s="329" t="s">
        <v>7009</v>
      </c>
      <c r="D1098" s="311" t="s">
        <v>7010</v>
      </c>
    </row>
    <row r="1099" spans="3:4" x14ac:dyDescent="0.25">
      <c r="C1099" s="329" t="s">
        <v>7011</v>
      </c>
      <c r="D1099" s="311" t="s">
        <v>7012</v>
      </c>
    </row>
    <row r="1100" spans="3:4" x14ac:dyDescent="0.25">
      <c r="C1100" s="329" t="s">
        <v>7013</v>
      </c>
      <c r="D1100" s="311" t="s">
        <v>7014</v>
      </c>
    </row>
    <row r="1101" spans="3:4" x14ac:dyDescent="0.25">
      <c r="C1101" s="329" t="s">
        <v>7015</v>
      </c>
      <c r="D1101" s="311" t="s">
        <v>7016</v>
      </c>
    </row>
    <row r="1102" spans="3:4" x14ac:dyDescent="0.25">
      <c r="C1102" s="329" t="s">
        <v>7017</v>
      </c>
      <c r="D1102" s="311" t="s">
        <v>7018</v>
      </c>
    </row>
    <row r="1103" spans="3:4" x14ac:dyDescent="0.25">
      <c r="C1103" s="329" t="s">
        <v>7019</v>
      </c>
      <c r="D1103" s="311" t="s">
        <v>7020</v>
      </c>
    </row>
    <row r="1104" spans="3:4" x14ac:dyDescent="0.25">
      <c r="C1104" s="329" t="s">
        <v>7021</v>
      </c>
      <c r="D1104" s="311" t="s">
        <v>7022</v>
      </c>
    </row>
    <row r="1105" spans="3:4" x14ac:dyDescent="0.25">
      <c r="C1105" s="329" t="s">
        <v>7023</v>
      </c>
      <c r="D1105" s="311" t="s">
        <v>7024</v>
      </c>
    </row>
    <row r="1106" spans="3:4" x14ac:dyDescent="0.25">
      <c r="C1106" s="329" t="s">
        <v>7025</v>
      </c>
      <c r="D1106" s="311" t="s">
        <v>7026</v>
      </c>
    </row>
    <row r="1107" spans="3:4" x14ac:dyDescent="0.25">
      <c r="C1107" s="329" t="s">
        <v>7027</v>
      </c>
      <c r="D1107" s="311" t="s">
        <v>7028</v>
      </c>
    </row>
    <row r="1108" spans="3:4" x14ac:dyDescent="0.25">
      <c r="C1108" s="329" t="s">
        <v>7029</v>
      </c>
      <c r="D1108" s="311" t="s">
        <v>7030</v>
      </c>
    </row>
    <row r="1109" spans="3:4" x14ac:dyDescent="0.25">
      <c r="C1109" s="329" t="s">
        <v>7031</v>
      </c>
      <c r="D1109" s="311" t="s">
        <v>7032</v>
      </c>
    </row>
    <row r="1110" spans="3:4" x14ac:dyDescent="0.25">
      <c r="C1110" s="329" t="s">
        <v>7033</v>
      </c>
      <c r="D1110" s="311" t="s">
        <v>7034</v>
      </c>
    </row>
    <row r="1111" spans="3:4" x14ac:dyDescent="0.25">
      <c r="C1111" s="329" t="s">
        <v>7035</v>
      </c>
      <c r="D1111" s="311" t="s">
        <v>7036</v>
      </c>
    </row>
    <row r="1112" spans="3:4" x14ac:dyDescent="0.25">
      <c r="C1112" s="329" t="s">
        <v>7037</v>
      </c>
      <c r="D1112" s="311" t="s">
        <v>7038</v>
      </c>
    </row>
    <row r="1113" spans="3:4" x14ac:dyDescent="0.25">
      <c r="C1113" s="329" t="s">
        <v>7039</v>
      </c>
      <c r="D1113" s="311" t="s">
        <v>7040</v>
      </c>
    </row>
    <row r="1114" spans="3:4" x14ac:dyDescent="0.25">
      <c r="C1114" s="329" t="s">
        <v>7041</v>
      </c>
      <c r="D1114" s="311" t="s">
        <v>7042</v>
      </c>
    </row>
    <row r="1115" spans="3:4" x14ac:dyDescent="0.25">
      <c r="C1115" s="329" t="s">
        <v>7043</v>
      </c>
      <c r="D1115" s="311" t="s">
        <v>7044</v>
      </c>
    </row>
    <row r="1116" spans="3:4" x14ac:dyDescent="0.25">
      <c r="C1116" s="329" t="s">
        <v>7045</v>
      </c>
      <c r="D1116" s="311" t="s">
        <v>7046</v>
      </c>
    </row>
    <row r="1117" spans="3:4" x14ac:dyDescent="0.25">
      <c r="C1117" s="329" t="s">
        <v>7047</v>
      </c>
      <c r="D1117" s="311" t="s">
        <v>7048</v>
      </c>
    </row>
    <row r="1118" spans="3:4" x14ac:dyDescent="0.25">
      <c r="C1118" s="329" t="s">
        <v>7049</v>
      </c>
      <c r="D1118" s="311" t="s">
        <v>7050</v>
      </c>
    </row>
    <row r="1119" spans="3:4" x14ac:dyDescent="0.25">
      <c r="C1119" s="329" t="s">
        <v>7051</v>
      </c>
      <c r="D1119" s="311" t="s">
        <v>7052</v>
      </c>
    </row>
    <row r="1120" spans="3:4" x14ac:dyDescent="0.25">
      <c r="C1120" s="329" t="s">
        <v>7053</v>
      </c>
      <c r="D1120" s="311" t="s">
        <v>7054</v>
      </c>
    </row>
    <row r="1121" spans="3:4" x14ac:dyDescent="0.25">
      <c r="C1121" s="329" t="s">
        <v>7055</v>
      </c>
      <c r="D1121" s="311" t="s">
        <v>7056</v>
      </c>
    </row>
    <row r="1122" spans="3:4" x14ac:dyDescent="0.25">
      <c r="C1122" s="329" t="s">
        <v>7057</v>
      </c>
      <c r="D1122" s="311" t="s">
        <v>7058</v>
      </c>
    </row>
    <row r="1123" spans="3:4" x14ac:dyDescent="0.25">
      <c r="C1123" s="329" t="s">
        <v>7059</v>
      </c>
      <c r="D1123" s="311" t="s">
        <v>7060</v>
      </c>
    </row>
    <row r="1124" spans="3:4" x14ac:dyDescent="0.25">
      <c r="C1124" s="329" t="s">
        <v>7061</v>
      </c>
      <c r="D1124" s="311" t="s">
        <v>7062</v>
      </c>
    </row>
    <row r="1125" spans="3:4" x14ac:dyDescent="0.25">
      <c r="C1125" s="329" t="s">
        <v>7063</v>
      </c>
      <c r="D1125" s="311" t="s">
        <v>7064</v>
      </c>
    </row>
    <row r="1126" spans="3:4" x14ac:dyDescent="0.25">
      <c r="C1126" s="329" t="s">
        <v>7065</v>
      </c>
      <c r="D1126" s="311" t="s">
        <v>7066</v>
      </c>
    </row>
    <row r="1127" spans="3:4" x14ac:dyDescent="0.25">
      <c r="C1127" s="329" t="s">
        <v>7067</v>
      </c>
      <c r="D1127" s="311" t="s">
        <v>7068</v>
      </c>
    </row>
    <row r="1128" spans="3:4" x14ac:dyDescent="0.25">
      <c r="C1128" s="329" t="s">
        <v>7069</v>
      </c>
      <c r="D1128" s="311" t="s">
        <v>7070</v>
      </c>
    </row>
    <row r="1129" spans="3:4" x14ac:dyDescent="0.25">
      <c r="C1129" s="329" t="s">
        <v>7071</v>
      </c>
      <c r="D1129" s="311" t="s">
        <v>7072</v>
      </c>
    </row>
    <row r="1130" spans="3:4" x14ac:dyDescent="0.25">
      <c r="C1130" s="329" t="s">
        <v>7073</v>
      </c>
      <c r="D1130" s="311" t="s">
        <v>7074</v>
      </c>
    </row>
    <row r="1131" spans="3:4" x14ac:dyDescent="0.25">
      <c r="C1131" s="329" t="s">
        <v>7075</v>
      </c>
      <c r="D1131" s="311" t="s">
        <v>7076</v>
      </c>
    </row>
    <row r="1132" spans="3:4" x14ac:dyDescent="0.25">
      <c r="C1132" s="329" t="s">
        <v>7077</v>
      </c>
      <c r="D1132" s="311" t="s">
        <v>7078</v>
      </c>
    </row>
    <row r="1133" spans="3:4" x14ac:dyDescent="0.25">
      <c r="C1133" s="329" t="s">
        <v>7079</v>
      </c>
      <c r="D1133" s="311" t="s">
        <v>7080</v>
      </c>
    </row>
    <row r="1134" spans="3:4" x14ac:dyDescent="0.25">
      <c r="C1134" s="329" t="s">
        <v>7081</v>
      </c>
      <c r="D1134" s="311" t="s">
        <v>7082</v>
      </c>
    </row>
    <row r="1135" spans="3:4" x14ac:dyDescent="0.25">
      <c r="C1135" s="329" t="s">
        <v>7083</v>
      </c>
      <c r="D1135" s="311" t="s">
        <v>7084</v>
      </c>
    </row>
    <row r="1136" spans="3:4" x14ac:dyDescent="0.25">
      <c r="C1136" s="329" t="s">
        <v>7085</v>
      </c>
      <c r="D1136" s="311" t="s">
        <v>7086</v>
      </c>
    </row>
    <row r="1137" spans="3:4" x14ac:dyDescent="0.25">
      <c r="C1137" s="329" t="s">
        <v>7087</v>
      </c>
      <c r="D1137" s="311" t="s">
        <v>7088</v>
      </c>
    </row>
    <row r="1138" spans="3:4" x14ac:dyDescent="0.25">
      <c r="C1138" s="329" t="s">
        <v>7089</v>
      </c>
      <c r="D1138" s="311" t="s">
        <v>7090</v>
      </c>
    </row>
    <row r="1139" spans="3:4" x14ac:dyDescent="0.25">
      <c r="C1139" s="329" t="s">
        <v>7091</v>
      </c>
      <c r="D1139" s="311" t="s">
        <v>7092</v>
      </c>
    </row>
    <row r="1140" spans="3:4" x14ac:dyDescent="0.25">
      <c r="C1140" s="329" t="s">
        <v>7093</v>
      </c>
      <c r="D1140" s="311" t="s">
        <v>7094</v>
      </c>
    </row>
    <row r="1141" spans="3:4" x14ac:dyDescent="0.25">
      <c r="C1141" s="329" t="s">
        <v>7095</v>
      </c>
      <c r="D1141" s="311" t="s">
        <v>7096</v>
      </c>
    </row>
    <row r="1142" spans="3:4" x14ac:dyDescent="0.25">
      <c r="C1142" s="329" t="s">
        <v>7097</v>
      </c>
      <c r="D1142" s="311" t="s">
        <v>7098</v>
      </c>
    </row>
    <row r="1143" spans="3:4" x14ac:dyDescent="0.25">
      <c r="C1143" s="329" t="s">
        <v>7099</v>
      </c>
      <c r="D1143" s="311" t="s">
        <v>7100</v>
      </c>
    </row>
    <row r="1144" spans="3:4" x14ac:dyDescent="0.25">
      <c r="C1144" s="329" t="s">
        <v>7101</v>
      </c>
      <c r="D1144" s="311" t="s">
        <v>7102</v>
      </c>
    </row>
    <row r="1145" spans="3:4" x14ac:dyDescent="0.25">
      <c r="C1145" s="329" t="s">
        <v>7103</v>
      </c>
      <c r="D1145" s="311" t="s">
        <v>7104</v>
      </c>
    </row>
    <row r="1146" spans="3:4" x14ac:dyDescent="0.25">
      <c r="C1146" s="329" t="s">
        <v>7105</v>
      </c>
      <c r="D1146" s="311" t="s">
        <v>7106</v>
      </c>
    </row>
    <row r="1147" spans="3:4" x14ac:dyDescent="0.25">
      <c r="C1147" s="329" t="s">
        <v>7107</v>
      </c>
      <c r="D1147" s="311" t="s">
        <v>7108</v>
      </c>
    </row>
    <row r="1148" spans="3:4" x14ac:dyDescent="0.25">
      <c r="C1148" s="329" t="s">
        <v>7109</v>
      </c>
      <c r="D1148" s="311" t="s">
        <v>7110</v>
      </c>
    </row>
    <row r="1149" spans="3:4" x14ac:dyDescent="0.25">
      <c r="C1149" s="329" t="s">
        <v>7111</v>
      </c>
      <c r="D1149" s="311" t="s">
        <v>7112</v>
      </c>
    </row>
    <row r="1150" spans="3:4" x14ac:dyDescent="0.25">
      <c r="C1150" s="329" t="s">
        <v>7113</v>
      </c>
      <c r="D1150" s="311" t="s">
        <v>7114</v>
      </c>
    </row>
    <row r="1151" spans="3:4" x14ac:dyDescent="0.25">
      <c r="C1151" s="329" t="s">
        <v>7115</v>
      </c>
      <c r="D1151" s="311" t="s">
        <v>7116</v>
      </c>
    </row>
    <row r="1152" spans="3:4" x14ac:dyDescent="0.25">
      <c r="C1152" s="329" t="s">
        <v>7117</v>
      </c>
      <c r="D1152" s="311" t="s">
        <v>7118</v>
      </c>
    </row>
    <row r="1153" spans="3:4" x14ac:dyDescent="0.25">
      <c r="C1153" s="329" t="s">
        <v>7119</v>
      </c>
      <c r="D1153" s="311" t="s">
        <v>7120</v>
      </c>
    </row>
    <row r="1154" spans="3:4" x14ac:dyDescent="0.25">
      <c r="C1154" s="329" t="s">
        <v>7121</v>
      </c>
      <c r="D1154" s="311" t="s">
        <v>7122</v>
      </c>
    </row>
    <row r="1155" spans="3:4" x14ac:dyDescent="0.25">
      <c r="C1155" s="329" t="s">
        <v>7123</v>
      </c>
      <c r="D1155" s="311" t="s">
        <v>7124</v>
      </c>
    </row>
    <row r="1156" spans="3:4" x14ac:dyDescent="0.25">
      <c r="C1156" s="329" t="s">
        <v>7125</v>
      </c>
      <c r="D1156" s="311" t="s">
        <v>7126</v>
      </c>
    </row>
    <row r="1157" spans="3:4" x14ac:dyDescent="0.25">
      <c r="C1157" s="329" t="s">
        <v>7127</v>
      </c>
      <c r="D1157" s="311" t="s">
        <v>7128</v>
      </c>
    </row>
    <row r="1158" spans="3:4" x14ac:dyDescent="0.25">
      <c r="C1158" s="329" t="s">
        <v>7129</v>
      </c>
      <c r="D1158" s="311" t="s">
        <v>7130</v>
      </c>
    </row>
    <row r="1159" spans="3:4" x14ac:dyDescent="0.25">
      <c r="C1159" s="329" t="s">
        <v>7131</v>
      </c>
      <c r="D1159" s="311" t="s">
        <v>7132</v>
      </c>
    </row>
    <row r="1160" spans="3:4" x14ac:dyDescent="0.25">
      <c r="C1160" s="329" t="s">
        <v>7133</v>
      </c>
      <c r="D1160" s="311" t="s">
        <v>7134</v>
      </c>
    </row>
    <row r="1161" spans="3:4" x14ac:dyDescent="0.25">
      <c r="C1161" s="329" t="s">
        <v>7135</v>
      </c>
      <c r="D1161" s="311" t="s">
        <v>7136</v>
      </c>
    </row>
    <row r="1162" spans="3:4" x14ac:dyDescent="0.25">
      <c r="C1162" s="329" t="s">
        <v>7137</v>
      </c>
      <c r="D1162" s="311" t="s">
        <v>7138</v>
      </c>
    </row>
    <row r="1163" spans="3:4" x14ac:dyDescent="0.25">
      <c r="C1163" s="329" t="s">
        <v>7139</v>
      </c>
      <c r="D1163" s="311" t="s">
        <v>7140</v>
      </c>
    </row>
    <row r="1164" spans="3:4" x14ac:dyDescent="0.25">
      <c r="C1164" s="329" t="s">
        <v>7141</v>
      </c>
      <c r="D1164" s="311" t="s">
        <v>7142</v>
      </c>
    </row>
    <row r="1165" spans="3:4" x14ac:dyDescent="0.25">
      <c r="C1165" s="329" t="s">
        <v>7143</v>
      </c>
      <c r="D1165" s="311" t="s">
        <v>7144</v>
      </c>
    </row>
    <row r="1166" spans="3:4" x14ac:dyDescent="0.25">
      <c r="C1166" s="329" t="s">
        <v>7145</v>
      </c>
      <c r="D1166" s="311" t="s">
        <v>7146</v>
      </c>
    </row>
    <row r="1167" spans="3:4" x14ac:dyDescent="0.25">
      <c r="C1167" s="329" t="s">
        <v>7147</v>
      </c>
      <c r="D1167" s="311" t="s">
        <v>7148</v>
      </c>
    </row>
    <row r="1168" spans="3:4" x14ac:dyDescent="0.25">
      <c r="C1168" s="329" t="s">
        <v>7149</v>
      </c>
      <c r="D1168" s="311" t="s">
        <v>7150</v>
      </c>
    </row>
    <row r="1169" spans="3:4" x14ac:dyDescent="0.25">
      <c r="C1169" s="329" t="s">
        <v>7151</v>
      </c>
      <c r="D1169" s="311" t="s">
        <v>7152</v>
      </c>
    </row>
    <row r="1170" spans="3:4" x14ac:dyDescent="0.25">
      <c r="C1170" s="329" t="s">
        <v>7153</v>
      </c>
      <c r="D1170" s="311" t="s">
        <v>7154</v>
      </c>
    </row>
    <row r="1171" spans="3:4" x14ac:dyDescent="0.25">
      <c r="C1171" s="329" t="s">
        <v>7155</v>
      </c>
      <c r="D1171" s="311" t="s">
        <v>7156</v>
      </c>
    </row>
    <row r="1172" spans="3:4" x14ac:dyDescent="0.25">
      <c r="C1172" s="329" t="s">
        <v>7157</v>
      </c>
      <c r="D1172" s="311" t="s">
        <v>7158</v>
      </c>
    </row>
    <row r="1173" spans="3:4" x14ac:dyDescent="0.25">
      <c r="C1173" s="329" t="s">
        <v>7159</v>
      </c>
      <c r="D1173" s="311" t="s">
        <v>7160</v>
      </c>
    </row>
    <row r="1174" spans="3:4" x14ac:dyDescent="0.25">
      <c r="C1174" s="329" t="s">
        <v>7161</v>
      </c>
      <c r="D1174" s="311" t="s">
        <v>7162</v>
      </c>
    </row>
    <row r="1175" spans="3:4" x14ac:dyDescent="0.25">
      <c r="C1175" s="329" t="s">
        <v>7163</v>
      </c>
      <c r="D1175" s="311" t="s">
        <v>7164</v>
      </c>
    </row>
    <row r="1176" spans="3:4" x14ac:dyDescent="0.25">
      <c r="C1176" s="329" t="s">
        <v>7165</v>
      </c>
      <c r="D1176" s="311" t="s">
        <v>7166</v>
      </c>
    </row>
    <row r="1177" spans="3:4" x14ac:dyDescent="0.25">
      <c r="C1177" s="329" t="s">
        <v>7167</v>
      </c>
      <c r="D1177" s="311" t="s">
        <v>7168</v>
      </c>
    </row>
    <row r="1178" spans="3:4" x14ac:dyDescent="0.25">
      <c r="C1178" s="329" t="s">
        <v>7169</v>
      </c>
      <c r="D1178" s="311" t="s">
        <v>7170</v>
      </c>
    </row>
    <row r="1179" spans="3:4" x14ac:dyDescent="0.25">
      <c r="C1179" s="329" t="s">
        <v>7171</v>
      </c>
      <c r="D1179" s="311" t="s">
        <v>7172</v>
      </c>
    </row>
    <row r="1180" spans="3:4" x14ac:dyDescent="0.25">
      <c r="C1180" s="329" t="s">
        <v>7173</v>
      </c>
      <c r="D1180" s="311" t="s">
        <v>7174</v>
      </c>
    </row>
    <row r="1181" spans="3:4" x14ac:dyDescent="0.25">
      <c r="C1181" s="329" t="s">
        <v>7175</v>
      </c>
      <c r="D1181" s="311" t="s">
        <v>7176</v>
      </c>
    </row>
    <row r="1182" spans="3:4" x14ac:dyDescent="0.25">
      <c r="C1182" s="329" t="s">
        <v>7177</v>
      </c>
      <c r="D1182" s="311" t="s">
        <v>7178</v>
      </c>
    </row>
    <row r="1183" spans="3:4" x14ac:dyDescent="0.25">
      <c r="C1183" s="329" t="s">
        <v>7179</v>
      </c>
      <c r="D1183" s="311" t="s">
        <v>7180</v>
      </c>
    </row>
    <row r="1184" spans="3:4" x14ac:dyDescent="0.25">
      <c r="C1184" s="329" t="s">
        <v>7181</v>
      </c>
      <c r="D1184" s="311" t="s">
        <v>7182</v>
      </c>
    </row>
    <row r="1185" spans="3:4" x14ac:dyDescent="0.25">
      <c r="C1185" s="329" t="s">
        <v>7183</v>
      </c>
      <c r="D1185" s="311" t="s">
        <v>7184</v>
      </c>
    </row>
    <row r="1186" spans="3:4" x14ac:dyDescent="0.25">
      <c r="C1186" s="329" t="s">
        <v>7185</v>
      </c>
      <c r="D1186" s="311" t="s">
        <v>7186</v>
      </c>
    </row>
    <row r="1187" spans="3:4" x14ac:dyDescent="0.25">
      <c r="C1187" s="329" t="s">
        <v>7187</v>
      </c>
      <c r="D1187" s="311" t="s">
        <v>7188</v>
      </c>
    </row>
    <row r="1188" spans="3:4" x14ac:dyDescent="0.25">
      <c r="C1188" s="329" t="s">
        <v>7189</v>
      </c>
      <c r="D1188" s="311" t="s">
        <v>7190</v>
      </c>
    </row>
    <row r="1189" spans="3:4" x14ac:dyDescent="0.25">
      <c r="C1189" s="329" t="s">
        <v>7191</v>
      </c>
      <c r="D1189" s="311" t="s">
        <v>7192</v>
      </c>
    </row>
    <row r="1190" spans="3:4" x14ac:dyDescent="0.25">
      <c r="C1190" s="329" t="s">
        <v>7193</v>
      </c>
      <c r="D1190" s="311" t="s">
        <v>7194</v>
      </c>
    </row>
    <row r="1191" spans="3:4" x14ac:dyDescent="0.25">
      <c r="C1191" s="329" t="s">
        <v>7195</v>
      </c>
      <c r="D1191" s="311" t="s">
        <v>7196</v>
      </c>
    </row>
    <row r="1192" spans="3:4" x14ac:dyDescent="0.25">
      <c r="C1192" s="329" t="s">
        <v>7197</v>
      </c>
      <c r="D1192" s="311" t="s">
        <v>7198</v>
      </c>
    </row>
    <row r="1193" spans="3:4" x14ac:dyDescent="0.25">
      <c r="C1193" s="329" t="s">
        <v>7199</v>
      </c>
      <c r="D1193" s="311" t="s">
        <v>7200</v>
      </c>
    </row>
    <row r="1194" spans="3:4" x14ac:dyDescent="0.25">
      <c r="C1194" s="329" t="s">
        <v>7201</v>
      </c>
      <c r="D1194" s="311" t="s">
        <v>7202</v>
      </c>
    </row>
    <row r="1195" spans="3:4" x14ac:dyDescent="0.25">
      <c r="C1195" s="329" t="s">
        <v>7203</v>
      </c>
      <c r="D1195" s="311" t="s">
        <v>7204</v>
      </c>
    </row>
    <row r="1196" spans="3:4" x14ac:dyDescent="0.25">
      <c r="C1196" s="329" t="s">
        <v>1405</v>
      </c>
      <c r="D1196" s="311" t="s">
        <v>7205</v>
      </c>
    </row>
    <row r="1197" spans="3:4" x14ac:dyDescent="0.25">
      <c r="C1197" s="329" t="s">
        <v>1406</v>
      </c>
      <c r="D1197" s="311" t="s">
        <v>7206</v>
      </c>
    </row>
    <row r="1198" spans="3:4" x14ac:dyDescent="0.25">
      <c r="C1198" s="329" t="s">
        <v>1407</v>
      </c>
      <c r="D1198" s="311" t="s">
        <v>7207</v>
      </c>
    </row>
    <row r="1199" spans="3:4" x14ac:dyDescent="0.25">
      <c r="C1199" s="329" t="s">
        <v>1408</v>
      </c>
      <c r="D1199" s="311" t="s">
        <v>5721</v>
      </c>
    </row>
    <row r="1200" spans="3:4" x14ac:dyDescent="0.25">
      <c r="C1200" s="329" t="s">
        <v>1409</v>
      </c>
      <c r="D1200" s="311" t="s">
        <v>7208</v>
      </c>
    </row>
    <row r="1201" spans="3:4" x14ac:dyDescent="0.25">
      <c r="C1201" s="329" t="s">
        <v>1410</v>
      </c>
      <c r="D1201" s="311" t="s">
        <v>7209</v>
      </c>
    </row>
    <row r="1202" spans="3:4" x14ac:dyDescent="0.25">
      <c r="C1202" s="329" t="s">
        <v>1411</v>
      </c>
      <c r="D1202" s="311" t="s">
        <v>7210</v>
      </c>
    </row>
    <row r="1203" spans="3:4" x14ac:dyDescent="0.25">
      <c r="C1203" s="329" t="s">
        <v>1412</v>
      </c>
      <c r="D1203" s="311" t="s">
        <v>6425</v>
      </c>
    </row>
    <row r="1204" spans="3:4" x14ac:dyDescent="0.25">
      <c r="C1204" s="329" t="s">
        <v>1413</v>
      </c>
      <c r="D1204" s="311" t="s">
        <v>7211</v>
      </c>
    </row>
    <row r="1205" spans="3:4" x14ac:dyDescent="0.25">
      <c r="C1205" s="329" t="s">
        <v>1414</v>
      </c>
      <c r="D1205" s="311" t="s">
        <v>7212</v>
      </c>
    </row>
    <row r="1206" spans="3:4" x14ac:dyDescent="0.25">
      <c r="C1206" s="329" t="s">
        <v>1415</v>
      </c>
      <c r="D1206" s="311" t="s">
        <v>7213</v>
      </c>
    </row>
    <row r="1207" spans="3:4" x14ac:dyDescent="0.25">
      <c r="C1207" s="329" t="s">
        <v>1416</v>
      </c>
      <c r="D1207" s="311" t="s">
        <v>7214</v>
      </c>
    </row>
    <row r="1208" spans="3:4" x14ac:dyDescent="0.25">
      <c r="C1208" s="329" t="s">
        <v>1417</v>
      </c>
      <c r="D1208" s="311" t="s">
        <v>7215</v>
      </c>
    </row>
    <row r="1209" spans="3:4" x14ac:dyDescent="0.25">
      <c r="C1209" s="329" t="s">
        <v>1418</v>
      </c>
      <c r="D1209" s="311" t="s">
        <v>7216</v>
      </c>
    </row>
    <row r="1210" spans="3:4" x14ac:dyDescent="0.25">
      <c r="C1210" s="329" t="s">
        <v>1419</v>
      </c>
      <c r="D1210" s="311" t="s">
        <v>7217</v>
      </c>
    </row>
    <row r="1211" spans="3:4" x14ac:dyDescent="0.25">
      <c r="C1211" s="329" t="s">
        <v>1420</v>
      </c>
      <c r="D1211" s="311" t="s">
        <v>7218</v>
      </c>
    </row>
    <row r="1212" spans="3:4" x14ac:dyDescent="0.25">
      <c r="C1212" s="329" t="s">
        <v>1421</v>
      </c>
      <c r="D1212" s="311" t="s">
        <v>7219</v>
      </c>
    </row>
    <row r="1213" spans="3:4" x14ac:dyDescent="0.25">
      <c r="C1213" s="329" t="s">
        <v>1422</v>
      </c>
      <c r="D1213" s="311" t="s">
        <v>7220</v>
      </c>
    </row>
    <row r="1214" spans="3:4" x14ac:dyDescent="0.25">
      <c r="C1214" s="329" t="s">
        <v>1423</v>
      </c>
      <c r="D1214" s="311" t="s">
        <v>7221</v>
      </c>
    </row>
    <row r="1215" spans="3:4" x14ac:dyDescent="0.25">
      <c r="C1215" s="329" t="s">
        <v>1424</v>
      </c>
      <c r="D1215" s="311" t="s">
        <v>6441</v>
      </c>
    </row>
    <row r="1216" spans="3:4" x14ac:dyDescent="0.25">
      <c r="C1216" s="329" t="s">
        <v>1425</v>
      </c>
      <c r="D1216" s="311" t="s">
        <v>6010</v>
      </c>
    </row>
    <row r="1217" spans="3:4" x14ac:dyDescent="0.25">
      <c r="C1217" s="329" t="s">
        <v>1426</v>
      </c>
      <c r="D1217" s="311" t="s">
        <v>6011</v>
      </c>
    </row>
    <row r="1218" spans="3:4" x14ac:dyDescent="0.25">
      <c r="C1218" s="329" t="s">
        <v>1427</v>
      </c>
      <c r="D1218" s="311" t="s">
        <v>7222</v>
      </c>
    </row>
    <row r="1219" spans="3:4" x14ac:dyDescent="0.25">
      <c r="C1219" s="329" t="s">
        <v>1428</v>
      </c>
      <c r="D1219" s="311" t="s">
        <v>7223</v>
      </c>
    </row>
    <row r="1220" spans="3:4" x14ac:dyDescent="0.25">
      <c r="C1220" s="329" t="s">
        <v>1429</v>
      </c>
      <c r="D1220" s="311" t="s">
        <v>7224</v>
      </c>
    </row>
    <row r="1221" spans="3:4" x14ac:dyDescent="0.25">
      <c r="C1221" s="329" t="s">
        <v>1430</v>
      </c>
      <c r="D1221" s="311" t="s">
        <v>7225</v>
      </c>
    </row>
    <row r="1222" spans="3:4" x14ac:dyDescent="0.25">
      <c r="C1222" s="329" t="s">
        <v>1431</v>
      </c>
      <c r="D1222" s="311" t="s">
        <v>7226</v>
      </c>
    </row>
    <row r="1223" spans="3:4" x14ac:dyDescent="0.25">
      <c r="C1223" s="329" t="s">
        <v>1432</v>
      </c>
      <c r="D1223" s="311" t="s">
        <v>7227</v>
      </c>
    </row>
    <row r="1224" spans="3:4" x14ac:dyDescent="0.25">
      <c r="C1224" s="329" t="s">
        <v>1433</v>
      </c>
      <c r="D1224" s="311" t="s">
        <v>7228</v>
      </c>
    </row>
    <row r="1225" spans="3:4" x14ac:dyDescent="0.25">
      <c r="C1225" s="329" t="s">
        <v>1434</v>
      </c>
      <c r="D1225" s="311" t="s">
        <v>6195</v>
      </c>
    </row>
    <row r="1226" spans="3:4" x14ac:dyDescent="0.25">
      <c r="C1226" s="329" t="s">
        <v>1435</v>
      </c>
      <c r="D1226" s="311" t="s">
        <v>6453</v>
      </c>
    </row>
    <row r="1227" spans="3:4" x14ac:dyDescent="0.25">
      <c r="C1227" s="329" t="s">
        <v>1436</v>
      </c>
      <c r="D1227" s="311" t="s">
        <v>7229</v>
      </c>
    </row>
    <row r="1228" spans="3:4" x14ac:dyDescent="0.25">
      <c r="C1228" s="329" t="s">
        <v>1437</v>
      </c>
      <c r="D1228" s="311" t="s">
        <v>7230</v>
      </c>
    </row>
    <row r="1229" spans="3:4" x14ac:dyDescent="0.25">
      <c r="C1229" s="329" t="s">
        <v>1438</v>
      </c>
      <c r="D1229" s="311" t="s">
        <v>7231</v>
      </c>
    </row>
    <row r="1230" spans="3:4" x14ac:dyDescent="0.25">
      <c r="C1230" s="329" t="s">
        <v>1439</v>
      </c>
      <c r="D1230" s="311" t="s">
        <v>7232</v>
      </c>
    </row>
    <row r="1231" spans="3:4" x14ac:dyDescent="0.25">
      <c r="C1231" s="329" t="s">
        <v>1440</v>
      </c>
      <c r="D1231" s="311" t="s">
        <v>6364</v>
      </c>
    </row>
    <row r="1232" spans="3:4" x14ac:dyDescent="0.25">
      <c r="C1232" s="329" t="s">
        <v>1441</v>
      </c>
      <c r="D1232" s="311" t="s">
        <v>6340</v>
      </c>
    </row>
    <row r="1233" spans="3:4" x14ac:dyDescent="0.25">
      <c r="C1233" s="329" t="s">
        <v>1442</v>
      </c>
      <c r="D1233" s="311" t="s">
        <v>7233</v>
      </c>
    </row>
    <row r="1234" spans="3:4" x14ac:dyDescent="0.25">
      <c r="C1234" s="329" t="s">
        <v>1443</v>
      </c>
      <c r="D1234" s="311" t="s">
        <v>7234</v>
      </c>
    </row>
    <row r="1235" spans="3:4" x14ac:dyDescent="0.25">
      <c r="C1235" s="329" t="s">
        <v>1444</v>
      </c>
      <c r="D1235" s="311" t="s">
        <v>7235</v>
      </c>
    </row>
    <row r="1236" spans="3:4" x14ac:dyDescent="0.25">
      <c r="C1236" s="329" t="s">
        <v>1445</v>
      </c>
      <c r="D1236" s="311" t="s">
        <v>7236</v>
      </c>
    </row>
    <row r="1237" spans="3:4" x14ac:dyDescent="0.25">
      <c r="C1237" s="329" t="s">
        <v>1446</v>
      </c>
      <c r="D1237" s="311" t="s">
        <v>7237</v>
      </c>
    </row>
    <row r="1238" spans="3:4" x14ac:dyDescent="0.25">
      <c r="C1238" s="329" t="s">
        <v>1447</v>
      </c>
      <c r="D1238" s="311" t="s">
        <v>7238</v>
      </c>
    </row>
    <row r="1239" spans="3:4" x14ac:dyDescent="0.25">
      <c r="C1239" s="329" t="s">
        <v>1448</v>
      </c>
      <c r="D1239" s="311" t="s">
        <v>7239</v>
      </c>
    </row>
    <row r="1240" spans="3:4" x14ac:dyDescent="0.25">
      <c r="C1240" s="329" t="s">
        <v>1449</v>
      </c>
      <c r="D1240" s="311" t="s">
        <v>7240</v>
      </c>
    </row>
    <row r="1241" spans="3:4" x14ac:dyDescent="0.25">
      <c r="C1241" s="329" t="s">
        <v>1450</v>
      </c>
      <c r="D1241" s="311" t="s">
        <v>7241</v>
      </c>
    </row>
    <row r="1242" spans="3:4" x14ac:dyDescent="0.25">
      <c r="C1242" s="329" t="s">
        <v>1451</v>
      </c>
      <c r="D1242" s="311" t="s">
        <v>7242</v>
      </c>
    </row>
    <row r="1243" spans="3:4" x14ac:dyDescent="0.25">
      <c r="C1243" s="329" t="s">
        <v>1452</v>
      </c>
      <c r="D1243" s="311" t="s">
        <v>7243</v>
      </c>
    </row>
    <row r="1244" spans="3:4" x14ac:dyDescent="0.25">
      <c r="C1244" s="329" t="s">
        <v>1453</v>
      </c>
      <c r="D1244" s="311" t="s">
        <v>7244</v>
      </c>
    </row>
    <row r="1245" spans="3:4" x14ac:dyDescent="0.25">
      <c r="C1245" s="329" t="s">
        <v>1454</v>
      </c>
      <c r="D1245" s="311" t="s">
        <v>7245</v>
      </c>
    </row>
    <row r="1246" spans="3:4" x14ac:dyDescent="0.25">
      <c r="C1246" s="329" t="s">
        <v>1455</v>
      </c>
      <c r="D1246" s="311" t="s">
        <v>7246</v>
      </c>
    </row>
    <row r="1247" spans="3:4" x14ac:dyDescent="0.25">
      <c r="C1247" s="329" t="s">
        <v>1456</v>
      </c>
      <c r="D1247" s="311" t="s">
        <v>7247</v>
      </c>
    </row>
    <row r="1248" spans="3:4" x14ac:dyDescent="0.25">
      <c r="C1248" s="329" t="s">
        <v>1457</v>
      </c>
      <c r="D1248" s="311" t="s">
        <v>7248</v>
      </c>
    </row>
    <row r="1249" spans="3:4" x14ac:dyDescent="0.25">
      <c r="C1249" s="329" t="s">
        <v>1458</v>
      </c>
      <c r="D1249" s="311" t="s">
        <v>7249</v>
      </c>
    </row>
    <row r="1250" spans="3:4" x14ac:dyDescent="0.25">
      <c r="C1250" s="329" t="s">
        <v>1459</v>
      </c>
      <c r="D1250" s="311" t="s">
        <v>7250</v>
      </c>
    </row>
    <row r="1251" spans="3:4" x14ac:dyDescent="0.25">
      <c r="C1251" s="329" t="s">
        <v>1460</v>
      </c>
      <c r="D1251" s="311" t="s">
        <v>7251</v>
      </c>
    </row>
    <row r="1252" spans="3:4" x14ac:dyDescent="0.25">
      <c r="C1252" s="329" t="s">
        <v>1461</v>
      </c>
      <c r="D1252" s="311" t="s">
        <v>7252</v>
      </c>
    </row>
    <row r="1253" spans="3:4" x14ac:dyDescent="0.25">
      <c r="C1253" s="329" t="s">
        <v>1462</v>
      </c>
      <c r="D1253" s="311" t="s">
        <v>7253</v>
      </c>
    </row>
    <row r="1254" spans="3:4" x14ac:dyDescent="0.25">
      <c r="C1254" s="329" t="s">
        <v>1463</v>
      </c>
      <c r="D1254" s="311" t="s">
        <v>7254</v>
      </c>
    </row>
    <row r="1255" spans="3:4" x14ac:dyDescent="0.25">
      <c r="C1255" s="329" t="s">
        <v>1464</v>
      </c>
      <c r="D1255" s="311" t="s">
        <v>7255</v>
      </c>
    </row>
    <row r="1256" spans="3:4" x14ac:dyDescent="0.25">
      <c r="C1256" s="329" t="s">
        <v>1465</v>
      </c>
      <c r="D1256" s="311" t="s">
        <v>7256</v>
      </c>
    </row>
    <row r="1257" spans="3:4" x14ac:dyDescent="0.25">
      <c r="C1257" s="329" t="s">
        <v>1466</v>
      </c>
      <c r="D1257" s="311" t="s">
        <v>7257</v>
      </c>
    </row>
    <row r="1258" spans="3:4" x14ac:dyDescent="0.25">
      <c r="C1258" s="329" t="s">
        <v>1467</v>
      </c>
      <c r="D1258" s="311" t="s">
        <v>7258</v>
      </c>
    </row>
    <row r="1259" spans="3:4" x14ac:dyDescent="0.25">
      <c r="C1259" s="329" t="s">
        <v>1468</v>
      </c>
      <c r="D1259" s="311" t="s">
        <v>7259</v>
      </c>
    </row>
    <row r="1260" spans="3:4" x14ac:dyDescent="0.25">
      <c r="C1260" s="329" t="s">
        <v>1469</v>
      </c>
      <c r="D1260" s="311" t="s">
        <v>7260</v>
      </c>
    </row>
    <row r="1261" spans="3:4" x14ac:dyDescent="0.25">
      <c r="C1261" s="329" t="s">
        <v>1470</v>
      </c>
      <c r="D1261" s="311" t="s">
        <v>6157</v>
      </c>
    </row>
    <row r="1262" spans="3:4" x14ac:dyDescent="0.25">
      <c r="C1262" s="329" t="s">
        <v>1471</v>
      </c>
      <c r="D1262" s="311" t="s">
        <v>7261</v>
      </c>
    </row>
    <row r="1263" spans="3:4" x14ac:dyDescent="0.25">
      <c r="C1263" s="329" t="s">
        <v>1472</v>
      </c>
      <c r="D1263" s="311" t="s">
        <v>7262</v>
      </c>
    </row>
    <row r="1264" spans="3:4" x14ac:dyDescent="0.25">
      <c r="C1264" s="329" t="s">
        <v>1473</v>
      </c>
      <c r="D1264" s="311" t="s">
        <v>7263</v>
      </c>
    </row>
    <row r="1265" spans="3:4" x14ac:dyDescent="0.25">
      <c r="C1265" s="329" t="s">
        <v>1474</v>
      </c>
      <c r="D1265" s="311" t="s">
        <v>7264</v>
      </c>
    </row>
    <row r="1266" spans="3:4" x14ac:dyDescent="0.25">
      <c r="C1266" s="329" t="s">
        <v>1475</v>
      </c>
      <c r="D1266" s="311" t="s">
        <v>7265</v>
      </c>
    </row>
    <row r="1267" spans="3:4" x14ac:dyDescent="0.25">
      <c r="C1267" s="329" t="s">
        <v>1476</v>
      </c>
      <c r="D1267" s="311" t="s">
        <v>7266</v>
      </c>
    </row>
    <row r="1268" spans="3:4" x14ac:dyDescent="0.25">
      <c r="C1268" s="329" t="s">
        <v>1477</v>
      </c>
      <c r="D1268" s="311" t="s">
        <v>7267</v>
      </c>
    </row>
    <row r="1269" spans="3:4" x14ac:dyDescent="0.25">
      <c r="C1269" s="329" t="s">
        <v>1478</v>
      </c>
      <c r="D1269" s="311" t="s">
        <v>7268</v>
      </c>
    </row>
    <row r="1270" spans="3:4" x14ac:dyDescent="0.25">
      <c r="C1270" s="329" t="s">
        <v>1479</v>
      </c>
      <c r="D1270" s="311" t="s">
        <v>7269</v>
      </c>
    </row>
    <row r="1271" spans="3:4" x14ac:dyDescent="0.25">
      <c r="C1271" s="329" t="s">
        <v>1480</v>
      </c>
      <c r="D1271" s="311" t="s">
        <v>7270</v>
      </c>
    </row>
    <row r="1272" spans="3:4" x14ac:dyDescent="0.25">
      <c r="C1272" s="329" t="s">
        <v>1481</v>
      </c>
      <c r="D1272" s="311" t="s">
        <v>7271</v>
      </c>
    </row>
    <row r="1273" spans="3:4" x14ac:dyDescent="0.25">
      <c r="C1273" s="329" t="s">
        <v>1482</v>
      </c>
      <c r="D1273" s="311" t="s">
        <v>7272</v>
      </c>
    </row>
    <row r="1274" spans="3:4" x14ac:dyDescent="0.25">
      <c r="C1274" s="329" t="s">
        <v>1483</v>
      </c>
      <c r="D1274" s="311" t="s">
        <v>7273</v>
      </c>
    </row>
    <row r="1275" spans="3:4" x14ac:dyDescent="0.25">
      <c r="C1275" s="329" t="s">
        <v>1484</v>
      </c>
      <c r="D1275" s="311" t="s">
        <v>7274</v>
      </c>
    </row>
    <row r="1276" spans="3:4" x14ac:dyDescent="0.25">
      <c r="C1276" s="329" t="s">
        <v>1485</v>
      </c>
      <c r="D1276" s="311" t="s">
        <v>7275</v>
      </c>
    </row>
    <row r="1277" spans="3:4" x14ac:dyDescent="0.25">
      <c r="C1277" s="329" t="s">
        <v>1486</v>
      </c>
      <c r="D1277" s="311" t="s">
        <v>7276</v>
      </c>
    </row>
    <row r="1278" spans="3:4" x14ac:dyDescent="0.25">
      <c r="C1278" s="329" t="s">
        <v>1487</v>
      </c>
      <c r="D1278" s="311" t="s">
        <v>7277</v>
      </c>
    </row>
    <row r="1279" spans="3:4" x14ac:dyDescent="0.25">
      <c r="C1279" s="329" t="s">
        <v>1488</v>
      </c>
      <c r="D1279" s="311" t="s">
        <v>7278</v>
      </c>
    </row>
    <row r="1280" spans="3:4" x14ac:dyDescent="0.25">
      <c r="C1280" s="329" t="s">
        <v>1489</v>
      </c>
      <c r="D1280" s="311" t="s">
        <v>7279</v>
      </c>
    </row>
    <row r="1281" spans="3:4" x14ac:dyDescent="0.25">
      <c r="C1281" s="329" t="s">
        <v>1490</v>
      </c>
      <c r="D1281" s="311" t="s">
        <v>7280</v>
      </c>
    </row>
    <row r="1282" spans="3:4" x14ac:dyDescent="0.25">
      <c r="C1282" s="329" t="s">
        <v>1491</v>
      </c>
      <c r="D1282" s="311" t="s">
        <v>7281</v>
      </c>
    </row>
    <row r="1283" spans="3:4" x14ac:dyDescent="0.25">
      <c r="C1283" s="329" t="s">
        <v>1492</v>
      </c>
      <c r="D1283" s="311" t="s">
        <v>7282</v>
      </c>
    </row>
    <row r="1284" spans="3:4" x14ac:dyDescent="0.25">
      <c r="C1284" s="329" t="s">
        <v>1493</v>
      </c>
      <c r="D1284" s="311" t="s">
        <v>7283</v>
      </c>
    </row>
    <row r="1285" spans="3:4" x14ac:dyDescent="0.25">
      <c r="C1285" s="329" t="s">
        <v>1494</v>
      </c>
      <c r="D1285" s="311" t="s">
        <v>7284</v>
      </c>
    </row>
    <row r="1286" spans="3:4" x14ac:dyDescent="0.25">
      <c r="C1286" s="329" t="s">
        <v>1495</v>
      </c>
      <c r="D1286" s="311" t="s">
        <v>6034</v>
      </c>
    </row>
    <row r="1287" spans="3:4" x14ac:dyDescent="0.25">
      <c r="C1287" s="329" t="s">
        <v>1496</v>
      </c>
      <c r="D1287" s="311" t="s">
        <v>7285</v>
      </c>
    </row>
    <row r="1288" spans="3:4" x14ac:dyDescent="0.25">
      <c r="C1288" s="329" t="s">
        <v>1497</v>
      </c>
      <c r="D1288" s="311" t="s">
        <v>7286</v>
      </c>
    </row>
    <row r="1289" spans="3:4" x14ac:dyDescent="0.25">
      <c r="C1289" s="329" t="s">
        <v>1498</v>
      </c>
      <c r="D1289" s="311" t="s">
        <v>7287</v>
      </c>
    </row>
    <row r="1290" spans="3:4" x14ac:dyDescent="0.25">
      <c r="C1290" s="329" t="s">
        <v>1499</v>
      </c>
      <c r="D1290" s="311" t="s">
        <v>7288</v>
      </c>
    </row>
    <row r="1291" spans="3:4" x14ac:dyDescent="0.25">
      <c r="C1291" s="329" t="s">
        <v>1500</v>
      </c>
      <c r="D1291" s="311" t="s">
        <v>7289</v>
      </c>
    </row>
    <row r="1292" spans="3:4" x14ac:dyDescent="0.25">
      <c r="C1292" s="329" t="s">
        <v>1501</v>
      </c>
      <c r="D1292" s="311" t="s">
        <v>7290</v>
      </c>
    </row>
    <row r="1293" spans="3:4" x14ac:dyDescent="0.25">
      <c r="C1293" s="329" t="s">
        <v>1502</v>
      </c>
      <c r="D1293" s="311" t="s">
        <v>7291</v>
      </c>
    </row>
    <row r="1294" spans="3:4" x14ac:dyDescent="0.25">
      <c r="C1294" s="329" t="s">
        <v>1503</v>
      </c>
      <c r="D1294" s="311" t="s">
        <v>6035</v>
      </c>
    </row>
    <row r="1295" spans="3:4" x14ac:dyDescent="0.25">
      <c r="C1295" s="329" t="s">
        <v>1504</v>
      </c>
      <c r="D1295" s="311" t="s">
        <v>7292</v>
      </c>
    </row>
    <row r="1296" spans="3:4" x14ac:dyDescent="0.25">
      <c r="C1296" s="329" t="s">
        <v>1505</v>
      </c>
      <c r="D1296" s="311" t="s">
        <v>7293</v>
      </c>
    </row>
    <row r="1297" spans="3:4" x14ac:dyDescent="0.25">
      <c r="C1297" s="329" t="s">
        <v>1506</v>
      </c>
      <c r="D1297" s="311" t="s">
        <v>7294</v>
      </c>
    </row>
    <row r="1298" spans="3:4" x14ac:dyDescent="0.25">
      <c r="C1298" s="329" t="s">
        <v>1507</v>
      </c>
      <c r="D1298" s="311" t="s">
        <v>7295</v>
      </c>
    </row>
    <row r="1299" spans="3:4" x14ac:dyDescent="0.25">
      <c r="C1299" s="329" t="s">
        <v>1508</v>
      </c>
      <c r="D1299" s="311" t="s">
        <v>7296</v>
      </c>
    </row>
    <row r="1300" spans="3:4" x14ac:dyDescent="0.25">
      <c r="C1300" s="329" t="s">
        <v>1509</v>
      </c>
      <c r="D1300" s="311" t="s">
        <v>7297</v>
      </c>
    </row>
    <row r="1301" spans="3:4" x14ac:dyDescent="0.25">
      <c r="C1301" s="329" t="s">
        <v>1510</v>
      </c>
      <c r="D1301" s="311" t="s">
        <v>7298</v>
      </c>
    </row>
    <row r="1302" spans="3:4" x14ac:dyDescent="0.25">
      <c r="C1302" s="329" t="s">
        <v>1511</v>
      </c>
      <c r="D1302" s="311" t="s">
        <v>7299</v>
      </c>
    </row>
    <row r="1303" spans="3:4" x14ac:dyDescent="0.25">
      <c r="C1303" s="329" t="s">
        <v>1512</v>
      </c>
      <c r="D1303" s="311" t="s">
        <v>7300</v>
      </c>
    </row>
    <row r="1304" spans="3:4" x14ac:dyDescent="0.25">
      <c r="C1304" s="329" t="s">
        <v>1513</v>
      </c>
      <c r="D1304" s="311" t="s">
        <v>7301</v>
      </c>
    </row>
    <row r="1305" spans="3:4" x14ac:dyDescent="0.25">
      <c r="C1305" s="329" t="s">
        <v>1514</v>
      </c>
      <c r="D1305" s="311" t="s">
        <v>6243</v>
      </c>
    </row>
    <row r="1306" spans="3:4" x14ac:dyDescent="0.25">
      <c r="C1306" s="329" t="s">
        <v>1515</v>
      </c>
      <c r="D1306" s="311" t="s">
        <v>7302</v>
      </c>
    </row>
    <row r="1307" spans="3:4" x14ac:dyDescent="0.25">
      <c r="C1307" s="329" t="s">
        <v>1516</v>
      </c>
      <c r="D1307" s="311" t="s">
        <v>6245</v>
      </c>
    </row>
    <row r="1308" spans="3:4" x14ac:dyDescent="0.25">
      <c r="C1308" s="329" t="s">
        <v>1517</v>
      </c>
      <c r="D1308" s="311" t="s">
        <v>6139</v>
      </c>
    </row>
    <row r="1309" spans="3:4" x14ac:dyDescent="0.25">
      <c r="C1309" s="329" t="s">
        <v>1518</v>
      </c>
      <c r="D1309" s="311" t="s">
        <v>6141</v>
      </c>
    </row>
    <row r="1310" spans="3:4" x14ac:dyDescent="0.25">
      <c r="C1310" s="329" t="s">
        <v>1519</v>
      </c>
      <c r="D1310" s="311" t="s">
        <v>7303</v>
      </c>
    </row>
    <row r="1311" spans="3:4" x14ac:dyDescent="0.25">
      <c r="C1311" s="329" t="s">
        <v>1520</v>
      </c>
      <c r="D1311" s="311" t="s">
        <v>7304</v>
      </c>
    </row>
    <row r="1312" spans="3:4" x14ac:dyDescent="0.25">
      <c r="C1312" s="329" t="s">
        <v>1521</v>
      </c>
      <c r="D1312" s="311" t="s">
        <v>7305</v>
      </c>
    </row>
    <row r="1313" spans="3:4" x14ac:dyDescent="0.25">
      <c r="C1313" s="329" t="s">
        <v>1522</v>
      </c>
      <c r="D1313" s="311" t="s">
        <v>7306</v>
      </c>
    </row>
    <row r="1314" spans="3:4" x14ac:dyDescent="0.25">
      <c r="C1314" s="329" t="s">
        <v>1523</v>
      </c>
      <c r="D1314" s="311" t="s">
        <v>7307</v>
      </c>
    </row>
    <row r="1315" spans="3:4" x14ac:dyDescent="0.25">
      <c r="C1315" s="329" t="s">
        <v>1524</v>
      </c>
      <c r="D1315" s="311" t="s">
        <v>7308</v>
      </c>
    </row>
    <row r="1316" spans="3:4" x14ac:dyDescent="0.25">
      <c r="C1316" s="329" t="s">
        <v>1525</v>
      </c>
      <c r="D1316" s="311" t="s">
        <v>7309</v>
      </c>
    </row>
    <row r="1317" spans="3:4" x14ac:dyDescent="0.25">
      <c r="C1317" s="329" t="s">
        <v>1526</v>
      </c>
      <c r="D1317" s="311" t="s">
        <v>7310</v>
      </c>
    </row>
    <row r="1318" spans="3:4" x14ac:dyDescent="0.25">
      <c r="C1318" s="329" t="s">
        <v>1527</v>
      </c>
      <c r="D1318" s="311" t="s">
        <v>7311</v>
      </c>
    </row>
    <row r="1319" spans="3:4" x14ac:dyDescent="0.25">
      <c r="C1319" s="329" t="s">
        <v>1528</v>
      </c>
      <c r="D1319" s="311" t="s">
        <v>7312</v>
      </c>
    </row>
    <row r="1320" spans="3:4" x14ac:dyDescent="0.25">
      <c r="C1320" s="329" t="s">
        <v>1529</v>
      </c>
      <c r="D1320" s="311" t="s">
        <v>6049</v>
      </c>
    </row>
    <row r="1321" spans="3:4" x14ac:dyDescent="0.25">
      <c r="C1321" s="329" t="s">
        <v>1530</v>
      </c>
      <c r="D1321" s="311" t="s">
        <v>5776</v>
      </c>
    </row>
    <row r="1322" spans="3:4" x14ac:dyDescent="0.25">
      <c r="C1322" s="329" t="s">
        <v>1531</v>
      </c>
      <c r="D1322" s="311" t="s">
        <v>7313</v>
      </c>
    </row>
    <row r="1323" spans="3:4" x14ac:dyDescent="0.25">
      <c r="C1323" s="329" t="s">
        <v>1532</v>
      </c>
      <c r="D1323" s="311" t="s">
        <v>7314</v>
      </c>
    </row>
    <row r="1324" spans="3:4" x14ac:dyDescent="0.25">
      <c r="C1324" s="329" t="s">
        <v>1533</v>
      </c>
      <c r="D1324" s="311" t="s">
        <v>7315</v>
      </c>
    </row>
    <row r="1325" spans="3:4" x14ac:dyDescent="0.25">
      <c r="C1325" s="329" t="s">
        <v>1534</v>
      </c>
      <c r="D1325" s="311" t="s">
        <v>7316</v>
      </c>
    </row>
    <row r="1326" spans="3:4" x14ac:dyDescent="0.25">
      <c r="C1326" s="329" t="s">
        <v>1535</v>
      </c>
      <c r="D1326" s="311" t="s">
        <v>7317</v>
      </c>
    </row>
    <row r="1327" spans="3:4" x14ac:dyDescent="0.25">
      <c r="C1327" s="329" t="s">
        <v>1536</v>
      </c>
      <c r="D1327" s="311" t="s">
        <v>7318</v>
      </c>
    </row>
    <row r="1328" spans="3:4" x14ac:dyDescent="0.25">
      <c r="C1328" s="329" t="s">
        <v>1537</v>
      </c>
      <c r="D1328" s="311" t="s">
        <v>6062</v>
      </c>
    </row>
    <row r="1329" spans="3:4" x14ac:dyDescent="0.25">
      <c r="C1329" s="329" t="s">
        <v>1538</v>
      </c>
      <c r="D1329" s="311" t="s">
        <v>7319</v>
      </c>
    </row>
    <row r="1330" spans="3:4" x14ac:dyDescent="0.25">
      <c r="C1330" s="329" t="s">
        <v>1539</v>
      </c>
      <c r="D1330" s="311" t="s">
        <v>6063</v>
      </c>
    </row>
    <row r="1331" spans="3:4" x14ac:dyDescent="0.25">
      <c r="C1331" s="329" t="s">
        <v>1540</v>
      </c>
      <c r="D1331" s="311" t="s">
        <v>6064</v>
      </c>
    </row>
    <row r="1332" spans="3:4" x14ac:dyDescent="0.25">
      <c r="C1332" s="329" t="s">
        <v>1541</v>
      </c>
      <c r="D1332" s="311" t="s">
        <v>7320</v>
      </c>
    </row>
    <row r="1333" spans="3:4" x14ac:dyDescent="0.25">
      <c r="C1333" s="329" t="s">
        <v>1542</v>
      </c>
      <c r="D1333" s="311" t="s">
        <v>7321</v>
      </c>
    </row>
    <row r="1334" spans="3:4" x14ac:dyDescent="0.25">
      <c r="C1334" s="329" t="s">
        <v>1543</v>
      </c>
      <c r="D1334" s="311" t="s">
        <v>7322</v>
      </c>
    </row>
    <row r="1335" spans="3:4" x14ac:dyDescent="0.25">
      <c r="C1335" s="329" t="s">
        <v>1544</v>
      </c>
      <c r="D1335" s="311" t="s">
        <v>7323</v>
      </c>
    </row>
    <row r="1336" spans="3:4" x14ac:dyDescent="0.25">
      <c r="C1336" s="329" t="s">
        <v>1545</v>
      </c>
      <c r="D1336" s="311" t="s">
        <v>7324</v>
      </c>
    </row>
    <row r="1337" spans="3:4" x14ac:dyDescent="0.25">
      <c r="C1337" s="329" t="s">
        <v>992</v>
      </c>
      <c r="D1337" s="311" t="s">
        <v>7325</v>
      </c>
    </row>
    <row r="1338" spans="3:4" x14ac:dyDescent="0.25">
      <c r="C1338" s="329" t="s">
        <v>993</v>
      </c>
      <c r="D1338" s="311" t="s">
        <v>7326</v>
      </c>
    </row>
    <row r="1339" spans="3:4" x14ac:dyDescent="0.25">
      <c r="C1339" s="329" t="s">
        <v>994</v>
      </c>
      <c r="D1339" s="311" t="s">
        <v>7327</v>
      </c>
    </row>
    <row r="1340" spans="3:4" x14ac:dyDescent="0.25">
      <c r="C1340" s="329" t="s">
        <v>1546</v>
      </c>
      <c r="D1340" s="311" t="s">
        <v>7328</v>
      </c>
    </row>
    <row r="1341" spans="3:4" x14ac:dyDescent="0.25">
      <c r="C1341" s="329" t="s">
        <v>995</v>
      </c>
      <c r="D1341" s="311" t="s">
        <v>7329</v>
      </c>
    </row>
    <row r="1342" spans="3:4" x14ac:dyDescent="0.25">
      <c r="C1342" s="329" t="s">
        <v>996</v>
      </c>
      <c r="D1342" s="311" t="s">
        <v>7330</v>
      </c>
    </row>
    <row r="1343" spans="3:4" x14ac:dyDescent="0.25">
      <c r="C1343" s="329" t="s">
        <v>997</v>
      </c>
      <c r="D1343" s="311" t="s">
        <v>7331</v>
      </c>
    </row>
    <row r="1344" spans="3:4" x14ac:dyDescent="0.25">
      <c r="C1344" s="329" t="s">
        <v>1547</v>
      </c>
      <c r="D1344" s="311" t="s">
        <v>7332</v>
      </c>
    </row>
    <row r="1345" spans="3:4" x14ac:dyDescent="0.25">
      <c r="C1345" s="329" t="s">
        <v>998</v>
      </c>
      <c r="D1345" s="311" t="s">
        <v>6070</v>
      </c>
    </row>
    <row r="1346" spans="3:4" x14ac:dyDescent="0.25">
      <c r="C1346" s="329" t="s">
        <v>999</v>
      </c>
      <c r="D1346" s="311" t="s">
        <v>7333</v>
      </c>
    </row>
    <row r="1347" spans="3:4" x14ac:dyDescent="0.25">
      <c r="C1347" s="329" t="s">
        <v>1000</v>
      </c>
      <c r="D1347" s="311" t="s">
        <v>7334</v>
      </c>
    </row>
    <row r="1348" spans="3:4" x14ac:dyDescent="0.25">
      <c r="C1348" s="329" t="s">
        <v>1001</v>
      </c>
      <c r="D1348" s="311" t="s">
        <v>7335</v>
      </c>
    </row>
    <row r="1349" spans="3:4" x14ac:dyDescent="0.25">
      <c r="C1349" s="329" t="s">
        <v>1002</v>
      </c>
      <c r="D1349" s="311" t="s">
        <v>7336</v>
      </c>
    </row>
    <row r="1350" spans="3:4" x14ac:dyDescent="0.25">
      <c r="C1350" s="329" t="s">
        <v>1003</v>
      </c>
      <c r="D1350" s="311" t="s">
        <v>7337</v>
      </c>
    </row>
    <row r="1351" spans="3:4" x14ac:dyDescent="0.25">
      <c r="C1351" s="329" t="s">
        <v>1004</v>
      </c>
      <c r="D1351" s="311" t="s">
        <v>6073</v>
      </c>
    </row>
    <row r="1352" spans="3:4" x14ac:dyDescent="0.25">
      <c r="C1352" s="329" t="s">
        <v>1005</v>
      </c>
      <c r="D1352" s="311" t="s">
        <v>6074</v>
      </c>
    </row>
    <row r="1353" spans="3:4" x14ac:dyDescent="0.25">
      <c r="C1353" s="329" t="s">
        <v>1006</v>
      </c>
      <c r="D1353" s="311" t="s">
        <v>5795</v>
      </c>
    </row>
    <row r="1354" spans="3:4" x14ac:dyDescent="0.25">
      <c r="C1354" s="329" t="s">
        <v>1007</v>
      </c>
      <c r="D1354" s="311" t="s">
        <v>7338</v>
      </c>
    </row>
    <row r="1355" spans="3:4" x14ac:dyDescent="0.25">
      <c r="C1355" s="329" t="s">
        <v>1008</v>
      </c>
      <c r="D1355" s="311" t="s">
        <v>7339</v>
      </c>
    </row>
    <row r="1356" spans="3:4" x14ac:dyDescent="0.25">
      <c r="C1356" s="329" t="s">
        <v>1009</v>
      </c>
      <c r="D1356" s="311" t="s">
        <v>7340</v>
      </c>
    </row>
    <row r="1357" spans="3:4" x14ac:dyDescent="0.25">
      <c r="C1357" s="329" t="s">
        <v>1010</v>
      </c>
      <c r="D1357" s="311" t="s">
        <v>7341</v>
      </c>
    </row>
    <row r="1358" spans="3:4" x14ac:dyDescent="0.25">
      <c r="C1358" s="329" t="s">
        <v>1011</v>
      </c>
      <c r="D1358" s="311" t="s">
        <v>7342</v>
      </c>
    </row>
    <row r="1359" spans="3:4" x14ac:dyDescent="0.25">
      <c r="C1359" s="329" t="s">
        <v>1012</v>
      </c>
      <c r="D1359" s="311" t="s">
        <v>5799</v>
      </c>
    </row>
    <row r="1360" spans="3:4" x14ac:dyDescent="0.25">
      <c r="C1360" s="329" t="s">
        <v>1013</v>
      </c>
      <c r="D1360" s="311" t="s">
        <v>5802</v>
      </c>
    </row>
    <row r="1361" spans="3:4" x14ac:dyDescent="0.25">
      <c r="C1361" s="329" t="s">
        <v>1014</v>
      </c>
      <c r="D1361" s="311" t="s">
        <v>7343</v>
      </c>
    </row>
    <row r="1362" spans="3:4" x14ac:dyDescent="0.25">
      <c r="C1362" s="329" t="s">
        <v>1015</v>
      </c>
      <c r="D1362" s="311" t="s">
        <v>7344</v>
      </c>
    </row>
    <row r="1363" spans="3:4" x14ac:dyDescent="0.25">
      <c r="C1363" s="329" t="s">
        <v>1016</v>
      </c>
      <c r="D1363" s="311" t="s">
        <v>7345</v>
      </c>
    </row>
    <row r="1364" spans="3:4" x14ac:dyDescent="0.25">
      <c r="C1364" s="329" t="s">
        <v>1017</v>
      </c>
      <c r="D1364" s="311" t="s">
        <v>7346</v>
      </c>
    </row>
    <row r="1365" spans="3:4" x14ac:dyDescent="0.25">
      <c r="C1365" s="329" t="s">
        <v>1018</v>
      </c>
      <c r="D1365" s="311" t="s">
        <v>5804</v>
      </c>
    </row>
    <row r="1366" spans="3:4" x14ac:dyDescent="0.25">
      <c r="C1366" s="329" t="s">
        <v>1019</v>
      </c>
      <c r="D1366" s="311" t="s">
        <v>7347</v>
      </c>
    </row>
    <row r="1367" spans="3:4" x14ac:dyDescent="0.25">
      <c r="C1367" s="329" t="s">
        <v>1020</v>
      </c>
      <c r="D1367" s="311" t="s">
        <v>7348</v>
      </c>
    </row>
    <row r="1368" spans="3:4" x14ac:dyDescent="0.25">
      <c r="C1368" s="329" t="s">
        <v>1021</v>
      </c>
      <c r="D1368" s="311" t="s">
        <v>7349</v>
      </c>
    </row>
    <row r="1369" spans="3:4" x14ac:dyDescent="0.25">
      <c r="C1369" s="329" t="s">
        <v>1022</v>
      </c>
      <c r="D1369" s="311" t="s">
        <v>7350</v>
      </c>
    </row>
    <row r="1370" spans="3:4" x14ac:dyDescent="0.25">
      <c r="C1370" s="329" t="s">
        <v>1023</v>
      </c>
      <c r="D1370" s="311" t="s">
        <v>6075</v>
      </c>
    </row>
    <row r="1371" spans="3:4" x14ac:dyDescent="0.25">
      <c r="C1371" s="329" t="s">
        <v>1024</v>
      </c>
      <c r="D1371" s="311" t="s">
        <v>5807</v>
      </c>
    </row>
    <row r="1372" spans="3:4" x14ac:dyDescent="0.25">
      <c r="C1372" s="329" t="s">
        <v>1025</v>
      </c>
      <c r="D1372" s="311" t="s">
        <v>7351</v>
      </c>
    </row>
    <row r="1373" spans="3:4" x14ac:dyDescent="0.25">
      <c r="C1373" s="329" t="s">
        <v>1026</v>
      </c>
      <c r="D1373" s="311" t="s">
        <v>7352</v>
      </c>
    </row>
    <row r="1374" spans="3:4" x14ac:dyDescent="0.25">
      <c r="C1374" s="329" t="s">
        <v>1027</v>
      </c>
      <c r="D1374" s="311" t="s">
        <v>7353</v>
      </c>
    </row>
    <row r="1375" spans="3:4" x14ac:dyDescent="0.25">
      <c r="C1375" s="329" t="s">
        <v>1028</v>
      </c>
      <c r="D1375" s="311" t="s">
        <v>7354</v>
      </c>
    </row>
    <row r="1376" spans="3:4" x14ac:dyDescent="0.25">
      <c r="C1376" s="329" t="s">
        <v>1029</v>
      </c>
      <c r="D1376" s="311" t="s">
        <v>7355</v>
      </c>
    </row>
    <row r="1377" spans="3:4" x14ac:dyDescent="0.25">
      <c r="C1377" s="329" t="s">
        <v>1030</v>
      </c>
      <c r="D1377" s="311" t="s">
        <v>7356</v>
      </c>
    </row>
    <row r="1378" spans="3:4" x14ac:dyDescent="0.25">
      <c r="C1378" s="329" t="s">
        <v>1031</v>
      </c>
      <c r="D1378" s="311" t="s">
        <v>7357</v>
      </c>
    </row>
    <row r="1379" spans="3:4" x14ac:dyDescent="0.25">
      <c r="C1379" s="329" t="s">
        <v>1032</v>
      </c>
      <c r="D1379" s="311" t="s">
        <v>5820</v>
      </c>
    </row>
    <row r="1380" spans="3:4" x14ac:dyDescent="0.25">
      <c r="C1380" s="329" t="s">
        <v>1033</v>
      </c>
      <c r="D1380" s="311" t="s">
        <v>7358</v>
      </c>
    </row>
    <row r="1381" spans="3:4" x14ac:dyDescent="0.25">
      <c r="C1381" s="329" t="s">
        <v>1034</v>
      </c>
      <c r="D1381" s="311" t="s">
        <v>7359</v>
      </c>
    </row>
    <row r="1382" spans="3:4" x14ac:dyDescent="0.25">
      <c r="C1382" s="329" t="s">
        <v>1035</v>
      </c>
      <c r="D1382" s="311" t="s">
        <v>6081</v>
      </c>
    </row>
    <row r="1383" spans="3:4" x14ac:dyDescent="0.25">
      <c r="C1383" s="329" t="s">
        <v>7360</v>
      </c>
      <c r="D1383" s="311" t="s">
        <v>7361</v>
      </c>
    </row>
    <row r="1384" spans="3:4" x14ac:dyDescent="0.25">
      <c r="C1384" s="329" t="s">
        <v>1036</v>
      </c>
      <c r="D1384" s="311" t="s">
        <v>7362</v>
      </c>
    </row>
    <row r="1385" spans="3:4" x14ac:dyDescent="0.25">
      <c r="C1385" s="329" t="s">
        <v>1037</v>
      </c>
      <c r="D1385" s="311" t="s">
        <v>5831</v>
      </c>
    </row>
    <row r="1386" spans="3:4" x14ac:dyDescent="0.25">
      <c r="C1386" s="329" t="s">
        <v>1038</v>
      </c>
      <c r="D1386" s="311" t="s">
        <v>7363</v>
      </c>
    </row>
    <row r="1387" spans="3:4" x14ac:dyDescent="0.25">
      <c r="C1387" s="329" t="s">
        <v>1039</v>
      </c>
      <c r="D1387" s="311" t="s">
        <v>7364</v>
      </c>
    </row>
    <row r="1388" spans="3:4" x14ac:dyDescent="0.25">
      <c r="C1388" s="329" t="s">
        <v>1040</v>
      </c>
      <c r="D1388" s="311" t="s">
        <v>7365</v>
      </c>
    </row>
    <row r="1389" spans="3:4" x14ac:dyDescent="0.25">
      <c r="C1389" s="329" t="s">
        <v>1041</v>
      </c>
      <c r="D1389" s="311" t="s">
        <v>7366</v>
      </c>
    </row>
    <row r="1390" spans="3:4" x14ac:dyDescent="0.25">
      <c r="C1390" s="329" t="s">
        <v>1042</v>
      </c>
      <c r="D1390" s="311" t="s">
        <v>7367</v>
      </c>
    </row>
    <row r="1391" spans="3:4" x14ac:dyDescent="0.25">
      <c r="C1391" s="329" t="s">
        <v>1043</v>
      </c>
      <c r="D1391" s="311" t="s">
        <v>7368</v>
      </c>
    </row>
    <row r="1392" spans="3:4" x14ac:dyDescent="0.25">
      <c r="C1392" s="329" t="s">
        <v>1044</v>
      </c>
      <c r="D1392" s="311" t="s">
        <v>7369</v>
      </c>
    </row>
    <row r="1393" spans="3:4" x14ac:dyDescent="0.25">
      <c r="C1393" s="329" t="s">
        <v>1045</v>
      </c>
      <c r="D1393" s="311" t="s">
        <v>7370</v>
      </c>
    </row>
    <row r="1394" spans="3:4" x14ac:dyDescent="0.25">
      <c r="C1394" s="329" t="s">
        <v>1046</v>
      </c>
      <c r="D1394" s="311" t="s">
        <v>7371</v>
      </c>
    </row>
    <row r="1395" spans="3:4" x14ac:dyDescent="0.25">
      <c r="C1395" s="329" t="s">
        <v>1047</v>
      </c>
      <c r="D1395" s="311" t="s">
        <v>5835</v>
      </c>
    </row>
    <row r="1396" spans="3:4" x14ac:dyDescent="0.25">
      <c r="C1396" s="329" t="s">
        <v>1048</v>
      </c>
      <c r="D1396" s="311" t="s">
        <v>7372</v>
      </c>
    </row>
    <row r="1397" spans="3:4" x14ac:dyDescent="0.25">
      <c r="C1397" s="329" t="s">
        <v>1049</v>
      </c>
      <c r="D1397" s="311" t="s">
        <v>7373</v>
      </c>
    </row>
    <row r="1398" spans="3:4" x14ac:dyDescent="0.25">
      <c r="C1398" s="329" t="s">
        <v>1050</v>
      </c>
      <c r="D1398" s="311" t="s">
        <v>7374</v>
      </c>
    </row>
    <row r="1399" spans="3:4" x14ac:dyDescent="0.25">
      <c r="C1399" s="329" t="s">
        <v>1051</v>
      </c>
      <c r="D1399" s="311" t="s">
        <v>7375</v>
      </c>
    </row>
    <row r="1400" spans="3:4" x14ac:dyDescent="0.25">
      <c r="C1400" s="329" t="s">
        <v>1052</v>
      </c>
      <c r="D1400" s="311" t="s">
        <v>7376</v>
      </c>
    </row>
    <row r="1401" spans="3:4" x14ac:dyDescent="0.25">
      <c r="C1401" s="329" t="s">
        <v>1053</v>
      </c>
      <c r="D1401" s="311" t="s">
        <v>7377</v>
      </c>
    </row>
    <row r="1402" spans="3:4" x14ac:dyDescent="0.25">
      <c r="C1402" s="329" t="s">
        <v>1054</v>
      </c>
      <c r="D1402" s="311" t="s">
        <v>5840</v>
      </c>
    </row>
    <row r="1403" spans="3:4" x14ac:dyDescent="0.25">
      <c r="C1403" s="329" t="s">
        <v>1055</v>
      </c>
      <c r="D1403" s="311" t="s">
        <v>7378</v>
      </c>
    </row>
    <row r="1404" spans="3:4" x14ac:dyDescent="0.25">
      <c r="C1404" s="329" t="s">
        <v>1056</v>
      </c>
      <c r="D1404" s="311" t="s">
        <v>5853</v>
      </c>
    </row>
    <row r="1405" spans="3:4" x14ac:dyDescent="0.25">
      <c r="C1405" s="329" t="s">
        <v>1057</v>
      </c>
      <c r="D1405" s="311" t="s">
        <v>7379</v>
      </c>
    </row>
    <row r="1406" spans="3:4" x14ac:dyDescent="0.25">
      <c r="C1406" s="329" t="s">
        <v>1058</v>
      </c>
      <c r="D1406" s="311" t="s">
        <v>7380</v>
      </c>
    </row>
    <row r="1407" spans="3:4" x14ac:dyDescent="0.25">
      <c r="C1407" s="329" t="s">
        <v>1059</v>
      </c>
      <c r="D1407" s="311" t="s">
        <v>7381</v>
      </c>
    </row>
    <row r="1408" spans="3:4" x14ac:dyDescent="0.25">
      <c r="C1408" s="329" t="s">
        <v>1060</v>
      </c>
      <c r="D1408" s="311" t="s">
        <v>7382</v>
      </c>
    </row>
    <row r="1409" spans="3:4" x14ac:dyDescent="0.25">
      <c r="C1409" s="329" t="s">
        <v>1061</v>
      </c>
      <c r="D1409" s="311" t="s">
        <v>7383</v>
      </c>
    </row>
    <row r="1410" spans="3:4" x14ac:dyDescent="0.25">
      <c r="C1410" s="329" t="s">
        <v>1062</v>
      </c>
      <c r="D1410" s="311" t="s">
        <v>7384</v>
      </c>
    </row>
    <row r="1411" spans="3:4" x14ac:dyDescent="0.25">
      <c r="C1411" s="329" t="s">
        <v>1063</v>
      </c>
      <c r="D1411" s="311" t="s">
        <v>7385</v>
      </c>
    </row>
    <row r="1412" spans="3:4" x14ac:dyDescent="0.25">
      <c r="C1412" s="329" t="s">
        <v>1064</v>
      </c>
      <c r="D1412" s="311" t="s">
        <v>5868</v>
      </c>
    </row>
    <row r="1413" spans="3:4" x14ac:dyDescent="0.25">
      <c r="C1413" s="329" t="s">
        <v>1065</v>
      </c>
      <c r="D1413" s="311" t="s">
        <v>6086</v>
      </c>
    </row>
    <row r="1414" spans="3:4" x14ac:dyDescent="0.25">
      <c r="C1414" s="329" t="s">
        <v>1066</v>
      </c>
      <c r="D1414" s="311" t="s">
        <v>7386</v>
      </c>
    </row>
    <row r="1415" spans="3:4" x14ac:dyDescent="0.25">
      <c r="C1415" s="329" t="s">
        <v>1067</v>
      </c>
      <c r="D1415" s="311" t="s">
        <v>7387</v>
      </c>
    </row>
    <row r="1416" spans="3:4" x14ac:dyDescent="0.25">
      <c r="C1416" s="329" t="s">
        <v>1068</v>
      </c>
      <c r="D1416" s="311" t="s">
        <v>7388</v>
      </c>
    </row>
    <row r="1417" spans="3:4" x14ac:dyDescent="0.25">
      <c r="C1417" s="329" t="s">
        <v>1069</v>
      </c>
      <c r="D1417" s="311" t="s">
        <v>7389</v>
      </c>
    </row>
    <row r="1418" spans="3:4" x14ac:dyDescent="0.25">
      <c r="C1418" s="329" t="s">
        <v>1070</v>
      </c>
      <c r="D1418" s="311" t="s">
        <v>5874</v>
      </c>
    </row>
    <row r="1419" spans="3:4" x14ac:dyDescent="0.25">
      <c r="C1419" s="329" t="s">
        <v>1071</v>
      </c>
      <c r="D1419" s="311" t="s">
        <v>7390</v>
      </c>
    </row>
    <row r="1420" spans="3:4" x14ac:dyDescent="0.25">
      <c r="C1420" s="329" t="s">
        <v>1072</v>
      </c>
      <c r="D1420" s="311" t="s">
        <v>7391</v>
      </c>
    </row>
    <row r="1421" spans="3:4" x14ac:dyDescent="0.25">
      <c r="C1421" s="329" t="s">
        <v>1073</v>
      </c>
      <c r="D1421" s="311" t="s">
        <v>7392</v>
      </c>
    </row>
    <row r="1422" spans="3:4" x14ac:dyDescent="0.25">
      <c r="C1422" s="329" t="s">
        <v>1074</v>
      </c>
      <c r="D1422" s="311" t="s">
        <v>7393</v>
      </c>
    </row>
    <row r="1423" spans="3:4" x14ac:dyDescent="0.25">
      <c r="C1423" s="329" t="s">
        <v>1075</v>
      </c>
      <c r="D1423" s="311" t="s">
        <v>7394</v>
      </c>
    </row>
    <row r="1424" spans="3:4" x14ac:dyDescent="0.25">
      <c r="C1424" s="329" t="s">
        <v>1076</v>
      </c>
      <c r="D1424" s="311" t="s">
        <v>7395</v>
      </c>
    </row>
    <row r="1425" spans="3:4" x14ac:dyDescent="0.25">
      <c r="C1425" s="329" t="s">
        <v>1077</v>
      </c>
      <c r="D1425" s="311" t="s">
        <v>7396</v>
      </c>
    </row>
    <row r="1426" spans="3:4" x14ac:dyDescent="0.25">
      <c r="C1426" s="329" t="s">
        <v>1078</v>
      </c>
      <c r="D1426" s="311" t="s">
        <v>7397</v>
      </c>
    </row>
    <row r="1427" spans="3:4" x14ac:dyDescent="0.25">
      <c r="C1427" s="329" t="s">
        <v>1079</v>
      </c>
      <c r="D1427" s="311" t="s">
        <v>5881</v>
      </c>
    </row>
    <row r="1428" spans="3:4" x14ac:dyDescent="0.25">
      <c r="C1428" s="329" t="s">
        <v>1080</v>
      </c>
      <c r="D1428" s="311" t="s">
        <v>7398</v>
      </c>
    </row>
    <row r="1429" spans="3:4" x14ac:dyDescent="0.25">
      <c r="C1429" s="329" t="s">
        <v>1081</v>
      </c>
      <c r="D1429" s="311" t="s">
        <v>7399</v>
      </c>
    </row>
    <row r="1430" spans="3:4" x14ac:dyDescent="0.25">
      <c r="C1430" s="329" t="s">
        <v>1082</v>
      </c>
      <c r="D1430" s="311" t="s">
        <v>6100</v>
      </c>
    </row>
    <row r="1431" spans="3:4" x14ac:dyDescent="0.25">
      <c r="C1431" s="329" t="s">
        <v>1083</v>
      </c>
      <c r="D1431" s="311" t="s">
        <v>7400</v>
      </c>
    </row>
    <row r="1432" spans="3:4" x14ac:dyDescent="0.25">
      <c r="C1432" s="329" t="s">
        <v>1084</v>
      </c>
      <c r="D1432" s="311" t="s">
        <v>7401</v>
      </c>
    </row>
    <row r="1433" spans="3:4" x14ac:dyDescent="0.25">
      <c r="C1433" s="329" t="s">
        <v>1085</v>
      </c>
      <c r="D1433" s="311" t="s">
        <v>7402</v>
      </c>
    </row>
    <row r="1434" spans="3:4" x14ac:dyDescent="0.25">
      <c r="C1434" s="329" t="s">
        <v>7403</v>
      </c>
      <c r="D1434" s="311" t="s">
        <v>7404</v>
      </c>
    </row>
    <row r="1435" spans="3:4" x14ac:dyDescent="0.25">
      <c r="C1435" s="329" t="s">
        <v>7405</v>
      </c>
      <c r="D1435" s="311" t="s">
        <v>7406</v>
      </c>
    </row>
    <row r="1436" spans="3:4" x14ac:dyDescent="0.25">
      <c r="C1436" s="329" t="s">
        <v>7407</v>
      </c>
      <c r="D1436" s="311" t="s">
        <v>7303</v>
      </c>
    </row>
    <row r="1437" spans="3:4" x14ac:dyDescent="0.25">
      <c r="C1437" s="329" t="s">
        <v>7408</v>
      </c>
      <c r="D1437" s="311" t="s">
        <v>6245</v>
      </c>
    </row>
    <row r="1438" spans="3:4" x14ac:dyDescent="0.25">
      <c r="C1438" s="329" t="s">
        <v>7409</v>
      </c>
      <c r="D1438" s="311" t="s">
        <v>7257</v>
      </c>
    </row>
    <row r="1439" spans="3:4" x14ac:dyDescent="0.25">
      <c r="C1439" s="329" t="s">
        <v>7410</v>
      </c>
      <c r="D1439" s="311" t="s">
        <v>7303</v>
      </c>
    </row>
    <row r="1440" spans="3:4" x14ac:dyDescent="0.25">
      <c r="C1440" s="329" t="s">
        <v>6272</v>
      </c>
      <c r="D1440" s="311" t="s">
        <v>6157</v>
      </c>
    </row>
    <row r="1441" spans="3:4" x14ac:dyDescent="0.25">
      <c r="C1441" s="329" t="s">
        <v>7411</v>
      </c>
      <c r="D1441" s="311" t="s">
        <v>7412</v>
      </c>
    </row>
    <row r="1442" spans="3:4" x14ac:dyDescent="0.25">
      <c r="C1442" s="329" t="s">
        <v>7413</v>
      </c>
      <c r="D1442" s="311" t="s">
        <v>6157</v>
      </c>
    </row>
    <row r="1443" spans="3:4" x14ac:dyDescent="0.25">
      <c r="C1443" s="329" t="s">
        <v>7414</v>
      </c>
      <c r="D1443" s="311" t="s">
        <v>7311</v>
      </c>
    </row>
    <row r="1444" spans="3:4" x14ac:dyDescent="0.25">
      <c r="C1444" s="329" t="s">
        <v>7415</v>
      </c>
      <c r="D1444" s="311" t="s">
        <v>7311</v>
      </c>
    </row>
    <row r="1445" spans="3:4" x14ac:dyDescent="0.25">
      <c r="C1445" s="329" t="s">
        <v>7416</v>
      </c>
      <c r="D1445" s="311" t="s">
        <v>7312</v>
      </c>
    </row>
    <row r="1446" spans="3:4" x14ac:dyDescent="0.25">
      <c r="C1446" s="329" t="s">
        <v>6339</v>
      </c>
      <c r="D1446" s="311" t="s">
        <v>6340</v>
      </c>
    </row>
    <row r="1447" spans="3:4" x14ac:dyDescent="0.25">
      <c r="C1447" s="329" t="s">
        <v>7417</v>
      </c>
      <c r="D1447" s="311" t="s">
        <v>6340</v>
      </c>
    </row>
    <row r="1448" spans="3:4" x14ac:dyDescent="0.25">
      <c r="C1448" s="329" t="s">
        <v>7418</v>
      </c>
      <c r="D1448" s="311" t="s">
        <v>7234</v>
      </c>
    </row>
    <row r="1449" spans="3:4" x14ac:dyDescent="0.25">
      <c r="C1449" s="329" t="s">
        <v>7419</v>
      </c>
      <c r="D1449" s="311" t="s">
        <v>7222</v>
      </c>
    </row>
    <row r="1450" spans="3:4" x14ac:dyDescent="0.25">
      <c r="C1450" s="329" t="s">
        <v>7420</v>
      </c>
      <c r="D1450" s="311" t="s">
        <v>7225</v>
      </c>
    </row>
    <row r="1451" spans="3:4" x14ac:dyDescent="0.25">
      <c r="C1451" s="329" t="s">
        <v>7421</v>
      </c>
      <c r="D1451" s="311" t="s">
        <v>7222</v>
      </c>
    </row>
    <row r="1452" spans="3:4" x14ac:dyDescent="0.25">
      <c r="C1452" s="329" t="s">
        <v>7422</v>
      </c>
      <c r="D1452" s="311" t="s">
        <v>7423</v>
      </c>
    </row>
    <row r="1453" spans="3:4" x14ac:dyDescent="0.25">
      <c r="C1453" s="329" t="s">
        <v>7424</v>
      </c>
      <c r="D1453" s="311" t="s">
        <v>7323</v>
      </c>
    </row>
    <row r="1454" spans="3:4" x14ac:dyDescent="0.25">
      <c r="C1454" s="329" t="s">
        <v>7425</v>
      </c>
      <c r="D1454" s="311" t="s">
        <v>7426</v>
      </c>
    </row>
    <row r="1455" spans="3:4" x14ac:dyDescent="0.25">
      <c r="C1455" s="329" t="s">
        <v>7427</v>
      </c>
      <c r="D1455" s="311" t="s">
        <v>7323</v>
      </c>
    </row>
    <row r="1456" spans="3:4" x14ac:dyDescent="0.25">
      <c r="C1456" s="329" t="s">
        <v>7428</v>
      </c>
      <c r="D1456" s="311" t="s">
        <v>5748</v>
      </c>
    </row>
    <row r="1457" spans="3:4" x14ac:dyDescent="0.25">
      <c r="C1457" s="329" t="s">
        <v>6406</v>
      </c>
      <c r="D1457" s="311" t="s">
        <v>6206</v>
      </c>
    </row>
    <row r="1458" spans="3:4" x14ac:dyDescent="0.25">
      <c r="C1458" s="329" t="s">
        <v>6410</v>
      </c>
      <c r="D1458" s="311" t="s">
        <v>6411</v>
      </c>
    </row>
    <row r="1459" spans="3:4" x14ac:dyDescent="0.25">
      <c r="C1459" s="329" t="s">
        <v>7429</v>
      </c>
      <c r="D1459" s="311" t="s">
        <v>7430</v>
      </c>
    </row>
    <row r="1460" spans="3:4" x14ac:dyDescent="0.25">
      <c r="C1460" s="329" t="s">
        <v>7431</v>
      </c>
      <c r="D1460" s="311" t="s">
        <v>7218</v>
      </c>
    </row>
    <row r="1461" spans="3:4" x14ac:dyDescent="0.25">
      <c r="C1461" s="329" t="s">
        <v>7432</v>
      </c>
      <c r="D1461" s="311" t="s">
        <v>7433</v>
      </c>
    </row>
    <row r="1462" spans="3:4" x14ac:dyDescent="0.25">
      <c r="C1462" s="329" t="s">
        <v>7434</v>
      </c>
      <c r="D1462" s="311" t="s">
        <v>7219</v>
      </c>
    </row>
    <row r="1463" spans="3:4" x14ac:dyDescent="0.25">
      <c r="C1463" s="329" t="s">
        <v>7435</v>
      </c>
      <c r="D1463" s="311" t="s">
        <v>7436</v>
      </c>
    </row>
    <row r="1464" spans="3:4" x14ac:dyDescent="0.25">
      <c r="C1464" s="329" t="s">
        <v>7437</v>
      </c>
      <c r="D1464" s="311" t="s">
        <v>7438</v>
      </c>
    </row>
  </sheetData>
  <sheetProtection password="D8E9" sheet="1" objects="1" scenarios="1"/>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58"/>
  <sheetViews>
    <sheetView topLeftCell="B885" zoomScale="85" zoomScaleNormal="85" workbookViewId="0">
      <selection activeCell="C913" sqref="C913"/>
    </sheetView>
  </sheetViews>
  <sheetFormatPr defaultRowHeight="15" x14ac:dyDescent="0.25"/>
  <cols>
    <col min="1" max="1" width="255.7109375" bestFit="1" customWidth="1"/>
    <col min="2" max="2" width="2.140625" customWidth="1"/>
    <col min="3" max="3" width="255.7109375" bestFit="1" customWidth="1"/>
  </cols>
  <sheetData>
    <row r="1" spans="1:3" x14ac:dyDescent="0.25">
      <c r="A1" s="542" t="s">
        <v>3843</v>
      </c>
      <c r="C1" s="543" t="s">
        <v>937</v>
      </c>
    </row>
    <row r="2" spans="1:3" x14ac:dyDescent="0.25">
      <c r="A2" s="540" t="s">
        <v>3668</v>
      </c>
      <c r="C2" s="540" t="s">
        <v>3844</v>
      </c>
    </row>
    <row r="3" spans="1:3" x14ac:dyDescent="0.25">
      <c r="A3" s="541" t="s">
        <v>3669</v>
      </c>
      <c r="C3" s="541" t="s">
        <v>3845</v>
      </c>
    </row>
    <row r="4" spans="1:3" x14ac:dyDescent="0.25">
      <c r="A4" s="541" t="s">
        <v>3670</v>
      </c>
      <c r="C4" s="541" t="s">
        <v>3846</v>
      </c>
    </row>
    <row r="5" spans="1:3" x14ac:dyDescent="0.25">
      <c r="A5" s="541" t="s">
        <v>3671</v>
      </c>
      <c r="C5" s="541" t="s">
        <v>3847</v>
      </c>
    </row>
    <row r="6" spans="1:3" x14ac:dyDescent="0.25">
      <c r="A6" s="541" t="s">
        <v>3672</v>
      </c>
      <c r="C6" s="541" t="s">
        <v>3848</v>
      </c>
    </row>
    <row r="7" spans="1:3" x14ac:dyDescent="0.25">
      <c r="A7" s="541" t="s">
        <v>3673</v>
      </c>
      <c r="C7" s="541" t="s">
        <v>3849</v>
      </c>
    </row>
    <row r="8" spans="1:3" x14ac:dyDescent="0.25">
      <c r="A8" s="541" t="s">
        <v>3674</v>
      </c>
      <c r="C8" s="541" t="s">
        <v>3850</v>
      </c>
    </row>
    <row r="9" spans="1:3" x14ac:dyDescent="0.25">
      <c r="A9" s="541" t="s">
        <v>3675</v>
      </c>
      <c r="C9" s="541" t="s">
        <v>3851</v>
      </c>
    </row>
    <row r="10" spans="1:3" x14ac:dyDescent="0.25">
      <c r="A10" s="541" t="s">
        <v>3676</v>
      </c>
      <c r="C10" s="541" t="s">
        <v>3852</v>
      </c>
    </row>
    <row r="11" spans="1:3" x14ac:dyDescent="0.25">
      <c r="A11" s="541" t="s">
        <v>3677</v>
      </c>
      <c r="C11" s="541" t="s">
        <v>3853</v>
      </c>
    </row>
    <row r="12" spans="1:3" x14ac:dyDescent="0.25">
      <c r="A12" s="541" t="s">
        <v>3678</v>
      </c>
      <c r="C12" s="541" t="s">
        <v>3854</v>
      </c>
    </row>
    <row r="13" spans="1:3" x14ac:dyDescent="0.25">
      <c r="A13" s="541" t="s">
        <v>3679</v>
      </c>
      <c r="C13" s="541" t="s">
        <v>3855</v>
      </c>
    </row>
    <row r="14" spans="1:3" x14ac:dyDescent="0.25">
      <c r="A14" s="541" t="s">
        <v>3680</v>
      </c>
      <c r="C14" s="541" t="s">
        <v>3856</v>
      </c>
    </row>
    <row r="15" spans="1:3" x14ac:dyDescent="0.25">
      <c r="A15" s="541" t="s">
        <v>3681</v>
      </c>
      <c r="C15" s="541" t="s">
        <v>3857</v>
      </c>
    </row>
    <row r="16" spans="1:3" x14ac:dyDescent="0.25">
      <c r="A16" s="541" t="s">
        <v>3682</v>
      </c>
      <c r="C16" s="541" t="s">
        <v>3858</v>
      </c>
    </row>
    <row r="17" spans="1:3" x14ac:dyDescent="0.25">
      <c r="A17" s="541" t="s">
        <v>3683</v>
      </c>
      <c r="C17" s="541" t="s">
        <v>3859</v>
      </c>
    </row>
    <row r="18" spans="1:3" x14ac:dyDescent="0.25">
      <c r="A18" s="541" t="s">
        <v>3684</v>
      </c>
      <c r="C18" s="541" t="s">
        <v>3860</v>
      </c>
    </row>
    <row r="19" spans="1:3" x14ac:dyDescent="0.25">
      <c r="A19" s="541" t="s">
        <v>3685</v>
      </c>
      <c r="C19" s="541" t="s">
        <v>3861</v>
      </c>
    </row>
    <row r="20" spans="1:3" x14ac:dyDescent="0.25">
      <c r="A20" s="541" t="s">
        <v>3686</v>
      </c>
      <c r="C20" s="541" t="s">
        <v>3862</v>
      </c>
    </row>
    <row r="21" spans="1:3" x14ac:dyDescent="0.25">
      <c r="A21" s="541" t="s">
        <v>3687</v>
      </c>
      <c r="C21" s="541" t="s">
        <v>3863</v>
      </c>
    </row>
    <row r="22" spans="1:3" x14ac:dyDescent="0.25">
      <c r="A22" s="541" t="s">
        <v>3688</v>
      </c>
      <c r="C22" s="541" t="s">
        <v>3864</v>
      </c>
    </row>
    <row r="23" spans="1:3" x14ac:dyDescent="0.25">
      <c r="A23" s="541" t="s">
        <v>3689</v>
      </c>
      <c r="C23" s="541" t="s">
        <v>3865</v>
      </c>
    </row>
    <row r="24" spans="1:3" x14ac:dyDescent="0.25">
      <c r="A24" s="541" t="s">
        <v>3690</v>
      </c>
      <c r="C24" s="541" t="s">
        <v>3866</v>
      </c>
    </row>
    <row r="25" spans="1:3" x14ac:dyDescent="0.25">
      <c r="A25" s="541" t="s">
        <v>3691</v>
      </c>
      <c r="C25" s="541" t="s">
        <v>3867</v>
      </c>
    </row>
    <row r="26" spans="1:3" x14ac:dyDescent="0.25">
      <c r="A26" s="541" t="s">
        <v>3692</v>
      </c>
      <c r="C26" s="541" t="s">
        <v>3868</v>
      </c>
    </row>
    <row r="27" spans="1:3" x14ac:dyDescent="0.25">
      <c r="A27" s="541" t="s">
        <v>3693</v>
      </c>
      <c r="C27" s="541" t="s">
        <v>3869</v>
      </c>
    </row>
    <row r="28" spans="1:3" x14ac:dyDescent="0.25">
      <c r="A28" s="541" t="s">
        <v>3694</v>
      </c>
      <c r="C28" s="541" t="s">
        <v>3870</v>
      </c>
    </row>
    <row r="29" spans="1:3" x14ac:dyDescent="0.25">
      <c r="A29" s="541" t="s">
        <v>3695</v>
      </c>
      <c r="C29" s="541" t="s">
        <v>3871</v>
      </c>
    </row>
    <row r="30" spans="1:3" x14ac:dyDescent="0.25">
      <c r="A30" s="541" t="s">
        <v>3696</v>
      </c>
      <c r="C30" s="541" t="s">
        <v>3872</v>
      </c>
    </row>
    <row r="31" spans="1:3" x14ac:dyDescent="0.25">
      <c r="A31" s="541" t="s">
        <v>3697</v>
      </c>
      <c r="C31" s="541" t="s">
        <v>3873</v>
      </c>
    </row>
    <row r="32" spans="1:3" x14ac:dyDescent="0.25">
      <c r="A32" s="541" t="s">
        <v>3698</v>
      </c>
      <c r="C32" s="541" t="s">
        <v>3874</v>
      </c>
    </row>
    <row r="33" spans="1:3" x14ac:dyDescent="0.25">
      <c r="A33" s="541" t="s">
        <v>3699</v>
      </c>
      <c r="C33" s="541" t="s">
        <v>3875</v>
      </c>
    </row>
    <row r="34" spans="1:3" x14ac:dyDescent="0.25">
      <c r="A34" s="541" t="s">
        <v>3700</v>
      </c>
      <c r="C34" s="541" t="s">
        <v>3876</v>
      </c>
    </row>
    <row r="35" spans="1:3" x14ac:dyDescent="0.25">
      <c r="A35" s="541" t="s">
        <v>3701</v>
      </c>
      <c r="C35" s="541" t="s">
        <v>3877</v>
      </c>
    </row>
    <row r="36" spans="1:3" x14ac:dyDescent="0.25">
      <c r="A36" s="541" t="s">
        <v>3702</v>
      </c>
      <c r="C36" s="541" t="s">
        <v>3878</v>
      </c>
    </row>
    <row r="37" spans="1:3" x14ac:dyDescent="0.25">
      <c r="A37" s="541" t="s">
        <v>3703</v>
      </c>
      <c r="C37" s="541" t="s">
        <v>3879</v>
      </c>
    </row>
    <row r="38" spans="1:3" x14ac:dyDescent="0.25">
      <c r="A38" s="541" t="s">
        <v>3704</v>
      </c>
      <c r="C38" s="541" t="s">
        <v>3880</v>
      </c>
    </row>
    <row r="39" spans="1:3" x14ac:dyDescent="0.25">
      <c r="A39" s="541" t="s">
        <v>3705</v>
      </c>
      <c r="C39" s="541" t="s">
        <v>3881</v>
      </c>
    </row>
    <row r="40" spans="1:3" x14ac:dyDescent="0.25">
      <c r="A40" s="541" t="s">
        <v>3706</v>
      </c>
      <c r="C40" s="541" t="s">
        <v>3882</v>
      </c>
    </row>
    <row r="41" spans="1:3" x14ac:dyDescent="0.25">
      <c r="A41" s="541" t="s">
        <v>3707</v>
      </c>
      <c r="C41" s="541" t="s">
        <v>3883</v>
      </c>
    </row>
    <row r="42" spans="1:3" x14ac:dyDescent="0.25">
      <c r="A42" s="541" t="s">
        <v>3708</v>
      </c>
      <c r="C42" s="541" t="s">
        <v>3884</v>
      </c>
    </row>
    <row r="43" spans="1:3" x14ac:dyDescent="0.25">
      <c r="A43" s="541" t="s">
        <v>3709</v>
      </c>
      <c r="C43" s="541" t="s">
        <v>3885</v>
      </c>
    </row>
    <row r="44" spans="1:3" x14ac:dyDescent="0.25">
      <c r="A44" s="541" t="s">
        <v>3710</v>
      </c>
      <c r="C44" s="541" t="s">
        <v>3886</v>
      </c>
    </row>
    <row r="45" spans="1:3" x14ac:dyDescent="0.25">
      <c r="A45" s="541" t="s">
        <v>3711</v>
      </c>
      <c r="C45" s="541" t="s">
        <v>3887</v>
      </c>
    </row>
    <row r="46" spans="1:3" x14ac:dyDescent="0.25">
      <c r="A46" s="541" t="s">
        <v>3712</v>
      </c>
      <c r="C46" s="541" t="s">
        <v>3888</v>
      </c>
    </row>
    <row r="47" spans="1:3" x14ac:dyDescent="0.25">
      <c r="A47" s="541" t="s">
        <v>3713</v>
      </c>
      <c r="C47" s="541" t="s">
        <v>3889</v>
      </c>
    </row>
    <row r="48" spans="1:3" x14ac:dyDescent="0.25">
      <c r="A48" s="541" t="s">
        <v>3714</v>
      </c>
      <c r="C48" s="541" t="s">
        <v>3890</v>
      </c>
    </row>
    <row r="49" spans="1:3" x14ac:dyDescent="0.25">
      <c r="A49" s="541" t="s">
        <v>3715</v>
      </c>
      <c r="C49" s="541" t="s">
        <v>3891</v>
      </c>
    </row>
    <row r="50" spans="1:3" x14ac:dyDescent="0.25">
      <c r="A50" s="541" t="s">
        <v>3716</v>
      </c>
      <c r="C50" s="541" t="s">
        <v>3892</v>
      </c>
    </row>
    <row r="51" spans="1:3" x14ac:dyDescent="0.25">
      <c r="A51" s="541" t="s">
        <v>3717</v>
      </c>
      <c r="C51" s="541" t="s">
        <v>3893</v>
      </c>
    </row>
    <row r="52" spans="1:3" x14ac:dyDescent="0.25">
      <c r="A52" s="541" t="s">
        <v>3718</v>
      </c>
      <c r="C52" s="541" t="s">
        <v>3894</v>
      </c>
    </row>
    <row r="53" spans="1:3" x14ac:dyDescent="0.25">
      <c r="A53" s="541" t="s">
        <v>3719</v>
      </c>
      <c r="C53" s="541" t="s">
        <v>3895</v>
      </c>
    </row>
    <row r="54" spans="1:3" x14ac:dyDescent="0.25">
      <c r="A54" s="541" t="s">
        <v>3720</v>
      </c>
      <c r="C54" s="541" t="s">
        <v>3896</v>
      </c>
    </row>
    <row r="55" spans="1:3" x14ac:dyDescent="0.25">
      <c r="A55" s="541" t="s">
        <v>3721</v>
      </c>
      <c r="C55" s="541" t="s">
        <v>3897</v>
      </c>
    </row>
    <row r="56" spans="1:3" x14ac:dyDescent="0.25">
      <c r="A56" s="541" t="s">
        <v>3722</v>
      </c>
      <c r="C56" s="541" t="s">
        <v>3898</v>
      </c>
    </row>
    <row r="57" spans="1:3" x14ac:dyDescent="0.25">
      <c r="A57" s="541" t="s">
        <v>3723</v>
      </c>
      <c r="C57" s="541" t="s">
        <v>3899</v>
      </c>
    </row>
    <row r="58" spans="1:3" x14ac:dyDescent="0.25">
      <c r="A58" s="541" t="s">
        <v>3724</v>
      </c>
      <c r="C58" s="541" t="s">
        <v>3900</v>
      </c>
    </row>
    <row r="59" spans="1:3" x14ac:dyDescent="0.25">
      <c r="A59" s="541" t="s">
        <v>3725</v>
      </c>
      <c r="C59" s="541" t="s">
        <v>3901</v>
      </c>
    </row>
    <row r="60" spans="1:3" x14ac:dyDescent="0.25">
      <c r="A60" s="541" t="s">
        <v>3726</v>
      </c>
      <c r="C60" s="541" t="s">
        <v>3902</v>
      </c>
    </row>
    <row r="61" spans="1:3" x14ac:dyDescent="0.25">
      <c r="A61" s="541" t="s">
        <v>3727</v>
      </c>
      <c r="C61" s="541" t="s">
        <v>3903</v>
      </c>
    </row>
    <row r="62" spans="1:3" x14ac:dyDescent="0.25">
      <c r="A62" s="541" t="s">
        <v>3728</v>
      </c>
      <c r="C62" s="541" t="s">
        <v>3904</v>
      </c>
    </row>
    <row r="63" spans="1:3" x14ac:dyDescent="0.25">
      <c r="A63" s="541" t="s">
        <v>3729</v>
      </c>
      <c r="C63" s="541" t="s">
        <v>3905</v>
      </c>
    </row>
    <row r="64" spans="1:3" x14ac:dyDescent="0.25">
      <c r="A64" s="541" t="s">
        <v>3730</v>
      </c>
      <c r="C64" s="541" t="s">
        <v>3906</v>
      </c>
    </row>
    <row r="65" spans="1:3" x14ac:dyDescent="0.25">
      <c r="A65" s="541" t="s">
        <v>3731</v>
      </c>
      <c r="C65" s="541" t="s">
        <v>3907</v>
      </c>
    </row>
    <row r="66" spans="1:3" x14ac:dyDescent="0.25">
      <c r="A66" s="541" t="s">
        <v>3732</v>
      </c>
      <c r="C66" s="541" t="s">
        <v>3908</v>
      </c>
    </row>
    <row r="67" spans="1:3" x14ac:dyDescent="0.25">
      <c r="A67" s="541" t="s">
        <v>3733</v>
      </c>
      <c r="C67" s="541" t="s">
        <v>3909</v>
      </c>
    </row>
    <row r="68" spans="1:3" x14ac:dyDescent="0.25">
      <c r="A68" s="541" t="s">
        <v>3734</v>
      </c>
      <c r="C68" s="541" t="s">
        <v>3910</v>
      </c>
    </row>
    <row r="69" spans="1:3" x14ac:dyDescent="0.25">
      <c r="A69" s="541" t="s">
        <v>3735</v>
      </c>
      <c r="C69" s="541" t="s">
        <v>3911</v>
      </c>
    </row>
    <row r="70" spans="1:3" x14ac:dyDescent="0.25">
      <c r="A70" s="541" t="s">
        <v>3736</v>
      </c>
      <c r="C70" s="541" t="s">
        <v>3912</v>
      </c>
    </row>
    <row r="71" spans="1:3" x14ac:dyDescent="0.25">
      <c r="A71" s="541" t="s">
        <v>3737</v>
      </c>
      <c r="C71" s="541" t="s">
        <v>3913</v>
      </c>
    </row>
    <row r="72" spans="1:3" x14ac:dyDescent="0.25">
      <c r="A72" s="541" t="s">
        <v>3738</v>
      </c>
      <c r="C72" s="541" t="s">
        <v>3914</v>
      </c>
    </row>
    <row r="73" spans="1:3" x14ac:dyDescent="0.25">
      <c r="A73" s="541" t="s">
        <v>3739</v>
      </c>
      <c r="C73" s="541" t="s">
        <v>3915</v>
      </c>
    </row>
    <row r="74" spans="1:3" x14ac:dyDescent="0.25">
      <c r="A74" s="541" t="s">
        <v>3740</v>
      </c>
      <c r="C74" s="541" t="s">
        <v>3916</v>
      </c>
    </row>
    <row r="75" spans="1:3" x14ac:dyDescent="0.25">
      <c r="A75" s="541" t="s">
        <v>3741</v>
      </c>
      <c r="C75" s="541" t="s">
        <v>3917</v>
      </c>
    </row>
    <row r="76" spans="1:3" x14ac:dyDescent="0.25">
      <c r="A76" s="541" t="s">
        <v>3742</v>
      </c>
      <c r="C76" s="541" t="s">
        <v>3918</v>
      </c>
    </row>
    <row r="77" spans="1:3" x14ac:dyDescent="0.25">
      <c r="A77" s="541" t="s">
        <v>3743</v>
      </c>
      <c r="C77" s="541" t="s">
        <v>3919</v>
      </c>
    </row>
    <row r="78" spans="1:3" x14ac:dyDescent="0.25">
      <c r="A78" s="541" t="s">
        <v>3744</v>
      </c>
      <c r="C78" s="541" t="s">
        <v>3920</v>
      </c>
    </row>
    <row r="79" spans="1:3" x14ac:dyDescent="0.25">
      <c r="A79" s="541" t="s">
        <v>3745</v>
      </c>
      <c r="C79" s="541" t="s">
        <v>3921</v>
      </c>
    </row>
    <row r="80" spans="1:3" x14ac:dyDescent="0.25">
      <c r="A80" s="541" t="s">
        <v>3746</v>
      </c>
      <c r="C80" s="541" t="s">
        <v>3922</v>
      </c>
    </row>
    <row r="81" spans="1:3" x14ac:dyDescent="0.25">
      <c r="A81" s="541" t="s">
        <v>3747</v>
      </c>
      <c r="C81" s="541" t="s">
        <v>3923</v>
      </c>
    </row>
    <row r="82" spans="1:3" x14ac:dyDescent="0.25">
      <c r="A82" s="541" t="s">
        <v>3748</v>
      </c>
      <c r="C82" s="541" t="s">
        <v>3924</v>
      </c>
    </row>
    <row r="83" spans="1:3" x14ac:dyDescent="0.25">
      <c r="A83" s="541" t="s">
        <v>3749</v>
      </c>
      <c r="C83" s="541" t="s">
        <v>3925</v>
      </c>
    </row>
    <row r="84" spans="1:3" x14ac:dyDescent="0.25">
      <c r="A84" s="541" t="s">
        <v>3750</v>
      </c>
      <c r="C84" s="541" t="s">
        <v>3926</v>
      </c>
    </row>
    <row r="85" spans="1:3" x14ac:dyDescent="0.25">
      <c r="A85" s="541" t="s">
        <v>3751</v>
      </c>
      <c r="C85" s="541" t="s">
        <v>3927</v>
      </c>
    </row>
    <row r="86" spans="1:3" x14ac:dyDescent="0.25">
      <c r="A86" s="541" t="s">
        <v>3752</v>
      </c>
      <c r="C86" s="541" t="s">
        <v>3928</v>
      </c>
    </row>
    <row r="87" spans="1:3" x14ac:dyDescent="0.25">
      <c r="A87" s="541" t="s">
        <v>3753</v>
      </c>
      <c r="C87" s="541" t="s">
        <v>3929</v>
      </c>
    </row>
    <row r="88" spans="1:3" x14ac:dyDescent="0.25">
      <c r="A88" s="541" t="s">
        <v>3754</v>
      </c>
      <c r="C88" s="541" t="s">
        <v>3930</v>
      </c>
    </row>
    <row r="89" spans="1:3" x14ac:dyDescent="0.25">
      <c r="A89" s="541" t="s">
        <v>3755</v>
      </c>
      <c r="C89" s="541" t="s">
        <v>3931</v>
      </c>
    </row>
    <row r="90" spans="1:3" x14ac:dyDescent="0.25">
      <c r="A90" s="541" t="s">
        <v>3756</v>
      </c>
      <c r="C90" s="541" t="s">
        <v>3932</v>
      </c>
    </row>
    <row r="91" spans="1:3" x14ac:dyDescent="0.25">
      <c r="A91" s="541" t="s">
        <v>3757</v>
      </c>
      <c r="C91" s="541" t="s">
        <v>3933</v>
      </c>
    </row>
    <row r="92" spans="1:3" x14ac:dyDescent="0.25">
      <c r="A92" s="541" t="s">
        <v>3758</v>
      </c>
      <c r="C92" s="541" t="s">
        <v>3934</v>
      </c>
    </row>
    <row r="93" spans="1:3" x14ac:dyDescent="0.25">
      <c r="A93" s="541" t="s">
        <v>3759</v>
      </c>
      <c r="C93" s="541" t="s">
        <v>3935</v>
      </c>
    </row>
    <row r="94" spans="1:3" x14ac:dyDescent="0.25">
      <c r="A94" s="541" t="s">
        <v>3760</v>
      </c>
      <c r="C94" s="541" t="s">
        <v>3936</v>
      </c>
    </row>
    <row r="95" spans="1:3" x14ac:dyDescent="0.25">
      <c r="A95" s="541" t="s">
        <v>3761</v>
      </c>
      <c r="C95" s="541" t="s">
        <v>3937</v>
      </c>
    </row>
    <row r="96" spans="1:3" x14ac:dyDescent="0.25">
      <c r="A96" s="541" t="s">
        <v>3762</v>
      </c>
      <c r="C96" s="541" t="s">
        <v>3938</v>
      </c>
    </row>
    <row r="97" spans="1:3" x14ac:dyDescent="0.25">
      <c r="A97" s="541" t="s">
        <v>3763</v>
      </c>
      <c r="C97" s="541" t="s">
        <v>3939</v>
      </c>
    </row>
    <row r="98" spans="1:3" x14ac:dyDescent="0.25">
      <c r="A98" s="541" t="s">
        <v>3764</v>
      </c>
      <c r="C98" s="541" t="s">
        <v>3940</v>
      </c>
    </row>
    <row r="99" spans="1:3" x14ac:dyDescent="0.25">
      <c r="A99" s="541" t="s">
        <v>3765</v>
      </c>
      <c r="C99" s="541" t="s">
        <v>3941</v>
      </c>
    </row>
    <row r="100" spans="1:3" x14ac:dyDescent="0.25">
      <c r="A100" s="541" t="s">
        <v>3766</v>
      </c>
      <c r="C100" s="541" t="s">
        <v>3942</v>
      </c>
    </row>
    <row r="101" spans="1:3" x14ac:dyDescent="0.25">
      <c r="A101" s="541" t="s">
        <v>3767</v>
      </c>
      <c r="C101" s="541" t="s">
        <v>3943</v>
      </c>
    </row>
    <row r="102" spans="1:3" x14ac:dyDescent="0.25">
      <c r="A102" s="541" t="s">
        <v>3768</v>
      </c>
      <c r="C102" s="541" t="s">
        <v>3944</v>
      </c>
    </row>
    <row r="103" spans="1:3" x14ac:dyDescent="0.25">
      <c r="A103" s="541" t="s">
        <v>3769</v>
      </c>
      <c r="C103" s="541" t="s">
        <v>3945</v>
      </c>
    </row>
    <row r="104" spans="1:3" x14ac:dyDescent="0.25">
      <c r="A104" s="541" t="s">
        <v>3770</v>
      </c>
      <c r="C104" s="541" t="s">
        <v>3946</v>
      </c>
    </row>
    <row r="105" spans="1:3" x14ac:dyDescent="0.25">
      <c r="A105" s="541" t="s">
        <v>3771</v>
      </c>
      <c r="C105" s="541" t="s">
        <v>3947</v>
      </c>
    </row>
    <row r="106" spans="1:3" x14ac:dyDescent="0.25">
      <c r="A106" s="541" t="s">
        <v>3772</v>
      </c>
      <c r="C106" s="541" t="s">
        <v>3948</v>
      </c>
    </row>
    <row r="107" spans="1:3" x14ac:dyDescent="0.25">
      <c r="A107" s="541" t="s">
        <v>3773</v>
      </c>
      <c r="C107" s="541" t="s">
        <v>3949</v>
      </c>
    </row>
    <row r="108" spans="1:3" x14ac:dyDescent="0.25">
      <c r="A108" s="541" t="s">
        <v>3774</v>
      </c>
      <c r="C108" s="541" t="s">
        <v>3950</v>
      </c>
    </row>
    <row r="109" spans="1:3" x14ac:dyDescent="0.25">
      <c r="A109" s="541" t="s">
        <v>3775</v>
      </c>
      <c r="C109" s="541" t="s">
        <v>3951</v>
      </c>
    </row>
    <row r="110" spans="1:3" x14ac:dyDescent="0.25">
      <c r="A110" s="541" t="s">
        <v>3776</v>
      </c>
      <c r="C110" s="541" t="s">
        <v>3952</v>
      </c>
    </row>
    <row r="111" spans="1:3" x14ac:dyDescent="0.25">
      <c r="A111" s="541" t="s">
        <v>3777</v>
      </c>
      <c r="C111" s="541" t="s">
        <v>3953</v>
      </c>
    </row>
    <row r="112" spans="1:3" x14ac:dyDescent="0.25">
      <c r="A112" s="541" t="s">
        <v>3778</v>
      </c>
      <c r="C112" s="541" t="s">
        <v>3954</v>
      </c>
    </row>
    <row r="113" spans="1:3" x14ac:dyDescent="0.25">
      <c r="A113" s="541" t="s">
        <v>3779</v>
      </c>
      <c r="C113" s="541" t="s">
        <v>3955</v>
      </c>
    </row>
    <row r="114" spans="1:3" x14ac:dyDescent="0.25">
      <c r="A114" s="541" t="s">
        <v>3780</v>
      </c>
      <c r="C114" s="541" t="s">
        <v>3956</v>
      </c>
    </row>
    <row r="115" spans="1:3" x14ac:dyDescent="0.25">
      <c r="A115" s="541" t="s">
        <v>3781</v>
      </c>
      <c r="C115" s="541" t="s">
        <v>3957</v>
      </c>
    </row>
    <row r="116" spans="1:3" x14ac:dyDescent="0.25">
      <c r="A116" s="541" t="s">
        <v>3782</v>
      </c>
      <c r="C116" s="541" t="s">
        <v>3958</v>
      </c>
    </row>
    <row r="117" spans="1:3" x14ac:dyDescent="0.25">
      <c r="A117" s="541" t="s">
        <v>3783</v>
      </c>
      <c r="C117" s="541" t="s">
        <v>3959</v>
      </c>
    </row>
    <row r="118" spans="1:3" x14ac:dyDescent="0.25">
      <c r="A118" s="541" t="s">
        <v>3784</v>
      </c>
      <c r="C118" s="541" t="s">
        <v>3960</v>
      </c>
    </row>
    <row r="119" spans="1:3" x14ac:dyDescent="0.25">
      <c r="A119" s="541" t="s">
        <v>3785</v>
      </c>
      <c r="C119" s="541" t="s">
        <v>3961</v>
      </c>
    </row>
    <row r="120" spans="1:3" x14ac:dyDescent="0.25">
      <c r="A120" s="541" t="s">
        <v>3786</v>
      </c>
      <c r="C120" s="541" t="s">
        <v>3962</v>
      </c>
    </row>
    <row r="121" spans="1:3" x14ac:dyDescent="0.25">
      <c r="A121" s="541" t="s">
        <v>3787</v>
      </c>
      <c r="C121" s="541" t="s">
        <v>3963</v>
      </c>
    </row>
    <row r="122" spans="1:3" x14ac:dyDescent="0.25">
      <c r="A122" s="541" t="s">
        <v>3788</v>
      </c>
      <c r="C122" s="541" t="s">
        <v>3964</v>
      </c>
    </row>
    <row r="123" spans="1:3" x14ac:dyDescent="0.25">
      <c r="A123" s="541" t="s">
        <v>3789</v>
      </c>
      <c r="C123" s="541" t="s">
        <v>3965</v>
      </c>
    </row>
    <row r="124" spans="1:3" x14ac:dyDescent="0.25">
      <c r="A124" s="541" t="s">
        <v>3790</v>
      </c>
      <c r="C124" s="541" t="s">
        <v>3966</v>
      </c>
    </row>
    <row r="125" spans="1:3" x14ac:dyDescent="0.25">
      <c r="A125" s="541" t="s">
        <v>3791</v>
      </c>
      <c r="C125" s="541" t="s">
        <v>3967</v>
      </c>
    </row>
    <row r="126" spans="1:3" x14ac:dyDescent="0.25">
      <c r="A126" s="541" t="s">
        <v>3792</v>
      </c>
      <c r="C126" s="541" t="s">
        <v>3968</v>
      </c>
    </row>
    <row r="127" spans="1:3" x14ac:dyDescent="0.25">
      <c r="A127" s="541" t="s">
        <v>3793</v>
      </c>
      <c r="C127" s="541" t="s">
        <v>3969</v>
      </c>
    </row>
    <row r="128" spans="1:3" x14ac:dyDescent="0.25">
      <c r="A128" s="541" t="s">
        <v>3794</v>
      </c>
      <c r="C128" s="541" t="s">
        <v>3970</v>
      </c>
    </row>
    <row r="129" spans="1:3" x14ac:dyDescent="0.25">
      <c r="A129" s="541" t="s">
        <v>3795</v>
      </c>
      <c r="C129" s="541" t="s">
        <v>3971</v>
      </c>
    </row>
    <row r="130" spans="1:3" x14ac:dyDescent="0.25">
      <c r="A130" s="541" t="s">
        <v>3796</v>
      </c>
      <c r="C130" s="541" t="s">
        <v>3972</v>
      </c>
    </row>
    <row r="131" spans="1:3" x14ac:dyDescent="0.25">
      <c r="A131" s="541" t="s">
        <v>3797</v>
      </c>
      <c r="C131" s="541" t="s">
        <v>3973</v>
      </c>
    </row>
    <row r="132" spans="1:3" x14ac:dyDescent="0.25">
      <c r="A132" s="541" t="s">
        <v>3798</v>
      </c>
      <c r="C132" s="541" t="s">
        <v>3974</v>
      </c>
    </row>
    <row r="133" spans="1:3" x14ac:dyDescent="0.25">
      <c r="A133" s="541" t="s">
        <v>3799</v>
      </c>
      <c r="C133" s="541" t="s">
        <v>3975</v>
      </c>
    </row>
    <row r="134" spans="1:3" x14ac:dyDescent="0.25">
      <c r="A134" s="541" t="s">
        <v>3800</v>
      </c>
      <c r="C134" s="541" t="s">
        <v>3976</v>
      </c>
    </row>
    <row r="135" spans="1:3" x14ac:dyDescent="0.25">
      <c r="A135" s="541" t="s">
        <v>3801</v>
      </c>
      <c r="C135" s="541" t="s">
        <v>3977</v>
      </c>
    </row>
    <row r="136" spans="1:3" x14ac:dyDescent="0.25">
      <c r="A136" s="541" t="s">
        <v>3802</v>
      </c>
      <c r="C136" s="541" t="s">
        <v>3978</v>
      </c>
    </row>
    <row r="137" spans="1:3" x14ac:dyDescent="0.25">
      <c r="A137" s="541" t="s">
        <v>3803</v>
      </c>
      <c r="C137" s="541" t="s">
        <v>3979</v>
      </c>
    </row>
    <row r="138" spans="1:3" x14ac:dyDescent="0.25">
      <c r="A138" s="541" t="s">
        <v>3804</v>
      </c>
      <c r="C138" s="541" t="s">
        <v>3980</v>
      </c>
    </row>
    <row r="139" spans="1:3" x14ac:dyDescent="0.25">
      <c r="A139" s="541" t="s">
        <v>3805</v>
      </c>
      <c r="C139" s="541" t="s">
        <v>3981</v>
      </c>
    </row>
    <row r="140" spans="1:3" x14ac:dyDescent="0.25">
      <c r="A140" s="541" t="s">
        <v>3806</v>
      </c>
      <c r="C140" s="541" t="s">
        <v>3982</v>
      </c>
    </row>
    <row r="141" spans="1:3" x14ac:dyDescent="0.25">
      <c r="A141" s="541" t="s">
        <v>3807</v>
      </c>
      <c r="C141" s="541" t="s">
        <v>3983</v>
      </c>
    </row>
    <row r="142" spans="1:3" x14ac:dyDescent="0.25">
      <c r="A142" s="541" t="s">
        <v>3808</v>
      </c>
      <c r="C142" s="541" t="s">
        <v>3984</v>
      </c>
    </row>
    <row r="143" spans="1:3" x14ac:dyDescent="0.25">
      <c r="A143" s="541" t="s">
        <v>3809</v>
      </c>
      <c r="C143" s="541" t="s">
        <v>3985</v>
      </c>
    </row>
    <row r="144" spans="1:3" x14ac:dyDescent="0.25">
      <c r="A144" s="541" t="s">
        <v>3810</v>
      </c>
      <c r="C144" s="541" t="s">
        <v>3986</v>
      </c>
    </row>
    <row r="145" spans="1:3" x14ac:dyDescent="0.25">
      <c r="A145" s="541" t="s">
        <v>3811</v>
      </c>
      <c r="C145" s="541" t="s">
        <v>3987</v>
      </c>
    </row>
    <row r="146" spans="1:3" x14ac:dyDescent="0.25">
      <c r="A146" s="541" t="s">
        <v>3812</v>
      </c>
      <c r="C146" s="541" t="s">
        <v>3988</v>
      </c>
    </row>
    <row r="147" spans="1:3" x14ac:dyDescent="0.25">
      <c r="A147" s="541" t="s">
        <v>3813</v>
      </c>
      <c r="C147" s="541" t="s">
        <v>3989</v>
      </c>
    </row>
    <row r="148" spans="1:3" x14ac:dyDescent="0.25">
      <c r="A148" s="541" t="s">
        <v>3814</v>
      </c>
      <c r="C148" s="541" t="s">
        <v>3990</v>
      </c>
    </row>
    <row r="149" spans="1:3" x14ac:dyDescent="0.25">
      <c r="A149" s="541" t="s">
        <v>3815</v>
      </c>
      <c r="C149" s="541" t="s">
        <v>3991</v>
      </c>
    </row>
    <row r="150" spans="1:3" x14ac:dyDescent="0.25">
      <c r="A150" s="541" t="s">
        <v>3816</v>
      </c>
      <c r="C150" s="541" t="s">
        <v>3992</v>
      </c>
    </row>
    <row r="151" spans="1:3" x14ac:dyDescent="0.25">
      <c r="A151" s="541" t="s">
        <v>3817</v>
      </c>
      <c r="C151" s="541" t="s">
        <v>3993</v>
      </c>
    </row>
    <row r="152" spans="1:3" x14ac:dyDescent="0.25">
      <c r="A152" s="541" t="s">
        <v>3818</v>
      </c>
      <c r="C152" s="541" t="s">
        <v>3994</v>
      </c>
    </row>
    <row r="153" spans="1:3" x14ac:dyDescent="0.25">
      <c r="A153" s="541" t="s">
        <v>3819</v>
      </c>
      <c r="C153" s="541" t="s">
        <v>3995</v>
      </c>
    </row>
    <row r="154" spans="1:3" x14ac:dyDescent="0.25">
      <c r="A154" s="541" t="s">
        <v>3820</v>
      </c>
      <c r="C154" s="541" t="s">
        <v>3996</v>
      </c>
    </row>
    <row r="155" spans="1:3" x14ac:dyDescent="0.25">
      <c r="A155" s="541" t="s">
        <v>3821</v>
      </c>
      <c r="C155" s="541" t="s">
        <v>3997</v>
      </c>
    </row>
    <row r="156" spans="1:3" x14ac:dyDescent="0.25">
      <c r="A156" s="541" t="s">
        <v>3822</v>
      </c>
      <c r="C156" s="541" t="s">
        <v>3998</v>
      </c>
    </row>
    <row r="157" spans="1:3" x14ac:dyDescent="0.25">
      <c r="A157" s="541" t="s">
        <v>3823</v>
      </c>
      <c r="C157" s="541" t="s">
        <v>3999</v>
      </c>
    </row>
    <row r="158" spans="1:3" x14ac:dyDescent="0.25">
      <c r="A158" s="541" t="s">
        <v>3824</v>
      </c>
      <c r="C158" s="541" t="s">
        <v>4000</v>
      </c>
    </row>
    <row r="159" spans="1:3" x14ac:dyDescent="0.25">
      <c r="A159" s="541" t="s">
        <v>3825</v>
      </c>
      <c r="C159" s="541" t="s">
        <v>4001</v>
      </c>
    </row>
    <row r="160" spans="1:3" x14ac:dyDescent="0.25">
      <c r="A160" s="541" t="s">
        <v>3826</v>
      </c>
      <c r="C160" s="541" t="s">
        <v>4002</v>
      </c>
    </row>
    <row r="161" spans="1:3" x14ac:dyDescent="0.25">
      <c r="A161" s="541" t="s">
        <v>3827</v>
      </c>
      <c r="C161" s="541" t="s">
        <v>4003</v>
      </c>
    </row>
    <row r="162" spans="1:3" x14ac:dyDescent="0.25">
      <c r="A162" s="541" t="s">
        <v>3828</v>
      </c>
      <c r="C162" s="541" t="s">
        <v>4004</v>
      </c>
    </row>
    <row r="163" spans="1:3" x14ac:dyDescent="0.25">
      <c r="A163" s="541" t="s">
        <v>3829</v>
      </c>
      <c r="C163" s="541" t="s">
        <v>4005</v>
      </c>
    </row>
    <row r="164" spans="1:3" x14ac:dyDescent="0.25">
      <c r="A164" s="541" t="s">
        <v>3830</v>
      </c>
      <c r="C164" s="541" t="s">
        <v>4006</v>
      </c>
    </row>
    <row r="165" spans="1:3" x14ac:dyDescent="0.25">
      <c r="A165" s="541" t="s">
        <v>3831</v>
      </c>
      <c r="C165" s="541" t="s">
        <v>4007</v>
      </c>
    </row>
    <row r="166" spans="1:3" x14ac:dyDescent="0.25">
      <c r="A166" s="541" t="s">
        <v>3832</v>
      </c>
      <c r="C166" s="541" t="s">
        <v>4008</v>
      </c>
    </row>
    <row r="167" spans="1:3" x14ac:dyDescent="0.25">
      <c r="A167" s="541" t="s">
        <v>3833</v>
      </c>
      <c r="C167" s="541" t="s">
        <v>4009</v>
      </c>
    </row>
    <row r="168" spans="1:3" x14ac:dyDescent="0.25">
      <c r="A168" s="541" t="s">
        <v>3834</v>
      </c>
      <c r="C168" s="541" t="s">
        <v>4010</v>
      </c>
    </row>
    <row r="169" spans="1:3" x14ac:dyDescent="0.25">
      <c r="A169" s="541" t="s">
        <v>3835</v>
      </c>
      <c r="C169" s="541" t="s">
        <v>4011</v>
      </c>
    </row>
    <row r="170" spans="1:3" x14ac:dyDescent="0.25">
      <c r="A170" s="541" t="s">
        <v>3836</v>
      </c>
      <c r="C170" s="541" t="s">
        <v>4012</v>
      </c>
    </row>
    <row r="171" spans="1:3" x14ac:dyDescent="0.25">
      <c r="A171" s="541" t="s">
        <v>3837</v>
      </c>
      <c r="C171" s="541" t="s">
        <v>4013</v>
      </c>
    </row>
    <row r="172" spans="1:3" x14ac:dyDescent="0.25">
      <c r="A172" s="541" t="s">
        <v>3838</v>
      </c>
      <c r="C172" s="541" t="s">
        <v>4014</v>
      </c>
    </row>
    <row r="173" spans="1:3" x14ac:dyDescent="0.25">
      <c r="A173" s="541" t="s">
        <v>3839</v>
      </c>
      <c r="C173" s="541" t="s">
        <v>4015</v>
      </c>
    </row>
    <row r="174" spans="1:3" x14ac:dyDescent="0.25">
      <c r="A174" s="541" t="s">
        <v>3840</v>
      </c>
      <c r="C174" s="541" t="s">
        <v>4016</v>
      </c>
    </row>
    <row r="175" spans="1:3" x14ac:dyDescent="0.25">
      <c r="A175" s="541" t="s">
        <v>3841</v>
      </c>
      <c r="C175" s="541" t="s">
        <v>4017</v>
      </c>
    </row>
    <row r="176" spans="1:3" x14ac:dyDescent="0.25">
      <c r="A176" s="541" t="s">
        <v>3842</v>
      </c>
      <c r="C176" s="541" t="s">
        <v>4018</v>
      </c>
    </row>
    <row r="177" spans="3:3" x14ac:dyDescent="0.25">
      <c r="C177" s="541" t="s">
        <v>4019</v>
      </c>
    </row>
    <row r="178" spans="3:3" x14ac:dyDescent="0.25">
      <c r="C178" s="541" t="s">
        <v>4020</v>
      </c>
    </row>
    <row r="179" spans="3:3" x14ac:dyDescent="0.25">
      <c r="C179" s="541" t="s">
        <v>4021</v>
      </c>
    </row>
    <row r="180" spans="3:3" x14ac:dyDescent="0.25">
      <c r="C180" s="541" t="s">
        <v>4022</v>
      </c>
    </row>
    <row r="181" spans="3:3" x14ac:dyDescent="0.25">
      <c r="C181" s="541" t="s">
        <v>4023</v>
      </c>
    </row>
    <row r="182" spans="3:3" x14ac:dyDescent="0.25">
      <c r="C182" s="541" t="s">
        <v>4024</v>
      </c>
    </row>
    <row r="183" spans="3:3" x14ac:dyDescent="0.25">
      <c r="C183" s="541" t="s">
        <v>4025</v>
      </c>
    </row>
    <row r="184" spans="3:3" x14ac:dyDescent="0.25">
      <c r="C184" s="541" t="s">
        <v>4026</v>
      </c>
    </row>
    <row r="185" spans="3:3" x14ac:dyDescent="0.25">
      <c r="C185" s="541" t="s">
        <v>4027</v>
      </c>
    </row>
    <row r="186" spans="3:3" x14ac:dyDescent="0.25">
      <c r="C186" s="541" t="s">
        <v>4028</v>
      </c>
    </row>
    <row r="187" spans="3:3" x14ac:dyDescent="0.25">
      <c r="C187" s="541" t="s">
        <v>4029</v>
      </c>
    </row>
    <row r="188" spans="3:3" x14ac:dyDescent="0.25">
      <c r="C188" s="541" t="s">
        <v>4030</v>
      </c>
    </row>
    <row r="189" spans="3:3" x14ac:dyDescent="0.25">
      <c r="C189" s="541" t="s">
        <v>4031</v>
      </c>
    </row>
    <row r="190" spans="3:3" x14ac:dyDescent="0.25">
      <c r="C190" s="541" t="s">
        <v>4032</v>
      </c>
    </row>
    <row r="191" spans="3:3" x14ac:dyDescent="0.25">
      <c r="C191" s="541" t="s">
        <v>4033</v>
      </c>
    </row>
    <row r="192" spans="3:3" x14ac:dyDescent="0.25">
      <c r="C192" s="541" t="s">
        <v>4034</v>
      </c>
    </row>
    <row r="193" spans="3:3" x14ac:dyDescent="0.25">
      <c r="C193" s="541" t="s">
        <v>4035</v>
      </c>
    </row>
    <row r="194" spans="3:3" x14ac:dyDescent="0.25">
      <c r="C194" s="541" t="s">
        <v>4036</v>
      </c>
    </row>
    <row r="195" spans="3:3" x14ac:dyDescent="0.25">
      <c r="C195" s="541" t="s">
        <v>4037</v>
      </c>
    </row>
    <row r="196" spans="3:3" x14ac:dyDescent="0.25">
      <c r="C196" s="541" t="s">
        <v>4038</v>
      </c>
    </row>
    <row r="197" spans="3:3" x14ac:dyDescent="0.25">
      <c r="C197" s="541" t="s">
        <v>4039</v>
      </c>
    </row>
    <row r="198" spans="3:3" x14ac:dyDescent="0.25">
      <c r="C198" s="541" t="s">
        <v>4040</v>
      </c>
    </row>
    <row r="199" spans="3:3" x14ac:dyDescent="0.25">
      <c r="C199" s="541" t="s">
        <v>4041</v>
      </c>
    </row>
    <row r="200" spans="3:3" x14ac:dyDescent="0.25">
      <c r="C200" s="541" t="s">
        <v>4042</v>
      </c>
    </row>
    <row r="201" spans="3:3" x14ac:dyDescent="0.25">
      <c r="C201" s="541" t="s">
        <v>4043</v>
      </c>
    </row>
    <row r="202" spans="3:3" x14ac:dyDescent="0.25">
      <c r="C202" s="541" t="s">
        <v>4044</v>
      </c>
    </row>
    <row r="203" spans="3:3" x14ac:dyDescent="0.25">
      <c r="C203" s="541" t="s">
        <v>4045</v>
      </c>
    </row>
    <row r="204" spans="3:3" x14ac:dyDescent="0.25">
      <c r="C204" s="541" t="s">
        <v>4046</v>
      </c>
    </row>
    <row r="205" spans="3:3" x14ac:dyDescent="0.25">
      <c r="C205" s="541" t="s">
        <v>4047</v>
      </c>
    </row>
    <row r="206" spans="3:3" x14ac:dyDescent="0.25">
      <c r="C206" s="541" t="s">
        <v>4048</v>
      </c>
    </row>
    <row r="207" spans="3:3" x14ac:dyDescent="0.25">
      <c r="C207" s="541" t="s">
        <v>4049</v>
      </c>
    </row>
    <row r="208" spans="3:3" x14ac:dyDescent="0.25">
      <c r="C208" s="541" t="s">
        <v>4050</v>
      </c>
    </row>
    <row r="209" spans="3:3" x14ac:dyDescent="0.25">
      <c r="C209" s="541" t="s">
        <v>4051</v>
      </c>
    </row>
    <row r="210" spans="3:3" x14ac:dyDescent="0.25">
      <c r="C210" s="541" t="s">
        <v>4052</v>
      </c>
    </row>
    <row r="211" spans="3:3" x14ac:dyDescent="0.25">
      <c r="C211" s="541" t="s">
        <v>4053</v>
      </c>
    </row>
    <row r="212" spans="3:3" x14ac:dyDescent="0.25">
      <c r="C212" s="541" t="s">
        <v>4054</v>
      </c>
    </row>
    <row r="213" spans="3:3" x14ac:dyDescent="0.25">
      <c r="C213" s="541" t="s">
        <v>4055</v>
      </c>
    </row>
    <row r="214" spans="3:3" x14ac:dyDescent="0.25">
      <c r="C214" s="541" t="s">
        <v>4056</v>
      </c>
    </row>
    <row r="215" spans="3:3" x14ac:dyDescent="0.25">
      <c r="C215" s="541" t="s">
        <v>4057</v>
      </c>
    </row>
    <row r="216" spans="3:3" x14ac:dyDescent="0.25">
      <c r="C216" s="541" t="s">
        <v>4058</v>
      </c>
    </row>
    <row r="217" spans="3:3" x14ac:dyDescent="0.25">
      <c r="C217" s="541" t="s">
        <v>4059</v>
      </c>
    </row>
    <row r="218" spans="3:3" x14ac:dyDescent="0.25">
      <c r="C218" s="541" t="s">
        <v>4060</v>
      </c>
    </row>
    <row r="219" spans="3:3" x14ac:dyDescent="0.25">
      <c r="C219" s="541" t="s">
        <v>4061</v>
      </c>
    </row>
    <row r="220" spans="3:3" x14ac:dyDescent="0.25">
      <c r="C220" s="541" t="s">
        <v>4062</v>
      </c>
    </row>
    <row r="221" spans="3:3" x14ac:dyDescent="0.25">
      <c r="C221" s="541" t="s">
        <v>4063</v>
      </c>
    </row>
    <row r="222" spans="3:3" x14ac:dyDescent="0.25">
      <c r="C222" s="541" t="s">
        <v>4064</v>
      </c>
    </row>
    <row r="223" spans="3:3" x14ac:dyDescent="0.25">
      <c r="C223" s="541" t="s">
        <v>4065</v>
      </c>
    </row>
    <row r="224" spans="3:3" x14ac:dyDescent="0.25">
      <c r="C224" s="541" t="s">
        <v>4066</v>
      </c>
    </row>
    <row r="225" spans="3:3" x14ac:dyDescent="0.25">
      <c r="C225" s="541" t="s">
        <v>4067</v>
      </c>
    </row>
    <row r="226" spans="3:3" x14ac:dyDescent="0.25">
      <c r="C226" s="541" t="s">
        <v>4068</v>
      </c>
    </row>
    <row r="227" spans="3:3" x14ac:dyDescent="0.25">
      <c r="C227" s="541" t="s">
        <v>4069</v>
      </c>
    </row>
    <row r="228" spans="3:3" x14ac:dyDescent="0.25">
      <c r="C228" s="541" t="s">
        <v>4070</v>
      </c>
    </row>
    <row r="229" spans="3:3" x14ac:dyDescent="0.25">
      <c r="C229" s="541" t="s">
        <v>4071</v>
      </c>
    </row>
    <row r="230" spans="3:3" x14ac:dyDescent="0.25">
      <c r="C230" s="541" t="s">
        <v>4072</v>
      </c>
    </row>
    <row r="231" spans="3:3" x14ac:dyDescent="0.25">
      <c r="C231" s="541" t="s">
        <v>4073</v>
      </c>
    </row>
    <row r="232" spans="3:3" x14ac:dyDescent="0.25">
      <c r="C232" s="541" t="s">
        <v>4074</v>
      </c>
    </row>
    <row r="233" spans="3:3" x14ac:dyDescent="0.25">
      <c r="C233" s="541" t="s">
        <v>4075</v>
      </c>
    </row>
    <row r="234" spans="3:3" x14ac:dyDescent="0.25">
      <c r="C234" s="541" t="s">
        <v>4076</v>
      </c>
    </row>
    <row r="235" spans="3:3" x14ac:dyDescent="0.25">
      <c r="C235" s="541" t="s">
        <v>4077</v>
      </c>
    </row>
    <row r="236" spans="3:3" x14ac:dyDescent="0.25">
      <c r="C236" s="541" t="s">
        <v>4078</v>
      </c>
    </row>
    <row r="237" spans="3:3" x14ac:dyDescent="0.25">
      <c r="C237" s="541" t="s">
        <v>4079</v>
      </c>
    </row>
    <row r="238" spans="3:3" x14ac:dyDescent="0.25">
      <c r="C238" s="541" t="s">
        <v>4080</v>
      </c>
    </row>
    <row r="239" spans="3:3" x14ac:dyDescent="0.25">
      <c r="C239" s="541" t="s">
        <v>4081</v>
      </c>
    </row>
    <row r="240" spans="3:3" x14ac:dyDescent="0.25">
      <c r="C240" s="541" t="s">
        <v>4082</v>
      </c>
    </row>
    <row r="241" spans="3:3" x14ac:dyDescent="0.25">
      <c r="C241" s="541" t="s">
        <v>4083</v>
      </c>
    </row>
    <row r="242" spans="3:3" x14ac:dyDescent="0.25">
      <c r="C242" s="541" t="s">
        <v>4084</v>
      </c>
    </row>
    <row r="243" spans="3:3" x14ac:dyDescent="0.25">
      <c r="C243" s="541" t="s">
        <v>4085</v>
      </c>
    </row>
    <row r="244" spans="3:3" x14ac:dyDescent="0.25">
      <c r="C244" s="541" t="s">
        <v>4086</v>
      </c>
    </row>
    <row r="245" spans="3:3" x14ac:dyDescent="0.25">
      <c r="C245" s="541" t="s">
        <v>4087</v>
      </c>
    </row>
    <row r="246" spans="3:3" x14ac:dyDescent="0.25">
      <c r="C246" s="541" t="s">
        <v>4088</v>
      </c>
    </row>
    <row r="247" spans="3:3" x14ac:dyDescent="0.25">
      <c r="C247" s="541" t="s">
        <v>4089</v>
      </c>
    </row>
    <row r="248" spans="3:3" x14ac:dyDescent="0.25">
      <c r="C248" s="541" t="s">
        <v>4090</v>
      </c>
    </row>
    <row r="249" spans="3:3" x14ac:dyDescent="0.25">
      <c r="C249" s="541" t="s">
        <v>4091</v>
      </c>
    </row>
    <row r="250" spans="3:3" x14ac:dyDescent="0.25">
      <c r="C250" s="541" t="s">
        <v>4092</v>
      </c>
    </row>
    <row r="251" spans="3:3" x14ac:dyDescent="0.25">
      <c r="C251" s="541" t="s">
        <v>4093</v>
      </c>
    </row>
    <row r="252" spans="3:3" x14ac:dyDescent="0.25">
      <c r="C252" s="541" t="s">
        <v>4094</v>
      </c>
    </row>
    <row r="253" spans="3:3" x14ac:dyDescent="0.25">
      <c r="C253" s="541" t="s">
        <v>4095</v>
      </c>
    </row>
    <row r="254" spans="3:3" x14ac:dyDescent="0.25">
      <c r="C254" s="541" t="s">
        <v>4096</v>
      </c>
    </row>
    <row r="255" spans="3:3" x14ac:dyDescent="0.25">
      <c r="C255" s="541" t="s">
        <v>4097</v>
      </c>
    </row>
    <row r="256" spans="3:3" x14ac:dyDescent="0.25">
      <c r="C256" s="541" t="s">
        <v>4098</v>
      </c>
    </row>
    <row r="257" spans="3:3" x14ac:dyDescent="0.25">
      <c r="C257" s="541" t="s">
        <v>4099</v>
      </c>
    </row>
    <row r="258" spans="3:3" x14ac:dyDescent="0.25">
      <c r="C258" s="541" t="s">
        <v>4100</v>
      </c>
    </row>
    <row r="259" spans="3:3" x14ac:dyDescent="0.25">
      <c r="C259" s="541" t="s">
        <v>4101</v>
      </c>
    </row>
    <row r="260" spans="3:3" x14ac:dyDescent="0.25">
      <c r="C260" s="541" t="s">
        <v>4102</v>
      </c>
    </row>
    <row r="261" spans="3:3" x14ac:dyDescent="0.25">
      <c r="C261" s="541" t="s">
        <v>4103</v>
      </c>
    </row>
    <row r="262" spans="3:3" x14ac:dyDescent="0.25">
      <c r="C262" s="541" t="s">
        <v>4104</v>
      </c>
    </row>
    <row r="263" spans="3:3" x14ac:dyDescent="0.25">
      <c r="C263" s="541" t="s">
        <v>4105</v>
      </c>
    </row>
    <row r="264" spans="3:3" x14ac:dyDescent="0.25">
      <c r="C264" s="541" t="s">
        <v>4106</v>
      </c>
    </row>
    <row r="265" spans="3:3" x14ac:dyDescent="0.25">
      <c r="C265" s="541" t="s">
        <v>4107</v>
      </c>
    </row>
    <row r="266" spans="3:3" x14ac:dyDescent="0.25">
      <c r="C266" s="541" t="s">
        <v>4108</v>
      </c>
    </row>
    <row r="267" spans="3:3" x14ac:dyDescent="0.25">
      <c r="C267" s="541" t="s">
        <v>4109</v>
      </c>
    </row>
    <row r="268" spans="3:3" x14ac:dyDescent="0.25">
      <c r="C268" s="541" t="s">
        <v>4110</v>
      </c>
    </row>
    <row r="269" spans="3:3" x14ac:dyDescent="0.25">
      <c r="C269" s="541" t="s">
        <v>4111</v>
      </c>
    </row>
    <row r="270" spans="3:3" x14ac:dyDescent="0.25">
      <c r="C270" s="541" t="s">
        <v>4112</v>
      </c>
    </row>
    <row r="271" spans="3:3" x14ac:dyDescent="0.25">
      <c r="C271" s="541" t="s">
        <v>4113</v>
      </c>
    </row>
    <row r="272" spans="3:3" x14ac:dyDescent="0.25">
      <c r="C272" s="541" t="s">
        <v>4114</v>
      </c>
    </row>
    <row r="273" spans="3:3" x14ac:dyDescent="0.25">
      <c r="C273" s="541" t="s">
        <v>4115</v>
      </c>
    </row>
    <row r="274" spans="3:3" x14ac:dyDescent="0.25">
      <c r="C274" s="541" t="s">
        <v>4116</v>
      </c>
    </row>
    <row r="275" spans="3:3" x14ac:dyDescent="0.25">
      <c r="C275" s="541" t="s">
        <v>4117</v>
      </c>
    </row>
    <row r="276" spans="3:3" x14ac:dyDescent="0.25">
      <c r="C276" s="541" t="s">
        <v>4118</v>
      </c>
    </row>
    <row r="277" spans="3:3" x14ac:dyDescent="0.25">
      <c r="C277" s="541" t="s">
        <v>4119</v>
      </c>
    </row>
    <row r="278" spans="3:3" x14ac:dyDescent="0.25">
      <c r="C278" s="541" t="s">
        <v>4120</v>
      </c>
    </row>
    <row r="279" spans="3:3" x14ac:dyDescent="0.25">
      <c r="C279" s="541" t="s">
        <v>4121</v>
      </c>
    </row>
    <row r="280" spans="3:3" x14ac:dyDescent="0.25">
      <c r="C280" s="541" t="s">
        <v>4122</v>
      </c>
    </row>
    <row r="281" spans="3:3" x14ac:dyDescent="0.25">
      <c r="C281" s="541" t="s">
        <v>4123</v>
      </c>
    </row>
    <row r="282" spans="3:3" x14ac:dyDescent="0.25">
      <c r="C282" s="541" t="s">
        <v>4124</v>
      </c>
    </row>
    <row r="283" spans="3:3" x14ac:dyDescent="0.25">
      <c r="C283" s="541" t="s">
        <v>4125</v>
      </c>
    </row>
    <row r="284" spans="3:3" x14ac:dyDescent="0.25">
      <c r="C284" s="541" t="s">
        <v>4126</v>
      </c>
    </row>
    <row r="285" spans="3:3" x14ac:dyDescent="0.25">
      <c r="C285" s="541" t="s">
        <v>4127</v>
      </c>
    </row>
    <row r="286" spans="3:3" x14ac:dyDescent="0.25">
      <c r="C286" s="541" t="s">
        <v>4128</v>
      </c>
    </row>
    <row r="287" spans="3:3" x14ac:dyDescent="0.25">
      <c r="C287" s="541" t="s">
        <v>4129</v>
      </c>
    </row>
    <row r="288" spans="3:3" x14ac:dyDescent="0.25">
      <c r="C288" s="541" t="s">
        <v>4130</v>
      </c>
    </row>
    <row r="289" spans="3:3" x14ac:dyDescent="0.25">
      <c r="C289" s="541" t="s">
        <v>4131</v>
      </c>
    </row>
    <row r="290" spans="3:3" x14ac:dyDescent="0.25">
      <c r="C290" s="541" t="s">
        <v>4132</v>
      </c>
    </row>
    <row r="291" spans="3:3" x14ac:dyDescent="0.25">
      <c r="C291" s="541" t="s">
        <v>4133</v>
      </c>
    </row>
    <row r="292" spans="3:3" x14ac:dyDescent="0.25">
      <c r="C292" s="541" t="s">
        <v>4134</v>
      </c>
    </row>
    <row r="293" spans="3:3" x14ac:dyDescent="0.25">
      <c r="C293" s="541" t="s">
        <v>4135</v>
      </c>
    </row>
    <row r="294" spans="3:3" x14ac:dyDescent="0.25">
      <c r="C294" s="541" t="s">
        <v>4136</v>
      </c>
    </row>
    <row r="295" spans="3:3" x14ac:dyDescent="0.25">
      <c r="C295" s="541" t="s">
        <v>4137</v>
      </c>
    </row>
    <row r="296" spans="3:3" x14ac:dyDescent="0.25">
      <c r="C296" s="541" t="s">
        <v>4138</v>
      </c>
    </row>
    <row r="297" spans="3:3" x14ac:dyDescent="0.25">
      <c r="C297" s="541" t="s">
        <v>4139</v>
      </c>
    </row>
    <row r="298" spans="3:3" x14ac:dyDescent="0.25">
      <c r="C298" s="541" t="s">
        <v>4140</v>
      </c>
    </row>
    <row r="299" spans="3:3" x14ac:dyDescent="0.25">
      <c r="C299" s="541" t="s">
        <v>4141</v>
      </c>
    </row>
    <row r="300" spans="3:3" x14ac:dyDescent="0.25">
      <c r="C300" s="541" t="s">
        <v>4142</v>
      </c>
    </row>
    <row r="301" spans="3:3" x14ac:dyDescent="0.25">
      <c r="C301" s="541" t="s">
        <v>4143</v>
      </c>
    </row>
    <row r="302" spans="3:3" x14ac:dyDescent="0.25">
      <c r="C302" s="541" t="s">
        <v>4144</v>
      </c>
    </row>
    <row r="303" spans="3:3" x14ac:dyDescent="0.25">
      <c r="C303" s="541" t="s">
        <v>4145</v>
      </c>
    </row>
    <row r="304" spans="3:3" x14ac:dyDescent="0.25">
      <c r="C304" s="541" t="s">
        <v>4146</v>
      </c>
    </row>
    <row r="305" spans="3:3" x14ac:dyDescent="0.25">
      <c r="C305" s="541" t="s">
        <v>4147</v>
      </c>
    </row>
    <row r="306" spans="3:3" x14ac:dyDescent="0.25">
      <c r="C306" s="541" t="s">
        <v>4148</v>
      </c>
    </row>
    <row r="307" spans="3:3" x14ac:dyDescent="0.25">
      <c r="C307" s="541" t="s">
        <v>4149</v>
      </c>
    </row>
    <row r="308" spans="3:3" x14ac:dyDescent="0.25">
      <c r="C308" s="541" t="s">
        <v>4150</v>
      </c>
    </row>
    <row r="309" spans="3:3" x14ac:dyDescent="0.25">
      <c r="C309" s="541" t="s">
        <v>4151</v>
      </c>
    </row>
    <row r="310" spans="3:3" x14ac:dyDescent="0.25">
      <c r="C310" s="541" t="s">
        <v>4152</v>
      </c>
    </row>
    <row r="311" spans="3:3" x14ac:dyDescent="0.25">
      <c r="C311" s="541" t="s">
        <v>4153</v>
      </c>
    </row>
    <row r="312" spans="3:3" x14ac:dyDescent="0.25">
      <c r="C312" s="541" t="s">
        <v>4154</v>
      </c>
    </row>
    <row r="313" spans="3:3" x14ac:dyDescent="0.25">
      <c r="C313" s="541" t="s">
        <v>4155</v>
      </c>
    </row>
    <row r="314" spans="3:3" x14ac:dyDescent="0.25">
      <c r="C314" s="541" t="s">
        <v>4156</v>
      </c>
    </row>
    <row r="315" spans="3:3" x14ac:dyDescent="0.25">
      <c r="C315" s="541" t="s">
        <v>4157</v>
      </c>
    </row>
    <row r="316" spans="3:3" x14ac:dyDescent="0.25">
      <c r="C316" s="541" t="s">
        <v>4158</v>
      </c>
    </row>
    <row r="317" spans="3:3" x14ac:dyDescent="0.25">
      <c r="C317" s="541" t="s">
        <v>4159</v>
      </c>
    </row>
    <row r="318" spans="3:3" x14ac:dyDescent="0.25">
      <c r="C318" s="541" t="s">
        <v>4160</v>
      </c>
    </row>
    <row r="319" spans="3:3" x14ac:dyDescent="0.25">
      <c r="C319" s="541" t="s">
        <v>4161</v>
      </c>
    </row>
    <row r="320" spans="3:3" x14ac:dyDescent="0.25">
      <c r="C320" s="541" t="s">
        <v>4162</v>
      </c>
    </row>
    <row r="321" spans="3:3" x14ac:dyDescent="0.25">
      <c r="C321" s="541" t="s">
        <v>4163</v>
      </c>
    </row>
    <row r="322" spans="3:3" x14ac:dyDescent="0.25">
      <c r="C322" s="541" t="s">
        <v>4164</v>
      </c>
    </row>
    <row r="323" spans="3:3" x14ac:dyDescent="0.25">
      <c r="C323" s="541" t="s">
        <v>4165</v>
      </c>
    </row>
    <row r="324" spans="3:3" x14ac:dyDescent="0.25">
      <c r="C324" s="541" t="s">
        <v>4166</v>
      </c>
    </row>
    <row r="325" spans="3:3" x14ac:dyDescent="0.25">
      <c r="C325" s="541" t="s">
        <v>4167</v>
      </c>
    </row>
    <row r="326" spans="3:3" x14ac:dyDescent="0.25">
      <c r="C326" s="541" t="s">
        <v>4168</v>
      </c>
    </row>
    <row r="327" spans="3:3" x14ac:dyDescent="0.25">
      <c r="C327" s="541" t="s">
        <v>4169</v>
      </c>
    </row>
    <row r="328" spans="3:3" x14ac:dyDescent="0.25">
      <c r="C328" s="541" t="s">
        <v>4170</v>
      </c>
    </row>
    <row r="329" spans="3:3" x14ac:dyDescent="0.25">
      <c r="C329" s="541" t="s">
        <v>4171</v>
      </c>
    </row>
    <row r="330" spans="3:3" x14ac:dyDescent="0.25">
      <c r="C330" s="541" t="s">
        <v>4172</v>
      </c>
    </row>
    <row r="331" spans="3:3" x14ac:dyDescent="0.25">
      <c r="C331" s="541" t="s">
        <v>4173</v>
      </c>
    </row>
    <row r="332" spans="3:3" x14ac:dyDescent="0.25">
      <c r="C332" s="541" t="s">
        <v>4174</v>
      </c>
    </row>
    <row r="333" spans="3:3" x14ac:dyDescent="0.25">
      <c r="C333" s="541" t="s">
        <v>4175</v>
      </c>
    </row>
    <row r="334" spans="3:3" x14ac:dyDescent="0.25">
      <c r="C334" s="541" t="s">
        <v>4176</v>
      </c>
    </row>
    <row r="335" spans="3:3" x14ac:dyDescent="0.25">
      <c r="C335" s="541" t="s">
        <v>4177</v>
      </c>
    </row>
    <row r="336" spans="3:3" x14ac:dyDescent="0.25">
      <c r="C336" s="541" t="s">
        <v>4178</v>
      </c>
    </row>
    <row r="337" spans="3:3" x14ac:dyDescent="0.25">
      <c r="C337" s="541" t="s">
        <v>4179</v>
      </c>
    </row>
    <row r="338" spans="3:3" x14ac:dyDescent="0.25">
      <c r="C338" s="541" t="s">
        <v>4180</v>
      </c>
    </row>
    <row r="339" spans="3:3" x14ac:dyDescent="0.25">
      <c r="C339" s="541" t="s">
        <v>4181</v>
      </c>
    </row>
    <row r="340" spans="3:3" x14ac:dyDescent="0.25">
      <c r="C340" s="541" t="s">
        <v>4182</v>
      </c>
    </row>
    <row r="341" spans="3:3" x14ac:dyDescent="0.25">
      <c r="C341" s="541" t="s">
        <v>4183</v>
      </c>
    </row>
    <row r="342" spans="3:3" x14ac:dyDescent="0.25">
      <c r="C342" s="541" t="s">
        <v>4184</v>
      </c>
    </row>
    <row r="343" spans="3:3" x14ac:dyDescent="0.25">
      <c r="C343" s="541" t="s">
        <v>4185</v>
      </c>
    </row>
    <row r="344" spans="3:3" x14ac:dyDescent="0.25">
      <c r="C344" s="541" t="s">
        <v>4186</v>
      </c>
    </row>
    <row r="345" spans="3:3" x14ac:dyDescent="0.25">
      <c r="C345" s="541" t="s">
        <v>4187</v>
      </c>
    </row>
    <row r="346" spans="3:3" x14ac:dyDescent="0.25">
      <c r="C346" s="541" t="s">
        <v>4188</v>
      </c>
    </row>
    <row r="347" spans="3:3" x14ac:dyDescent="0.25">
      <c r="C347" s="541" t="s">
        <v>4189</v>
      </c>
    </row>
    <row r="348" spans="3:3" x14ac:dyDescent="0.25">
      <c r="C348" s="541" t="s">
        <v>4190</v>
      </c>
    </row>
    <row r="349" spans="3:3" x14ac:dyDescent="0.25">
      <c r="C349" s="541" t="s">
        <v>4191</v>
      </c>
    </row>
    <row r="350" spans="3:3" x14ac:dyDescent="0.25">
      <c r="C350" s="541" t="s">
        <v>4192</v>
      </c>
    </row>
    <row r="351" spans="3:3" x14ac:dyDescent="0.25">
      <c r="C351" s="541" t="s">
        <v>4193</v>
      </c>
    </row>
    <row r="352" spans="3:3" x14ac:dyDescent="0.25">
      <c r="C352" s="541" t="s">
        <v>4194</v>
      </c>
    </row>
    <row r="353" spans="3:3" x14ac:dyDescent="0.25">
      <c r="C353" s="541" t="s">
        <v>4195</v>
      </c>
    </row>
    <row r="354" spans="3:3" x14ac:dyDescent="0.25">
      <c r="C354" s="541" t="s">
        <v>4196</v>
      </c>
    </row>
    <row r="355" spans="3:3" x14ac:dyDescent="0.25">
      <c r="C355" s="541" t="s">
        <v>4197</v>
      </c>
    </row>
    <row r="356" spans="3:3" x14ac:dyDescent="0.25">
      <c r="C356" s="541" t="s">
        <v>4198</v>
      </c>
    </row>
    <row r="357" spans="3:3" x14ac:dyDescent="0.25">
      <c r="C357" s="541" t="s">
        <v>4199</v>
      </c>
    </row>
    <row r="358" spans="3:3" x14ac:dyDescent="0.25">
      <c r="C358" s="541" t="s">
        <v>4200</v>
      </c>
    </row>
    <row r="359" spans="3:3" x14ac:dyDescent="0.25">
      <c r="C359" s="541" t="s">
        <v>4201</v>
      </c>
    </row>
    <row r="360" spans="3:3" x14ac:dyDescent="0.25">
      <c r="C360" s="541" t="s">
        <v>4202</v>
      </c>
    </row>
    <row r="361" spans="3:3" x14ac:dyDescent="0.25">
      <c r="C361" s="541" t="s">
        <v>4203</v>
      </c>
    </row>
    <row r="362" spans="3:3" x14ac:dyDescent="0.25">
      <c r="C362" s="541" t="s">
        <v>4204</v>
      </c>
    </row>
    <row r="363" spans="3:3" x14ac:dyDescent="0.25">
      <c r="C363" s="541" t="s">
        <v>4205</v>
      </c>
    </row>
    <row r="364" spans="3:3" x14ac:dyDescent="0.25">
      <c r="C364" s="541" t="s">
        <v>4206</v>
      </c>
    </row>
    <row r="365" spans="3:3" x14ac:dyDescent="0.25">
      <c r="C365" s="541" t="s">
        <v>4207</v>
      </c>
    </row>
    <row r="366" spans="3:3" x14ac:dyDescent="0.25">
      <c r="C366" s="541" t="s">
        <v>4208</v>
      </c>
    </row>
    <row r="367" spans="3:3" x14ac:dyDescent="0.25">
      <c r="C367" s="541" t="s">
        <v>4209</v>
      </c>
    </row>
    <row r="368" spans="3:3" x14ac:dyDescent="0.25">
      <c r="C368" s="541" t="s">
        <v>4210</v>
      </c>
    </row>
    <row r="369" spans="3:3" x14ac:dyDescent="0.25">
      <c r="C369" s="541" t="s">
        <v>4211</v>
      </c>
    </row>
    <row r="370" spans="3:3" x14ac:dyDescent="0.25">
      <c r="C370" s="541" t="s">
        <v>4212</v>
      </c>
    </row>
    <row r="371" spans="3:3" x14ac:dyDescent="0.25">
      <c r="C371" s="541" t="s">
        <v>4213</v>
      </c>
    </row>
    <row r="372" spans="3:3" x14ac:dyDescent="0.25">
      <c r="C372" s="541" t="s">
        <v>4214</v>
      </c>
    </row>
    <row r="373" spans="3:3" x14ac:dyDescent="0.25">
      <c r="C373" s="541" t="s">
        <v>4215</v>
      </c>
    </row>
    <row r="374" spans="3:3" x14ac:dyDescent="0.25">
      <c r="C374" s="541" t="s">
        <v>4216</v>
      </c>
    </row>
    <row r="375" spans="3:3" x14ac:dyDescent="0.25">
      <c r="C375" s="541" t="s">
        <v>4217</v>
      </c>
    </row>
    <row r="376" spans="3:3" x14ac:dyDescent="0.25">
      <c r="C376" s="541" t="s">
        <v>4218</v>
      </c>
    </row>
    <row r="377" spans="3:3" x14ac:dyDescent="0.25">
      <c r="C377" s="541" t="s">
        <v>4219</v>
      </c>
    </row>
    <row r="378" spans="3:3" x14ac:dyDescent="0.25">
      <c r="C378" s="541" t="s">
        <v>4220</v>
      </c>
    </row>
    <row r="379" spans="3:3" x14ac:dyDescent="0.25">
      <c r="C379" s="541" t="s">
        <v>4221</v>
      </c>
    </row>
    <row r="380" spans="3:3" x14ac:dyDescent="0.25">
      <c r="C380" s="541" t="s">
        <v>4222</v>
      </c>
    </row>
    <row r="381" spans="3:3" x14ac:dyDescent="0.25">
      <c r="C381" s="541" t="s">
        <v>4223</v>
      </c>
    </row>
    <row r="382" spans="3:3" x14ac:dyDescent="0.25">
      <c r="C382" s="541" t="s">
        <v>4224</v>
      </c>
    </row>
    <row r="383" spans="3:3" x14ac:dyDescent="0.25">
      <c r="C383" s="541" t="s">
        <v>4225</v>
      </c>
    </row>
    <row r="384" spans="3:3" x14ac:dyDescent="0.25">
      <c r="C384" s="541" t="s">
        <v>4226</v>
      </c>
    </row>
    <row r="385" spans="3:3" x14ac:dyDescent="0.25">
      <c r="C385" s="541" t="s">
        <v>4227</v>
      </c>
    </row>
    <row r="386" spans="3:3" x14ac:dyDescent="0.25">
      <c r="C386" s="541" t="s">
        <v>4228</v>
      </c>
    </row>
    <row r="387" spans="3:3" x14ac:dyDescent="0.25">
      <c r="C387" s="541" t="s">
        <v>4229</v>
      </c>
    </row>
    <row r="388" spans="3:3" x14ac:dyDescent="0.25">
      <c r="C388" s="541" t="s">
        <v>4230</v>
      </c>
    </row>
    <row r="389" spans="3:3" x14ac:dyDescent="0.25">
      <c r="C389" s="541" t="s">
        <v>4231</v>
      </c>
    </row>
    <row r="390" spans="3:3" x14ac:dyDescent="0.25">
      <c r="C390" s="541" t="s">
        <v>4232</v>
      </c>
    </row>
    <row r="391" spans="3:3" x14ac:dyDescent="0.25">
      <c r="C391" s="541" t="s">
        <v>4233</v>
      </c>
    </row>
    <row r="392" spans="3:3" x14ac:dyDescent="0.25">
      <c r="C392" s="541" t="s">
        <v>4234</v>
      </c>
    </row>
    <row r="393" spans="3:3" x14ac:dyDescent="0.25">
      <c r="C393" s="541" t="s">
        <v>4235</v>
      </c>
    </row>
    <row r="394" spans="3:3" x14ac:dyDescent="0.25">
      <c r="C394" s="541" t="s">
        <v>4236</v>
      </c>
    </row>
    <row r="395" spans="3:3" x14ac:dyDescent="0.25">
      <c r="C395" s="541" t="s">
        <v>4237</v>
      </c>
    </row>
    <row r="396" spans="3:3" x14ac:dyDescent="0.25">
      <c r="C396" s="541" t="s">
        <v>4238</v>
      </c>
    </row>
    <row r="397" spans="3:3" x14ac:dyDescent="0.25">
      <c r="C397" s="541" t="s">
        <v>4239</v>
      </c>
    </row>
    <row r="398" spans="3:3" x14ac:dyDescent="0.25">
      <c r="C398" s="541" t="s">
        <v>4240</v>
      </c>
    </row>
    <row r="399" spans="3:3" x14ac:dyDescent="0.25">
      <c r="C399" s="541" t="s">
        <v>4241</v>
      </c>
    </row>
    <row r="400" spans="3:3" x14ac:dyDescent="0.25">
      <c r="C400" s="541" t="s">
        <v>4242</v>
      </c>
    </row>
    <row r="401" spans="3:3" x14ac:dyDescent="0.25">
      <c r="C401" s="541" t="s">
        <v>4243</v>
      </c>
    </row>
    <row r="402" spans="3:3" x14ac:dyDescent="0.25">
      <c r="C402" s="541" t="s">
        <v>4244</v>
      </c>
    </row>
    <row r="403" spans="3:3" x14ac:dyDescent="0.25">
      <c r="C403" s="541" t="s">
        <v>4245</v>
      </c>
    </row>
    <row r="404" spans="3:3" x14ac:dyDescent="0.25">
      <c r="C404" s="541" t="s">
        <v>4246</v>
      </c>
    </row>
    <row r="405" spans="3:3" x14ac:dyDescent="0.25">
      <c r="C405" s="541" t="s">
        <v>4247</v>
      </c>
    </row>
    <row r="406" spans="3:3" x14ac:dyDescent="0.25">
      <c r="C406" s="541" t="s">
        <v>4248</v>
      </c>
    </row>
    <row r="407" spans="3:3" x14ac:dyDescent="0.25">
      <c r="C407" s="541" t="s">
        <v>4249</v>
      </c>
    </row>
    <row r="408" spans="3:3" x14ac:dyDescent="0.25">
      <c r="C408" s="541" t="s">
        <v>4250</v>
      </c>
    </row>
    <row r="409" spans="3:3" x14ac:dyDescent="0.25">
      <c r="C409" s="541" t="s">
        <v>4251</v>
      </c>
    </row>
    <row r="410" spans="3:3" x14ac:dyDescent="0.25">
      <c r="C410" s="541" t="s">
        <v>4252</v>
      </c>
    </row>
    <row r="411" spans="3:3" x14ac:dyDescent="0.25">
      <c r="C411" s="541" t="s">
        <v>4253</v>
      </c>
    </row>
    <row r="412" spans="3:3" x14ac:dyDescent="0.25">
      <c r="C412" s="541" t="s">
        <v>4254</v>
      </c>
    </row>
    <row r="413" spans="3:3" x14ac:dyDescent="0.25">
      <c r="C413" s="541" t="s">
        <v>4255</v>
      </c>
    </row>
    <row r="414" spans="3:3" x14ac:dyDescent="0.25">
      <c r="C414" s="541" t="s">
        <v>4256</v>
      </c>
    </row>
    <row r="415" spans="3:3" x14ac:dyDescent="0.25">
      <c r="C415" s="541" t="s">
        <v>4257</v>
      </c>
    </row>
    <row r="416" spans="3:3" x14ac:dyDescent="0.25">
      <c r="C416" s="541" t="s">
        <v>4258</v>
      </c>
    </row>
    <row r="417" spans="3:3" x14ac:dyDescent="0.25">
      <c r="C417" s="541" t="s">
        <v>4259</v>
      </c>
    </row>
    <row r="418" spans="3:3" x14ac:dyDescent="0.25">
      <c r="C418" s="541" t="s">
        <v>4260</v>
      </c>
    </row>
    <row r="419" spans="3:3" x14ac:dyDescent="0.25">
      <c r="C419" s="541" t="s">
        <v>4261</v>
      </c>
    </row>
    <row r="420" spans="3:3" x14ac:dyDescent="0.25">
      <c r="C420" s="541" t="s">
        <v>4262</v>
      </c>
    </row>
    <row r="421" spans="3:3" x14ac:dyDescent="0.25">
      <c r="C421" s="541" t="s">
        <v>4263</v>
      </c>
    </row>
    <row r="422" spans="3:3" x14ac:dyDescent="0.25">
      <c r="C422" s="541" t="s">
        <v>4264</v>
      </c>
    </row>
    <row r="423" spans="3:3" x14ac:dyDescent="0.25">
      <c r="C423" s="541" t="s">
        <v>4265</v>
      </c>
    </row>
    <row r="424" spans="3:3" x14ac:dyDescent="0.25">
      <c r="C424" s="541" t="s">
        <v>4266</v>
      </c>
    </row>
    <row r="425" spans="3:3" x14ac:dyDescent="0.25">
      <c r="C425" s="541" t="s">
        <v>4267</v>
      </c>
    </row>
    <row r="426" spans="3:3" x14ac:dyDescent="0.25">
      <c r="C426" s="541" t="s">
        <v>4268</v>
      </c>
    </row>
    <row r="427" spans="3:3" x14ac:dyDescent="0.25">
      <c r="C427" s="541" t="s">
        <v>4269</v>
      </c>
    </row>
    <row r="428" spans="3:3" x14ac:dyDescent="0.25">
      <c r="C428" s="541" t="s">
        <v>4270</v>
      </c>
    </row>
    <row r="429" spans="3:3" x14ac:dyDescent="0.25">
      <c r="C429" s="541" t="s">
        <v>4271</v>
      </c>
    </row>
    <row r="430" spans="3:3" x14ac:dyDescent="0.25">
      <c r="C430" s="541" t="s">
        <v>4272</v>
      </c>
    </row>
    <row r="431" spans="3:3" x14ac:dyDescent="0.25">
      <c r="C431" s="541" t="s">
        <v>4273</v>
      </c>
    </row>
    <row r="432" spans="3:3" x14ac:dyDescent="0.25">
      <c r="C432" s="541" t="s">
        <v>4274</v>
      </c>
    </row>
    <row r="433" spans="3:3" x14ac:dyDescent="0.25">
      <c r="C433" s="541" t="s">
        <v>4275</v>
      </c>
    </row>
    <row r="434" spans="3:3" x14ac:dyDescent="0.25">
      <c r="C434" s="541" t="s">
        <v>4276</v>
      </c>
    </row>
    <row r="435" spans="3:3" x14ac:dyDescent="0.25">
      <c r="C435" s="541" t="s">
        <v>4277</v>
      </c>
    </row>
    <row r="436" spans="3:3" x14ac:dyDescent="0.25">
      <c r="C436" s="541" t="s">
        <v>4278</v>
      </c>
    </row>
    <row r="437" spans="3:3" x14ac:dyDescent="0.25">
      <c r="C437" s="541" t="s">
        <v>4279</v>
      </c>
    </row>
    <row r="438" spans="3:3" x14ac:dyDescent="0.25">
      <c r="C438" s="541" t="s">
        <v>4280</v>
      </c>
    </row>
    <row r="439" spans="3:3" x14ac:dyDescent="0.25">
      <c r="C439" s="541" t="s">
        <v>4281</v>
      </c>
    </row>
    <row r="440" spans="3:3" x14ac:dyDescent="0.25">
      <c r="C440" s="541" t="s">
        <v>4282</v>
      </c>
    </row>
    <row r="441" spans="3:3" x14ac:dyDescent="0.25">
      <c r="C441" s="541" t="s">
        <v>4283</v>
      </c>
    </row>
    <row r="442" spans="3:3" x14ac:dyDescent="0.25">
      <c r="C442" s="541" t="s">
        <v>4284</v>
      </c>
    </row>
    <row r="443" spans="3:3" x14ac:dyDescent="0.25">
      <c r="C443" s="541" t="s">
        <v>4285</v>
      </c>
    </row>
    <row r="444" spans="3:3" x14ac:dyDescent="0.25">
      <c r="C444" s="541" t="s">
        <v>4286</v>
      </c>
    </row>
    <row r="445" spans="3:3" x14ac:dyDescent="0.25">
      <c r="C445" s="541" t="s">
        <v>4287</v>
      </c>
    </row>
    <row r="446" spans="3:3" x14ac:dyDescent="0.25">
      <c r="C446" s="541" t="s">
        <v>4288</v>
      </c>
    </row>
    <row r="447" spans="3:3" x14ac:dyDescent="0.25">
      <c r="C447" s="541" t="s">
        <v>4289</v>
      </c>
    </row>
    <row r="448" spans="3:3" x14ac:dyDescent="0.25">
      <c r="C448" s="541" t="s">
        <v>4290</v>
      </c>
    </row>
    <row r="449" spans="3:3" x14ac:dyDescent="0.25">
      <c r="C449" s="541" t="s">
        <v>4291</v>
      </c>
    </row>
    <row r="450" spans="3:3" x14ac:dyDescent="0.25">
      <c r="C450" s="541" t="s">
        <v>4292</v>
      </c>
    </row>
    <row r="451" spans="3:3" x14ac:dyDescent="0.25">
      <c r="C451" s="541" t="s">
        <v>4293</v>
      </c>
    </row>
    <row r="452" spans="3:3" x14ac:dyDescent="0.25">
      <c r="C452" s="541" t="s">
        <v>4294</v>
      </c>
    </row>
    <row r="453" spans="3:3" x14ac:dyDescent="0.25">
      <c r="C453" s="541" t="s">
        <v>4295</v>
      </c>
    </row>
    <row r="454" spans="3:3" x14ac:dyDescent="0.25">
      <c r="C454" s="541" t="s">
        <v>4296</v>
      </c>
    </row>
    <row r="455" spans="3:3" x14ac:dyDescent="0.25">
      <c r="C455" s="541" t="s">
        <v>4297</v>
      </c>
    </row>
    <row r="456" spans="3:3" x14ac:dyDescent="0.25">
      <c r="C456" s="541" t="s">
        <v>4298</v>
      </c>
    </row>
    <row r="457" spans="3:3" x14ac:dyDescent="0.25">
      <c r="C457" s="541" t="s">
        <v>4299</v>
      </c>
    </row>
    <row r="458" spans="3:3" x14ac:dyDescent="0.25">
      <c r="C458" s="541" t="s">
        <v>4300</v>
      </c>
    </row>
    <row r="459" spans="3:3" x14ac:dyDescent="0.25">
      <c r="C459" s="541" t="s">
        <v>4301</v>
      </c>
    </row>
    <row r="460" spans="3:3" x14ac:dyDescent="0.25">
      <c r="C460" s="541" t="s">
        <v>4302</v>
      </c>
    </row>
    <row r="461" spans="3:3" x14ac:dyDescent="0.25">
      <c r="C461" s="541" t="s">
        <v>4303</v>
      </c>
    </row>
    <row r="462" spans="3:3" x14ac:dyDescent="0.25">
      <c r="C462" s="541" t="s">
        <v>4304</v>
      </c>
    </row>
    <row r="463" spans="3:3" x14ac:dyDescent="0.25">
      <c r="C463" s="541" t="s">
        <v>4305</v>
      </c>
    </row>
    <row r="464" spans="3:3" x14ac:dyDescent="0.25">
      <c r="C464" s="541" t="s">
        <v>4306</v>
      </c>
    </row>
    <row r="465" spans="3:3" x14ac:dyDescent="0.25">
      <c r="C465" s="541" t="s">
        <v>4307</v>
      </c>
    </row>
    <row r="466" spans="3:3" x14ac:dyDescent="0.25">
      <c r="C466" s="541" t="s">
        <v>4308</v>
      </c>
    </row>
    <row r="467" spans="3:3" x14ac:dyDescent="0.25">
      <c r="C467" s="541" t="s">
        <v>4309</v>
      </c>
    </row>
    <row r="468" spans="3:3" x14ac:dyDescent="0.25">
      <c r="C468" s="541" t="s">
        <v>4310</v>
      </c>
    </row>
    <row r="469" spans="3:3" x14ac:dyDescent="0.25">
      <c r="C469" s="541" t="s">
        <v>4311</v>
      </c>
    </row>
    <row r="470" spans="3:3" x14ac:dyDescent="0.25">
      <c r="C470" s="541" t="s">
        <v>4312</v>
      </c>
    </row>
    <row r="471" spans="3:3" x14ac:dyDescent="0.25">
      <c r="C471" s="541" t="s">
        <v>4313</v>
      </c>
    </row>
    <row r="472" spans="3:3" x14ac:dyDescent="0.25">
      <c r="C472" s="541" t="s">
        <v>4314</v>
      </c>
    </row>
    <row r="473" spans="3:3" x14ac:dyDescent="0.25">
      <c r="C473" s="541" t="s">
        <v>4315</v>
      </c>
    </row>
    <row r="474" spans="3:3" x14ac:dyDescent="0.25">
      <c r="C474" s="541" t="s">
        <v>4316</v>
      </c>
    </row>
    <row r="475" spans="3:3" x14ac:dyDescent="0.25">
      <c r="C475" s="541" t="s">
        <v>4317</v>
      </c>
    </row>
    <row r="476" spans="3:3" x14ac:dyDescent="0.25">
      <c r="C476" s="541" t="s">
        <v>4318</v>
      </c>
    </row>
    <row r="477" spans="3:3" x14ac:dyDescent="0.25">
      <c r="C477" s="541" t="s">
        <v>4319</v>
      </c>
    </row>
    <row r="478" spans="3:3" x14ac:dyDescent="0.25">
      <c r="C478" s="541" t="s">
        <v>4320</v>
      </c>
    </row>
    <row r="479" spans="3:3" x14ac:dyDescent="0.25">
      <c r="C479" s="541" t="s">
        <v>4321</v>
      </c>
    </row>
    <row r="480" spans="3:3" x14ac:dyDescent="0.25">
      <c r="C480" s="541" t="s">
        <v>4322</v>
      </c>
    </row>
    <row r="481" spans="3:3" x14ac:dyDescent="0.25">
      <c r="C481" s="541" t="s">
        <v>4323</v>
      </c>
    </row>
    <row r="482" spans="3:3" x14ac:dyDescent="0.25">
      <c r="C482" s="541" t="s">
        <v>4324</v>
      </c>
    </row>
    <row r="483" spans="3:3" x14ac:dyDescent="0.25">
      <c r="C483" s="541" t="s">
        <v>4325</v>
      </c>
    </row>
    <row r="484" spans="3:3" x14ac:dyDescent="0.25">
      <c r="C484" s="541" t="s">
        <v>4326</v>
      </c>
    </row>
    <row r="485" spans="3:3" x14ac:dyDescent="0.25">
      <c r="C485" s="541" t="s">
        <v>4327</v>
      </c>
    </row>
    <row r="486" spans="3:3" x14ac:dyDescent="0.25">
      <c r="C486" s="541" t="s">
        <v>4328</v>
      </c>
    </row>
    <row r="487" spans="3:3" x14ac:dyDescent="0.25">
      <c r="C487" s="541" t="s">
        <v>4329</v>
      </c>
    </row>
    <row r="488" spans="3:3" x14ac:dyDescent="0.25">
      <c r="C488" s="541" t="s">
        <v>4330</v>
      </c>
    </row>
    <row r="489" spans="3:3" x14ac:dyDescent="0.25">
      <c r="C489" s="541" t="s">
        <v>4331</v>
      </c>
    </row>
    <row r="490" spans="3:3" x14ac:dyDescent="0.25">
      <c r="C490" s="541" t="s">
        <v>4332</v>
      </c>
    </row>
    <row r="491" spans="3:3" x14ac:dyDescent="0.25">
      <c r="C491" s="541" t="s">
        <v>4333</v>
      </c>
    </row>
    <row r="492" spans="3:3" x14ac:dyDescent="0.25">
      <c r="C492" s="541" t="s">
        <v>4334</v>
      </c>
    </row>
    <row r="493" spans="3:3" x14ac:dyDescent="0.25">
      <c r="C493" s="541" t="s">
        <v>4335</v>
      </c>
    </row>
    <row r="494" spans="3:3" x14ac:dyDescent="0.25">
      <c r="C494" s="541" t="s">
        <v>4336</v>
      </c>
    </row>
    <row r="495" spans="3:3" x14ac:dyDescent="0.25">
      <c r="C495" s="541" t="s">
        <v>4337</v>
      </c>
    </row>
    <row r="496" spans="3:3" x14ac:dyDescent="0.25">
      <c r="C496" s="541" t="s">
        <v>4338</v>
      </c>
    </row>
    <row r="497" spans="3:3" x14ac:dyDescent="0.25">
      <c r="C497" s="541" t="s">
        <v>4339</v>
      </c>
    </row>
    <row r="498" spans="3:3" x14ac:dyDescent="0.25">
      <c r="C498" s="541" t="s">
        <v>4340</v>
      </c>
    </row>
    <row r="499" spans="3:3" x14ac:dyDescent="0.25">
      <c r="C499" s="541" t="s">
        <v>4341</v>
      </c>
    </row>
    <row r="500" spans="3:3" x14ac:dyDescent="0.25">
      <c r="C500" s="541" t="s">
        <v>4342</v>
      </c>
    </row>
    <row r="501" spans="3:3" x14ac:dyDescent="0.25">
      <c r="C501" s="541" t="s">
        <v>4343</v>
      </c>
    </row>
    <row r="502" spans="3:3" x14ac:dyDescent="0.25">
      <c r="C502" s="541" t="s">
        <v>4344</v>
      </c>
    </row>
    <row r="503" spans="3:3" x14ac:dyDescent="0.25">
      <c r="C503" s="541" t="s">
        <v>4345</v>
      </c>
    </row>
    <row r="504" spans="3:3" x14ac:dyDescent="0.25">
      <c r="C504" s="541" t="s">
        <v>4346</v>
      </c>
    </row>
    <row r="505" spans="3:3" x14ac:dyDescent="0.25">
      <c r="C505" s="541" t="s">
        <v>4347</v>
      </c>
    </row>
    <row r="506" spans="3:3" x14ac:dyDescent="0.25">
      <c r="C506" s="541" t="s">
        <v>4348</v>
      </c>
    </row>
    <row r="507" spans="3:3" x14ac:dyDescent="0.25">
      <c r="C507" s="541" t="s">
        <v>4349</v>
      </c>
    </row>
    <row r="508" spans="3:3" x14ac:dyDescent="0.25">
      <c r="C508" s="541" t="s">
        <v>4350</v>
      </c>
    </row>
    <row r="509" spans="3:3" x14ac:dyDescent="0.25">
      <c r="C509" s="541" t="s">
        <v>4351</v>
      </c>
    </row>
    <row r="510" spans="3:3" x14ac:dyDescent="0.25">
      <c r="C510" s="541" t="s">
        <v>4352</v>
      </c>
    </row>
    <row r="511" spans="3:3" x14ac:dyDescent="0.25">
      <c r="C511" s="541" t="s">
        <v>4353</v>
      </c>
    </row>
    <row r="512" spans="3:3" x14ac:dyDescent="0.25">
      <c r="C512" s="541" t="s">
        <v>4354</v>
      </c>
    </row>
    <row r="513" spans="3:3" x14ac:dyDescent="0.25">
      <c r="C513" s="541" t="s">
        <v>4355</v>
      </c>
    </row>
    <row r="514" spans="3:3" x14ac:dyDescent="0.25">
      <c r="C514" s="541" t="s">
        <v>4356</v>
      </c>
    </row>
    <row r="515" spans="3:3" x14ac:dyDescent="0.25">
      <c r="C515" s="541" t="s">
        <v>4357</v>
      </c>
    </row>
    <row r="516" spans="3:3" x14ac:dyDescent="0.25">
      <c r="C516" s="541" t="s">
        <v>4358</v>
      </c>
    </row>
    <row r="517" spans="3:3" x14ac:dyDescent="0.25">
      <c r="C517" s="541" t="s">
        <v>4359</v>
      </c>
    </row>
    <row r="518" spans="3:3" x14ac:dyDescent="0.25">
      <c r="C518" s="541" t="s">
        <v>4360</v>
      </c>
    </row>
    <row r="519" spans="3:3" x14ac:dyDescent="0.25">
      <c r="C519" s="541" t="s">
        <v>4361</v>
      </c>
    </row>
    <row r="520" spans="3:3" x14ac:dyDescent="0.25">
      <c r="C520" s="541" t="s">
        <v>4362</v>
      </c>
    </row>
    <row r="521" spans="3:3" x14ac:dyDescent="0.25">
      <c r="C521" s="541" t="s">
        <v>4363</v>
      </c>
    </row>
    <row r="522" spans="3:3" x14ac:dyDescent="0.25">
      <c r="C522" s="541" t="s">
        <v>4364</v>
      </c>
    </row>
    <row r="523" spans="3:3" x14ac:dyDescent="0.25">
      <c r="C523" s="541" t="s">
        <v>4365</v>
      </c>
    </row>
    <row r="524" spans="3:3" x14ac:dyDescent="0.25">
      <c r="C524" s="541" t="s">
        <v>4366</v>
      </c>
    </row>
    <row r="525" spans="3:3" x14ac:dyDescent="0.25">
      <c r="C525" s="541" t="s">
        <v>4367</v>
      </c>
    </row>
    <row r="526" spans="3:3" x14ac:dyDescent="0.25">
      <c r="C526" s="541" t="s">
        <v>4368</v>
      </c>
    </row>
    <row r="527" spans="3:3" x14ac:dyDescent="0.25">
      <c r="C527" s="541" t="s">
        <v>4369</v>
      </c>
    </row>
    <row r="528" spans="3:3" x14ac:dyDescent="0.25">
      <c r="C528" s="541" t="s">
        <v>4370</v>
      </c>
    </row>
    <row r="529" spans="3:3" x14ac:dyDescent="0.25">
      <c r="C529" s="541" t="s">
        <v>4371</v>
      </c>
    </row>
    <row r="530" spans="3:3" x14ac:dyDescent="0.25">
      <c r="C530" s="541" t="s">
        <v>4372</v>
      </c>
    </row>
    <row r="531" spans="3:3" x14ac:dyDescent="0.25">
      <c r="C531" s="541" t="s">
        <v>4373</v>
      </c>
    </row>
    <row r="532" spans="3:3" x14ac:dyDescent="0.25">
      <c r="C532" s="541" t="s">
        <v>4374</v>
      </c>
    </row>
    <row r="533" spans="3:3" x14ac:dyDescent="0.25">
      <c r="C533" s="541" t="s">
        <v>4375</v>
      </c>
    </row>
    <row r="534" spans="3:3" x14ac:dyDescent="0.25">
      <c r="C534" s="541" t="s">
        <v>4376</v>
      </c>
    </row>
    <row r="535" spans="3:3" x14ac:dyDescent="0.25">
      <c r="C535" s="541" t="s">
        <v>4377</v>
      </c>
    </row>
    <row r="536" spans="3:3" x14ac:dyDescent="0.25">
      <c r="C536" s="541" t="s">
        <v>4378</v>
      </c>
    </row>
    <row r="537" spans="3:3" x14ac:dyDescent="0.25">
      <c r="C537" s="541" t="s">
        <v>4379</v>
      </c>
    </row>
    <row r="538" spans="3:3" x14ac:dyDescent="0.25">
      <c r="C538" s="541" t="s">
        <v>4380</v>
      </c>
    </row>
    <row r="539" spans="3:3" x14ac:dyDescent="0.25">
      <c r="C539" s="541" t="s">
        <v>4381</v>
      </c>
    </row>
    <row r="540" spans="3:3" x14ac:dyDescent="0.25">
      <c r="C540" s="541" t="s">
        <v>4382</v>
      </c>
    </row>
    <row r="541" spans="3:3" x14ac:dyDescent="0.25">
      <c r="C541" s="541" t="s">
        <v>4383</v>
      </c>
    </row>
    <row r="542" spans="3:3" x14ac:dyDescent="0.25">
      <c r="C542" s="541" t="s">
        <v>4384</v>
      </c>
    </row>
    <row r="543" spans="3:3" x14ac:dyDescent="0.25">
      <c r="C543" s="541" t="s">
        <v>4385</v>
      </c>
    </row>
    <row r="544" spans="3:3" x14ac:dyDescent="0.25">
      <c r="C544" s="541" t="s">
        <v>4386</v>
      </c>
    </row>
    <row r="545" spans="3:3" x14ac:dyDescent="0.25">
      <c r="C545" s="541" t="s">
        <v>4387</v>
      </c>
    </row>
    <row r="546" spans="3:3" x14ac:dyDescent="0.25">
      <c r="C546" s="541" t="s">
        <v>4388</v>
      </c>
    </row>
    <row r="547" spans="3:3" x14ac:dyDescent="0.25">
      <c r="C547" s="541" t="s">
        <v>4389</v>
      </c>
    </row>
    <row r="548" spans="3:3" x14ac:dyDescent="0.25">
      <c r="C548" s="541" t="s">
        <v>4390</v>
      </c>
    </row>
    <row r="549" spans="3:3" x14ac:dyDescent="0.25">
      <c r="C549" s="541" t="s">
        <v>4391</v>
      </c>
    </row>
    <row r="550" spans="3:3" x14ac:dyDescent="0.25">
      <c r="C550" s="541" t="s">
        <v>4392</v>
      </c>
    </row>
    <row r="551" spans="3:3" x14ac:dyDescent="0.25">
      <c r="C551" s="541" t="s">
        <v>4393</v>
      </c>
    </row>
    <row r="552" spans="3:3" x14ac:dyDescent="0.25">
      <c r="C552" s="541" t="s">
        <v>4394</v>
      </c>
    </row>
    <row r="553" spans="3:3" x14ac:dyDescent="0.25">
      <c r="C553" s="541" t="s">
        <v>4395</v>
      </c>
    </row>
    <row r="554" spans="3:3" x14ac:dyDescent="0.25">
      <c r="C554" s="541" t="s">
        <v>4396</v>
      </c>
    </row>
    <row r="555" spans="3:3" x14ac:dyDescent="0.25">
      <c r="C555" s="541" t="s">
        <v>4397</v>
      </c>
    </row>
    <row r="556" spans="3:3" x14ac:dyDescent="0.25">
      <c r="C556" s="541" t="s">
        <v>4398</v>
      </c>
    </row>
    <row r="557" spans="3:3" x14ac:dyDescent="0.25">
      <c r="C557" s="541" t="s">
        <v>4399</v>
      </c>
    </row>
    <row r="558" spans="3:3" x14ac:dyDescent="0.25">
      <c r="C558" s="541" t="s">
        <v>4400</v>
      </c>
    </row>
    <row r="559" spans="3:3" x14ac:dyDescent="0.25">
      <c r="C559" s="541" t="s">
        <v>4401</v>
      </c>
    </row>
    <row r="560" spans="3:3" x14ac:dyDescent="0.25">
      <c r="C560" s="541" t="s">
        <v>4402</v>
      </c>
    </row>
    <row r="561" spans="3:3" x14ac:dyDescent="0.25">
      <c r="C561" s="541" t="s">
        <v>4403</v>
      </c>
    </row>
    <row r="562" spans="3:3" x14ac:dyDescent="0.25">
      <c r="C562" s="541" t="s">
        <v>4404</v>
      </c>
    </row>
    <row r="563" spans="3:3" x14ac:dyDescent="0.25">
      <c r="C563" s="541" t="s">
        <v>4405</v>
      </c>
    </row>
    <row r="564" spans="3:3" x14ac:dyDescent="0.25">
      <c r="C564" s="541" t="s">
        <v>4406</v>
      </c>
    </row>
    <row r="565" spans="3:3" x14ac:dyDescent="0.25">
      <c r="C565" s="541" t="s">
        <v>4407</v>
      </c>
    </row>
    <row r="566" spans="3:3" x14ac:dyDescent="0.25">
      <c r="C566" s="541" t="s">
        <v>4408</v>
      </c>
    </row>
    <row r="567" spans="3:3" x14ac:dyDescent="0.25">
      <c r="C567" s="541" t="s">
        <v>4409</v>
      </c>
    </row>
    <row r="568" spans="3:3" x14ac:dyDescent="0.25">
      <c r="C568" s="541" t="s">
        <v>4410</v>
      </c>
    </row>
    <row r="569" spans="3:3" x14ac:dyDescent="0.25">
      <c r="C569" s="541" t="s">
        <v>4411</v>
      </c>
    </row>
    <row r="570" spans="3:3" x14ac:dyDescent="0.25">
      <c r="C570" s="541" t="s">
        <v>4412</v>
      </c>
    </row>
    <row r="571" spans="3:3" x14ac:dyDescent="0.25">
      <c r="C571" s="541" t="s">
        <v>4413</v>
      </c>
    </row>
    <row r="572" spans="3:3" x14ac:dyDescent="0.25">
      <c r="C572" s="541" t="s">
        <v>4414</v>
      </c>
    </row>
    <row r="573" spans="3:3" x14ac:dyDescent="0.25">
      <c r="C573" s="541" t="s">
        <v>4415</v>
      </c>
    </row>
    <row r="574" spans="3:3" x14ac:dyDescent="0.25">
      <c r="C574" s="541" t="s">
        <v>4416</v>
      </c>
    </row>
    <row r="575" spans="3:3" x14ac:dyDescent="0.25">
      <c r="C575" s="541" t="s">
        <v>4417</v>
      </c>
    </row>
    <row r="576" spans="3:3" x14ac:dyDescent="0.25">
      <c r="C576" s="541" t="s">
        <v>4418</v>
      </c>
    </row>
    <row r="577" spans="3:3" x14ac:dyDescent="0.25">
      <c r="C577" s="541" t="s">
        <v>4419</v>
      </c>
    </row>
    <row r="578" spans="3:3" x14ac:dyDescent="0.25">
      <c r="C578" s="541" t="s">
        <v>4420</v>
      </c>
    </row>
    <row r="579" spans="3:3" x14ac:dyDescent="0.25">
      <c r="C579" s="541" t="s">
        <v>4421</v>
      </c>
    </row>
    <row r="580" spans="3:3" x14ac:dyDescent="0.25">
      <c r="C580" s="541" t="s">
        <v>4422</v>
      </c>
    </row>
    <row r="581" spans="3:3" x14ac:dyDescent="0.25">
      <c r="C581" s="541" t="s">
        <v>4423</v>
      </c>
    </row>
    <row r="582" spans="3:3" x14ac:dyDescent="0.25">
      <c r="C582" s="541" t="s">
        <v>4424</v>
      </c>
    </row>
    <row r="583" spans="3:3" x14ac:dyDescent="0.25">
      <c r="C583" s="541" t="s">
        <v>4425</v>
      </c>
    </row>
    <row r="584" spans="3:3" x14ac:dyDescent="0.25">
      <c r="C584" s="541" t="s">
        <v>4426</v>
      </c>
    </row>
    <row r="585" spans="3:3" x14ac:dyDescent="0.25">
      <c r="C585" s="541" t="s">
        <v>4427</v>
      </c>
    </row>
    <row r="586" spans="3:3" x14ac:dyDescent="0.25">
      <c r="C586" s="541" t="s">
        <v>4428</v>
      </c>
    </row>
    <row r="587" spans="3:3" x14ac:dyDescent="0.25">
      <c r="C587" s="541" t="s">
        <v>4429</v>
      </c>
    </row>
    <row r="588" spans="3:3" x14ac:dyDescent="0.25">
      <c r="C588" s="541" t="s">
        <v>4430</v>
      </c>
    </row>
    <row r="589" spans="3:3" x14ac:dyDescent="0.25">
      <c r="C589" s="541" t="s">
        <v>4431</v>
      </c>
    </row>
    <row r="590" spans="3:3" x14ac:dyDescent="0.25">
      <c r="C590" s="541" t="s">
        <v>4432</v>
      </c>
    </row>
    <row r="591" spans="3:3" x14ac:dyDescent="0.25">
      <c r="C591" s="541" t="s">
        <v>4433</v>
      </c>
    </row>
    <row r="592" spans="3:3" x14ac:dyDescent="0.25">
      <c r="C592" s="541" t="s">
        <v>4434</v>
      </c>
    </row>
    <row r="593" spans="3:3" x14ac:dyDescent="0.25">
      <c r="C593" s="541" t="s">
        <v>4435</v>
      </c>
    </row>
    <row r="594" spans="3:3" x14ac:dyDescent="0.25">
      <c r="C594" s="541" t="s">
        <v>4436</v>
      </c>
    </row>
    <row r="595" spans="3:3" x14ac:dyDescent="0.25">
      <c r="C595" s="541" t="s">
        <v>4437</v>
      </c>
    </row>
    <row r="596" spans="3:3" x14ac:dyDescent="0.25">
      <c r="C596" s="541" t="s">
        <v>4438</v>
      </c>
    </row>
    <row r="597" spans="3:3" x14ac:dyDescent="0.25">
      <c r="C597" s="541" t="s">
        <v>4439</v>
      </c>
    </row>
    <row r="598" spans="3:3" x14ac:dyDescent="0.25">
      <c r="C598" s="541" t="s">
        <v>4440</v>
      </c>
    </row>
    <row r="599" spans="3:3" x14ac:dyDescent="0.25">
      <c r="C599" s="541" t="s">
        <v>4441</v>
      </c>
    </row>
    <row r="600" spans="3:3" x14ac:dyDescent="0.25">
      <c r="C600" s="541" t="s">
        <v>4442</v>
      </c>
    </row>
    <row r="601" spans="3:3" x14ac:dyDescent="0.25">
      <c r="C601" s="541" t="s">
        <v>4443</v>
      </c>
    </row>
    <row r="602" spans="3:3" x14ac:dyDescent="0.25">
      <c r="C602" s="541" t="s">
        <v>4444</v>
      </c>
    </row>
    <row r="603" spans="3:3" x14ac:dyDescent="0.25">
      <c r="C603" s="541" t="s">
        <v>4445</v>
      </c>
    </row>
    <row r="604" spans="3:3" x14ac:dyDescent="0.25">
      <c r="C604" s="541" t="s">
        <v>4446</v>
      </c>
    </row>
    <row r="605" spans="3:3" x14ac:dyDescent="0.25">
      <c r="C605" s="541" t="s">
        <v>4447</v>
      </c>
    </row>
    <row r="606" spans="3:3" x14ac:dyDescent="0.25">
      <c r="C606" s="541" t="s">
        <v>4448</v>
      </c>
    </row>
    <row r="607" spans="3:3" x14ac:dyDescent="0.25">
      <c r="C607" s="541" t="s">
        <v>4449</v>
      </c>
    </row>
    <row r="608" spans="3:3" x14ac:dyDescent="0.25">
      <c r="C608" s="541" t="s">
        <v>4450</v>
      </c>
    </row>
    <row r="609" spans="3:3" x14ac:dyDescent="0.25">
      <c r="C609" s="541" t="s">
        <v>4451</v>
      </c>
    </row>
    <row r="610" spans="3:3" x14ac:dyDescent="0.25">
      <c r="C610" s="541" t="s">
        <v>4452</v>
      </c>
    </row>
    <row r="611" spans="3:3" x14ac:dyDescent="0.25">
      <c r="C611" s="541" t="s">
        <v>4453</v>
      </c>
    </row>
    <row r="612" spans="3:3" x14ac:dyDescent="0.25">
      <c r="C612" s="541" t="s">
        <v>4454</v>
      </c>
    </row>
    <row r="613" spans="3:3" x14ac:dyDescent="0.25">
      <c r="C613" s="541" t="s">
        <v>4455</v>
      </c>
    </row>
    <row r="614" spans="3:3" x14ac:dyDescent="0.25">
      <c r="C614" s="541" t="s">
        <v>4456</v>
      </c>
    </row>
    <row r="615" spans="3:3" x14ac:dyDescent="0.25">
      <c r="C615" s="541" t="s">
        <v>4457</v>
      </c>
    </row>
    <row r="616" spans="3:3" x14ac:dyDescent="0.25">
      <c r="C616" s="541" t="s">
        <v>4458</v>
      </c>
    </row>
    <row r="617" spans="3:3" x14ac:dyDescent="0.25">
      <c r="C617" s="541" t="s">
        <v>4459</v>
      </c>
    </row>
    <row r="618" spans="3:3" x14ac:dyDescent="0.25">
      <c r="C618" s="541" t="s">
        <v>4460</v>
      </c>
    </row>
    <row r="619" spans="3:3" x14ac:dyDescent="0.25">
      <c r="C619" s="541" t="s">
        <v>4461</v>
      </c>
    </row>
    <row r="620" spans="3:3" x14ac:dyDescent="0.25">
      <c r="C620" s="541" t="s">
        <v>4462</v>
      </c>
    </row>
    <row r="621" spans="3:3" x14ac:dyDescent="0.25">
      <c r="C621" s="541" t="s">
        <v>4463</v>
      </c>
    </row>
    <row r="622" spans="3:3" x14ac:dyDescent="0.25">
      <c r="C622" s="541" t="s">
        <v>4464</v>
      </c>
    </row>
    <row r="623" spans="3:3" x14ac:dyDescent="0.25">
      <c r="C623" s="541" t="s">
        <v>4465</v>
      </c>
    </row>
    <row r="624" spans="3:3" x14ac:dyDescent="0.25">
      <c r="C624" s="541" t="s">
        <v>4466</v>
      </c>
    </row>
    <row r="625" spans="3:3" x14ac:dyDescent="0.25">
      <c r="C625" s="541" t="s">
        <v>4467</v>
      </c>
    </row>
    <row r="626" spans="3:3" x14ac:dyDescent="0.25">
      <c r="C626" s="541" t="s">
        <v>4468</v>
      </c>
    </row>
    <row r="627" spans="3:3" x14ac:dyDescent="0.25">
      <c r="C627" s="541" t="s">
        <v>4469</v>
      </c>
    </row>
    <row r="628" spans="3:3" x14ac:dyDescent="0.25">
      <c r="C628" s="541" t="s">
        <v>4470</v>
      </c>
    </row>
    <row r="629" spans="3:3" x14ac:dyDescent="0.25">
      <c r="C629" s="541" t="s">
        <v>4471</v>
      </c>
    </row>
    <row r="630" spans="3:3" x14ac:dyDescent="0.25">
      <c r="C630" s="541" t="s">
        <v>4472</v>
      </c>
    </row>
    <row r="631" spans="3:3" x14ac:dyDescent="0.25">
      <c r="C631" s="541" t="s">
        <v>4473</v>
      </c>
    </row>
    <row r="632" spans="3:3" x14ac:dyDescent="0.25">
      <c r="C632" s="541" t="s">
        <v>4474</v>
      </c>
    </row>
    <row r="633" spans="3:3" x14ac:dyDescent="0.25">
      <c r="C633" s="541" t="s">
        <v>4475</v>
      </c>
    </row>
    <row r="634" spans="3:3" x14ac:dyDescent="0.25">
      <c r="C634" s="541" t="s">
        <v>4476</v>
      </c>
    </row>
    <row r="635" spans="3:3" x14ac:dyDescent="0.25">
      <c r="C635" s="541" t="s">
        <v>4477</v>
      </c>
    </row>
    <row r="636" spans="3:3" x14ac:dyDescent="0.25">
      <c r="C636" s="541" t="s">
        <v>4478</v>
      </c>
    </row>
    <row r="637" spans="3:3" x14ac:dyDescent="0.25">
      <c r="C637" s="541" t="s">
        <v>4479</v>
      </c>
    </row>
    <row r="638" spans="3:3" x14ac:dyDescent="0.25">
      <c r="C638" s="541" t="s">
        <v>4480</v>
      </c>
    </row>
    <row r="639" spans="3:3" x14ac:dyDescent="0.25">
      <c r="C639" s="541" t="s">
        <v>4481</v>
      </c>
    </row>
    <row r="640" spans="3:3" x14ac:dyDescent="0.25">
      <c r="C640" s="541" t="s">
        <v>4482</v>
      </c>
    </row>
    <row r="641" spans="3:3" x14ac:dyDescent="0.25">
      <c r="C641" s="541" t="s">
        <v>4483</v>
      </c>
    </row>
    <row r="642" spans="3:3" x14ac:dyDescent="0.25">
      <c r="C642" s="541" t="s">
        <v>4484</v>
      </c>
    </row>
    <row r="643" spans="3:3" x14ac:dyDescent="0.25">
      <c r="C643" s="541" t="s">
        <v>4485</v>
      </c>
    </row>
    <row r="644" spans="3:3" x14ac:dyDescent="0.25">
      <c r="C644" s="541" t="s">
        <v>4486</v>
      </c>
    </row>
    <row r="645" spans="3:3" x14ac:dyDescent="0.25">
      <c r="C645" s="541" t="s">
        <v>4487</v>
      </c>
    </row>
    <row r="646" spans="3:3" x14ac:dyDescent="0.25">
      <c r="C646" s="541" t="s">
        <v>4488</v>
      </c>
    </row>
    <row r="647" spans="3:3" x14ac:dyDescent="0.25">
      <c r="C647" s="541" t="s">
        <v>4489</v>
      </c>
    </row>
    <row r="648" spans="3:3" x14ac:dyDescent="0.25">
      <c r="C648" s="541" t="s">
        <v>4490</v>
      </c>
    </row>
    <row r="649" spans="3:3" x14ac:dyDescent="0.25">
      <c r="C649" s="541" t="s">
        <v>4491</v>
      </c>
    </row>
    <row r="650" spans="3:3" x14ac:dyDescent="0.25">
      <c r="C650" s="541" t="s">
        <v>4492</v>
      </c>
    </row>
    <row r="651" spans="3:3" x14ac:dyDescent="0.25">
      <c r="C651" s="541" t="s">
        <v>4493</v>
      </c>
    </row>
    <row r="652" spans="3:3" x14ac:dyDescent="0.25">
      <c r="C652" s="541" t="s">
        <v>4494</v>
      </c>
    </row>
    <row r="653" spans="3:3" x14ac:dyDescent="0.25">
      <c r="C653" s="541" t="s">
        <v>4495</v>
      </c>
    </row>
    <row r="654" spans="3:3" x14ac:dyDescent="0.25">
      <c r="C654" s="541" t="s">
        <v>4496</v>
      </c>
    </row>
    <row r="655" spans="3:3" x14ac:dyDescent="0.25">
      <c r="C655" s="541" t="s">
        <v>4497</v>
      </c>
    </row>
    <row r="656" spans="3:3" x14ac:dyDescent="0.25">
      <c r="C656" s="541" t="s">
        <v>4498</v>
      </c>
    </row>
    <row r="657" spans="3:3" x14ac:dyDescent="0.25">
      <c r="C657" s="541" t="s">
        <v>4499</v>
      </c>
    </row>
    <row r="658" spans="3:3" x14ac:dyDescent="0.25">
      <c r="C658" s="541" t="s">
        <v>4500</v>
      </c>
    </row>
    <row r="659" spans="3:3" x14ac:dyDescent="0.25">
      <c r="C659" s="541" t="s">
        <v>4501</v>
      </c>
    </row>
    <row r="660" spans="3:3" x14ac:dyDescent="0.25">
      <c r="C660" s="541" t="s">
        <v>4502</v>
      </c>
    </row>
    <row r="661" spans="3:3" x14ac:dyDescent="0.25">
      <c r="C661" s="541" t="s">
        <v>4503</v>
      </c>
    </row>
    <row r="662" spans="3:3" x14ac:dyDescent="0.25">
      <c r="C662" s="541" t="s">
        <v>4504</v>
      </c>
    </row>
    <row r="663" spans="3:3" x14ac:dyDescent="0.25">
      <c r="C663" s="541" t="s">
        <v>4505</v>
      </c>
    </row>
    <row r="664" spans="3:3" x14ac:dyDescent="0.25">
      <c r="C664" s="541" t="s">
        <v>4506</v>
      </c>
    </row>
    <row r="665" spans="3:3" x14ac:dyDescent="0.25">
      <c r="C665" s="541" t="s">
        <v>4507</v>
      </c>
    </row>
    <row r="666" spans="3:3" x14ac:dyDescent="0.25">
      <c r="C666" s="541" t="s">
        <v>4508</v>
      </c>
    </row>
    <row r="667" spans="3:3" x14ac:dyDescent="0.25">
      <c r="C667" s="541" t="s">
        <v>4509</v>
      </c>
    </row>
    <row r="668" spans="3:3" x14ac:dyDescent="0.25">
      <c r="C668" s="541" t="s">
        <v>4510</v>
      </c>
    </row>
    <row r="669" spans="3:3" x14ac:dyDescent="0.25">
      <c r="C669" s="541" t="s">
        <v>4511</v>
      </c>
    </row>
    <row r="670" spans="3:3" x14ac:dyDescent="0.25">
      <c r="C670" s="541" t="s">
        <v>4512</v>
      </c>
    </row>
    <row r="671" spans="3:3" x14ac:dyDescent="0.25">
      <c r="C671" s="541" t="s">
        <v>4513</v>
      </c>
    </row>
    <row r="672" spans="3:3" x14ac:dyDescent="0.25">
      <c r="C672" s="541" t="s">
        <v>4514</v>
      </c>
    </row>
    <row r="673" spans="3:3" x14ac:dyDescent="0.25">
      <c r="C673" s="541" t="s">
        <v>4515</v>
      </c>
    </row>
    <row r="674" spans="3:3" x14ac:dyDescent="0.25">
      <c r="C674" s="541" t="s">
        <v>4516</v>
      </c>
    </row>
    <row r="675" spans="3:3" x14ac:dyDescent="0.25">
      <c r="C675" s="541" t="s">
        <v>4517</v>
      </c>
    </row>
    <row r="676" spans="3:3" x14ac:dyDescent="0.25">
      <c r="C676" s="541" t="s">
        <v>4518</v>
      </c>
    </row>
    <row r="677" spans="3:3" x14ac:dyDescent="0.25">
      <c r="C677" s="541" t="s">
        <v>4519</v>
      </c>
    </row>
    <row r="678" spans="3:3" x14ac:dyDescent="0.25">
      <c r="C678" s="541" t="s">
        <v>4520</v>
      </c>
    </row>
    <row r="679" spans="3:3" x14ac:dyDescent="0.25">
      <c r="C679" s="541" t="s">
        <v>4521</v>
      </c>
    </row>
    <row r="680" spans="3:3" x14ac:dyDescent="0.25">
      <c r="C680" s="541" t="s">
        <v>4522</v>
      </c>
    </row>
    <row r="681" spans="3:3" x14ac:dyDescent="0.25">
      <c r="C681" s="541" t="s">
        <v>4523</v>
      </c>
    </row>
    <row r="682" spans="3:3" x14ac:dyDescent="0.25">
      <c r="C682" s="541" t="s">
        <v>4524</v>
      </c>
    </row>
    <row r="683" spans="3:3" x14ac:dyDescent="0.25">
      <c r="C683" s="541" t="s">
        <v>4525</v>
      </c>
    </row>
    <row r="684" spans="3:3" x14ac:dyDescent="0.25">
      <c r="C684" s="541" t="s">
        <v>4526</v>
      </c>
    </row>
    <row r="685" spans="3:3" x14ac:dyDescent="0.25">
      <c r="C685" s="541" t="s">
        <v>4527</v>
      </c>
    </row>
    <row r="686" spans="3:3" x14ac:dyDescent="0.25">
      <c r="C686" s="541" t="s">
        <v>4528</v>
      </c>
    </row>
    <row r="687" spans="3:3" x14ac:dyDescent="0.25">
      <c r="C687" s="541" t="s">
        <v>4529</v>
      </c>
    </row>
    <row r="688" spans="3:3" x14ac:dyDescent="0.25">
      <c r="C688" s="541" t="s">
        <v>4530</v>
      </c>
    </row>
    <row r="689" spans="3:3" x14ac:dyDescent="0.25">
      <c r="C689" s="541" t="s">
        <v>4531</v>
      </c>
    </row>
    <row r="690" spans="3:3" x14ac:dyDescent="0.25">
      <c r="C690" s="541" t="s">
        <v>4532</v>
      </c>
    </row>
    <row r="691" spans="3:3" x14ac:dyDescent="0.25">
      <c r="C691" s="541" t="s">
        <v>4533</v>
      </c>
    </row>
    <row r="692" spans="3:3" x14ac:dyDescent="0.25">
      <c r="C692" s="541" t="s">
        <v>4534</v>
      </c>
    </row>
    <row r="693" spans="3:3" x14ac:dyDescent="0.25">
      <c r="C693" s="541" t="s">
        <v>4535</v>
      </c>
    </row>
    <row r="694" spans="3:3" x14ac:dyDescent="0.25">
      <c r="C694" s="541" t="s">
        <v>4536</v>
      </c>
    </row>
    <row r="695" spans="3:3" x14ac:dyDescent="0.25">
      <c r="C695" s="541" t="s">
        <v>4537</v>
      </c>
    </row>
    <row r="696" spans="3:3" x14ac:dyDescent="0.25">
      <c r="C696" s="541" t="s">
        <v>4538</v>
      </c>
    </row>
    <row r="697" spans="3:3" x14ac:dyDescent="0.25">
      <c r="C697" s="541" t="s">
        <v>4539</v>
      </c>
    </row>
    <row r="698" spans="3:3" x14ac:dyDescent="0.25">
      <c r="C698" s="541" t="s">
        <v>4540</v>
      </c>
    </row>
    <row r="699" spans="3:3" x14ac:dyDescent="0.25">
      <c r="C699" s="541" t="s">
        <v>4541</v>
      </c>
    </row>
    <row r="700" spans="3:3" x14ac:dyDescent="0.25">
      <c r="C700" s="541" t="s">
        <v>4542</v>
      </c>
    </row>
    <row r="701" spans="3:3" x14ac:dyDescent="0.25">
      <c r="C701" s="541" t="s">
        <v>4543</v>
      </c>
    </row>
    <row r="702" spans="3:3" x14ac:dyDescent="0.25">
      <c r="C702" s="541" t="s">
        <v>4544</v>
      </c>
    </row>
    <row r="703" spans="3:3" x14ac:dyDescent="0.25">
      <c r="C703" s="541" t="s">
        <v>4545</v>
      </c>
    </row>
    <row r="704" spans="3:3" x14ac:dyDescent="0.25">
      <c r="C704" s="541" t="s">
        <v>4546</v>
      </c>
    </row>
    <row r="705" spans="3:3" x14ac:dyDescent="0.25">
      <c r="C705" s="541" t="s">
        <v>4547</v>
      </c>
    </row>
    <row r="706" spans="3:3" x14ac:dyDescent="0.25">
      <c r="C706" s="541" t="s">
        <v>4548</v>
      </c>
    </row>
    <row r="707" spans="3:3" x14ac:dyDescent="0.25">
      <c r="C707" s="541" t="s">
        <v>4549</v>
      </c>
    </row>
    <row r="708" spans="3:3" x14ac:dyDescent="0.25">
      <c r="C708" s="541" t="s">
        <v>4550</v>
      </c>
    </row>
    <row r="709" spans="3:3" x14ac:dyDescent="0.25">
      <c r="C709" s="541" t="s">
        <v>4551</v>
      </c>
    </row>
    <row r="710" spans="3:3" x14ac:dyDescent="0.25">
      <c r="C710" s="541" t="s">
        <v>4552</v>
      </c>
    </row>
    <row r="711" spans="3:3" x14ac:dyDescent="0.25">
      <c r="C711" s="541" t="s">
        <v>4553</v>
      </c>
    </row>
    <row r="712" spans="3:3" x14ac:dyDescent="0.25">
      <c r="C712" s="541" t="s">
        <v>4554</v>
      </c>
    </row>
    <row r="713" spans="3:3" x14ac:dyDescent="0.25">
      <c r="C713" s="541" t="s">
        <v>4555</v>
      </c>
    </row>
    <row r="714" spans="3:3" x14ac:dyDescent="0.25">
      <c r="C714" s="541" t="s">
        <v>4556</v>
      </c>
    </row>
    <row r="715" spans="3:3" x14ac:dyDescent="0.25">
      <c r="C715" s="541" t="s">
        <v>4557</v>
      </c>
    </row>
    <row r="716" spans="3:3" x14ac:dyDescent="0.25">
      <c r="C716" s="541" t="s">
        <v>4558</v>
      </c>
    </row>
    <row r="717" spans="3:3" x14ac:dyDescent="0.25">
      <c r="C717" s="541" t="s">
        <v>4559</v>
      </c>
    </row>
    <row r="718" spans="3:3" x14ac:dyDescent="0.25">
      <c r="C718" s="541" t="s">
        <v>4560</v>
      </c>
    </row>
    <row r="719" spans="3:3" x14ac:dyDescent="0.25">
      <c r="C719" s="541" t="s">
        <v>4561</v>
      </c>
    </row>
    <row r="720" spans="3:3" x14ac:dyDescent="0.25">
      <c r="C720" s="541" t="s">
        <v>4562</v>
      </c>
    </row>
    <row r="721" spans="3:3" x14ac:dyDescent="0.25">
      <c r="C721" s="541" t="s">
        <v>4563</v>
      </c>
    </row>
    <row r="722" spans="3:3" x14ac:dyDescent="0.25">
      <c r="C722" s="541" t="s">
        <v>4564</v>
      </c>
    </row>
    <row r="723" spans="3:3" x14ac:dyDescent="0.25">
      <c r="C723" s="541" t="s">
        <v>4565</v>
      </c>
    </row>
    <row r="724" spans="3:3" x14ac:dyDescent="0.25">
      <c r="C724" s="541" t="s">
        <v>4566</v>
      </c>
    </row>
    <row r="725" spans="3:3" x14ac:dyDescent="0.25">
      <c r="C725" s="541" t="s">
        <v>4567</v>
      </c>
    </row>
    <row r="726" spans="3:3" x14ac:dyDescent="0.25">
      <c r="C726" s="541" t="s">
        <v>4568</v>
      </c>
    </row>
    <row r="727" spans="3:3" x14ac:dyDescent="0.25">
      <c r="C727" s="541" t="s">
        <v>4569</v>
      </c>
    </row>
    <row r="728" spans="3:3" x14ac:dyDescent="0.25">
      <c r="C728" s="541" t="s">
        <v>4570</v>
      </c>
    </row>
    <row r="729" spans="3:3" x14ac:dyDescent="0.25">
      <c r="C729" s="541" t="s">
        <v>4571</v>
      </c>
    </row>
    <row r="730" spans="3:3" x14ac:dyDescent="0.25">
      <c r="C730" s="541" t="s">
        <v>4572</v>
      </c>
    </row>
    <row r="731" spans="3:3" x14ac:dyDescent="0.25">
      <c r="C731" s="541" t="s">
        <v>4573</v>
      </c>
    </row>
    <row r="732" spans="3:3" x14ac:dyDescent="0.25">
      <c r="C732" s="541" t="s">
        <v>4574</v>
      </c>
    </row>
    <row r="733" spans="3:3" x14ac:dyDescent="0.25">
      <c r="C733" s="541" t="s">
        <v>4575</v>
      </c>
    </row>
    <row r="734" spans="3:3" x14ac:dyDescent="0.25">
      <c r="C734" s="541" t="s">
        <v>4576</v>
      </c>
    </row>
    <row r="735" spans="3:3" x14ac:dyDescent="0.25">
      <c r="C735" s="541" t="s">
        <v>4577</v>
      </c>
    </row>
    <row r="736" spans="3:3" x14ac:dyDescent="0.25">
      <c r="C736" s="541" t="s">
        <v>4578</v>
      </c>
    </row>
    <row r="737" spans="3:3" x14ac:dyDescent="0.25">
      <c r="C737" s="541" t="s">
        <v>4579</v>
      </c>
    </row>
    <row r="738" spans="3:3" x14ac:dyDescent="0.25">
      <c r="C738" s="541" t="s">
        <v>4580</v>
      </c>
    </row>
    <row r="739" spans="3:3" x14ac:dyDescent="0.25">
      <c r="C739" s="541" t="s">
        <v>4581</v>
      </c>
    </row>
    <row r="740" spans="3:3" x14ac:dyDescent="0.25">
      <c r="C740" s="541" t="s">
        <v>4582</v>
      </c>
    </row>
    <row r="741" spans="3:3" x14ac:dyDescent="0.25">
      <c r="C741" s="541" t="s">
        <v>4583</v>
      </c>
    </row>
    <row r="742" spans="3:3" x14ac:dyDescent="0.25">
      <c r="C742" s="541" t="s">
        <v>4584</v>
      </c>
    </row>
    <row r="743" spans="3:3" x14ac:dyDescent="0.25">
      <c r="C743" s="541" t="s">
        <v>4585</v>
      </c>
    </row>
    <row r="744" spans="3:3" x14ac:dyDescent="0.25">
      <c r="C744" s="541" t="s">
        <v>4586</v>
      </c>
    </row>
    <row r="745" spans="3:3" x14ac:dyDescent="0.25">
      <c r="C745" s="541" t="s">
        <v>4587</v>
      </c>
    </row>
    <row r="746" spans="3:3" x14ac:dyDescent="0.25">
      <c r="C746" s="541" t="s">
        <v>4588</v>
      </c>
    </row>
    <row r="747" spans="3:3" x14ac:dyDescent="0.25">
      <c r="C747" s="541" t="s">
        <v>4589</v>
      </c>
    </row>
    <row r="748" spans="3:3" x14ac:dyDescent="0.25">
      <c r="C748" s="541" t="s">
        <v>4590</v>
      </c>
    </row>
    <row r="749" spans="3:3" x14ac:dyDescent="0.25">
      <c r="C749" s="541" t="s">
        <v>4591</v>
      </c>
    </row>
    <row r="750" spans="3:3" x14ac:dyDescent="0.25">
      <c r="C750" s="541" t="s">
        <v>4592</v>
      </c>
    </row>
    <row r="751" spans="3:3" x14ac:dyDescent="0.25">
      <c r="C751" s="541" t="s">
        <v>4593</v>
      </c>
    </row>
    <row r="752" spans="3:3" x14ac:dyDescent="0.25">
      <c r="C752" s="541" t="s">
        <v>4594</v>
      </c>
    </row>
    <row r="753" spans="3:3" x14ac:dyDescent="0.25">
      <c r="C753" s="541" t="s">
        <v>4595</v>
      </c>
    </row>
    <row r="754" spans="3:3" x14ac:dyDescent="0.25">
      <c r="C754" s="541" t="s">
        <v>4596</v>
      </c>
    </row>
    <row r="755" spans="3:3" x14ac:dyDescent="0.25">
      <c r="C755" s="541" t="s">
        <v>4597</v>
      </c>
    </row>
    <row r="756" spans="3:3" x14ac:dyDescent="0.25">
      <c r="C756" s="541" t="s">
        <v>4598</v>
      </c>
    </row>
    <row r="757" spans="3:3" x14ac:dyDescent="0.25">
      <c r="C757" s="541" t="s">
        <v>4599</v>
      </c>
    </row>
    <row r="758" spans="3:3" x14ac:dyDescent="0.25">
      <c r="C758" s="541" t="s">
        <v>4600</v>
      </c>
    </row>
    <row r="759" spans="3:3" x14ac:dyDescent="0.25">
      <c r="C759" s="541" t="s">
        <v>4601</v>
      </c>
    </row>
    <row r="760" spans="3:3" x14ac:dyDescent="0.25">
      <c r="C760" s="541" t="s">
        <v>4602</v>
      </c>
    </row>
    <row r="761" spans="3:3" x14ac:dyDescent="0.25">
      <c r="C761" s="541" t="s">
        <v>4603</v>
      </c>
    </row>
    <row r="762" spans="3:3" x14ac:dyDescent="0.25">
      <c r="C762" s="541" t="s">
        <v>4604</v>
      </c>
    </row>
    <row r="763" spans="3:3" x14ac:dyDescent="0.25">
      <c r="C763" s="541" t="s">
        <v>4605</v>
      </c>
    </row>
    <row r="764" spans="3:3" x14ac:dyDescent="0.25">
      <c r="C764" s="541" t="s">
        <v>4606</v>
      </c>
    </row>
    <row r="765" spans="3:3" x14ac:dyDescent="0.25">
      <c r="C765" s="541" t="s">
        <v>4607</v>
      </c>
    </row>
    <row r="766" spans="3:3" x14ac:dyDescent="0.25">
      <c r="C766" s="541" t="s">
        <v>4608</v>
      </c>
    </row>
    <row r="767" spans="3:3" x14ac:dyDescent="0.25">
      <c r="C767" s="541" t="s">
        <v>4609</v>
      </c>
    </row>
    <row r="768" spans="3:3" x14ac:dyDescent="0.25">
      <c r="C768" s="541" t="s">
        <v>4610</v>
      </c>
    </row>
    <row r="769" spans="3:3" x14ac:dyDescent="0.25">
      <c r="C769" s="541" t="s">
        <v>4611</v>
      </c>
    </row>
    <row r="770" spans="3:3" x14ac:dyDescent="0.25">
      <c r="C770" s="541" t="s">
        <v>4612</v>
      </c>
    </row>
    <row r="771" spans="3:3" x14ac:dyDescent="0.25">
      <c r="C771" s="541" t="s">
        <v>4613</v>
      </c>
    </row>
    <row r="772" spans="3:3" x14ac:dyDescent="0.25">
      <c r="C772" s="541" t="s">
        <v>4614</v>
      </c>
    </row>
    <row r="773" spans="3:3" x14ac:dyDescent="0.25">
      <c r="C773" s="541" t="s">
        <v>4615</v>
      </c>
    </row>
    <row r="774" spans="3:3" x14ac:dyDescent="0.25">
      <c r="C774" s="541" t="s">
        <v>4616</v>
      </c>
    </row>
    <row r="775" spans="3:3" x14ac:dyDescent="0.25">
      <c r="C775" s="541" t="s">
        <v>4617</v>
      </c>
    </row>
    <row r="776" spans="3:3" x14ac:dyDescent="0.25">
      <c r="C776" s="541" t="s">
        <v>4618</v>
      </c>
    </row>
    <row r="777" spans="3:3" x14ac:dyDescent="0.25">
      <c r="C777" s="541" t="s">
        <v>4619</v>
      </c>
    </row>
    <row r="778" spans="3:3" x14ac:dyDescent="0.25">
      <c r="C778" s="541" t="s">
        <v>4620</v>
      </c>
    </row>
    <row r="779" spans="3:3" x14ac:dyDescent="0.25">
      <c r="C779" s="541" t="s">
        <v>4621</v>
      </c>
    </row>
    <row r="780" spans="3:3" x14ac:dyDescent="0.25">
      <c r="C780" s="541" t="s">
        <v>4622</v>
      </c>
    </row>
    <row r="781" spans="3:3" x14ac:dyDescent="0.25">
      <c r="C781" s="541" t="s">
        <v>4623</v>
      </c>
    </row>
    <row r="782" spans="3:3" x14ac:dyDescent="0.25">
      <c r="C782" s="541" t="s">
        <v>4624</v>
      </c>
    </row>
    <row r="783" spans="3:3" x14ac:dyDescent="0.25">
      <c r="C783" s="541" t="s">
        <v>4625</v>
      </c>
    </row>
    <row r="784" spans="3:3" x14ac:dyDescent="0.25">
      <c r="C784" s="541" t="s">
        <v>4626</v>
      </c>
    </row>
    <row r="785" spans="3:3" x14ac:dyDescent="0.25">
      <c r="C785" s="541" t="s">
        <v>4627</v>
      </c>
    </row>
    <row r="786" spans="3:3" x14ac:dyDescent="0.25">
      <c r="C786" s="541" t="s">
        <v>4628</v>
      </c>
    </row>
    <row r="787" spans="3:3" x14ac:dyDescent="0.25">
      <c r="C787" s="541" t="s">
        <v>4629</v>
      </c>
    </row>
    <row r="788" spans="3:3" x14ac:dyDescent="0.25">
      <c r="C788" s="541" t="s">
        <v>4630</v>
      </c>
    </row>
    <row r="789" spans="3:3" x14ac:dyDescent="0.25">
      <c r="C789" s="541" t="s">
        <v>4631</v>
      </c>
    </row>
    <row r="790" spans="3:3" x14ac:dyDescent="0.25">
      <c r="C790" s="541" t="s">
        <v>4632</v>
      </c>
    </row>
    <row r="791" spans="3:3" x14ac:dyDescent="0.25">
      <c r="C791" s="541" t="s">
        <v>4633</v>
      </c>
    </row>
    <row r="792" spans="3:3" x14ac:dyDescent="0.25">
      <c r="C792" s="541" t="s">
        <v>4634</v>
      </c>
    </row>
    <row r="793" spans="3:3" x14ac:dyDescent="0.25">
      <c r="C793" s="541" t="s">
        <v>4635</v>
      </c>
    </row>
    <row r="794" spans="3:3" x14ac:dyDescent="0.25">
      <c r="C794" s="541" t="s">
        <v>4636</v>
      </c>
    </row>
    <row r="795" spans="3:3" x14ac:dyDescent="0.25">
      <c r="C795" s="541" t="s">
        <v>4637</v>
      </c>
    </row>
    <row r="796" spans="3:3" x14ac:dyDescent="0.25">
      <c r="C796" s="541" t="s">
        <v>4638</v>
      </c>
    </row>
    <row r="797" spans="3:3" x14ac:dyDescent="0.25">
      <c r="C797" s="541" t="s">
        <v>4639</v>
      </c>
    </row>
    <row r="798" spans="3:3" x14ac:dyDescent="0.25">
      <c r="C798" s="541" t="s">
        <v>4640</v>
      </c>
    </row>
    <row r="799" spans="3:3" x14ac:dyDescent="0.25">
      <c r="C799" s="541" t="s">
        <v>4641</v>
      </c>
    </row>
    <row r="800" spans="3:3" x14ac:dyDescent="0.25">
      <c r="C800" s="541" t="s">
        <v>4642</v>
      </c>
    </row>
    <row r="801" spans="3:3" x14ac:dyDescent="0.25">
      <c r="C801" s="541" t="s">
        <v>4643</v>
      </c>
    </row>
    <row r="802" spans="3:3" x14ac:dyDescent="0.25">
      <c r="C802" s="541" t="s">
        <v>4644</v>
      </c>
    </row>
    <row r="803" spans="3:3" x14ac:dyDescent="0.25">
      <c r="C803" s="541" t="s">
        <v>4645</v>
      </c>
    </row>
    <row r="804" spans="3:3" x14ac:dyDescent="0.25">
      <c r="C804" s="541" t="s">
        <v>4646</v>
      </c>
    </row>
    <row r="805" spans="3:3" x14ac:dyDescent="0.25">
      <c r="C805" s="541" t="s">
        <v>4647</v>
      </c>
    </row>
    <row r="806" spans="3:3" x14ac:dyDescent="0.25">
      <c r="C806" s="541" t="s">
        <v>4648</v>
      </c>
    </row>
    <row r="807" spans="3:3" x14ac:dyDescent="0.25">
      <c r="C807" s="541" t="s">
        <v>4649</v>
      </c>
    </row>
    <row r="808" spans="3:3" x14ac:dyDescent="0.25">
      <c r="C808" s="541" t="s">
        <v>4650</v>
      </c>
    </row>
    <row r="809" spans="3:3" x14ac:dyDescent="0.25">
      <c r="C809" s="541" t="s">
        <v>4651</v>
      </c>
    </row>
    <row r="810" spans="3:3" x14ac:dyDescent="0.25">
      <c r="C810" s="541" t="s">
        <v>4652</v>
      </c>
    </row>
    <row r="811" spans="3:3" x14ac:dyDescent="0.25">
      <c r="C811" s="541" t="s">
        <v>4653</v>
      </c>
    </row>
    <row r="812" spans="3:3" x14ac:dyDescent="0.25">
      <c r="C812" s="541" t="s">
        <v>4654</v>
      </c>
    </row>
    <row r="813" spans="3:3" x14ac:dyDescent="0.25">
      <c r="C813" s="541" t="s">
        <v>4655</v>
      </c>
    </row>
    <row r="814" spans="3:3" x14ac:dyDescent="0.25">
      <c r="C814" s="541" t="s">
        <v>4656</v>
      </c>
    </row>
    <row r="815" spans="3:3" x14ac:dyDescent="0.25">
      <c r="C815" s="541" t="s">
        <v>4657</v>
      </c>
    </row>
    <row r="816" spans="3:3" x14ac:dyDescent="0.25">
      <c r="C816" s="541" t="s">
        <v>4658</v>
      </c>
    </row>
    <row r="817" spans="3:3" x14ac:dyDescent="0.25">
      <c r="C817" s="541" t="s">
        <v>4659</v>
      </c>
    </row>
    <row r="818" spans="3:3" x14ac:dyDescent="0.25">
      <c r="C818" s="541" t="s">
        <v>4660</v>
      </c>
    </row>
    <row r="819" spans="3:3" x14ac:dyDescent="0.25">
      <c r="C819" s="541" t="s">
        <v>4661</v>
      </c>
    </row>
    <row r="820" spans="3:3" x14ac:dyDescent="0.25">
      <c r="C820" s="541" t="s">
        <v>4662</v>
      </c>
    </row>
    <row r="821" spans="3:3" x14ac:dyDescent="0.25">
      <c r="C821" s="541" t="s">
        <v>4663</v>
      </c>
    </row>
    <row r="822" spans="3:3" x14ac:dyDescent="0.25">
      <c r="C822" s="541" t="s">
        <v>4664</v>
      </c>
    </row>
    <row r="823" spans="3:3" x14ac:dyDescent="0.25">
      <c r="C823" s="541" t="s">
        <v>4665</v>
      </c>
    </row>
    <row r="824" spans="3:3" x14ac:dyDescent="0.25">
      <c r="C824" s="541" t="s">
        <v>4666</v>
      </c>
    </row>
    <row r="825" spans="3:3" x14ac:dyDescent="0.25">
      <c r="C825" s="541" t="s">
        <v>4667</v>
      </c>
    </row>
    <row r="826" spans="3:3" x14ac:dyDescent="0.25">
      <c r="C826" s="541" t="s">
        <v>4668</v>
      </c>
    </row>
    <row r="827" spans="3:3" x14ac:dyDescent="0.25">
      <c r="C827" s="541" t="s">
        <v>4669</v>
      </c>
    </row>
    <row r="828" spans="3:3" x14ac:dyDescent="0.25">
      <c r="C828" s="541" t="s">
        <v>4670</v>
      </c>
    </row>
    <row r="829" spans="3:3" x14ac:dyDescent="0.25">
      <c r="C829" s="541" t="s">
        <v>4671</v>
      </c>
    </row>
    <row r="830" spans="3:3" x14ac:dyDescent="0.25">
      <c r="C830" s="541" t="s">
        <v>4672</v>
      </c>
    </row>
    <row r="831" spans="3:3" x14ac:dyDescent="0.25">
      <c r="C831" s="541" t="s">
        <v>4673</v>
      </c>
    </row>
    <row r="832" spans="3:3" x14ac:dyDescent="0.25">
      <c r="C832" s="541" t="s">
        <v>4674</v>
      </c>
    </row>
    <row r="833" spans="3:3" x14ac:dyDescent="0.25">
      <c r="C833" s="541" t="s">
        <v>4675</v>
      </c>
    </row>
    <row r="834" spans="3:3" x14ac:dyDescent="0.25">
      <c r="C834" s="541" t="s">
        <v>4676</v>
      </c>
    </row>
    <row r="835" spans="3:3" x14ac:dyDescent="0.25">
      <c r="C835" s="541" t="s">
        <v>4677</v>
      </c>
    </row>
    <row r="836" spans="3:3" x14ac:dyDescent="0.25">
      <c r="C836" s="541" t="s">
        <v>4678</v>
      </c>
    </row>
    <row r="837" spans="3:3" x14ac:dyDescent="0.25">
      <c r="C837" s="541" t="s">
        <v>4679</v>
      </c>
    </row>
    <row r="838" spans="3:3" x14ac:dyDescent="0.25">
      <c r="C838" s="541" t="s">
        <v>4680</v>
      </c>
    </row>
    <row r="839" spans="3:3" x14ac:dyDescent="0.25">
      <c r="C839" s="541" t="s">
        <v>4681</v>
      </c>
    </row>
    <row r="840" spans="3:3" x14ac:dyDescent="0.25">
      <c r="C840" s="541" t="s">
        <v>4682</v>
      </c>
    </row>
    <row r="841" spans="3:3" x14ac:dyDescent="0.25">
      <c r="C841" s="541" t="s">
        <v>4683</v>
      </c>
    </row>
    <row r="842" spans="3:3" x14ac:dyDescent="0.25">
      <c r="C842" s="541" t="s">
        <v>4684</v>
      </c>
    </row>
    <row r="843" spans="3:3" x14ac:dyDescent="0.25">
      <c r="C843" s="541" t="s">
        <v>4685</v>
      </c>
    </row>
    <row r="844" spans="3:3" x14ac:dyDescent="0.25">
      <c r="C844" s="541" t="s">
        <v>4686</v>
      </c>
    </row>
    <row r="845" spans="3:3" x14ac:dyDescent="0.25">
      <c r="C845" s="541" t="s">
        <v>4687</v>
      </c>
    </row>
    <row r="846" spans="3:3" x14ac:dyDescent="0.25">
      <c r="C846" s="541" t="s">
        <v>4688</v>
      </c>
    </row>
    <row r="847" spans="3:3" x14ac:dyDescent="0.25">
      <c r="C847" s="541" t="s">
        <v>4689</v>
      </c>
    </row>
    <row r="848" spans="3:3" x14ac:dyDescent="0.25">
      <c r="C848" s="541" t="s">
        <v>4690</v>
      </c>
    </row>
    <row r="849" spans="3:3" x14ac:dyDescent="0.25">
      <c r="C849" s="541" t="s">
        <v>4691</v>
      </c>
    </row>
    <row r="850" spans="3:3" x14ac:dyDescent="0.25">
      <c r="C850" s="541" t="s">
        <v>4692</v>
      </c>
    </row>
    <row r="851" spans="3:3" x14ac:dyDescent="0.25">
      <c r="C851" s="541" t="s">
        <v>4693</v>
      </c>
    </row>
    <row r="852" spans="3:3" x14ac:dyDescent="0.25">
      <c r="C852" s="541" t="s">
        <v>4694</v>
      </c>
    </row>
    <row r="853" spans="3:3" x14ac:dyDescent="0.25">
      <c r="C853" s="541" t="s">
        <v>4695</v>
      </c>
    </row>
    <row r="854" spans="3:3" x14ac:dyDescent="0.25">
      <c r="C854" s="541" t="s">
        <v>4696</v>
      </c>
    </row>
    <row r="855" spans="3:3" x14ac:dyDescent="0.25">
      <c r="C855" s="541" t="s">
        <v>4697</v>
      </c>
    </row>
    <row r="856" spans="3:3" x14ac:dyDescent="0.25">
      <c r="C856" s="541" t="s">
        <v>4698</v>
      </c>
    </row>
    <row r="857" spans="3:3" x14ac:dyDescent="0.25">
      <c r="C857" s="541" t="s">
        <v>4699</v>
      </c>
    </row>
    <row r="858" spans="3:3" x14ac:dyDescent="0.25">
      <c r="C858" s="541" t="s">
        <v>4700</v>
      </c>
    </row>
    <row r="859" spans="3:3" x14ac:dyDescent="0.25">
      <c r="C859" s="541" t="s">
        <v>4701</v>
      </c>
    </row>
    <row r="860" spans="3:3" x14ac:dyDescent="0.25">
      <c r="C860" s="541" t="s">
        <v>4702</v>
      </c>
    </row>
    <row r="861" spans="3:3" x14ac:dyDescent="0.25">
      <c r="C861" s="541" t="s">
        <v>4703</v>
      </c>
    </row>
    <row r="862" spans="3:3" x14ac:dyDescent="0.25">
      <c r="C862" s="541" t="s">
        <v>4704</v>
      </c>
    </row>
    <row r="863" spans="3:3" x14ac:dyDescent="0.25">
      <c r="C863" s="541" t="s">
        <v>4705</v>
      </c>
    </row>
    <row r="864" spans="3:3" x14ac:dyDescent="0.25">
      <c r="C864" s="541" t="s">
        <v>4706</v>
      </c>
    </row>
    <row r="865" spans="3:3" x14ac:dyDescent="0.25">
      <c r="C865" s="541" t="s">
        <v>4707</v>
      </c>
    </row>
    <row r="866" spans="3:3" x14ac:dyDescent="0.25">
      <c r="C866" s="541" t="s">
        <v>4708</v>
      </c>
    </row>
    <row r="867" spans="3:3" x14ac:dyDescent="0.25">
      <c r="C867" s="541" t="s">
        <v>4709</v>
      </c>
    </row>
    <row r="868" spans="3:3" x14ac:dyDescent="0.25">
      <c r="C868" s="541" t="s">
        <v>4710</v>
      </c>
    </row>
    <row r="869" spans="3:3" x14ac:dyDescent="0.25">
      <c r="C869" s="541" t="s">
        <v>4711</v>
      </c>
    </row>
    <row r="870" spans="3:3" x14ac:dyDescent="0.25">
      <c r="C870" s="541" t="s">
        <v>4712</v>
      </c>
    </row>
    <row r="871" spans="3:3" x14ac:dyDescent="0.25">
      <c r="C871" s="541" t="s">
        <v>4713</v>
      </c>
    </row>
    <row r="872" spans="3:3" x14ac:dyDescent="0.25">
      <c r="C872" s="541" t="s">
        <v>4714</v>
      </c>
    </row>
    <row r="873" spans="3:3" x14ac:dyDescent="0.25">
      <c r="C873" s="541" t="s">
        <v>4715</v>
      </c>
    </row>
    <row r="874" spans="3:3" x14ac:dyDescent="0.25">
      <c r="C874" s="541" t="s">
        <v>4716</v>
      </c>
    </row>
    <row r="875" spans="3:3" x14ac:dyDescent="0.25">
      <c r="C875" s="541" t="s">
        <v>4717</v>
      </c>
    </row>
    <row r="876" spans="3:3" x14ac:dyDescent="0.25">
      <c r="C876" s="541" t="s">
        <v>4718</v>
      </c>
    </row>
    <row r="877" spans="3:3" x14ac:dyDescent="0.25">
      <c r="C877" s="541" t="s">
        <v>4719</v>
      </c>
    </row>
    <row r="878" spans="3:3" x14ac:dyDescent="0.25">
      <c r="C878" s="541" t="s">
        <v>4720</v>
      </c>
    </row>
    <row r="879" spans="3:3" x14ac:dyDescent="0.25">
      <c r="C879" s="541" t="s">
        <v>4721</v>
      </c>
    </row>
    <row r="880" spans="3:3" x14ac:dyDescent="0.25">
      <c r="C880" s="541" t="s">
        <v>4722</v>
      </c>
    </row>
    <row r="881" spans="3:3" x14ac:dyDescent="0.25">
      <c r="C881" s="541" t="s">
        <v>4723</v>
      </c>
    </row>
    <row r="882" spans="3:3" x14ac:dyDescent="0.25">
      <c r="C882" s="541" t="s">
        <v>4724</v>
      </c>
    </row>
    <row r="883" spans="3:3" x14ac:dyDescent="0.25">
      <c r="C883" s="541" t="s">
        <v>4725</v>
      </c>
    </row>
    <row r="884" spans="3:3" x14ac:dyDescent="0.25">
      <c r="C884" s="541" t="s">
        <v>4726</v>
      </c>
    </row>
    <row r="885" spans="3:3" x14ac:dyDescent="0.25">
      <c r="C885" s="541" t="s">
        <v>4727</v>
      </c>
    </row>
    <row r="886" spans="3:3" x14ac:dyDescent="0.25">
      <c r="C886" s="541" t="s">
        <v>4728</v>
      </c>
    </row>
    <row r="887" spans="3:3" x14ac:dyDescent="0.25">
      <c r="C887" s="541" t="s">
        <v>4729</v>
      </c>
    </row>
    <row r="888" spans="3:3" x14ac:dyDescent="0.25">
      <c r="C888" s="541" t="s">
        <v>4730</v>
      </c>
    </row>
    <row r="889" spans="3:3" x14ac:dyDescent="0.25">
      <c r="C889" s="541" t="s">
        <v>4731</v>
      </c>
    </row>
    <row r="890" spans="3:3" x14ac:dyDescent="0.25">
      <c r="C890" s="541" t="s">
        <v>4732</v>
      </c>
    </row>
    <row r="891" spans="3:3" x14ac:dyDescent="0.25">
      <c r="C891" s="541" t="s">
        <v>4733</v>
      </c>
    </row>
    <row r="892" spans="3:3" x14ac:dyDescent="0.25">
      <c r="C892" s="541" t="s">
        <v>4734</v>
      </c>
    </row>
    <row r="893" spans="3:3" x14ac:dyDescent="0.25">
      <c r="C893" s="541" t="s">
        <v>4735</v>
      </c>
    </row>
    <row r="894" spans="3:3" x14ac:dyDescent="0.25">
      <c r="C894" s="541" t="s">
        <v>4736</v>
      </c>
    </row>
    <row r="895" spans="3:3" x14ac:dyDescent="0.25">
      <c r="C895" s="541" t="s">
        <v>4737</v>
      </c>
    </row>
    <row r="896" spans="3:3" x14ac:dyDescent="0.25">
      <c r="C896" s="541" t="s">
        <v>4738</v>
      </c>
    </row>
    <row r="897" spans="3:3" x14ac:dyDescent="0.25">
      <c r="C897" s="541" t="s">
        <v>4739</v>
      </c>
    </row>
    <row r="898" spans="3:3" x14ac:dyDescent="0.25">
      <c r="C898" s="541" t="s">
        <v>4740</v>
      </c>
    </row>
    <row r="899" spans="3:3" x14ac:dyDescent="0.25">
      <c r="C899" s="541" t="s">
        <v>4741</v>
      </c>
    </row>
    <row r="900" spans="3:3" x14ac:dyDescent="0.25">
      <c r="C900" s="541" t="s">
        <v>4742</v>
      </c>
    </row>
    <row r="901" spans="3:3" x14ac:dyDescent="0.25">
      <c r="C901" s="541" t="s">
        <v>4743</v>
      </c>
    </row>
    <row r="902" spans="3:3" x14ac:dyDescent="0.25">
      <c r="C902" s="541" t="s">
        <v>4744</v>
      </c>
    </row>
    <row r="903" spans="3:3" x14ac:dyDescent="0.25">
      <c r="C903" s="541" t="s">
        <v>4745</v>
      </c>
    </row>
    <row r="904" spans="3:3" x14ac:dyDescent="0.25">
      <c r="C904" s="541" t="s">
        <v>4746</v>
      </c>
    </row>
    <row r="905" spans="3:3" x14ac:dyDescent="0.25">
      <c r="C905" s="541" t="s">
        <v>4747</v>
      </c>
    </row>
    <row r="906" spans="3:3" x14ac:dyDescent="0.25">
      <c r="C906" s="541" t="s">
        <v>4748</v>
      </c>
    </row>
    <row r="907" spans="3:3" x14ac:dyDescent="0.25">
      <c r="C907" s="541" t="s">
        <v>4749</v>
      </c>
    </row>
    <row r="908" spans="3:3" x14ac:dyDescent="0.25">
      <c r="C908" s="541" t="s">
        <v>4750</v>
      </c>
    </row>
    <row r="909" spans="3:3" x14ac:dyDescent="0.25">
      <c r="C909" s="541" t="s">
        <v>4751</v>
      </c>
    </row>
    <row r="910" spans="3:3" x14ac:dyDescent="0.25">
      <c r="C910" s="541" t="s">
        <v>4752</v>
      </c>
    </row>
    <row r="911" spans="3:3" x14ac:dyDescent="0.25">
      <c r="C911" s="541" t="s">
        <v>4753</v>
      </c>
    </row>
    <row r="912" spans="3:3" x14ac:dyDescent="0.25">
      <c r="C912" s="541" t="s">
        <v>4754</v>
      </c>
    </row>
    <row r="913" spans="3:3" x14ac:dyDescent="0.25">
      <c r="C913" s="541" t="s">
        <v>4755</v>
      </c>
    </row>
    <row r="914" spans="3:3" x14ac:dyDescent="0.25">
      <c r="C914" s="541" t="s">
        <v>4756</v>
      </c>
    </row>
    <row r="915" spans="3:3" x14ac:dyDescent="0.25">
      <c r="C915" s="541" t="s">
        <v>4757</v>
      </c>
    </row>
    <row r="916" spans="3:3" x14ac:dyDescent="0.25">
      <c r="C916" s="541" t="s">
        <v>4758</v>
      </c>
    </row>
    <row r="917" spans="3:3" x14ac:dyDescent="0.25">
      <c r="C917" s="541" t="s">
        <v>4759</v>
      </c>
    </row>
    <row r="918" spans="3:3" x14ac:dyDescent="0.25">
      <c r="C918" s="541" t="s">
        <v>4760</v>
      </c>
    </row>
    <row r="919" spans="3:3" x14ac:dyDescent="0.25">
      <c r="C919" s="541" t="s">
        <v>4761</v>
      </c>
    </row>
    <row r="920" spans="3:3" x14ac:dyDescent="0.25">
      <c r="C920" s="541" t="s">
        <v>4762</v>
      </c>
    </row>
    <row r="921" spans="3:3" x14ac:dyDescent="0.25">
      <c r="C921" s="541" t="s">
        <v>4763</v>
      </c>
    </row>
    <row r="922" spans="3:3" x14ac:dyDescent="0.25">
      <c r="C922" s="541" t="s">
        <v>4764</v>
      </c>
    </row>
    <row r="923" spans="3:3" x14ac:dyDescent="0.25">
      <c r="C923" s="541" t="s">
        <v>4765</v>
      </c>
    </row>
    <row r="924" spans="3:3" x14ac:dyDescent="0.25">
      <c r="C924" s="541" t="s">
        <v>4766</v>
      </c>
    </row>
    <row r="925" spans="3:3" x14ac:dyDescent="0.25">
      <c r="C925" s="541" t="s">
        <v>4767</v>
      </c>
    </row>
    <row r="926" spans="3:3" x14ac:dyDescent="0.25">
      <c r="C926" s="541" t="s">
        <v>4768</v>
      </c>
    </row>
    <row r="927" spans="3:3" x14ac:dyDescent="0.25">
      <c r="C927" s="541" t="s">
        <v>4769</v>
      </c>
    </row>
    <row r="928" spans="3:3" x14ac:dyDescent="0.25">
      <c r="C928" s="541" t="s">
        <v>4770</v>
      </c>
    </row>
    <row r="929" spans="3:3" x14ac:dyDescent="0.25">
      <c r="C929" s="541" t="s">
        <v>4771</v>
      </c>
    </row>
    <row r="930" spans="3:3" x14ac:dyDescent="0.25">
      <c r="C930" s="541" t="s">
        <v>4772</v>
      </c>
    </row>
    <row r="931" spans="3:3" x14ac:dyDescent="0.25">
      <c r="C931" s="541" t="s">
        <v>4773</v>
      </c>
    </row>
    <row r="932" spans="3:3" x14ac:dyDescent="0.25">
      <c r="C932" s="541" t="s">
        <v>4774</v>
      </c>
    </row>
    <row r="933" spans="3:3" x14ac:dyDescent="0.25">
      <c r="C933" s="541" t="s">
        <v>4775</v>
      </c>
    </row>
    <row r="934" spans="3:3" x14ac:dyDescent="0.25">
      <c r="C934" s="541" t="s">
        <v>4776</v>
      </c>
    </row>
    <row r="935" spans="3:3" x14ac:dyDescent="0.25">
      <c r="C935" s="541" t="s">
        <v>4777</v>
      </c>
    </row>
    <row r="936" spans="3:3" x14ac:dyDescent="0.25">
      <c r="C936" s="541" t="s">
        <v>4778</v>
      </c>
    </row>
    <row r="937" spans="3:3" x14ac:dyDescent="0.25">
      <c r="C937" s="541" t="s">
        <v>4779</v>
      </c>
    </row>
    <row r="938" spans="3:3" x14ac:dyDescent="0.25">
      <c r="C938" s="541" t="s">
        <v>4780</v>
      </c>
    </row>
    <row r="939" spans="3:3" x14ac:dyDescent="0.25">
      <c r="C939" s="541" t="s">
        <v>4781</v>
      </c>
    </row>
    <row r="940" spans="3:3" x14ac:dyDescent="0.25">
      <c r="C940" s="541" t="s">
        <v>4782</v>
      </c>
    </row>
    <row r="941" spans="3:3" x14ac:dyDescent="0.25">
      <c r="C941" s="541" t="s">
        <v>4783</v>
      </c>
    </row>
    <row r="942" spans="3:3" x14ac:dyDescent="0.25">
      <c r="C942" s="541" t="s">
        <v>4784</v>
      </c>
    </row>
    <row r="943" spans="3:3" x14ac:dyDescent="0.25">
      <c r="C943" s="541" t="s">
        <v>4785</v>
      </c>
    </row>
    <row r="944" spans="3:3" x14ac:dyDescent="0.25">
      <c r="C944" s="541" t="s">
        <v>4786</v>
      </c>
    </row>
    <row r="945" spans="3:3" x14ac:dyDescent="0.25">
      <c r="C945" s="541" t="s">
        <v>4787</v>
      </c>
    </row>
    <row r="946" spans="3:3" x14ac:dyDescent="0.25">
      <c r="C946" s="541" t="s">
        <v>4788</v>
      </c>
    </row>
    <row r="947" spans="3:3" x14ac:dyDescent="0.25">
      <c r="C947" s="541" t="s">
        <v>4789</v>
      </c>
    </row>
    <row r="948" spans="3:3" x14ac:dyDescent="0.25">
      <c r="C948" s="541" t="s">
        <v>4790</v>
      </c>
    </row>
    <row r="949" spans="3:3" x14ac:dyDescent="0.25">
      <c r="C949" s="541" t="s">
        <v>4791</v>
      </c>
    </row>
    <row r="950" spans="3:3" x14ac:dyDescent="0.25">
      <c r="C950" s="541" t="s">
        <v>4792</v>
      </c>
    </row>
    <row r="951" spans="3:3" x14ac:dyDescent="0.25">
      <c r="C951" s="541" t="s">
        <v>4793</v>
      </c>
    </row>
    <row r="952" spans="3:3" x14ac:dyDescent="0.25">
      <c r="C952" s="541" t="s">
        <v>4794</v>
      </c>
    </row>
    <row r="953" spans="3:3" x14ac:dyDescent="0.25">
      <c r="C953" s="541" t="s">
        <v>4795</v>
      </c>
    </row>
    <row r="954" spans="3:3" x14ac:dyDescent="0.25">
      <c r="C954" s="541" t="s">
        <v>4796</v>
      </c>
    </row>
    <row r="955" spans="3:3" x14ac:dyDescent="0.25">
      <c r="C955" s="541" t="s">
        <v>4797</v>
      </c>
    </row>
    <row r="956" spans="3:3" x14ac:dyDescent="0.25">
      <c r="C956" s="541" t="s">
        <v>4798</v>
      </c>
    </row>
    <row r="957" spans="3:3" x14ac:dyDescent="0.25">
      <c r="C957" s="541" t="s">
        <v>4799</v>
      </c>
    </row>
    <row r="958" spans="3:3" x14ac:dyDescent="0.25">
      <c r="C958" s="541" t="s">
        <v>4800</v>
      </c>
    </row>
    <row r="959" spans="3:3" x14ac:dyDescent="0.25">
      <c r="C959" s="541" t="s">
        <v>4801</v>
      </c>
    </row>
    <row r="960" spans="3:3" x14ac:dyDescent="0.25">
      <c r="C960" s="541" t="s">
        <v>4802</v>
      </c>
    </row>
    <row r="961" spans="3:3" x14ac:dyDescent="0.25">
      <c r="C961" s="541" t="s">
        <v>4803</v>
      </c>
    </row>
    <row r="962" spans="3:3" x14ac:dyDescent="0.25">
      <c r="C962" s="541" t="s">
        <v>4804</v>
      </c>
    </row>
    <row r="963" spans="3:3" x14ac:dyDescent="0.25">
      <c r="C963" s="541" t="s">
        <v>4805</v>
      </c>
    </row>
    <row r="964" spans="3:3" x14ac:dyDescent="0.25">
      <c r="C964" s="541" t="s">
        <v>4806</v>
      </c>
    </row>
    <row r="965" spans="3:3" x14ac:dyDescent="0.25">
      <c r="C965" s="541" t="s">
        <v>4807</v>
      </c>
    </row>
    <row r="966" spans="3:3" x14ac:dyDescent="0.25">
      <c r="C966" s="541" t="s">
        <v>4808</v>
      </c>
    </row>
    <row r="967" spans="3:3" x14ac:dyDescent="0.25">
      <c r="C967" s="541" t="s">
        <v>4809</v>
      </c>
    </row>
    <row r="968" spans="3:3" x14ac:dyDescent="0.25">
      <c r="C968" s="541" t="s">
        <v>4810</v>
      </c>
    </row>
    <row r="969" spans="3:3" x14ac:dyDescent="0.25">
      <c r="C969" s="541" t="s">
        <v>4811</v>
      </c>
    </row>
    <row r="970" spans="3:3" x14ac:dyDescent="0.25">
      <c r="C970" s="541" t="s">
        <v>4812</v>
      </c>
    </row>
    <row r="971" spans="3:3" x14ac:dyDescent="0.25">
      <c r="C971" s="541" t="s">
        <v>4813</v>
      </c>
    </row>
    <row r="972" spans="3:3" x14ac:dyDescent="0.25">
      <c r="C972" s="541" t="s">
        <v>4814</v>
      </c>
    </row>
    <row r="973" spans="3:3" x14ac:dyDescent="0.25">
      <c r="C973" s="541" t="s">
        <v>4815</v>
      </c>
    </row>
    <row r="974" spans="3:3" x14ac:dyDescent="0.25">
      <c r="C974" s="541" t="s">
        <v>4816</v>
      </c>
    </row>
    <row r="975" spans="3:3" x14ac:dyDescent="0.25">
      <c r="C975" s="541" t="s">
        <v>4817</v>
      </c>
    </row>
    <row r="976" spans="3:3" x14ac:dyDescent="0.25">
      <c r="C976" s="541" t="s">
        <v>4818</v>
      </c>
    </row>
    <row r="977" spans="3:3" x14ac:dyDescent="0.25">
      <c r="C977" s="541" t="s">
        <v>4819</v>
      </c>
    </row>
    <row r="978" spans="3:3" x14ac:dyDescent="0.25">
      <c r="C978" s="541" t="s">
        <v>4820</v>
      </c>
    </row>
    <row r="979" spans="3:3" x14ac:dyDescent="0.25">
      <c r="C979" s="541" t="s">
        <v>4821</v>
      </c>
    </row>
    <row r="980" spans="3:3" x14ac:dyDescent="0.25">
      <c r="C980" s="541" t="s">
        <v>4822</v>
      </c>
    </row>
    <row r="981" spans="3:3" x14ac:dyDescent="0.25">
      <c r="C981" s="541" t="s">
        <v>4823</v>
      </c>
    </row>
    <row r="982" spans="3:3" x14ac:dyDescent="0.25">
      <c r="C982" s="541" t="s">
        <v>4824</v>
      </c>
    </row>
    <row r="983" spans="3:3" x14ac:dyDescent="0.25">
      <c r="C983" s="541" t="s">
        <v>4825</v>
      </c>
    </row>
    <row r="984" spans="3:3" x14ac:dyDescent="0.25">
      <c r="C984" s="541" t="s">
        <v>4826</v>
      </c>
    </row>
    <row r="985" spans="3:3" x14ac:dyDescent="0.25">
      <c r="C985" s="541" t="s">
        <v>4827</v>
      </c>
    </row>
    <row r="986" spans="3:3" x14ac:dyDescent="0.25">
      <c r="C986" s="541" t="s">
        <v>4828</v>
      </c>
    </row>
    <row r="987" spans="3:3" x14ac:dyDescent="0.25">
      <c r="C987" s="541" t="s">
        <v>4829</v>
      </c>
    </row>
    <row r="988" spans="3:3" x14ac:dyDescent="0.25">
      <c r="C988" s="541" t="s">
        <v>4830</v>
      </c>
    </row>
    <row r="989" spans="3:3" x14ac:dyDescent="0.25">
      <c r="C989" s="541" t="s">
        <v>4831</v>
      </c>
    </row>
    <row r="990" spans="3:3" x14ac:dyDescent="0.25">
      <c r="C990" s="541" t="s">
        <v>4832</v>
      </c>
    </row>
    <row r="991" spans="3:3" x14ac:dyDescent="0.25">
      <c r="C991" s="541" t="s">
        <v>4833</v>
      </c>
    </row>
    <row r="992" spans="3:3" x14ac:dyDescent="0.25">
      <c r="C992" s="541" t="s">
        <v>4834</v>
      </c>
    </row>
    <row r="993" spans="3:3" x14ac:dyDescent="0.25">
      <c r="C993" s="541" t="s">
        <v>4835</v>
      </c>
    </row>
    <row r="994" spans="3:3" x14ac:dyDescent="0.25">
      <c r="C994" s="541" t="s">
        <v>4836</v>
      </c>
    </row>
    <row r="995" spans="3:3" x14ac:dyDescent="0.25">
      <c r="C995" s="541" t="s">
        <v>4837</v>
      </c>
    </row>
    <row r="996" spans="3:3" x14ac:dyDescent="0.25">
      <c r="C996" s="541" t="s">
        <v>4838</v>
      </c>
    </row>
    <row r="997" spans="3:3" x14ac:dyDescent="0.25">
      <c r="C997" s="541" t="s">
        <v>4839</v>
      </c>
    </row>
    <row r="998" spans="3:3" x14ac:dyDescent="0.25">
      <c r="C998" s="541" t="s">
        <v>4840</v>
      </c>
    </row>
    <row r="999" spans="3:3" x14ac:dyDescent="0.25">
      <c r="C999" s="541" t="s">
        <v>4841</v>
      </c>
    </row>
    <row r="1000" spans="3:3" x14ac:dyDescent="0.25">
      <c r="C1000" s="541" t="s">
        <v>4842</v>
      </c>
    </row>
    <row r="1001" spans="3:3" x14ac:dyDescent="0.25">
      <c r="C1001" s="541" t="s">
        <v>4843</v>
      </c>
    </row>
    <row r="1002" spans="3:3" x14ac:dyDescent="0.25">
      <c r="C1002" s="541" t="s">
        <v>4844</v>
      </c>
    </row>
    <row r="1003" spans="3:3" x14ac:dyDescent="0.25">
      <c r="C1003" s="541" t="s">
        <v>4845</v>
      </c>
    </row>
    <row r="1004" spans="3:3" x14ac:dyDescent="0.25">
      <c r="C1004" s="541" t="s">
        <v>4846</v>
      </c>
    </row>
    <row r="1005" spans="3:3" x14ac:dyDescent="0.25">
      <c r="C1005" s="541" t="s">
        <v>4847</v>
      </c>
    </row>
    <row r="1006" spans="3:3" x14ac:dyDescent="0.25">
      <c r="C1006" s="541" t="s">
        <v>4848</v>
      </c>
    </row>
    <row r="1007" spans="3:3" x14ac:dyDescent="0.25">
      <c r="C1007" s="541" t="s">
        <v>4849</v>
      </c>
    </row>
    <row r="1008" spans="3:3" x14ac:dyDescent="0.25">
      <c r="C1008" s="541" t="s">
        <v>4850</v>
      </c>
    </row>
    <row r="1009" spans="3:3" x14ac:dyDescent="0.25">
      <c r="C1009" s="541" t="s">
        <v>4851</v>
      </c>
    </row>
    <row r="1010" spans="3:3" x14ac:dyDescent="0.25">
      <c r="C1010" s="541" t="s">
        <v>4852</v>
      </c>
    </row>
    <row r="1011" spans="3:3" x14ac:dyDescent="0.25">
      <c r="C1011" s="541" t="s">
        <v>4853</v>
      </c>
    </row>
    <row r="1012" spans="3:3" x14ac:dyDescent="0.25">
      <c r="C1012" s="541" t="s">
        <v>4854</v>
      </c>
    </row>
    <row r="1013" spans="3:3" x14ac:dyDescent="0.25">
      <c r="C1013" s="541" t="s">
        <v>4855</v>
      </c>
    </row>
    <row r="1014" spans="3:3" x14ac:dyDescent="0.25">
      <c r="C1014" s="541" t="s">
        <v>4856</v>
      </c>
    </row>
    <row r="1015" spans="3:3" x14ac:dyDescent="0.25">
      <c r="C1015" s="541" t="s">
        <v>4857</v>
      </c>
    </row>
    <row r="1016" spans="3:3" x14ac:dyDescent="0.25">
      <c r="C1016" s="541" t="s">
        <v>4858</v>
      </c>
    </row>
    <row r="1017" spans="3:3" x14ac:dyDescent="0.25">
      <c r="C1017" s="541" t="s">
        <v>4859</v>
      </c>
    </row>
    <row r="1018" spans="3:3" x14ac:dyDescent="0.25">
      <c r="C1018" s="541" t="s">
        <v>4860</v>
      </c>
    </row>
    <row r="1019" spans="3:3" x14ac:dyDescent="0.25">
      <c r="C1019" s="541" t="s">
        <v>4861</v>
      </c>
    </row>
    <row r="1020" spans="3:3" x14ac:dyDescent="0.25">
      <c r="C1020" s="541" t="s">
        <v>4862</v>
      </c>
    </row>
    <row r="1021" spans="3:3" x14ac:dyDescent="0.25">
      <c r="C1021" s="541" t="s">
        <v>4863</v>
      </c>
    </row>
    <row r="1022" spans="3:3" x14ac:dyDescent="0.25">
      <c r="C1022" s="541" t="s">
        <v>4864</v>
      </c>
    </row>
    <row r="1023" spans="3:3" x14ac:dyDescent="0.25">
      <c r="C1023" s="541" t="s">
        <v>4865</v>
      </c>
    </row>
    <row r="1024" spans="3:3" x14ac:dyDescent="0.25">
      <c r="C1024" s="541" t="s">
        <v>4866</v>
      </c>
    </row>
    <row r="1025" spans="3:3" x14ac:dyDescent="0.25">
      <c r="C1025" s="541" t="s">
        <v>4867</v>
      </c>
    </row>
    <row r="1026" spans="3:3" x14ac:dyDescent="0.25">
      <c r="C1026" s="541" t="s">
        <v>4868</v>
      </c>
    </row>
    <row r="1027" spans="3:3" x14ac:dyDescent="0.25">
      <c r="C1027" s="541" t="s">
        <v>4869</v>
      </c>
    </row>
    <row r="1028" spans="3:3" x14ac:dyDescent="0.25">
      <c r="C1028" s="541" t="s">
        <v>4870</v>
      </c>
    </row>
    <row r="1029" spans="3:3" x14ac:dyDescent="0.25">
      <c r="C1029" s="541" t="s">
        <v>4871</v>
      </c>
    </row>
    <row r="1030" spans="3:3" x14ac:dyDescent="0.25">
      <c r="C1030" s="541" t="s">
        <v>4872</v>
      </c>
    </row>
    <row r="1031" spans="3:3" x14ac:dyDescent="0.25">
      <c r="C1031" s="541" t="s">
        <v>4873</v>
      </c>
    </row>
    <row r="1032" spans="3:3" x14ac:dyDescent="0.25">
      <c r="C1032" s="541" t="s">
        <v>4874</v>
      </c>
    </row>
    <row r="1033" spans="3:3" x14ac:dyDescent="0.25">
      <c r="C1033" s="541" t="s">
        <v>4875</v>
      </c>
    </row>
    <row r="1034" spans="3:3" x14ac:dyDescent="0.25">
      <c r="C1034" s="541" t="s">
        <v>4876</v>
      </c>
    </row>
    <row r="1035" spans="3:3" x14ac:dyDescent="0.25">
      <c r="C1035" s="541" t="s">
        <v>4877</v>
      </c>
    </row>
    <row r="1036" spans="3:3" x14ac:dyDescent="0.25">
      <c r="C1036" s="541" t="s">
        <v>4878</v>
      </c>
    </row>
    <row r="1037" spans="3:3" x14ac:dyDescent="0.25">
      <c r="C1037" s="541" t="s">
        <v>4879</v>
      </c>
    </row>
    <row r="1038" spans="3:3" x14ac:dyDescent="0.25">
      <c r="C1038" s="541" t="s">
        <v>4880</v>
      </c>
    </row>
    <row r="1039" spans="3:3" x14ac:dyDescent="0.25">
      <c r="C1039" s="541" t="s">
        <v>4881</v>
      </c>
    </row>
    <row r="1040" spans="3:3" x14ac:dyDescent="0.25">
      <c r="C1040" s="541" t="s">
        <v>4882</v>
      </c>
    </row>
    <row r="1041" spans="3:3" x14ac:dyDescent="0.25">
      <c r="C1041" s="541" t="s">
        <v>4883</v>
      </c>
    </row>
    <row r="1042" spans="3:3" x14ac:dyDescent="0.25">
      <c r="C1042" s="541" t="s">
        <v>4884</v>
      </c>
    </row>
    <row r="1043" spans="3:3" x14ac:dyDescent="0.25">
      <c r="C1043" s="541" t="s">
        <v>4885</v>
      </c>
    </row>
    <row r="1044" spans="3:3" x14ac:dyDescent="0.25">
      <c r="C1044" s="541" t="s">
        <v>4886</v>
      </c>
    </row>
    <row r="1045" spans="3:3" x14ac:dyDescent="0.25">
      <c r="C1045" s="541" t="s">
        <v>4887</v>
      </c>
    </row>
    <row r="1046" spans="3:3" x14ac:dyDescent="0.25">
      <c r="C1046" s="541" t="s">
        <v>4888</v>
      </c>
    </row>
    <row r="1047" spans="3:3" x14ac:dyDescent="0.25">
      <c r="C1047" s="541" t="s">
        <v>4889</v>
      </c>
    </row>
    <row r="1048" spans="3:3" x14ac:dyDescent="0.25">
      <c r="C1048" s="541" t="s">
        <v>4890</v>
      </c>
    </row>
    <row r="1049" spans="3:3" x14ac:dyDescent="0.25">
      <c r="C1049" s="541" t="s">
        <v>4891</v>
      </c>
    </row>
    <row r="1050" spans="3:3" x14ac:dyDescent="0.25">
      <c r="C1050" s="541" t="s">
        <v>4892</v>
      </c>
    </row>
    <row r="1051" spans="3:3" x14ac:dyDescent="0.25">
      <c r="C1051" s="541" t="s">
        <v>4893</v>
      </c>
    </row>
    <row r="1052" spans="3:3" x14ac:dyDescent="0.25">
      <c r="C1052" s="541" t="s">
        <v>4894</v>
      </c>
    </row>
    <row r="1053" spans="3:3" x14ac:dyDescent="0.25">
      <c r="C1053" s="541" t="s">
        <v>4895</v>
      </c>
    </row>
    <row r="1054" spans="3:3" x14ac:dyDescent="0.25">
      <c r="C1054" s="541" t="s">
        <v>4896</v>
      </c>
    </row>
    <row r="1055" spans="3:3" x14ac:dyDescent="0.25">
      <c r="C1055" s="541" t="s">
        <v>4897</v>
      </c>
    </row>
    <row r="1056" spans="3:3" x14ac:dyDescent="0.25">
      <c r="C1056" s="541" t="s">
        <v>4898</v>
      </c>
    </row>
    <row r="1057" spans="3:3" x14ac:dyDescent="0.25">
      <c r="C1057" s="541" t="s">
        <v>4899</v>
      </c>
    </row>
    <row r="1058" spans="3:3" x14ac:dyDescent="0.25">
      <c r="C1058" s="541" t="s">
        <v>4900</v>
      </c>
    </row>
    <row r="1059" spans="3:3" x14ac:dyDescent="0.25">
      <c r="C1059" s="541" t="s">
        <v>4901</v>
      </c>
    </row>
    <row r="1060" spans="3:3" x14ac:dyDescent="0.25">
      <c r="C1060" s="541" t="s">
        <v>4902</v>
      </c>
    </row>
    <row r="1061" spans="3:3" x14ac:dyDescent="0.25">
      <c r="C1061" s="541" t="s">
        <v>4903</v>
      </c>
    </row>
    <row r="1062" spans="3:3" x14ac:dyDescent="0.25">
      <c r="C1062" s="541" t="s">
        <v>4904</v>
      </c>
    </row>
    <row r="1063" spans="3:3" x14ac:dyDescent="0.25">
      <c r="C1063" s="541" t="s">
        <v>4905</v>
      </c>
    </row>
    <row r="1064" spans="3:3" x14ac:dyDescent="0.25">
      <c r="C1064" s="541" t="s">
        <v>4906</v>
      </c>
    </row>
    <row r="1065" spans="3:3" x14ac:dyDescent="0.25">
      <c r="C1065" s="541" t="s">
        <v>4907</v>
      </c>
    </row>
    <row r="1066" spans="3:3" x14ac:dyDescent="0.25">
      <c r="C1066" s="541" t="s">
        <v>4908</v>
      </c>
    </row>
    <row r="1067" spans="3:3" x14ac:dyDescent="0.25">
      <c r="C1067" s="541" t="s">
        <v>4909</v>
      </c>
    </row>
    <row r="1068" spans="3:3" x14ac:dyDescent="0.25">
      <c r="C1068" s="541" t="s">
        <v>4910</v>
      </c>
    </row>
    <row r="1069" spans="3:3" x14ac:dyDescent="0.25">
      <c r="C1069" s="541" t="s">
        <v>4911</v>
      </c>
    </row>
    <row r="1070" spans="3:3" x14ac:dyDescent="0.25">
      <c r="C1070" s="541" t="s">
        <v>4912</v>
      </c>
    </row>
    <row r="1071" spans="3:3" x14ac:dyDescent="0.25">
      <c r="C1071" s="541" t="s">
        <v>4913</v>
      </c>
    </row>
    <row r="1072" spans="3:3" x14ac:dyDescent="0.25">
      <c r="C1072" s="541" t="s">
        <v>4914</v>
      </c>
    </row>
    <row r="1073" spans="3:3" x14ac:dyDescent="0.25">
      <c r="C1073" s="541" t="s">
        <v>4915</v>
      </c>
    </row>
    <row r="1074" spans="3:3" x14ac:dyDescent="0.25">
      <c r="C1074" s="541" t="s">
        <v>4916</v>
      </c>
    </row>
    <row r="1075" spans="3:3" x14ac:dyDescent="0.25">
      <c r="C1075" s="541" t="s">
        <v>4917</v>
      </c>
    </row>
    <row r="1076" spans="3:3" x14ac:dyDescent="0.25">
      <c r="C1076" s="541" t="s">
        <v>4918</v>
      </c>
    </row>
    <row r="1077" spans="3:3" x14ac:dyDescent="0.25">
      <c r="C1077" s="541" t="s">
        <v>4919</v>
      </c>
    </row>
    <row r="1078" spans="3:3" x14ac:dyDescent="0.25">
      <c r="C1078" s="541" t="s">
        <v>4920</v>
      </c>
    </row>
    <row r="1079" spans="3:3" x14ac:dyDescent="0.25">
      <c r="C1079" s="541" t="s">
        <v>4921</v>
      </c>
    </row>
    <row r="1080" spans="3:3" x14ac:dyDescent="0.25">
      <c r="C1080" s="541" t="s">
        <v>4922</v>
      </c>
    </row>
    <row r="1081" spans="3:3" x14ac:dyDescent="0.25">
      <c r="C1081" s="541" t="s">
        <v>4923</v>
      </c>
    </row>
    <row r="1082" spans="3:3" x14ac:dyDescent="0.25">
      <c r="C1082" s="541" t="s">
        <v>4924</v>
      </c>
    </row>
    <row r="1083" spans="3:3" x14ac:dyDescent="0.25">
      <c r="C1083" s="541" t="s">
        <v>4925</v>
      </c>
    </row>
    <row r="1084" spans="3:3" x14ac:dyDescent="0.25">
      <c r="C1084" s="541" t="s">
        <v>4926</v>
      </c>
    </row>
    <row r="1085" spans="3:3" x14ac:dyDescent="0.25">
      <c r="C1085" s="541" t="s">
        <v>4927</v>
      </c>
    </row>
    <row r="1086" spans="3:3" x14ac:dyDescent="0.25">
      <c r="C1086" s="541" t="s">
        <v>4928</v>
      </c>
    </row>
    <row r="1087" spans="3:3" x14ac:dyDescent="0.25">
      <c r="C1087" s="541" t="s">
        <v>4929</v>
      </c>
    </row>
    <row r="1088" spans="3:3" x14ac:dyDescent="0.25">
      <c r="C1088" s="541" t="s">
        <v>4930</v>
      </c>
    </row>
    <row r="1089" spans="3:3" x14ac:dyDescent="0.25">
      <c r="C1089" s="541" t="s">
        <v>4931</v>
      </c>
    </row>
    <row r="1090" spans="3:3" x14ac:dyDescent="0.25">
      <c r="C1090" s="541" t="s">
        <v>4932</v>
      </c>
    </row>
    <row r="1091" spans="3:3" x14ac:dyDescent="0.25">
      <c r="C1091" s="541" t="s">
        <v>4933</v>
      </c>
    </row>
    <row r="1092" spans="3:3" x14ac:dyDescent="0.25">
      <c r="C1092" s="541" t="s">
        <v>4934</v>
      </c>
    </row>
    <row r="1093" spans="3:3" x14ac:dyDescent="0.25">
      <c r="C1093" s="541" t="s">
        <v>4935</v>
      </c>
    </row>
    <row r="1094" spans="3:3" x14ac:dyDescent="0.25">
      <c r="C1094" s="541" t="s">
        <v>4936</v>
      </c>
    </row>
    <row r="1095" spans="3:3" x14ac:dyDescent="0.25">
      <c r="C1095" s="541" t="s">
        <v>4937</v>
      </c>
    </row>
    <row r="1096" spans="3:3" x14ac:dyDescent="0.25">
      <c r="C1096" s="541" t="s">
        <v>4938</v>
      </c>
    </row>
    <row r="1097" spans="3:3" x14ac:dyDescent="0.25">
      <c r="C1097" s="541" t="s">
        <v>4939</v>
      </c>
    </row>
    <row r="1098" spans="3:3" x14ac:dyDescent="0.25">
      <c r="C1098" s="541" t="s">
        <v>4940</v>
      </c>
    </row>
    <row r="1099" spans="3:3" x14ac:dyDescent="0.25">
      <c r="C1099" s="541" t="s">
        <v>4941</v>
      </c>
    </row>
    <row r="1100" spans="3:3" x14ac:dyDescent="0.25">
      <c r="C1100" s="541" t="s">
        <v>4942</v>
      </c>
    </row>
    <row r="1101" spans="3:3" x14ac:dyDescent="0.25">
      <c r="C1101" s="541" t="s">
        <v>4943</v>
      </c>
    </row>
    <row r="1102" spans="3:3" x14ac:dyDescent="0.25">
      <c r="C1102" s="541" t="s">
        <v>4944</v>
      </c>
    </row>
    <row r="1103" spans="3:3" x14ac:dyDescent="0.25">
      <c r="C1103" s="541" t="s">
        <v>4945</v>
      </c>
    </row>
    <row r="1104" spans="3:3" x14ac:dyDescent="0.25">
      <c r="C1104" s="541" t="s">
        <v>4946</v>
      </c>
    </row>
    <row r="1105" spans="3:3" x14ac:dyDescent="0.25">
      <c r="C1105" s="541" t="s">
        <v>4947</v>
      </c>
    </row>
    <row r="1106" spans="3:3" x14ac:dyDescent="0.25">
      <c r="C1106" s="541" t="s">
        <v>4948</v>
      </c>
    </row>
    <row r="1107" spans="3:3" x14ac:dyDescent="0.25">
      <c r="C1107" s="541" t="s">
        <v>4949</v>
      </c>
    </row>
    <row r="1108" spans="3:3" x14ac:dyDescent="0.25">
      <c r="C1108" s="541" t="s">
        <v>4950</v>
      </c>
    </row>
    <row r="1109" spans="3:3" x14ac:dyDescent="0.25">
      <c r="C1109" s="541" t="s">
        <v>4951</v>
      </c>
    </row>
    <row r="1110" spans="3:3" x14ac:dyDescent="0.25">
      <c r="C1110" s="541" t="s">
        <v>4952</v>
      </c>
    </row>
    <row r="1111" spans="3:3" x14ac:dyDescent="0.25">
      <c r="C1111" s="541" t="s">
        <v>4953</v>
      </c>
    </row>
    <row r="1112" spans="3:3" x14ac:dyDescent="0.25">
      <c r="C1112" s="541" t="s">
        <v>4954</v>
      </c>
    </row>
    <row r="1113" spans="3:3" x14ac:dyDescent="0.25">
      <c r="C1113" s="541" t="s">
        <v>4955</v>
      </c>
    </row>
    <row r="1114" spans="3:3" x14ac:dyDescent="0.25">
      <c r="C1114" s="541" t="s">
        <v>4956</v>
      </c>
    </row>
    <row r="1115" spans="3:3" x14ac:dyDescent="0.25">
      <c r="C1115" s="541" t="s">
        <v>4957</v>
      </c>
    </row>
    <row r="1116" spans="3:3" x14ac:dyDescent="0.25">
      <c r="C1116" s="541" t="s">
        <v>4958</v>
      </c>
    </row>
    <row r="1117" spans="3:3" x14ac:dyDescent="0.25">
      <c r="C1117" s="541" t="s">
        <v>4959</v>
      </c>
    </row>
    <row r="1118" spans="3:3" x14ac:dyDescent="0.25">
      <c r="C1118" s="541" t="s">
        <v>4960</v>
      </c>
    </row>
    <row r="1119" spans="3:3" x14ac:dyDescent="0.25">
      <c r="C1119" s="541" t="s">
        <v>4961</v>
      </c>
    </row>
    <row r="1120" spans="3:3" x14ac:dyDescent="0.25">
      <c r="C1120" s="541" t="s">
        <v>4962</v>
      </c>
    </row>
    <row r="1121" spans="3:3" x14ac:dyDescent="0.25">
      <c r="C1121" s="541" t="s">
        <v>4963</v>
      </c>
    </row>
    <row r="1122" spans="3:3" x14ac:dyDescent="0.25">
      <c r="C1122" s="541" t="s">
        <v>4964</v>
      </c>
    </row>
    <row r="1123" spans="3:3" x14ac:dyDescent="0.25">
      <c r="C1123" s="541" t="s">
        <v>4965</v>
      </c>
    </row>
    <row r="1124" spans="3:3" x14ac:dyDescent="0.25">
      <c r="C1124" s="541" t="s">
        <v>4966</v>
      </c>
    </row>
    <row r="1125" spans="3:3" x14ac:dyDescent="0.25">
      <c r="C1125" s="541" t="s">
        <v>4967</v>
      </c>
    </row>
    <row r="1126" spans="3:3" x14ac:dyDescent="0.25">
      <c r="C1126" s="541" t="s">
        <v>4968</v>
      </c>
    </row>
    <row r="1127" spans="3:3" x14ac:dyDescent="0.25">
      <c r="C1127" s="541" t="s">
        <v>4969</v>
      </c>
    </row>
    <row r="1128" spans="3:3" x14ac:dyDescent="0.25">
      <c r="C1128" s="541" t="s">
        <v>4970</v>
      </c>
    </row>
    <row r="1129" spans="3:3" x14ac:dyDescent="0.25">
      <c r="C1129" s="541" t="s">
        <v>4971</v>
      </c>
    </row>
    <row r="1130" spans="3:3" x14ac:dyDescent="0.25">
      <c r="C1130" s="541" t="s">
        <v>4972</v>
      </c>
    </row>
    <row r="1131" spans="3:3" x14ac:dyDescent="0.25">
      <c r="C1131" s="541" t="s">
        <v>4973</v>
      </c>
    </row>
    <row r="1132" spans="3:3" x14ac:dyDescent="0.25">
      <c r="C1132" s="541" t="s">
        <v>4974</v>
      </c>
    </row>
    <row r="1133" spans="3:3" x14ac:dyDescent="0.25">
      <c r="C1133" s="541" t="s">
        <v>4975</v>
      </c>
    </row>
    <row r="1134" spans="3:3" x14ac:dyDescent="0.25">
      <c r="C1134" s="541" t="s">
        <v>4976</v>
      </c>
    </row>
    <row r="1135" spans="3:3" x14ac:dyDescent="0.25">
      <c r="C1135" s="541" t="s">
        <v>4977</v>
      </c>
    </row>
    <row r="1136" spans="3:3" x14ac:dyDescent="0.25">
      <c r="C1136" s="541" t="s">
        <v>4978</v>
      </c>
    </row>
    <row r="1137" spans="3:3" x14ac:dyDescent="0.25">
      <c r="C1137" s="541" t="s">
        <v>4979</v>
      </c>
    </row>
    <row r="1138" spans="3:3" x14ac:dyDescent="0.25">
      <c r="C1138" s="541" t="s">
        <v>4980</v>
      </c>
    </row>
    <row r="1139" spans="3:3" x14ac:dyDescent="0.25">
      <c r="C1139" s="541" t="s">
        <v>4981</v>
      </c>
    </row>
    <row r="1140" spans="3:3" x14ac:dyDescent="0.25">
      <c r="C1140" s="541" t="s">
        <v>4982</v>
      </c>
    </row>
    <row r="1141" spans="3:3" x14ac:dyDescent="0.25">
      <c r="C1141" s="541" t="s">
        <v>4983</v>
      </c>
    </row>
    <row r="1142" spans="3:3" x14ac:dyDescent="0.25">
      <c r="C1142" s="541" t="s">
        <v>4984</v>
      </c>
    </row>
    <row r="1143" spans="3:3" x14ac:dyDescent="0.25">
      <c r="C1143" s="541" t="s">
        <v>4985</v>
      </c>
    </row>
    <row r="1144" spans="3:3" x14ac:dyDescent="0.25">
      <c r="C1144" s="541" t="s">
        <v>4986</v>
      </c>
    </row>
    <row r="1145" spans="3:3" x14ac:dyDescent="0.25">
      <c r="C1145" s="541" t="s">
        <v>4987</v>
      </c>
    </row>
    <row r="1146" spans="3:3" x14ac:dyDescent="0.25">
      <c r="C1146" s="541" t="s">
        <v>4988</v>
      </c>
    </row>
    <row r="1147" spans="3:3" x14ac:dyDescent="0.25">
      <c r="C1147" s="541" t="s">
        <v>4989</v>
      </c>
    </row>
    <row r="1148" spans="3:3" x14ac:dyDescent="0.25">
      <c r="C1148" s="541" t="s">
        <v>4990</v>
      </c>
    </row>
    <row r="1149" spans="3:3" x14ac:dyDescent="0.25">
      <c r="C1149" s="541" t="s">
        <v>4991</v>
      </c>
    </row>
    <row r="1150" spans="3:3" x14ac:dyDescent="0.25">
      <c r="C1150" s="541" t="s">
        <v>4992</v>
      </c>
    </row>
    <row r="1151" spans="3:3" x14ac:dyDescent="0.25">
      <c r="C1151" s="541" t="s">
        <v>4993</v>
      </c>
    </row>
    <row r="1152" spans="3:3" x14ac:dyDescent="0.25">
      <c r="C1152" s="541" t="s">
        <v>4994</v>
      </c>
    </row>
    <row r="1153" spans="3:3" x14ac:dyDescent="0.25">
      <c r="C1153" s="541" t="s">
        <v>4995</v>
      </c>
    </row>
    <row r="1154" spans="3:3" x14ac:dyDescent="0.25">
      <c r="C1154" s="541" t="s">
        <v>4996</v>
      </c>
    </row>
    <row r="1155" spans="3:3" x14ac:dyDescent="0.25">
      <c r="C1155" s="541" t="s">
        <v>4997</v>
      </c>
    </row>
    <row r="1156" spans="3:3" x14ac:dyDescent="0.25">
      <c r="C1156" s="541" t="s">
        <v>4998</v>
      </c>
    </row>
    <row r="1157" spans="3:3" x14ac:dyDescent="0.25">
      <c r="C1157" s="541" t="s">
        <v>4999</v>
      </c>
    </row>
    <row r="1158" spans="3:3" x14ac:dyDescent="0.25">
      <c r="C1158" s="541" t="s">
        <v>5000</v>
      </c>
    </row>
    <row r="1159" spans="3:3" x14ac:dyDescent="0.25">
      <c r="C1159" s="541" t="s">
        <v>5001</v>
      </c>
    </row>
    <row r="1160" spans="3:3" x14ac:dyDescent="0.25">
      <c r="C1160" s="541" t="s">
        <v>5002</v>
      </c>
    </row>
    <row r="1161" spans="3:3" x14ac:dyDescent="0.25">
      <c r="C1161" s="541" t="s">
        <v>5003</v>
      </c>
    </row>
    <row r="1162" spans="3:3" x14ac:dyDescent="0.25">
      <c r="C1162" s="541" t="s">
        <v>5004</v>
      </c>
    </row>
    <row r="1163" spans="3:3" x14ac:dyDescent="0.25">
      <c r="C1163" s="541" t="s">
        <v>5005</v>
      </c>
    </row>
    <row r="1164" spans="3:3" x14ac:dyDescent="0.25">
      <c r="C1164" s="541" t="s">
        <v>5006</v>
      </c>
    </row>
    <row r="1165" spans="3:3" x14ac:dyDescent="0.25">
      <c r="C1165" s="541" t="s">
        <v>5007</v>
      </c>
    </row>
    <row r="1166" spans="3:3" x14ac:dyDescent="0.25">
      <c r="C1166" s="541" t="s">
        <v>5008</v>
      </c>
    </row>
    <row r="1167" spans="3:3" x14ac:dyDescent="0.25">
      <c r="C1167" s="541" t="s">
        <v>5009</v>
      </c>
    </row>
    <row r="1168" spans="3:3" x14ac:dyDescent="0.25">
      <c r="C1168" s="541" t="s">
        <v>5010</v>
      </c>
    </row>
    <row r="1169" spans="3:3" x14ac:dyDescent="0.25">
      <c r="C1169" s="541" t="s">
        <v>5011</v>
      </c>
    </row>
    <row r="1170" spans="3:3" x14ac:dyDescent="0.25">
      <c r="C1170" s="541" t="s">
        <v>5012</v>
      </c>
    </row>
    <row r="1171" spans="3:3" x14ac:dyDescent="0.25">
      <c r="C1171" s="541" t="s">
        <v>5013</v>
      </c>
    </row>
    <row r="1172" spans="3:3" x14ac:dyDescent="0.25">
      <c r="C1172" s="541" t="s">
        <v>5014</v>
      </c>
    </row>
    <row r="1173" spans="3:3" x14ac:dyDescent="0.25">
      <c r="C1173" s="541" t="s">
        <v>5015</v>
      </c>
    </row>
    <row r="1174" spans="3:3" x14ac:dyDescent="0.25">
      <c r="C1174" s="541" t="s">
        <v>5016</v>
      </c>
    </row>
    <row r="1175" spans="3:3" x14ac:dyDescent="0.25">
      <c r="C1175" s="541" t="s">
        <v>5017</v>
      </c>
    </row>
    <row r="1176" spans="3:3" x14ac:dyDescent="0.25">
      <c r="C1176" s="541" t="s">
        <v>5018</v>
      </c>
    </row>
    <row r="1177" spans="3:3" x14ac:dyDescent="0.25">
      <c r="C1177" s="541" t="s">
        <v>5019</v>
      </c>
    </row>
    <row r="1178" spans="3:3" x14ac:dyDescent="0.25">
      <c r="C1178" s="541" t="s">
        <v>5020</v>
      </c>
    </row>
    <row r="1179" spans="3:3" x14ac:dyDescent="0.25">
      <c r="C1179" s="541" t="s">
        <v>5021</v>
      </c>
    </row>
    <row r="1180" spans="3:3" x14ac:dyDescent="0.25">
      <c r="C1180" s="541" t="s">
        <v>5022</v>
      </c>
    </row>
    <row r="1181" spans="3:3" x14ac:dyDescent="0.25">
      <c r="C1181" s="541" t="s">
        <v>5023</v>
      </c>
    </row>
    <row r="1182" spans="3:3" x14ac:dyDescent="0.25">
      <c r="C1182" s="541" t="s">
        <v>5024</v>
      </c>
    </row>
    <row r="1183" spans="3:3" x14ac:dyDescent="0.25">
      <c r="C1183" s="541" t="s">
        <v>5025</v>
      </c>
    </row>
    <row r="1184" spans="3:3" x14ac:dyDescent="0.25">
      <c r="C1184" s="541" t="s">
        <v>5026</v>
      </c>
    </row>
    <row r="1185" spans="3:3" x14ac:dyDescent="0.25">
      <c r="C1185" s="541" t="s">
        <v>5027</v>
      </c>
    </row>
    <row r="1186" spans="3:3" x14ac:dyDescent="0.25">
      <c r="C1186" s="541" t="s">
        <v>5028</v>
      </c>
    </row>
    <row r="1187" spans="3:3" x14ac:dyDescent="0.25">
      <c r="C1187" s="541" t="s">
        <v>5029</v>
      </c>
    </row>
    <row r="1188" spans="3:3" x14ac:dyDescent="0.25">
      <c r="C1188" s="541" t="s">
        <v>5030</v>
      </c>
    </row>
    <row r="1189" spans="3:3" x14ac:dyDescent="0.25">
      <c r="C1189" s="541" t="s">
        <v>5031</v>
      </c>
    </row>
    <row r="1190" spans="3:3" x14ac:dyDescent="0.25">
      <c r="C1190" s="541" t="s">
        <v>5032</v>
      </c>
    </row>
    <row r="1191" spans="3:3" x14ac:dyDescent="0.25">
      <c r="C1191" s="541" t="s">
        <v>5033</v>
      </c>
    </row>
    <row r="1192" spans="3:3" x14ac:dyDescent="0.25">
      <c r="C1192" s="541" t="s">
        <v>5034</v>
      </c>
    </row>
    <row r="1193" spans="3:3" x14ac:dyDescent="0.25">
      <c r="C1193" s="541" t="s">
        <v>5035</v>
      </c>
    </row>
    <row r="1194" spans="3:3" x14ac:dyDescent="0.25">
      <c r="C1194" s="541" t="s">
        <v>5036</v>
      </c>
    </row>
    <row r="1195" spans="3:3" x14ac:dyDescent="0.25">
      <c r="C1195" s="541" t="s">
        <v>5037</v>
      </c>
    </row>
    <row r="1196" spans="3:3" x14ac:dyDescent="0.25">
      <c r="C1196" s="541" t="s">
        <v>5038</v>
      </c>
    </row>
    <row r="1197" spans="3:3" x14ac:dyDescent="0.25">
      <c r="C1197" s="541" t="s">
        <v>5039</v>
      </c>
    </row>
    <row r="1198" spans="3:3" x14ac:dyDescent="0.25">
      <c r="C1198" s="541" t="s">
        <v>5040</v>
      </c>
    </row>
    <row r="1199" spans="3:3" x14ac:dyDescent="0.25">
      <c r="C1199" s="541" t="s">
        <v>5041</v>
      </c>
    </row>
    <row r="1200" spans="3:3" x14ac:dyDescent="0.25">
      <c r="C1200" s="541" t="s">
        <v>5042</v>
      </c>
    </row>
    <row r="1201" spans="3:3" x14ac:dyDescent="0.25">
      <c r="C1201" s="541" t="s">
        <v>5043</v>
      </c>
    </row>
    <row r="1202" spans="3:3" x14ac:dyDescent="0.25">
      <c r="C1202" s="541" t="s">
        <v>5044</v>
      </c>
    </row>
    <row r="1203" spans="3:3" x14ac:dyDescent="0.25">
      <c r="C1203" s="541" t="s">
        <v>5045</v>
      </c>
    </row>
    <row r="1204" spans="3:3" x14ac:dyDescent="0.25">
      <c r="C1204" s="541" t="s">
        <v>5046</v>
      </c>
    </row>
    <row r="1205" spans="3:3" x14ac:dyDescent="0.25">
      <c r="C1205" s="541" t="s">
        <v>5047</v>
      </c>
    </row>
    <row r="1206" spans="3:3" x14ac:dyDescent="0.25">
      <c r="C1206" s="541" t="s">
        <v>5048</v>
      </c>
    </row>
    <row r="1207" spans="3:3" x14ac:dyDescent="0.25">
      <c r="C1207" s="541" t="s">
        <v>5049</v>
      </c>
    </row>
    <row r="1208" spans="3:3" x14ac:dyDescent="0.25">
      <c r="C1208" s="541" t="s">
        <v>5050</v>
      </c>
    </row>
    <row r="1209" spans="3:3" x14ac:dyDescent="0.25">
      <c r="C1209" s="541" t="s">
        <v>5051</v>
      </c>
    </row>
    <row r="1210" spans="3:3" x14ac:dyDescent="0.25">
      <c r="C1210" s="541" t="s">
        <v>5052</v>
      </c>
    </row>
    <row r="1211" spans="3:3" x14ac:dyDescent="0.25">
      <c r="C1211" s="541" t="s">
        <v>5053</v>
      </c>
    </row>
    <row r="1212" spans="3:3" x14ac:dyDescent="0.25">
      <c r="C1212" s="541" t="s">
        <v>5054</v>
      </c>
    </row>
    <row r="1213" spans="3:3" x14ac:dyDescent="0.25">
      <c r="C1213" s="541" t="s">
        <v>5055</v>
      </c>
    </row>
    <row r="1214" spans="3:3" x14ac:dyDescent="0.25">
      <c r="C1214" s="541" t="s">
        <v>5056</v>
      </c>
    </row>
    <row r="1215" spans="3:3" x14ac:dyDescent="0.25">
      <c r="C1215" s="541" t="s">
        <v>5057</v>
      </c>
    </row>
    <row r="1216" spans="3:3" x14ac:dyDescent="0.25">
      <c r="C1216" s="541" t="s">
        <v>5058</v>
      </c>
    </row>
    <row r="1217" spans="3:3" x14ac:dyDescent="0.25">
      <c r="C1217" s="541" t="s">
        <v>5059</v>
      </c>
    </row>
    <row r="1218" spans="3:3" x14ac:dyDescent="0.25">
      <c r="C1218" s="541" t="s">
        <v>5060</v>
      </c>
    </row>
    <row r="1219" spans="3:3" x14ac:dyDescent="0.25">
      <c r="C1219" s="541" t="s">
        <v>5061</v>
      </c>
    </row>
    <row r="1220" spans="3:3" x14ac:dyDescent="0.25">
      <c r="C1220" s="541" t="s">
        <v>5062</v>
      </c>
    </row>
    <row r="1221" spans="3:3" x14ac:dyDescent="0.25">
      <c r="C1221" s="541" t="s">
        <v>5063</v>
      </c>
    </row>
    <row r="1222" spans="3:3" x14ac:dyDescent="0.25">
      <c r="C1222" s="541" t="s">
        <v>5064</v>
      </c>
    </row>
    <row r="1223" spans="3:3" x14ac:dyDescent="0.25">
      <c r="C1223" s="541" t="s">
        <v>5065</v>
      </c>
    </row>
    <row r="1224" spans="3:3" x14ac:dyDescent="0.25">
      <c r="C1224" s="541" t="s">
        <v>5066</v>
      </c>
    </row>
    <row r="1225" spans="3:3" x14ac:dyDescent="0.25">
      <c r="C1225" s="541" t="s">
        <v>5067</v>
      </c>
    </row>
    <row r="1226" spans="3:3" x14ac:dyDescent="0.25">
      <c r="C1226" s="541" t="s">
        <v>5068</v>
      </c>
    </row>
    <row r="1227" spans="3:3" x14ac:dyDescent="0.25">
      <c r="C1227" s="541" t="s">
        <v>5069</v>
      </c>
    </row>
    <row r="1228" spans="3:3" x14ac:dyDescent="0.25">
      <c r="C1228" s="541" t="s">
        <v>5070</v>
      </c>
    </row>
    <row r="1229" spans="3:3" x14ac:dyDescent="0.25">
      <c r="C1229" s="541" t="s">
        <v>5071</v>
      </c>
    </row>
    <row r="1230" spans="3:3" x14ac:dyDescent="0.25">
      <c r="C1230" s="541" t="s">
        <v>5072</v>
      </c>
    </row>
    <row r="1231" spans="3:3" x14ac:dyDescent="0.25">
      <c r="C1231" s="541" t="s">
        <v>5073</v>
      </c>
    </row>
    <row r="1232" spans="3:3" x14ac:dyDescent="0.25">
      <c r="C1232" s="541" t="s">
        <v>5074</v>
      </c>
    </row>
    <row r="1233" spans="3:3" x14ac:dyDescent="0.25">
      <c r="C1233" s="541" t="s">
        <v>5075</v>
      </c>
    </row>
    <row r="1234" spans="3:3" x14ac:dyDescent="0.25">
      <c r="C1234" s="541" t="s">
        <v>5076</v>
      </c>
    </row>
    <row r="1235" spans="3:3" x14ac:dyDescent="0.25">
      <c r="C1235" s="541" t="s">
        <v>5077</v>
      </c>
    </row>
    <row r="1236" spans="3:3" x14ac:dyDescent="0.25">
      <c r="C1236" s="541" t="s">
        <v>5078</v>
      </c>
    </row>
    <row r="1237" spans="3:3" x14ac:dyDescent="0.25">
      <c r="C1237" s="541" t="s">
        <v>5079</v>
      </c>
    </row>
    <row r="1238" spans="3:3" x14ac:dyDescent="0.25">
      <c r="C1238" s="541" t="s">
        <v>5080</v>
      </c>
    </row>
    <row r="1239" spans="3:3" x14ac:dyDescent="0.25">
      <c r="C1239" s="541" t="s">
        <v>5081</v>
      </c>
    </row>
    <row r="1240" spans="3:3" x14ac:dyDescent="0.25">
      <c r="C1240" s="541" t="s">
        <v>5082</v>
      </c>
    </row>
    <row r="1241" spans="3:3" x14ac:dyDescent="0.25">
      <c r="C1241" s="541" t="s">
        <v>5083</v>
      </c>
    </row>
    <row r="1242" spans="3:3" x14ac:dyDescent="0.25">
      <c r="C1242" s="541" t="s">
        <v>5084</v>
      </c>
    </row>
    <row r="1243" spans="3:3" x14ac:dyDescent="0.25">
      <c r="C1243" s="541" t="s">
        <v>5085</v>
      </c>
    </row>
    <row r="1244" spans="3:3" x14ac:dyDescent="0.25">
      <c r="C1244" s="541" t="s">
        <v>5086</v>
      </c>
    </row>
    <row r="1245" spans="3:3" x14ac:dyDescent="0.25">
      <c r="C1245" s="541" t="s">
        <v>5087</v>
      </c>
    </row>
    <row r="1246" spans="3:3" x14ac:dyDescent="0.25">
      <c r="C1246" s="541" t="s">
        <v>5088</v>
      </c>
    </row>
    <row r="1247" spans="3:3" x14ac:dyDescent="0.25">
      <c r="C1247" s="541" t="s">
        <v>5089</v>
      </c>
    </row>
    <row r="1248" spans="3:3" x14ac:dyDescent="0.25">
      <c r="C1248" s="541" t="s">
        <v>5090</v>
      </c>
    </row>
    <row r="1249" spans="3:3" x14ac:dyDescent="0.25">
      <c r="C1249" s="541" t="s">
        <v>5091</v>
      </c>
    </row>
    <row r="1250" spans="3:3" x14ac:dyDescent="0.25">
      <c r="C1250" s="541" t="s">
        <v>5092</v>
      </c>
    </row>
    <row r="1251" spans="3:3" x14ac:dyDescent="0.25">
      <c r="C1251" s="541" t="s">
        <v>5093</v>
      </c>
    </row>
    <row r="1252" spans="3:3" x14ac:dyDescent="0.25">
      <c r="C1252" s="541" t="s">
        <v>5094</v>
      </c>
    </row>
    <row r="1253" spans="3:3" x14ac:dyDescent="0.25">
      <c r="C1253" s="541" t="s">
        <v>5095</v>
      </c>
    </row>
    <row r="1254" spans="3:3" x14ac:dyDescent="0.25">
      <c r="C1254" s="541" t="s">
        <v>5096</v>
      </c>
    </row>
    <row r="1255" spans="3:3" x14ac:dyDescent="0.25">
      <c r="C1255" s="541" t="s">
        <v>5097</v>
      </c>
    </row>
    <row r="1256" spans="3:3" x14ac:dyDescent="0.25">
      <c r="C1256" s="541" t="s">
        <v>5098</v>
      </c>
    </row>
    <row r="1257" spans="3:3" x14ac:dyDescent="0.25">
      <c r="C1257" s="541" t="s">
        <v>5099</v>
      </c>
    </row>
    <row r="1258" spans="3:3" x14ac:dyDescent="0.25">
      <c r="C1258" s="541" t="s">
        <v>5100</v>
      </c>
    </row>
    <row r="1259" spans="3:3" x14ac:dyDescent="0.25">
      <c r="C1259" s="541" t="s">
        <v>5101</v>
      </c>
    </row>
    <row r="1260" spans="3:3" x14ac:dyDescent="0.25">
      <c r="C1260" s="541" t="s">
        <v>5102</v>
      </c>
    </row>
    <row r="1261" spans="3:3" x14ac:dyDescent="0.25">
      <c r="C1261" s="541" t="s">
        <v>5103</v>
      </c>
    </row>
    <row r="1262" spans="3:3" x14ac:dyDescent="0.25">
      <c r="C1262" s="541" t="s">
        <v>5104</v>
      </c>
    </row>
    <row r="1263" spans="3:3" x14ac:dyDescent="0.25">
      <c r="C1263" s="541" t="s">
        <v>5105</v>
      </c>
    </row>
    <row r="1264" spans="3:3" x14ac:dyDescent="0.25">
      <c r="C1264" s="541" t="s">
        <v>5106</v>
      </c>
    </row>
    <row r="1265" spans="3:3" x14ac:dyDescent="0.25">
      <c r="C1265" s="541" t="s">
        <v>5107</v>
      </c>
    </row>
    <row r="1266" spans="3:3" x14ac:dyDescent="0.25">
      <c r="C1266" s="541" t="s">
        <v>5108</v>
      </c>
    </row>
    <row r="1267" spans="3:3" x14ac:dyDescent="0.25">
      <c r="C1267" s="541" t="s">
        <v>5109</v>
      </c>
    </row>
    <row r="1268" spans="3:3" x14ac:dyDescent="0.25">
      <c r="C1268" s="541" t="s">
        <v>5110</v>
      </c>
    </row>
    <row r="1269" spans="3:3" x14ac:dyDescent="0.25">
      <c r="C1269" s="541" t="s">
        <v>5111</v>
      </c>
    </row>
    <row r="1270" spans="3:3" x14ac:dyDescent="0.25">
      <c r="C1270" s="541" t="s">
        <v>5112</v>
      </c>
    </row>
    <row r="1271" spans="3:3" x14ac:dyDescent="0.25">
      <c r="C1271" s="541" t="s">
        <v>5113</v>
      </c>
    </row>
    <row r="1272" spans="3:3" x14ac:dyDescent="0.25">
      <c r="C1272" s="541" t="s">
        <v>5114</v>
      </c>
    </row>
    <row r="1273" spans="3:3" x14ac:dyDescent="0.25">
      <c r="C1273" s="541" t="s">
        <v>5115</v>
      </c>
    </row>
    <row r="1274" spans="3:3" x14ac:dyDescent="0.25">
      <c r="C1274" s="541" t="s">
        <v>5116</v>
      </c>
    </row>
    <row r="1275" spans="3:3" x14ac:dyDescent="0.25">
      <c r="C1275" s="541" t="s">
        <v>5117</v>
      </c>
    </row>
    <row r="1276" spans="3:3" x14ac:dyDescent="0.25">
      <c r="C1276" s="541" t="s">
        <v>5118</v>
      </c>
    </row>
    <row r="1277" spans="3:3" x14ac:dyDescent="0.25">
      <c r="C1277" s="541" t="s">
        <v>5119</v>
      </c>
    </row>
    <row r="1278" spans="3:3" x14ac:dyDescent="0.25">
      <c r="C1278" s="541" t="s">
        <v>5120</v>
      </c>
    </row>
    <row r="1279" spans="3:3" x14ac:dyDescent="0.25">
      <c r="C1279" s="541" t="s">
        <v>5121</v>
      </c>
    </row>
    <row r="1280" spans="3:3" x14ac:dyDescent="0.25">
      <c r="C1280" s="541" t="s">
        <v>5122</v>
      </c>
    </row>
    <row r="1281" spans="3:3" x14ac:dyDescent="0.25">
      <c r="C1281" s="541" t="s">
        <v>5123</v>
      </c>
    </row>
    <row r="1282" spans="3:3" x14ac:dyDescent="0.25">
      <c r="C1282" s="541" t="s">
        <v>5124</v>
      </c>
    </row>
    <row r="1283" spans="3:3" x14ac:dyDescent="0.25">
      <c r="C1283" s="541" t="s">
        <v>5125</v>
      </c>
    </row>
    <row r="1284" spans="3:3" x14ac:dyDescent="0.25">
      <c r="C1284" s="541" t="s">
        <v>5126</v>
      </c>
    </row>
    <row r="1285" spans="3:3" x14ac:dyDescent="0.25">
      <c r="C1285" s="541" t="s">
        <v>5127</v>
      </c>
    </row>
    <row r="1286" spans="3:3" x14ac:dyDescent="0.25">
      <c r="C1286" s="541" t="s">
        <v>5128</v>
      </c>
    </row>
    <row r="1287" spans="3:3" x14ac:dyDescent="0.25">
      <c r="C1287" s="541" t="s">
        <v>5129</v>
      </c>
    </row>
    <row r="1288" spans="3:3" x14ac:dyDescent="0.25">
      <c r="C1288" s="541" t="s">
        <v>5130</v>
      </c>
    </row>
    <row r="1289" spans="3:3" x14ac:dyDescent="0.25">
      <c r="C1289" s="541" t="s">
        <v>5131</v>
      </c>
    </row>
    <row r="1290" spans="3:3" x14ac:dyDescent="0.25">
      <c r="C1290" s="541" t="s">
        <v>5132</v>
      </c>
    </row>
    <row r="1291" spans="3:3" x14ac:dyDescent="0.25">
      <c r="C1291" s="541" t="s">
        <v>5133</v>
      </c>
    </row>
    <row r="1292" spans="3:3" x14ac:dyDescent="0.25">
      <c r="C1292" s="541" t="s">
        <v>5134</v>
      </c>
    </row>
    <row r="1293" spans="3:3" x14ac:dyDescent="0.25">
      <c r="C1293" s="541" t="s">
        <v>5135</v>
      </c>
    </row>
    <row r="1294" spans="3:3" x14ac:dyDescent="0.25">
      <c r="C1294" s="541" t="s">
        <v>5136</v>
      </c>
    </row>
    <row r="1295" spans="3:3" x14ac:dyDescent="0.25">
      <c r="C1295" s="541" t="s">
        <v>5137</v>
      </c>
    </row>
    <row r="1296" spans="3:3" x14ac:dyDescent="0.25">
      <c r="C1296" s="541" t="s">
        <v>5138</v>
      </c>
    </row>
    <row r="1297" spans="3:3" x14ac:dyDescent="0.25">
      <c r="C1297" s="541" t="s">
        <v>5139</v>
      </c>
    </row>
    <row r="1298" spans="3:3" x14ac:dyDescent="0.25">
      <c r="C1298" s="541" t="s">
        <v>5140</v>
      </c>
    </row>
    <row r="1299" spans="3:3" x14ac:dyDescent="0.25">
      <c r="C1299" s="541" t="s">
        <v>5141</v>
      </c>
    </row>
    <row r="1300" spans="3:3" x14ac:dyDescent="0.25">
      <c r="C1300" s="541" t="s">
        <v>5142</v>
      </c>
    </row>
    <row r="1301" spans="3:3" x14ac:dyDescent="0.25">
      <c r="C1301" s="541" t="s">
        <v>5143</v>
      </c>
    </row>
    <row r="1302" spans="3:3" x14ac:dyDescent="0.25">
      <c r="C1302" s="541" t="s">
        <v>5144</v>
      </c>
    </row>
    <row r="1303" spans="3:3" x14ac:dyDescent="0.25">
      <c r="C1303" s="541" t="s">
        <v>5145</v>
      </c>
    </row>
    <row r="1304" spans="3:3" x14ac:dyDescent="0.25">
      <c r="C1304" s="541" t="s">
        <v>5146</v>
      </c>
    </row>
    <row r="1305" spans="3:3" x14ac:dyDescent="0.25">
      <c r="C1305" s="541" t="s">
        <v>5147</v>
      </c>
    </row>
    <row r="1306" spans="3:3" x14ac:dyDescent="0.25">
      <c r="C1306" s="541" t="s">
        <v>5148</v>
      </c>
    </row>
    <row r="1307" spans="3:3" x14ac:dyDescent="0.25">
      <c r="C1307" s="541" t="s">
        <v>5149</v>
      </c>
    </row>
    <row r="1308" spans="3:3" x14ac:dyDescent="0.25">
      <c r="C1308" s="541" t="s">
        <v>5150</v>
      </c>
    </row>
    <row r="1309" spans="3:3" x14ac:dyDescent="0.25">
      <c r="C1309" s="541" t="s">
        <v>5151</v>
      </c>
    </row>
    <row r="1310" spans="3:3" x14ac:dyDescent="0.25">
      <c r="C1310" s="541" t="s">
        <v>5152</v>
      </c>
    </row>
    <row r="1311" spans="3:3" x14ac:dyDescent="0.25">
      <c r="C1311" s="541" t="s">
        <v>5153</v>
      </c>
    </row>
    <row r="1312" spans="3:3" x14ac:dyDescent="0.25">
      <c r="C1312" s="541" t="s">
        <v>5154</v>
      </c>
    </row>
    <row r="1313" spans="3:3" x14ac:dyDescent="0.25">
      <c r="C1313" s="541" t="s">
        <v>5155</v>
      </c>
    </row>
    <row r="1314" spans="3:3" x14ac:dyDescent="0.25">
      <c r="C1314" s="541" t="s">
        <v>5156</v>
      </c>
    </row>
    <row r="1315" spans="3:3" x14ac:dyDescent="0.25">
      <c r="C1315" s="541" t="s">
        <v>5157</v>
      </c>
    </row>
    <row r="1316" spans="3:3" x14ac:dyDescent="0.25">
      <c r="C1316" s="541" t="s">
        <v>5158</v>
      </c>
    </row>
    <row r="1317" spans="3:3" x14ac:dyDescent="0.25">
      <c r="C1317" s="541" t="s">
        <v>5159</v>
      </c>
    </row>
    <row r="1318" spans="3:3" x14ac:dyDescent="0.25">
      <c r="C1318" s="541" t="s">
        <v>5160</v>
      </c>
    </row>
    <row r="1319" spans="3:3" x14ac:dyDescent="0.25">
      <c r="C1319" s="541" t="s">
        <v>5161</v>
      </c>
    </row>
    <row r="1320" spans="3:3" x14ac:dyDescent="0.25">
      <c r="C1320" s="541" t="s">
        <v>5162</v>
      </c>
    </row>
    <row r="1321" spans="3:3" x14ac:dyDescent="0.25">
      <c r="C1321" s="541" t="s">
        <v>5163</v>
      </c>
    </row>
    <row r="1322" spans="3:3" x14ac:dyDescent="0.25">
      <c r="C1322" s="541" t="s">
        <v>5164</v>
      </c>
    </row>
    <row r="1323" spans="3:3" x14ac:dyDescent="0.25">
      <c r="C1323" s="541" t="s">
        <v>5165</v>
      </c>
    </row>
    <row r="1324" spans="3:3" x14ac:dyDescent="0.25">
      <c r="C1324" s="541" t="s">
        <v>5166</v>
      </c>
    </row>
    <row r="1325" spans="3:3" x14ac:dyDescent="0.25">
      <c r="C1325" s="541" t="s">
        <v>5167</v>
      </c>
    </row>
    <row r="1326" spans="3:3" x14ac:dyDescent="0.25">
      <c r="C1326" s="541" t="s">
        <v>5168</v>
      </c>
    </row>
    <row r="1327" spans="3:3" x14ac:dyDescent="0.25">
      <c r="C1327" s="541" t="s">
        <v>5169</v>
      </c>
    </row>
    <row r="1328" spans="3:3" x14ac:dyDescent="0.25">
      <c r="C1328" s="541" t="s">
        <v>5170</v>
      </c>
    </row>
    <row r="1329" spans="3:3" x14ac:dyDescent="0.25">
      <c r="C1329" s="541" t="s">
        <v>5171</v>
      </c>
    </row>
    <row r="1330" spans="3:3" x14ac:dyDescent="0.25">
      <c r="C1330" s="541" t="s">
        <v>5172</v>
      </c>
    </row>
    <row r="1331" spans="3:3" x14ac:dyDescent="0.25">
      <c r="C1331" s="541" t="s">
        <v>5173</v>
      </c>
    </row>
    <row r="1332" spans="3:3" x14ac:dyDescent="0.25">
      <c r="C1332" s="541" t="s">
        <v>5174</v>
      </c>
    </row>
    <row r="1333" spans="3:3" x14ac:dyDescent="0.25">
      <c r="C1333" s="541" t="s">
        <v>5175</v>
      </c>
    </row>
    <row r="1334" spans="3:3" x14ac:dyDescent="0.25">
      <c r="C1334" s="541" t="s">
        <v>5176</v>
      </c>
    </row>
    <row r="1335" spans="3:3" x14ac:dyDescent="0.25">
      <c r="C1335" s="541" t="s">
        <v>5177</v>
      </c>
    </row>
    <row r="1336" spans="3:3" x14ac:dyDescent="0.25">
      <c r="C1336" s="541" t="s">
        <v>5178</v>
      </c>
    </row>
    <row r="1337" spans="3:3" x14ac:dyDescent="0.25">
      <c r="C1337" s="541" t="s">
        <v>5179</v>
      </c>
    </row>
    <row r="1338" spans="3:3" x14ac:dyDescent="0.25">
      <c r="C1338" s="541" t="s">
        <v>5180</v>
      </c>
    </row>
    <row r="1339" spans="3:3" x14ac:dyDescent="0.25">
      <c r="C1339" s="541" t="s">
        <v>5181</v>
      </c>
    </row>
    <row r="1340" spans="3:3" x14ac:dyDescent="0.25">
      <c r="C1340" s="541" t="s">
        <v>5182</v>
      </c>
    </row>
    <row r="1341" spans="3:3" x14ac:dyDescent="0.25">
      <c r="C1341" s="541" t="s">
        <v>5183</v>
      </c>
    </row>
    <row r="1342" spans="3:3" x14ac:dyDescent="0.25">
      <c r="C1342" s="541" t="s">
        <v>5184</v>
      </c>
    </row>
    <row r="1343" spans="3:3" x14ac:dyDescent="0.25">
      <c r="C1343" s="541" t="s">
        <v>5185</v>
      </c>
    </row>
    <row r="1344" spans="3:3" x14ac:dyDescent="0.25">
      <c r="C1344" s="541" t="s">
        <v>5186</v>
      </c>
    </row>
    <row r="1345" spans="3:3" x14ac:dyDescent="0.25">
      <c r="C1345" s="541" t="s">
        <v>5187</v>
      </c>
    </row>
    <row r="1346" spans="3:3" x14ac:dyDescent="0.25">
      <c r="C1346" s="541" t="s">
        <v>5188</v>
      </c>
    </row>
    <row r="1347" spans="3:3" x14ac:dyDescent="0.25">
      <c r="C1347" s="541" t="s">
        <v>5189</v>
      </c>
    </row>
    <row r="1348" spans="3:3" x14ac:dyDescent="0.25">
      <c r="C1348" s="541" t="s">
        <v>5190</v>
      </c>
    </row>
    <row r="1349" spans="3:3" x14ac:dyDescent="0.25">
      <c r="C1349" s="541" t="s">
        <v>5191</v>
      </c>
    </row>
    <row r="1350" spans="3:3" x14ac:dyDescent="0.25">
      <c r="C1350" s="541" t="s">
        <v>5192</v>
      </c>
    </row>
    <row r="1351" spans="3:3" x14ac:dyDescent="0.25">
      <c r="C1351" s="541" t="s">
        <v>5193</v>
      </c>
    </row>
    <row r="1352" spans="3:3" x14ac:dyDescent="0.25">
      <c r="C1352" s="541" t="s">
        <v>5194</v>
      </c>
    </row>
    <row r="1353" spans="3:3" x14ac:dyDescent="0.25">
      <c r="C1353" s="541" t="s">
        <v>5195</v>
      </c>
    </row>
    <row r="1354" spans="3:3" x14ac:dyDescent="0.25">
      <c r="C1354" s="541" t="s">
        <v>5196</v>
      </c>
    </row>
    <row r="1355" spans="3:3" x14ac:dyDescent="0.25">
      <c r="C1355" s="541" t="s">
        <v>5197</v>
      </c>
    </row>
    <row r="1356" spans="3:3" x14ac:dyDescent="0.25">
      <c r="C1356" s="541" t="s">
        <v>5198</v>
      </c>
    </row>
    <row r="1357" spans="3:3" x14ac:dyDescent="0.25">
      <c r="C1357" s="541" t="s">
        <v>5199</v>
      </c>
    </row>
    <row r="1358" spans="3:3" x14ac:dyDescent="0.25">
      <c r="C1358" s="541" t="s">
        <v>5200</v>
      </c>
    </row>
    <row r="1359" spans="3:3" x14ac:dyDescent="0.25">
      <c r="C1359" s="541" t="s">
        <v>5201</v>
      </c>
    </row>
    <row r="1360" spans="3:3" x14ac:dyDescent="0.25">
      <c r="C1360" s="541" t="s">
        <v>5202</v>
      </c>
    </row>
    <row r="1361" spans="3:3" x14ac:dyDescent="0.25">
      <c r="C1361" s="541" t="s">
        <v>5203</v>
      </c>
    </row>
    <row r="1362" spans="3:3" x14ac:dyDescent="0.25">
      <c r="C1362" s="541" t="s">
        <v>5204</v>
      </c>
    </row>
    <row r="1363" spans="3:3" x14ac:dyDescent="0.25">
      <c r="C1363" s="541" t="s">
        <v>5205</v>
      </c>
    </row>
    <row r="1364" spans="3:3" x14ac:dyDescent="0.25">
      <c r="C1364" s="541" t="s">
        <v>5206</v>
      </c>
    </row>
    <row r="1365" spans="3:3" x14ac:dyDescent="0.25">
      <c r="C1365" s="541" t="s">
        <v>5207</v>
      </c>
    </row>
    <row r="1366" spans="3:3" x14ac:dyDescent="0.25">
      <c r="C1366" s="541" t="s">
        <v>5208</v>
      </c>
    </row>
    <row r="1367" spans="3:3" x14ac:dyDescent="0.25">
      <c r="C1367" s="541" t="s">
        <v>5209</v>
      </c>
    </row>
    <row r="1368" spans="3:3" x14ac:dyDescent="0.25">
      <c r="C1368" s="541" t="s">
        <v>5210</v>
      </c>
    </row>
    <row r="1369" spans="3:3" x14ac:dyDescent="0.25">
      <c r="C1369" s="541" t="s">
        <v>5211</v>
      </c>
    </row>
    <row r="1370" spans="3:3" x14ac:dyDescent="0.25">
      <c r="C1370" s="541" t="s">
        <v>5212</v>
      </c>
    </row>
    <row r="1371" spans="3:3" x14ac:dyDescent="0.25">
      <c r="C1371" s="541" t="s">
        <v>5213</v>
      </c>
    </row>
    <row r="1372" spans="3:3" x14ac:dyDescent="0.25">
      <c r="C1372" s="541" t="s">
        <v>5214</v>
      </c>
    </row>
    <row r="1373" spans="3:3" x14ac:dyDescent="0.25">
      <c r="C1373" s="541" t="s">
        <v>5215</v>
      </c>
    </row>
    <row r="1374" spans="3:3" x14ac:dyDescent="0.25">
      <c r="C1374" s="541" t="s">
        <v>5216</v>
      </c>
    </row>
    <row r="1375" spans="3:3" x14ac:dyDescent="0.25">
      <c r="C1375" s="541" t="s">
        <v>5217</v>
      </c>
    </row>
    <row r="1376" spans="3:3" x14ac:dyDescent="0.25">
      <c r="C1376" s="541" t="s">
        <v>5218</v>
      </c>
    </row>
    <row r="1377" spans="3:3" x14ac:dyDescent="0.25">
      <c r="C1377" s="541" t="s">
        <v>5219</v>
      </c>
    </row>
    <row r="1378" spans="3:3" x14ac:dyDescent="0.25">
      <c r="C1378" s="541" t="s">
        <v>5220</v>
      </c>
    </row>
    <row r="1379" spans="3:3" x14ac:dyDescent="0.25">
      <c r="C1379" s="541" t="s">
        <v>5221</v>
      </c>
    </row>
    <row r="1380" spans="3:3" x14ac:dyDescent="0.25">
      <c r="C1380" s="541" t="s">
        <v>5222</v>
      </c>
    </row>
    <row r="1381" spans="3:3" x14ac:dyDescent="0.25">
      <c r="C1381" s="541" t="s">
        <v>5223</v>
      </c>
    </row>
    <row r="1382" spans="3:3" x14ac:dyDescent="0.25">
      <c r="C1382" s="541" t="s">
        <v>5224</v>
      </c>
    </row>
    <row r="1383" spans="3:3" x14ac:dyDescent="0.25">
      <c r="C1383" s="541" t="s">
        <v>5225</v>
      </c>
    </row>
    <row r="1384" spans="3:3" x14ac:dyDescent="0.25">
      <c r="C1384" s="541" t="s">
        <v>5226</v>
      </c>
    </row>
    <row r="1385" spans="3:3" x14ac:dyDescent="0.25">
      <c r="C1385" s="541" t="s">
        <v>5227</v>
      </c>
    </row>
    <row r="1386" spans="3:3" x14ac:dyDescent="0.25">
      <c r="C1386" s="541" t="s">
        <v>5228</v>
      </c>
    </row>
    <row r="1387" spans="3:3" x14ac:dyDescent="0.25">
      <c r="C1387" s="541" t="s">
        <v>5229</v>
      </c>
    </row>
    <row r="1388" spans="3:3" x14ac:dyDescent="0.25">
      <c r="C1388" s="541" t="s">
        <v>5230</v>
      </c>
    </row>
    <row r="1389" spans="3:3" x14ac:dyDescent="0.25">
      <c r="C1389" s="541" t="s">
        <v>5231</v>
      </c>
    </row>
    <row r="1390" spans="3:3" x14ac:dyDescent="0.25">
      <c r="C1390" s="541" t="s">
        <v>5232</v>
      </c>
    </row>
    <row r="1391" spans="3:3" x14ac:dyDescent="0.25">
      <c r="C1391" s="541" t="s">
        <v>5233</v>
      </c>
    </row>
    <row r="1392" spans="3:3" x14ac:dyDescent="0.25">
      <c r="C1392" s="541" t="s">
        <v>5234</v>
      </c>
    </row>
    <row r="1393" spans="3:3" x14ac:dyDescent="0.25">
      <c r="C1393" s="541" t="s">
        <v>5235</v>
      </c>
    </row>
    <row r="1394" spans="3:3" x14ac:dyDescent="0.25">
      <c r="C1394" s="541" t="s">
        <v>5236</v>
      </c>
    </row>
    <row r="1395" spans="3:3" x14ac:dyDescent="0.25">
      <c r="C1395" s="541" t="s">
        <v>5237</v>
      </c>
    </row>
    <row r="1396" spans="3:3" x14ac:dyDescent="0.25">
      <c r="C1396" s="541" t="s">
        <v>5238</v>
      </c>
    </row>
    <row r="1397" spans="3:3" x14ac:dyDescent="0.25">
      <c r="C1397" s="541" t="s">
        <v>5239</v>
      </c>
    </row>
    <row r="1398" spans="3:3" x14ac:dyDescent="0.25">
      <c r="C1398" s="541" t="s">
        <v>5240</v>
      </c>
    </row>
    <row r="1399" spans="3:3" x14ac:dyDescent="0.25">
      <c r="C1399" s="541" t="s">
        <v>5241</v>
      </c>
    </row>
    <row r="1400" spans="3:3" x14ac:dyDescent="0.25">
      <c r="C1400" s="541" t="s">
        <v>5242</v>
      </c>
    </row>
    <row r="1401" spans="3:3" x14ac:dyDescent="0.25">
      <c r="C1401" s="541" t="s">
        <v>5243</v>
      </c>
    </row>
    <row r="1402" spans="3:3" x14ac:dyDescent="0.25">
      <c r="C1402" s="541" t="s">
        <v>5244</v>
      </c>
    </row>
    <row r="1403" spans="3:3" x14ac:dyDescent="0.25">
      <c r="C1403" s="541" t="s">
        <v>5245</v>
      </c>
    </row>
    <row r="1404" spans="3:3" x14ac:dyDescent="0.25">
      <c r="C1404" s="541" t="s">
        <v>5246</v>
      </c>
    </row>
    <row r="1405" spans="3:3" x14ac:dyDescent="0.25">
      <c r="C1405" s="541" t="s">
        <v>5247</v>
      </c>
    </row>
    <row r="1406" spans="3:3" x14ac:dyDescent="0.25">
      <c r="C1406" s="541" t="s">
        <v>5248</v>
      </c>
    </row>
    <row r="1407" spans="3:3" x14ac:dyDescent="0.25">
      <c r="C1407" s="541" t="s">
        <v>5249</v>
      </c>
    </row>
    <row r="1408" spans="3:3" x14ac:dyDescent="0.25">
      <c r="C1408" s="541" t="s">
        <v>5250</v>
      </c>
    </row>
    <row r="1409" spans="3:3" x14ac:dyDescent="0.25">
      <c r="C1409" s="541" t="s">
        <v>5251</v>
      </c>
    </row>
    <row r="1410" spans="3:3" x14ac:dyDescent="0.25">
      <c r="C1410" s="541" t="s">
        <v>5252</v>
      </c>
    </row>
    <row r="1411" spans="3:3" x14ac:dyDescent="0.25">
      <c r="C1411" s="541" t="s">
        <v>5253</v>
      </c>
    </row>
    <row r="1412" spans="3:3" x14ac:dyDescent="0.25">
      <c r="C1412" s="541" t="s">
        <v>5254</v>
      </c>
    </row>
    <row r="1413" spans="3:3" x14ac:dyDescent="0.25">
      <c r="C1413" s="541" t="s">
        <v>5255</v>
      </c>
    </row>
    <row r="1414" spans="3:3" x14ac:dyDescent="0.25">
      <c r="C1414" s="541" t="s">
        <v>5256</v>
      </c>
    </row>
    <row r="1415" spans="3:3" x14ac:dyDescent="0.25">
      <c r="C1415" s="541" t="s">
        <v>5257</v>
      </c>
    </row>
    <row r="1416" spans="3:3" x14ac:dyDescent="0.25">
      <c r="C1416" s="541" t="s">
        <v>5258</v>
      </c>
    </row>
    <row r="1417" spans="3:3" x14ac:dyDescent="0.25">
      <c r="C1417" s="541" t="s">
        <v>5259</v>
      </c>
    </row>
    <row r="1418" spans="3:3" x14ac:dyDescent="0.25">
      <c r="C1418" s="541" t="s">
        <v>5260</v>
      </c>
    </row>
    <row r="1419" spans="3:3" x14ac:dyDescent="0.25">
      <c r="C1419" s="541" t="s">
        <v>5261</v>
      </c>
    </row>
    <row r="1420" spans="3:3" x14ac:dyDescent="0.25">
      <c r="C1420" s="541" t="s">
        <v>5262</v>
      </c>
    </row>
    <row r="1421" spans="3:3" x14ac:dyDescent="0.25">
      <c r="C1421" s="541" t="s">
        <v>5263</v>
      </c>
    </row>
    <row r="1422" spans="3:3" x14ac:dyDescent="0.25">
      <c r="C1422" s="541" t="s">
        <v>5264</v>
      </c>
    </row>
    <row r="1423" spans="3:3" x14ac:dyDescent="0.25">
      <c r="C1423" s="541" t="s">
        <v>5265</v>
      </c>
    </row>
    <row r="1424" spans="3:3" x14ac:dyDescent="0.25">
      <c r="C1424" s="541" t="s">
        <v>5266</v>
      </c>
    </row>
    <row r="1425" spans="3:3" x14ac:dyDescent="0.25">
      <c r="C1425" s="541" t="s">
        <v>5267</v>
      </c>
    </row>
    <row r="1426" spans="3:3" x14ac:dyDescent="0.25">
      <c r="C1426" s="541" t="s">
        <v>5268</v>
      </c>
    </row>
    <row r="1427" spans="3:3" x14ac:dyDescent="0.25">
      <c r="C1427" s="541" t="s">
        <v>5269</v>
      </c>
    </row>
    <row r="1428" spans="3:3" x14ac:dyDescent="0.25">
      <c r="C1428" s="541" t="s">
        <v>5270</v>
      </c>
    </row>
    <row r="1429" spans="3:3" x14ac:dyDescent="0.25">
      <c r="C1429" s="541" t="s">
        <v>5271</v>
      </c>
    </row>
    <row r="1430" spans="3:3" x14ac:dyDescent="0.25">
      <c r="C1430" s="541" t="s">
        <v>5272</v>
      </c>
    </row>
    <row r="1431" spans="3:3" x14ac:dyDescent="0.25">
      <c r="C1431" s="541" t="s">
        <v>5273</v>
      </c>
    </row>
    <row r="1432" spans="3:3" x14ac:dyDescent="0.25">
      <c r="C1432" s="541" t="s">
        <v>5274</v>
      </c>
    </row>
    <row r="1433" spans="3:3" x14ac:dyDescent="0.25">
      <c r="C1433" s="541" t="s">
        <v>5275</v>
      </c>
    </row>
    <row r="1434" spans="3:3" x14ac:dyDescent="0.25">
      <c r="C1434" s="541" t="s">
        <v>5276</v>
      </c>
    </row>
    <row r="1435" spans="3:3" x14ac:dyDescent="0.25">
      <c r="C1435" s="541" t="s">
        <v>5277</v>
      </c>
    </row>
    <row r="1436" spans="3:3" x14ac:dyDescent="0.25">
      <c r="C1436" s="541" t="s">
        <v>5278</v>
      </c>
    </row>
    <row r="1437" spans="3:3" x14ac:dyDescent="0.25">
      <c r="C1437" s="541" t="s">
        <v>5279</v>
      </c>
    </row>
    <row r="1438" spans="3:3" x14ac:dyDescent="0.25">
      <c r="C1438" s="541" t="s">
        <v>5280</v>
      </c>
    </row>
    <row r="1439" spans="3:3" x14ac:dyDescent="0.25">
      <c r="C1439" s="541" t="s">
        <v>5281</v>
      </c>
    </row>
    <row r="1440" spans="3:3" x14ac:dyDescent="0.25">
      <c r="C1440" s="541" t="s">
        <v>5282</v>
      </c>
    </row>
    <row r="1441" spans="3:3" x14ac:dyDescent="0.25">
      <c r="C1441" s="541" t="s">
        <v>5283</v>
      </c>
    </row>
    <row r="1442" spans="3:3" x14ac:dyDescent="0.25">
      <c r="C1442" s="541" t="s">
        <v>5284</v>
      </c>
    </row>
    <row r="1443" spans="3:3" x14ac:dyDescent="0.25">
      <c r="C1443" s="541" t="s">
        <v>5285</v>
      </c>
    </row>
    <row r="1444" spans="3:3" x14ac:dyDescent="0.25">
      <c r="C1444" s="541" t="s">
        <v>5286</v>
      </c>
    </row>
    <row r="1445" spans="3:3" x14ac:dyDescent="0.25">
      <c r="C1445" s="541" t="s">
        <v>5287</v>
      </c>
    </row>
    <row r="1446" spans="3:3" x14ac:dyDescent="0.25">
      <c r="C1446" s="541" t="s">
        <v>5288</v>
      </c>
    </row>
    <row r="1447" spans="3:3" x14ac:dyDescent="0.25">
      <c r="C1447" s="541" t="s">
        <v>5289</v>
      </c>
    </row>
    <row r="1448" spans="3:3" x14ac:dyDescent="0.25">
      <c r="C1448" s="541" t="s">
        <v>5290</v>
      </c>
    </row>
    <row r="1449" spans="3:3" x14ac:dyDescent="0.25">
      <c r="C1449" s="541" t="s">
        <v>5291</v>
      </c>
    </row>
    <row r="1450" spans="3:3" x14ac:dyDescent="0.25">
      <c r="C1450" s="541" t="s">
        <v>5292</v>
      </c>
    </row>
    <row r="1451" spans="3:3" x14ac:dyDescent="0.25">
      <c r="C1451" s="541" t="s">
        <v>5293</v>
      </c>
    </row>
    <row r="1452" spans="3:3" x14ac:dyDescent="0.25">
      <c r="C1452" s="541" t="s">
        <v>5294</v>
      </c>
    </row>
    <row r="1453" spans="3:3" x14ac:dyDescent="0.25">
      <c r="C1453" s="541" t="s">
        <v>5295</v>
      </c>
    </row>
    <row r="1454" spans="3:3" x14ac:dyDescent="0.25">
      <c r="C1454" s="541" t="s">
        <v>5296</v>
      </c>
    </row>
    <row r="1455" spans="3:3" x14ac:dyDescent="0.25">
      <c r="C1455" s="541" t="s">
        <v>5297</v>
      </c>
    </row>
    <row r="1456" spans="3:3" x14ac:dyDescent="0.25">
      <c r="C1456" s="541" t="s">
        <v>5298</v>
      </c>
    </row>
    <row r="1457" spans="3:3" x14ac:dyDescent="0.25">
      <c r="C1457" s="541" t="s">
        <v>5299</v>
      </c>
    </row>
    <row r="1458" spans="3:3" x14ac:dyDescent="0.25">
      <c r="C1458" s="541" t="s">
        <v>5300</v>
      </c>
    </row>
    <row r="1459" spans="3:3" x14ac:dyDescent="0.25">
      <c r="C1459" s="541" t="s">
        <v>5301</v>
      </c>
    </row>
    <row r="1460" spans="3:3" x14ac:dyDescent="0.25">
      <c r="C1460" s="541" t="s">
        <v>5302</v>
      </c>
    </row>
    <row r="1461" spans="3:3" x14ac:dyDescent="0.25">
      <c r="C1461" s="541" t="s">
        <v>5303</v>
      </c>
    </row>
    <row r="1462" spans="3:3" x14ac:dyDescent="0.25">
      <c r="C1462" s="541" t="s">
        <v>5304</v>
      </c>
    </row>
    <row r="1463" spans="3:3" x14ac:dyDescent="0.25">
      <c r="C1463" s="541" t="s">
        <v>5305</v>
      </c>
    </row>
    <row r="1464" spans="3:3" x14ac:dyDescent="0.25">
      <c r="C1464" s="541" t="s">
        <v>5306</v>
      </c>
    </row>
    <row r="1465" spans="3:3" x14ac:dyDescent="0.25">
      <c r="C1465" s="541" t="s">
        <v>5307</v>
      </c>
    </row>
    <row r="1466" spans="3:3" x14ac:dyDescent="0.25">
      <c r="C1466" s="541" t="s">
        <v>5308</v>
      </c>
    </row>
    <row r="1467" spans="3:3" x14ac:dyDescent="0.25">
      <c r="C1467" s="541" t="s">
        <v>5309</v>
      </c>
    </row>
    <row r="1468" spans="3:3" x14ac:dyDescent="0.25">
      <c r="C1468" s="541" t="s">
        <v>5310</v>
      </c>
    </row>
    <row r="1469" spans="3:3" x14ac:dyDescent="0.25">
      <c r="C1469" s="541" t="s">
        <v>5311</v>
      </c>
    </row>
    <row r="1470" spans="3:3" x14ac:dyDescent="0.25">
      <c r="C1470" s="541" t="s">
        <v>5312</v>
      </c>
    </row>
    <row r="1471" spans="3:3" x14ac:dyDescent="0.25">
      <c r="C1471" s="541" t="s">
        <v>5313</v>
      </c>
    </row>
    <row r="1472" spans="3:3" x14ac:dyDescent="0.25">
      <c r="C1472" s="541" t="s">
        <v>5314</v>
      </c>
    </row>
    <row r="1473" spans="3:3" x14ac:dyDescent="0.25">
      <c r="C1473" s="541" t="s">
        <v>5315</v>
      </c>
    </row>
    <row r="1474" spans="3:3" x14ac:dyDescent="0.25">
      <c r="C1474" s="541" t="s">
        <v>5316</v>
      </c>
    </row>
    <row r="1475" spans="3:3" x14ac:dyDescent="0.25">
      <c r="C1475" s="541" t="s">
        <v>5317</v>
      </c>
    </row>
    <row r="1476" spans="3:3" x14ac:dyDescent="0.25">
      <c r="C1476" s="541" t="s">
        <v>5318</v>
      </c>
    </row>
    <row r="1477" spans="3:3" x14ac:dyDescent="0.25">
      <c r="C1477" s="541" t="s">
        <v>5319</v>
      </c>
    </row>
    <row r="1478" spans="3:3" x14ac:dyDescent="0.25">
      <c r="C1478" s="541" t="s">
        <v>5320</v>
      </c>
    </row>
    <row r="1479" spans="3:3" x14ac:dyDescent="0.25">
      <c r="C1479" s="541" t="s">
        <v>5321</v>
      </c>
    </row>
    <row r="1480" spans="3:3" x14ac:dyDescent="0.25">
      <c r="C1480" s="541" t="s">
        <v>5322</v>
      </c>
    </row>
    <row r="1481" spans="3:3" x14ac:dyDescent="0.25">
      <c r="C1481" s="541" t="s">
        <v>5323</v>
      </c>
    </row>
    <row r="1482" spans="3:3" x14ac:dyDescent="0.25">
      <c r="C1482" s="541" t="s">
        <v>5324</v>
      </c>
    </row>
    <row r="1483" spans="3:3" x14ac:dyDescent="0.25">
      <c r="C1483" s="541" t="s">
        <v>5325</v>
      </c>
    </row>
    <row r="1484" spans="3:3" x14ac:dyDescent="0.25">
      <c r="C1484" s="541" t="s">
        <v>5326</v>
      </c>
    </row>
    <row r="1485" spans="3:3" x14ac:dyDescent="0.25">
      <c r="C1485" s="541" t="s">
        <v>5327</v>
      </c>
    </row>
    <row r="1486" spans="3:3" x14ac:dyDescent="0.25">
      <c r="C1486" s="541" t="s">
        <v>5328</v>
      </c>
    </row>
    <row r="1487" spans="3:3" x14ac:dyDescent="0.25">
      <c r="C1487" s="541" t="s">
        <v>5329</v>
      </c>
    </row>
    <row r="1488" spans="3:3" x14ac:dyDescent="0.25">
      <c r="C1488" s="541" t="s">
        <v>5330</v>
      </c>
    </row>
    <row r="1489" spans="3:3" x14ac:dyDescent="0.25">
      <c r="C1489" s="541" t="s">
        <v>5331</v>
      </c>
    </row>
    <row r="1490" spans="3:3" x14ac:dyDescent="0.25">
      <c r="C1490" s="541" t="s">
        <v>5332</v>
      </c>
    </row>
    <row r="1491" spans="3:3" x14ac:dyDescent="0.25">
      <c r="C1491" s="541" t="s">
        <v>5333</v>
      </c>
    </row>
    <row r="1492" spans="3:3" x14ac:dyDescent="0.25">
      <c r="C1492" s="541" t="s">
        <v>5334</v>
      </c>
    </row>
    <row r="1493" spans="3:3" x14ac:dyDescent="0.25">
      <c r="C1493" s="541" t="s">
        <v>5335</v>
      </c>
    </row>
    <row r="1494" spans="3:3" x14ac:dyDescent="0.25">
      <c r="C1494" s="541" t="s">
        <v>5336</v>
      </c>
    </row>
    <row r="1495" spans="3:3" x14ac:dyDescent="0.25">
      <c r="C1495" s="541" t="s">
        <v>5337</v>
      </c>
    </row>
    <row r="1496" spans="3:3" x14ac:dyDescent="0.25">
      <c r="C1496" s="541" t="s">
        <v>5338</v>
      </c>
    </row>
    <row r="1497" spans="3:3" x14ac:dyDescent="0.25">
      <c r="C1497" s="541" t="s">
        <v>5339</v>
      </c>
    </row>
    <row r="1498" spans="3:3" x14ac:dyDescent="0.25">
      <c r="C1498" s="541" t="s">
        <v>5340</v>
      </c>
    </row>
    <row r="1499" spans="3:3" x14ac:dyDescent="0.25">
      <c r="C1499" s="541" t="s">
        <v>5341</v>
      </c>
    </row>
    <row r="1500" spans="3:3" x14ac:dyDescent="0.25">
      <c r="C1500" s="541" t="s">
        <v>5342</v>
      </c>
    </row>
    <row r="1501" spans="3:3" x14ac:dyDescent="0.25">
      <c r="C1501" s="541" t="s">
        <v>5343</v>
      </c>
    </row>
    <row r="1502" spans="3:3" x14ac:dyDescent="0.25">
      <c r="C1502" s="541" t="s">
        <v>5344</v>
      </c>
    </row>
    <row r="1503" spans="3:3" x14ac:dyDescent="0.25">
      <c r="C1503" s="541" t="s">
        <v>5345</v>
      </c>
    </row>
    <row r="1504" spans="3:3" x14ac:dyDescent="0.25">
      <c r="C1504" s="541" t="s">
        <v>5346</v>
      </c>
    </row>
    <row r="1505" spans="3:3" x14ac:dyDescent="0.25">
      <c r="C1505" s="541" t="s">
        <v>5347</v>
      </c>
    </row>
    <row r="1506" spans="3:3" x14ac:dyDescent="0.25">
      <c r="C1506" s="541" t="s">
        <v>5348</v>
      </c>
    </row>
    <row r="1507" spans="3:3" x14ac:dyDescent="0.25">
      <c r="C1507" s="541" t="s">
        <v>5349</v>
      </c>
    </row>
    <row r="1508" spans="3:3" x14ac:dyDescent="0.25">
      <c r="C1508" s="541" t="s">
        <v>5350</v>
      </c>
    </row>
    <row r="1509" spans="3:3" x14ac:dyDescent="0.25">
      <c r="C1509" s="541" t="s">
        <v>5351</v>
      </c>
    </row>
    <row r="1510" spans="3:3" x14ac:dyDescent="0.25">
      <c r="C1510" s="541" t="s">
        <v>5352</v>
      </c>
    </row>
    <row r="1511" spans="3:3" x14ac:dyDescent="0.25">
      <c r="C1511" s="541" t="s">
        <v>5353</v>
      </c>
    </row>
    <row r="1512" spans="3:3" x14ac:dyDescent="0.25">
      <c r="C1512" s="541" t="s">
        <v>5354</v>
      </c>
    </row>
    <row r="1513" spans="3:3" x14ac:dyDescent="0.25">
      <c r="C1513" s="541" t="s">
        <v>5355</v>
      </c>
    </row>
    <row r="1514" spans="3:3" x14ac:dyDescent="0.25">
      <c r="C1514" s="541" t="s">
        <v>5356</v>
      </c>
    </row>
    <row r="1515" spans="3:3" x14ac:dyDescent="0.25">
      <c r="C1515" s="541" t="s">
        <v>5357</v>
      </c>
    </row>
    <row r="1516" spans="3:3" x14ac:dyDescent="0.25">
      <c r="C1516" s="541" t="s">
        <v>5358</v>
      </c>
    </row>
    <row r="1517" spans="3:3" x14ac:dyDescent="0.25">
      <c r="C1517" s="541" t="s">
        <v>5359</v>
      </c>
    </row>
    <row r="1518" spans="3:3" x14ac:dyDescent="0.25">
      <c r="C1518" s="541" t="s">
        <v>5360</v>
      </c>
    </row>
    <row r="1519" spans="3:3" x14ac:dyDescent="0.25">
      <c r="C1519" s="541" t="s">
        <v>5361</v>
      </c>
    </row>
    <row r="1520" spans="3:3" x14ac:dyDescent="0.25">
      <c r="C1520" s="541" t="s">
        <v>5362</v>
      </c>
    </row>
    <row r="1521" spans="3:3" x14ac:dyDescent="0.25">
      <c r="C1521" s="541" t="s">
        <v>5363</v>
      </c>
    </row>
    <row r="1522" spans="3:3" x14ac:dyDescent="0.25">
      <c r="C1522" s="541" t="s">
        <v>5364</v>
      </c>
    </row>
    <row r="1523" spans="3:3" x14ac:dyDescent="0.25">
      <c r="C1523" s="541" t="s">
        <v>5365</v>
      </c>
    </row>
    <row r="1524" spans="3:3" x14ac:dyDescent="0.25">
      <c r="C1524" s="541" t="s">
        <v>5366</v>
      </c>
    </row>
    <row r="1525" spans="3:3" x14ac:dyDescent="0.25">
      <c r="C1525" s="541" t="s">
        <v>5367</v>
      </c>
    </row>
    <row r="1526" spans="3:3" x14ac:dyDescent="0.25">
      <c r="C1526" s="541" t="s">
        <v>5368</v>
      </c>
    </row>
    <row r="1527" spans="3:3" x14ac:dyDescent="0.25">
      <c r="C1527" s="541" t="s">
        <v>5369</v>
      </c>
    </row>
    <row r="1528" spans="3:3" x14ac:dyDescent="0.25">
      <c r="C1528" s="541" t="s">
        <v>5370</v>
      </c>
    </row>
    <row r="1529" spans="3:3" x14ac:dyDescent="0.25">
      <c r="C1529" s="541" t="s">
        <v>5371</v>
      </c>
    </row>
    <row r="1530" spans="3:3" x14ac:dyDescent="0.25">
      <c r="C1530" s="541" t="s">
        <v>5372</v>
      </c>
    </row>
    <row r="1531" spans="3:3" x14ac:dyDescent="0.25">
      <c r="C1531" s="541" t="s">
        <v>5373</v>
      </c>
    </row>
    <row r="1532" spans="3:3" x14ac:dyDescent="0.25">
      <c r="C1532" s="541" t="s">
        <v>5374</v>
      </c>
    </row>
    <row r="1533" spans="3:3" x14ac:dyDescent="0.25">
      <c r="C1533" s="541" t="s">
        <v>5375</v>
      </c>
    </row>
    <row r="1534" spans="3:3" x14ac:dyDescent="0.25">
      <c r="C1534" s="541" t="s">
        <v>5376</v>
      </c>
    </row>
    <row r="1535" spans="3:3" x14ac:dyDescent="0.25">
      <c r="C1535" s="541" t="s">
        <v>5377</v>
      </c>
    </row>
    <row r="1536" spans="3:3" x14ac:dyDescent="0.25">
      <c r="C1536" s="541" t="s">
        <v>5378</v>
      </c>
    </row>
    <row r="1537" spans="3:3" x14ac:dyDescent="0.25">
      <c r="C1537" s="541" t="s">
        <v>5379</v>
      </c>
    </row>
    <row r="1538" spans="3:3" x14ac:dyDescent="0.25">
      <c r="C1538" s="541" t="s">
        <v>5380</v>
      </c>
    </row>
    <row r="1539" spans="3:3" x14ac:dyDescent="0.25">
      <c r="C1539" s="541" t="s">
        <v>5381</v>
      </c>
    </row>
    <row r="1540" spans="3:3" x14ac:dyDescent="0.25">
      <c r="C1540" s="541" t="s">
        <v>5382</v>
      </c>
    </row>
    <row r="1541" spans="3:3" x14ac:dyDescent="0.25">
      <c r="C1541" s="541" t="s">
        <v>5383</v>
      </c>
    </row>
    <row r="1542" spans="3:3" x14ac:dyDescent="0.25">
      <c r="C1542" s="541" t="s">
        <v>5384</v>
      </c>
    </row>
    <row r="1543" spans="3:3" x14ac:dyDescent="0.25">
      <c r="C1543" s="541" t="s">
        <v>5385</v>
      </c>
    </row>
    <row r="1544" spans="3:3" x14ac:dyDescent="0.25">
      <c r="C1544" s="541" t="s">
        <v>5386</v>
      </c>
    </row>
    <row r="1545" spans="3:3" x14ac:dyDescent="0.25">
      <c r="C1545" s="541" t="s">
        <v>5387</v>
      </c>
    </row>
    <row r="1546" spans="3:3" x14ac:dyDescent="0.25">
      <c r="C1546" s="541" t="s">
        <v>5388</v>
      </c>
    </row>
    <row r="1547" spans="3:3" x14ac:dyDescent="0.25">
      <c r="C1547" s="541" t="s">
        <v>5389</v>
      </c>
    </row>
    <row r="1548" spans="3:3" x14ac:dyDescent="0.25">
      <c r="C1548" s="541" t="s">
        <v>5390</v>
      </c>
    </row>
    <row r="1549" spans="3:3" x14ac:dyDescent="0.25">
      <c r="C1549" s="541" t="s">
        <v>5391</v>
      </c>
    </row>
    <row r="1550" spans="3:3" x14ac:dyDescent="0.25">
      <c r="C1550" s="541" t="s">
        <v>5392</v>
      </c>
    </row>
    <row r="1551" spans="3:3" x14ac:dyDescent="0.25">
      <c r="C1551" s="541" t="s">
        <v>5393</v>
      </c>
    </row>
    <row r="1552" spans="3:3" x14ac:dyDescent="0.25">
      <c r="C1552" s="541" t="s">
        <v>5394</v>
      </c>
    </row>
    <row r="1553" spans="3:3" x14ac:dyDescent="0.25">
      <c r="C1553" s="541" t="s">
        <v>5395</v>
      </c>
    </row>
    <row r="1554" spans="3:3" x14ac:dyDescent="0.25">
      <c r="C1554" s="541" t="s">
        <v>5396</v>
      </c>
    </row>
    <row r="1555" spans="3:3" x14ac:dyDescent="0.25">
      <c r="C1555" s="541" t="s">
        <v>5397</v>
      </c>
    </row>
    <row r="1556" spans="3:3" x14ac:dyDescent="0.25">
      <c r="C1556" s="541" t="s">
        <v>5398</v>
      </c>
    </row>
    <row r="1557" spans="3:3" x14ac:dyDescent="0.25">
      <c r="C1557" s="541" t="s">
        <v>5399</v>
      </c>
    </row>
    <row r="1558" spans="3:3" x14ac:dyDescent="0.25">
      <c r="C1558" s="541" t="s">
        <v>5400</v>
      </c>
    </row>
    <row r="1559" spans="3:3" x14ac:dyDescent="0.25">
      <c r="C1559" s="541" t="s">
        <v>5401</v>
      </c>
    </row>
    <row r="1560" spans="3:3" x14ac:dyDescent="0.25">
      <c r="C1560" s="541" t="s">
        <v>5402</v>
      </c>
    </row>
    <row r="1561" spans="3:3" x14ac:dyDescent="0.25">
      <c r="C1561" s="541" t="s">
        <v>5403</v>
      </c>
    </row>
    <row r="1562" spans="3:3" x14ac:dyDescent="0.25">
      <c r="C1562" s="541" t="s">
        <v>5404</v>
      </c>
    </row>
    <row r="1563" spans="3:3" x14ac:dyDescent="0.25">
      <c r="C1563" s="541" t="s">
        <v>5405</v>
      </c>
    </row>
    <row r="1564" spans="3:3" x14ac:dyDescent="0.25">
      <c r="C1564" s="541" t="s">
        <v>5406</v>
      </c>
    </row>
    <row r="1565" spans="3:3" x14ac:dyDescent="0.25">
      <c r="C1565" s="541" t="s">
        <v>5407</v>
      </c>
    </row>
    <row r="1566" spans="3:3" x14ac:dyDescent="0.25">
      <c r="C1566" s="541" t="s">
        <v>5408</v>
      </c>
    </row>
    <row r="1567" spans="3:3" x14ac:dyDescent="0.25">
      <c r="C1567" s="541" t="s">
        <v>5409</v>
      </c>
    </row>
    <row r="1568" spans="3:3" x14ac:dyDescent="0.25">
      <c r="C1568" s="541" t="s">
        <v>5410</v>
      </c>
    </row>
    <row r="1569" spans="3:3" x14ac:dyDescent="0.25">
      <c r="C1569" s="541" t="s">
        <v>5411</v>
      </c>
    </row>
    <row r="1570" spans="3:3" x14ac:dyDescent="0.25">
      <c r="C1570" s="541" t="s">
        <v>5412</v>
      </c>
    </row>
    <row r="1571" spans="3:3" x14ac:dyDescent="0.25">
      <c r="C1571" s="541" t="s">
        <v>5413</v>
      </c>
    </row>
    <row r="1572" spans="3:3" x14ac:dyDescent="0.25">
      <c r="C1572" s="541" t="s">
        <v>5414</v>
      </c>
    </row>
    <row r="1573" spans="3:3" x14ac:dyDescent="0.25">
      <c r="C1573" s="541" t="s">
        <v>5415</v>
      </c>
    </row>
    <row r="1574" spans="3:3" x14ac:dyDescent="0.25">
      <c r="C1574" s="541" t="s">
        <v>5416</v>
      </c>
    </row>
    <row r="1575" spans="3:3" x14ac:dyDescent="0.25">
      <c r="C1575" s="541" t="s">
        <v>5417</v>
      </c>
    </row>
    <row r="1576" spans="3:3" x14ac:dyDescent="0.25">
      <c r="C1576" s="541" t="s">
        <v>5418</v>
      </c>
    </row>
    <row r="1577" spans="3:3" x14ac:dyDescent="0.25">
      <c r="C1577" s="541" t="s">
        <v>5419</v>
      </c>
    </row>
    <row r="1578" spans="3:3" x14ac:dyDescent="0.25">
      <c r="C1578" s="541" t="s">
        <v>5420</v>
      </c>
    </row>
    <row r="1579" spans="3:3" x14ac:dyDescent="0.25">
      <c r="C1579" s="541" t="s">
        <v>5421</v>
      </c>
    </row>
    <row r="1580" spans="3:3" x14ac:dyDescent="0.25">
      <c r="C1580" s="541" t="s">
        <v>5422</v>
      </c>
    </row>
    <row r="1581" spans="3:3" x14ac:dyDescent="0.25">
      <c r="C1581" s="541" t="s">
        <v>5423</v>
      </c>
    </row>
    <row r="1582" spans="3:3" x14ac:dyDescent="0.25">
      <c r="C1582" s="541" t="s">
        <v>5424</v>
      </c>
    </row>
    <row r="1583" spans="3:3" x14ac:dyDescent="0.25">
      <c r="C1583" s="541" t="s">
        <v>5425</v>
      </c>
    </row>
    <row r="1584" spans="3:3" x14ac:dyDescent="0.25">
      <c r="C1584" s="541" t="s">
        <v>5426</v>
      </c>
    </row>
    <row r="1585" spans="3:3" x14ac:dyDescent="0.25">
      <c r="C1585" s="541" t="s">
        <v>5427</v>
      </c>
    </row>
    <row r="1586" spans="3:3" x14ac:dyDescent="0.25">
      <c r="C1586" s="541" t="s">
        <v>5428</v>
      </c>
    </row>
    <row r="1587" spans="3:3" x14ac:dyDescent="0.25">
      <c r="C1587" s="541" t="s">
        <v>5429</v>
      </c>
    </row>
    <row r="1588" spans="3:3" x14ac:dyDescent="0.25">
      <c r="C1588" s="541" t="s">
        <v>5430</v>
      </c>
    </row>
    <row r="1589" spans="3:3" x14ac:dyDescent="0.25">
      <c r="C1589" s="541" t="s">
        <v>5431</v>
      </c>
    </row>
    <row r="1590" spans="3:3" x14ac:dyDescent="0.25">
      <c r="C1590" s="541" t="s">
        <v>5432</v>
      </c>
    </row>
    <row r="1591" spans="3:3" x14ac:dyDescent="0.25">
      <c r="C1591" s="541" t="s">
        <v>5433</v>
      </c>
    </row>
    <row r="1592" spans="3:3" x14ac:dyDescent="0.25">
      <c r="C1592" s="541" t="s">
        <v>5434</v>
      </c>
    </row>
    <row r="1593" spans="3:3" x14ac:dyDescent="0.25">
      <c r="C1593" s="541" t="s">
        <v>5435</v>
      </c>
    </row>
    <row r="1594" spans="3:3" x14ac:dyDescent="0.25">
      <c r="C1594" s="541" t="s">
        <v>5436</v>
      </c>
    </row>
    <row r="1595" spans="3:3" x14ac:dyDescent="0.25">
      <c r="C1595" s="541" t="s">
        <v>5437</v>
      </c>
    </row>
    <row r="1596" spans="3:3" x14ac:dyDescent="0.25">
      <c r="C1596" s="541" t="s">
        <v>5438</v>
      </c>
    </row>
    <row r="1597" spans="3:3" x14ac:dyDescent="0.25">
      <c r="C1597" s="541" t="s">
        <v>5439</v>
      </c>
    </row>
    <row r="1598" spans="3:3" x14ac:dyDescent="0.25">
      <c r="C1598" s="541" t="s">
        <v>5440</v>
      </c>
    </row>
    <row r="1599" spans="3:3" x14ac:dyDescent="0.25">
      <c r="C1599" s="541" t="s">
        <v>5441</v>
      </c>
    </row>
    <row r="1600" spans="3:3" x14ac:dyDescent="0.25">
      <c r="C1600" s="541" t="s">
        <v>5442</v>
      </c>
    </row>
    <row r="1601" spans="3:3" x14ac:dyDescent="0.25">
      <c r="C1601" s="541" t="s">
        <v>5443</v>
      </c>
    </row>
    <row r="1602" spans="3:3" x14ac:dyDescent="0.25">
      <c r="C1602" s="541" t="s">
        <v>5444</v>
      </c>
    </row>
    <row r="1603" spans="3:3" x14ac:dyDescent="0.25">
      <c r="C1603" s="541" t="s">
        <v>5445</v>
      </c>
    </row>
    <row r="1604" spans="3:3" x14ac:dyDescent="0.25">
      <c r="C1604" s="541" t="s">
        <v>5446</v>
      </c>
    </row>
    <row r="1605" spans="3:3" x14ac:dyDescent="0.25">
      <c r="C1605" s="541" t="s">
        <v>5447</v>
      </c>
    </row>
    <row r="1606" spans="3:3" x14ac:dyDescent="0.25">
      <c r="C1606" s="541" t="s">
        <v>5448</v>
      </c>
    </row>
    <row r="1607" spans="3:3" x14ac:dyDescent="0.25">
      <c r="C1607" s="541" t="s">
        <v>5449</v>
      </c>
    </row>
    <row r="1608" spans="3:3" x14ac:dyDescent="0.25">
      <c r="C1608" s="541" t="s">
        <v>5450</v>
      </c>
    </row>
    <row r="1609" spans="3:3" x14ac:dyDescent="0.25">
      <c r="C1609" s="541" t="s">
        <v>5451</v>
      </c>
    </row>
    <row r="1610" spans="3:3" x14ac:dyDescent="0.25">
      <c r="C1610" s="541" t="s">
        <v>5452</v>
      </c>
    </row>
    <row r="1611" spans="3:3" x14ac:dyDescent="0.25">
      <c r="C1611" s="541" t="s">
        <v>5453</v>
      </c>
    </row>
    <row r="1612" spans="3:3" x14ac:dyDescent="0.25">
      <c r="C1612" s="541" t="s">
        <v>5454</v>
      </c>
    </row>
    <row r="1613" spans="3:3" x14ac:dyDescent="0.25">
      <c r="C1613" s="541" t="s">
        <v>5455</v>
      </c>
    </row>
    <row r="1614" spans="3:3" x14ac:dyDescent="0.25">
      <c r="C1614" s="541" t="s">
        <v>5456</v>
      </c>
    </row>
    <row r="1615" spans="3:3" x14ac:dyDescent="0.25">
      <c r="C1615" s="541" t="s">
        <v>5457</v>
      </c>
    </row>
    <row r="1616" spans="3:3" x14ac:dyDescent="0.25">
      <c r="C1616" s="541" t="s">
        <v>5458</v>
      </c>
    </row>
    <row r="1617" spans="3:3" x14ac:dyDescent="0.25">
      <c r="C1617" s="541" t="s">
        <v>5459</v>
      </c>
    </row>
    <row r="1618" spans="3:3" x14ac:dyDescent="0.25">
      <c r="C1618" s="541" t="s">
        <v>5460</v>
      </c>
    </row>
    <row r="1619" spans="3:3" x14ac:dyDescent="0.25">
      <c r="C1619" s="541" t="s">
        <v>5461</v>
      </c>
    </row>
    <row r="1620" spans="3:3" x14ac:dyDescent="0.25">
      <c r="C1620" s="541" t="s">
        <v>5462</v>
      </c>
    </row>
    <row r="1621" spans="3:3" x14ac:dyDescent="0.25">
      <c r="C1621" s="541" t="s">
        <v>5463</v>
      </c>
    </row>
    <row r="1622" spans="3:3" x14ac:dyDescent="0.25">
      <c r="C1622" s="541" t="s">
        <v>5464</v>
      </c>
    </row>
    <row r="1623" spans="3:3" x14ac:dyDescent="0.25">
      <c r="C1623" s="541" t="s">
        <v>5465</v>
      </c>
    </row>
    <row r="1624" spans="3:3" x14ac:dyDescent="0.25">
      <c r="C1624" s="541" t="s">
        <v>5466</v>
      </c>
    </row>
    <row r="1625" spans="3:3" x14ac:dyDescent="0.25">
      <c r="C1625" s="541" t="s">
        <v>5467</v>
      </c>
    </row>
    <row r="1626" spans="3:3" x14ac:dyDescent="0.25">
      <c r="C1626" s="541" t="s">
        <v>5468</v>
      </c>
    </row>
    <row r="1627" spans="3:3" x14ac:dyDescent="0.25">
      <c r="C1627" s="541" t="s">
        <v>5469</v>
      </c>
    </row>
    <row r="1628" spans="3:3" x14ac:dyDescent="0.25">
      <c r="C1628" s="541" t="s">
        <v>5470</v>
      </c>
    </row>
    <row r="1629" spans="3:3" x14ac:dyDescent="0.25">
      <c r="C1629" s="541" t="s">
        <v>5471</v>
      </c>
    </row>
    <row r="1630" spans="3:3" x14ac:dyDescent="0.25">
      <c r="C1630" s="541" t="s">
        <v>5472</v>
      </c>
    </row>
    <row r="1631" spans="3:3" x14ac:dyDescent="0.25">
      <c r="C1631" s="541" t="s">
        <v>5473</v>
      </c>
    </row>
    <row r="1632" spans="3:3" x14ac:dyDescent="0.25">
      <c r="C1632" s="541" t="s">
        <v>5474</v>
      </c>
    </row>
    <row r="1633" spans="3:3" x14ac:dyDescent="0.25">
      <c r="C1633" s="541" t="s">
        <v>5475</v>
      </c>
    </row>
    <row r="1634" spans="3:3" x14ac:dyDescent="0.25">
      <c r="C1634" s="541" t="s">
        <v>5476</v>
      </c>
    </row>
    <row r="1635" spans="3:3" x14ac:dyDescent="0.25">
      <c r="C1635" s="541" t="s">
        <v>5477</v>
      </c>
    </row>
    <row r="1636" spans="3:3" x14ac:dyDescent="0.25">
      <c r="C1636" s="541" t="s">
        <v>5478</v>
      </c>
    </row>
    <row r="1637" spans="3:3" x14ac:dyDescent="0.25">
      <c r="C1637" s="541" t="s">
        <v>5479</v>
      </c>
    </row>
    <row r="1638" spans="3:3" x14ac:dyDescent="0.25">
      <c r="C1638" s="541" t="s">
        <v>5480</v>
      </c>
    </row>
    <row r="1639" spans="3:3" x14ac:dyDescent="0.25">
      <c r="C1639" s="541" t="s">
        <v>5481</v>
      </c>
    </row>
    <row r="1640" spans="3:3" x14ac:dyDescent="0.25">
      <c r="C1640" s="541" t="s">
        <v>5482</v>
      </c>
    </row>
    <row r="1641" spans="3:3" x14ac:dyDescent="0.25">
      <c r="C1641" s="541" t="s">
        <v>5483</v>
      </c>
    </row>
    <row r="1642" spans="3:3" x14ac:dyDescent="0.25">
      <c r="C1642" s="541" t="s">
        <v>5484</v>
      </c>
    </row>
    <row r="1643" spans="3:3" x14ac:dyDescent="0.25">
      <c r="C1643" s="541" t="s">
        <v>5485</v>
      </c>
    </row>
    <row r="1644" spans="3:3" x14ac:dyDescent="0.25">
      <c r="C1644" s="541" t="s">
        <v>5486</v>
      </c>
    </row>
    <row r="1645" spans="3:3" x14ac:dyDescent="0.25">
      <c r="C1645" s="541" t="s">
        <v>5487</v>
      </c>
    </row>
    <row r="1646" spans="3:3" x14ac:dyDescent="0.25">
      <c r="C1646" s="541" t="s">
        <v>5488</v>
      </c>
    </row>
    <row r="1647" spans="3:3" x14ac:dyDescent="0.25">
      <c r="C1647" s="541" t="s">
        <v>5489</v>
      </c>
    </row>
    <row r="1648" spans="3:3" x14ac:dyDescent="0.25">
      <c r="C1648" s="541" t="s">
        <v>5490</v>
      </c>
    </row>
    <row r="1649" spans="3:3" x14ac:dyDescent="0.25">
      <c r="C1649" s="541" t="s">
        <v>5491</v>
      </c>
    </row>
    <row r="1650" spans="3:3" x14ac:dyDescent="0.25">
      <c r="C1650" s="541" t="s">
        <v>5492</v>
      </c>
    </row>
    <row r="1651" spans="3:3" x14ac:dyDescent="0.25">
      <c r="C1651" s="541" t="s">
        <v>5493</v>
      </c>
    </row>
    <row r="1652" spans="3:3" x14ac:dyDescent="0.25">
      <c r="C1652" s="541" t="s">
        <v>5494</v>
      </c>
    </row>
    <row r="1653" spans="3:3" x14ac:dyDescent="0.25">
      <c r="C1653" s="541" t="s">
        <v>5495</v>
      </c>
    </row>
    <row r="1654" spans="3:3" x14ac:dyDescent="0.25">
      <c r="C1654" s="541" t="s">
        <v>5496</v>
      </c>
    </row>
    <row r="1655" spans="3:3" x14ac:dyDescent="0.25">
      <c r="C1655" s="541" t="s">
        <v>5497</v>
      </c>
    </row>
    <row r="1656" spans="3:3" x14ac:dyDescent="0.25">
      <c r="C1656" s="541" t="s">
        <v>5498</v>
      </c>
    </row>
    <row r="1657" spans="3:3" x14ac:dyDescent="0.25">
      <c r="C1657" s="541" t="s">
        <v>5499</v>
      </c>
    </row>
    <row r="1658" spans="3:3" x14ac:dyDescent="0.25">
      <c r="C1658" s="541" t="s">
        <v>5500</v>
      </c>
    </row>
    <row r="1659" spans="3:3" x14ac:dyDescent="0.25">
      <c r="C1659" s="541" t="s">
        <v>5501</v>
      </c>
    </row>
    <row r="1660" spans="3:3" x14ac:dyDescent="0.25">
      <c r="C1660" s="541" t="s">
        <v>5502</v>
      </c>
    </row>
    <row r="1661" spans="3:3" x14ac:dyDescent="0.25">
      <c r="C1661" s="541" t="s">
        <v>5503</v>
      </c>
    </row>
    <row r="1662" spans="3:3" x14ac:dyDescent="0.25">
      <c r="C1662" s="541" t="s">
        <v>5504</v>
      </c>
    </row>
    <row r="1663" spans="3:3" x14ac:dyDescent="0.25">
      <c r="C1663" s="541" t="s">
        <v>5505</v>
      </c>
    </row>
    <row r="1664" spans="3:3" x14ac:dyDescent="0.25">
      <c r="C1664" s="541" t="s">
        <v>5506</v>
      </c>
    </row>
    <row r="1665" spans="3:3" x14ac:dyDescent="0.25">
      <c r="C1665" s="541" t="s">
        <v>5507</v>
      </c>
    </row>
    <row r="1666" spans="3:3" x14ac:dyDescent="0.25">
      <c r="C1666" s="541" t="s">
        <v>5508</v>
      </c>
    </row>
    <row r="1667" spans="3:3" x14ac:dyDescent="0.25">
      <c r="C1667" s="541" t="s">
        <v>5509</v>
      </c>
    </row>
    <row r="1668" spans="3:3" x14ac:dyDescent="0.25">
      <c r="C1668" s="541" t="s">
        <v>5510</v>
      </c>
    </row>
    <row r="1669" spans="3:3" x14ac:dyDescent="0.25">
      <c r="C1669" s="541" t="s">
        <v>5511</v>
      </c>
    </row>
    <row r="1670" spans="3:3" x14ac:dyDescent="0.25">
      <c r="C1670" s="541" t="s">
        <v>5512</v>
      </c>
    </row>
    <row r="1671" spans="3:3" x14ac:dyDescent="0.25">
      <c r="C1671" s="541" t="s">
        <v>5513</v>
      </c>
    </row>
    <row r="1672" spans="3:3" x14ac:dyDescent="0.25">
      <c r="C1672" s="541" t="s">
        <v>5514</v>
      </c>
    </row>
    <row r="1673" spans="3:3" x14ac:dyDescent="0.25">
      <c r="C1673" s="541" t="s">
        <v>5515</v>
      </c>
    </row>
    <row r="1674" spans="3:3" x14ac:dyDescent="0.25">
      <c r="C1674" s="541" t="s">
        <v>5516</v>
      </c>
    </row>
    <row r="1675" spans="3:3" x14ac:dyDescent="0.25">
      <c r="C1675" s="541" t="s">
        <v>5517</v>
      </c>
    </row>
    <row r="1676" spans="3:3" x14ac:dyDescent="0.25">
      <c r="C1676" s="541" t="s">
        <v>5518</v>
      </c>
    </row>
    <row r="1677" spans="3:3" x14ac:dyDescent="0.25">
      <c r="C1677" s="541" t="s">
        <v>5519</v>
      </c>
    </row>
    <row r="1678" spans="3:3" x14ac:dyDescent="0.25">
      <c r="C1678" s="541" t="s">
        <v>5520</v>
      </c>
    </row>
    <row r="1679" spans="3:3" x14ac:dyDescent="0.25">
      <c r="C1679" s="541" t="s">
        <v>5521</v>
      </c>
    </row>
    <row r="1680" spans="3:3" x14ac:dyDescent="0.25">
      <c r="C1680" s="541" t="s">
        <v>5522</v>
      </c>
    </row>
    <row r="1681" spans="3:3" x14ac:dyDescent="0.25">
      <c r="C1681" s="541" t="s">
        <v>5523</v>
      </c>
    </row>
    <row r="1682" spans="3:3" x14ac:dyDescent="0.25">
      <c r="C1682" s="541" t="s">
        <v>5524</v>
      </c>
    </row>
    <row r="1683" spans="3:3" x14ac:dyDescent="0.25">
      <c r="C1683" s="541" t="s">
        <v>5525</v>
      </c>
    </row>
    <row r="1684" spans="3:3" x14ac:dyDescent="0.25">
      <c r="C1684" s="541" t="s">
        <v>5526</v>
      </c>
    </row>
    <row r="1685" spans="3:3" x14ac:dyDescent="0.25">
      <c r="C1685" s="541" t="s">
        <v>5527</v>
      </c>
    </row>
    <row r="1686" spans="3:3" x14ac:dyDescent="0.25">
      <c r="C1686" s="541" t="s">
        <v>5528</v>
      </c>
    </row>
    <row r="1687" spans="3:3" x14ac:dyDescent="0.25">
      <c r="C1687" s="541" t="s">
        <v>5529</v>
      </c>
    </row>
    <row r="1688" spans="3:3" x14ac:dyDescent="0.25">
      <c r="C1688" s="541" t="s">
        <v>5530</v>
      </c>
    </row>
    <row r="1689" spans="3:3" x14ac:dyDescent="0.25">
      <c r="C1689" s="541" t="s">
        <v>5531</v>
      </c>
    </row>
    <row r="1690" spans="3:3" x14ac:dyDescent="0.25">
      <c r="C1690" s="541" t="s">
        <v>5532</v>
      </c>
    </row>
    <row r="1691" spans="3:3" x14ac:dyDescent="0.25">
      <c r="C1691" s="541" t="s">
        <v>5533</v>
      </c>
    </row>
    <row r="1692" spans="3:3" x14ac:dyDescent="0.25">
      <c r="C1692" s="541" t="s">
        <v>5534</v>
      </c>
    </row>
    <row r="1693" spans="3:3" x14ac:dyDescent="0.25">
      <c r="C1693" s="541" t="s">
        <v>5535</v>
      </c>
    </row>
    <row r="1694" spans="3:3" x14ac:dyDescent="0.25">
      <c r="C1694" s="541" t="s">
        <v>5536</v>
      </c>
    </row>
    <row r="1695" spans="3:3" x14ac:dyDescent="0.25">
      <c r="C1695" s="541" t="s">
        <v>5537</v>
      </c>
    </row>
    <row r="1696" spans="3:3" x14ac:dyDescent="0.25">
      <c r="C1696" s="541" t="s">
        <v>5538</v>
      </c>
    </row>
    <row r="1697" spans="3:3" x14ac:dyDescent="0.25">
      <c r="C1697" s="541" t="s">
        <v>5539</v>
      </c>
    </row>
    <row r="1698" spans="3:3" x14ac:dyDescent="0.25">
      <c r="C1698" s="541" t="s">
        <v>5540</v>
      </c>
    </row>
    <row r="1699" spans="3:3" x14ac:dyDescent="0.25">
      <c r="C1699" s="541" t="s">
        <v>5541</v>
      </c>
    </row>
    <row r="1700" spans="3:3" x14ac:dyDescent="0.25">
      <c r="C1700" s="541" t="s">
        <v>5542</v>
      </c>
    </row>
    <row r="1701" spans="3:3" x14ac:dyDescent="0.25">
      <c r="C1701" s="541" t="s">
        <v>5543</v>
      </c>
    </row>
    <row r="1702" spans="3:3" x14ac:dyDescent="0.25">
      <c r="C1702" s="541" t="s">
        <v>5544</v>
      </c>
    </row>
    <row r="1703" spans="3:3" x14ac:dyDescent="0.25">
      <c r="C1703" s="541" t="s">
        <v>5545</v>
      </c>
    </row>
    <row r="1704" spans="3:3" x14ac:dyDescent="0.25">
      <c r="C1704" s="541" t="s">
        <v>5546</v>
      </c>
    </row>
    <row r="1705" spans="3:3" x14ac:dyDescent="0.25">
      <c r="C1705" s="541" t="s">
        <v>5547</v>
      </c>
    </row>
    <row r="1706" spans="3:3" x14ac:dyDescent="0.25">
      <c r="C1706" s="541" t="s">
        <v>5548</v>
      </c>
    </row>
    <row r="1707" spans="3:3" x14ac:dyDescent="0.25">
      <c r="C1707" s="541" t="s">
        <v>5549</v>
      </c>
    </row>
    <row r="1708" spans="3:3" x14ac:dyDescent="0.25">
      <c r="C1708" s="541" t="s">
        <v>5550</v>
      </c>
    </row>
    <row r="1709" spans="3:3" x14ac:dyDescent="0.25">
      <c r="C1709" s="541" t="s">
        <v>5551</v>
      </c>
    </row>
    <row r="1710" spans="3:3" x14ac:dyDescent="0.25">
      <c r="C1710" s="541" t="s">
        <v>5552</v>
      </c>
    </row>
    <row r="1711" spans="3:3" x14ac:dyDescent="0.25">
      <c r="C1711" s="541" t="s">
        <v>5553</v>
      </c>
    </row>
    <row r="1712" spans="3:3" x14ac:dyDescent="0.25">
      <c r="C1712" s="541" t="s">
        <v>5554</v>
      </c>
    </row>
    <row r="1713" spans="3:3" x14ac:dyDescent="0.25">
      <c r="C1713" s="541" t="s">
        <v>5555</v>
      </c>
    </row>
    <row r="1714" spans="3:3" x14ac:dyDescent="0.25">
      <c r="C1714" s="541" t="s">
        <v>5556</v>
      </c>
    </row>
    <row r="1715" spans="3:3" x14ac:dyDescent="0.25">
      <c r="C1715" s="541" t="s">
        <v>5557</v>
      </c>
    </row>
    <row r="1716" spans="3:3" x14ac:dyDescent="0.25">
      <c r="C1716" s="541" t="s">
        <v>5558</v>
      </c>
    </row>
    <row r="1717" spans="3:3" x14ac:dyDescent="0.25">
      <c r="C1717" s="541" t="s">
        <v>5559</v>
      </c>
    </row>
    <row r="1718" spans="3:3" x14ac:dyDescent="0.25">
      <c r="C1718" s="541" t="s">
        <v>5560</v>
      </c>
    </row>
    <row r="1719" spans="3:3" x14ac:dyDescent="0.25">
      <c r="C1719" s="541" t="s">
        <v>5561</v>
      </c>
    </row>
    <row r="1720" spans="3:3" x14ac:dyDescent="0.25">
      <c r="C1720" s="541" t="s">
        <v>5562</v>
      </c>
    </row>
    <row r="1721" spans="3:3" x14ac:dyDescent="0.25">
      <c r="C1721" s="541" t="s">
        <v>5563</v>
      </c>
    </row>
    <row r="1722" spans="3:3" x14ac:dyDescent="0.25">
      <c r="C1722" s="541" t="s">
        <v>5564</v>
      </c>
    </row>
    <row r="1723" spans="3:3" x14ac:dyDescent="0.25">
      <c r="C1723" s="541" t="s">
        <v>5565</v>
      </c>
    </row>
    <row r="1724" spans="3:3" x14ac:dyDescent="0.25">
      <c r="C1724" s="541" t="s">
        <v>5566</v>
      </c>
    </row>
    <row r="1725" spans="3:3" x14ac:dyDescent="0.25">
      <c r="C1725" s="541" t="s">
        <v>5567</v>
      </c>
    </row>
    <row r="1726" spans="3:3" x14ac:dyDescent="0.25">
      <c r="C1726" s="541" t="s">
        <v>5568</v>
      </c>
    </row>
    <row r="1727" spans="3:3" x14ac:dyDescent="0.25">
      <c r="C1727" s="541" t="s">
        <v>5569</v>
      </c>
    </row>
    <row r="1728" spans="3:3" x14ac:dyDescent="0.25">
      <c r="C1728" s="541" t="s">
        <v>5570</v>
      </c>
    </row>
    <row r="1729" spans="3:3" x14ac:dyDescent="0.25">
      <c r="C1729" s="541" t="s">
        <v>5571</v>
      </c>
    </row>
    <row r="1730" spans="3:3" x14ac:dyDescent="0.25">
      <c r="C1730" s="541" t="s">
        <v>5572</v>
      </c>
    </row>
    <row r="1731" spans="3:3" x14ac:dyDescent="0.25">
      <c r="C1731" s="541" t="s">
        <v>5573</v>
      </c>
    </row>
    <row r="1732" spans="3:3" x14ac:dyDescent="0.25">
      <c r="C1732" s="541" t="s">
        <v>5574</v>
      </c>
    </row>
    <row r="1733" spans="3:3" x14ac:dyDescent="0.25">
      <c r="C1733" s="541" t="s">
        <v>5575</v>
      </c>
    </row>
    <row r="1734" spans="3:3" x14ac:dyDescent="0.25">
      <c r="C1734" s="541" t="s">
        <v>5576</v>
      </c>
    </row>
    <row r="1735" spans="3:3" x14ac:dyDescent="0.25">
      <c r="C1735" s="541" t="s">
        <v>5577</v>
      </c>
    </row>
    <row r="1736" spans="3:3" x14ac:dyDescent="0.25">
      <c r="C1736" s="541" t="s">
        <v>5578</v>
      </c>
    </row>
    <row r="1737" spans="3:3" x14ac:dyDescent="0.25">
      <c r="C1737" s="541" t="s">
        <v>5579</v>
      </c>
    </row>
    <row r="1738" spans="3:3" x14ac:dyDescent="0.25">
      <c r="C1738" s="541" t="s">
        <v>5580</v>
      </c>
    </row>
    <row r="1739" spans="3:3" x14ac:dyDescent="0.25">
      <c r="C1739" s="541" t="s">
        <v>5581</v>
      </c>
    </row>
    <row r="1740" spans="3:3" x14ac:dyDescent="0.25">
      <c r="C1740" s="541" t="s">
        <v>5582</v>
      </c>
    </row>
    <row r="1741" spans="3:3" x14ac:dyDescent="0.25">
      <c r="C1741" s="541" t="s">
        <v>5583</v>
      </c>
    </row>
    <row r="1742" spans="3:3" x14ac:dyDescent="0.25">
      <c r="C1742" s="541" t="s">
        <v>5584</v>
      </c>
    </row>
    <row r="1743" spans="3:3" x14ac:dyDescent="0.25">
      <c r="C1743" s="541" t="s">
        <v>5585</v>
      </c>
    </row>
    <row r="1744" spans="3:3" x14ac:dyDescent="0.25">
      <c r="C1744" s="541" t="s">
        <v>5586</v>
      </c>
    </row>
    <row r="1745" spans="3:3" x14ac:dyDescent="0.25">
      <c r="C1745" s="541" t="s">
        <v>5587</v>
      </c>
    </row>
    <row r="1746" spans="3:3" x14ac:dyDescent="0.25">
      <c r="C1746" s="541" t="s">
        <v>5588</v>
      </c>
    </row>
    <row r="1747" spans="3:3" x14ac:dyDescent="0.25">
      <c r="C1747" s="541" t="s">
        <v>5589</v>
      </c>
    </row>
    <row r="1748" spans="3:3" x14ac:dyDescent="0.25">
      <c r="C1748" s="541" t="s">
        <v>5590</v>
      </c>
    </row>
    <row r="1749" spans="3:3" x14ac:dyDescent="0.25">
      <c r="C1749" s="541" t="s">
        <v>5591</v>
      </c>
    </row>
    <row r="1750" spans="3:3" x14ac:dyDescent="0.25">
      <c r="C1750" s="541" t="s">
        <v>5592</v>
      </c>
    </row>
    <row r="1751" spans="3:3" x14ac:dyDescent="0.25">
      <c r="C1751" s="541" t="s">
        <v>5593</v>
      </c>
    </row>
    <row r="1752" spans="3:3" x14ac:dyDescent="0.25">
      <c r="C1752" s="541" t="s">
        <v>5594</v>
      </c>
    </row>
    <row r="1753" spans="3:3" x14ac:dyDescent="0.25">
      <c r="C1753" s="541" t="s">
        <v>5595</v>
      </c>
    </row>
    <row r="1754" spans="3:3" x14ac:dyDescent="0.25">
      <c r="C1754" s="541" t="s">
        <v>5596</v>
      </c>
    </row>
    <row r="1755" spans="3:3" x14ac:dyDescent="0.25">
      <c r="C1755" s="541" t="s">
        <v>5597</v>
      </c>
    </row>
    <row r="1756" spans="3:3" x14ac:dyDescent="0.25">
      <c r="C1756" s="541" t="s">
        <v>5598</v>
      </c>
    </row>
    <row r="1757" spans="3:3" x14ac:dyDescent="0.25">
      <c r="C1757" s="541" t="s">
        <v>5599</v>
      </c>
    </row>
    <row r="1758" spans="3:3" x14ac:dyDescent="0.25">
      <c r="C1758" s="541" t="s">
        <v>5600</v>
      </c>
    </row>
    <row r="1759" spans="3:3" x14ac:dyDescent="0.25">
      <c r="C1759" s="541" t="s">
        <v>5601</v>
      </c>
    </row>
    <row r="1760" spans="3:3" x14ac:dyDescent="0.25">
      <c r="C1760" s="541" t="s">
        <v>5602</v>
      </c>
    </row>
    <row r="1761" spans="3:3" x14ac:dyDescent="0.25">
      <c r="C1761" s="541" t="s">
        <v>5603</v>
      </c>
    </row>
    <row r="1762" spans="3:3" x14ac:dyDescent="0.25">
      <c r="C1762" s="541" t="s">
        <v>5604</v>
      </c>
    </row>
    <row r="1763" spans="3:3" x14ac:dyDescent="0.25">
      <c r="C1763" s="541" t="s">
        <v>5605</v>
      </c>
    </row>
    <row r="1764" spans="3:3" x14ac:dyDescent="0.25">
      <c r="C1764" s="541" t="s">
        <v>5606</v>
      </c>
    </row>
    <row r="1765" spans="3:3" x14ac:dyDescent="0.25">
      <c r="C1765" s="541" t="s">
        <v>5607</v>
      </c>
    </row>
    <row r="1766" spans="3:3" x14ac:dyDescent="0.25">
      <c r="C1766" s="541" t="s">
        <v>5608</v>
      </c>
    </row>
    <row r="1767" spans="3:3" x14ac:dyDescent="0.25">
      <c r="C1767" s="541" t="s">
        <v>5609</v>
      </c>
    </row>
    <row r="1768" spans="3:3" x14ac:dyDescent="0.25">
      <c r="C1768" s="541" t="s">
        <v>5610</v>
      </c>
    </row>
    <row r="1769" spans="3:3" x14ac:dyDescent="0.25">
      <c r="C1769" s="541" t="s">
        <v>5611</v>
      </c>
    </row>
    <row r="1770" spans="3:3" x14ac:dyDescent="0.25">
      <c r="C1770" s="541" t="s">
        <v>5612</v>
      </c>
    </row>
    <row r="1771" spans="3:3" x14ac:dyDescent="0.25">
      <c r="C1771" s="541" t="s">
        <v>5613</v>
      </c>
    </row>
    <row r="1772" spans="3:3" x14ac:dyDescent="0.25">
      <c r="C1772" s="541" t="s">
        <v>5614</v>
      </c>
    </row>
    <row r="1773" spans="3:3" x14ac:dyDescent="0.25">
      <c r="C1773" s="541" t="s">
        <v>5615</v>
      </c>
    </row>
    <row r="1774" spans="3:3" x14ac:dyDescent="0.25">
      <c r="C1774" s="541" t="s">
        <v>5616</v>
      </c>
    </row>
    <row r="1775" spans="3:3" x14ac:dyDescent="0.25">
      <c r="C1775" s="541" t="s">
        <v>5617</v>
      </c>
    </row>
    <row r="1776" spans="3:3" x14ac:dyDescent="0.25">
      <c r="C1776" s="541" t="s">
        <v>5618</v>
      </c>
    </row>
    <row r="1777" spans="3:3" x14ac:dyDescent="0.25">
      <c r="C1777" s="541" t="s">
        <v>5619</v>
      </c>
    </row>
    <row r="1778" spans="3:3" x14ac:dyDescent="0.25">
      <c r="C1778" s="541" t="s">
        <v>5620</v>
      </c>
    </row>
    <row r="1779" spans="3:3" x14ac:dyDescent="0.25">
      <c r="C1779" s="541" t="s">
        <v>5621</v>
      </c>
    </row>
    <row r="1780" spans="3:3" x14ac:dyDescent="0.25">
      <c r="C1780" s="541" t="s">
        <v>5622</v>
      </c>
    </row>
    <row r="1781" spans="3:3" x14ac:dyDescent="0.25">
      <c r="C1781" s="541" t="s">
        <v>5623</v>
      </c>
    </row>
    <row r="1782" spans="3:3" x14ac:dyDescent="0.25">
      <c r="C1782" s="541" t="s">
        <v>5624</v>
      </c>
    </row>
    <row r="1783" spans="3:3" x14ac:dyDescent="0.25">
      <c r="C1783" s="541" t="s">
        <v>5625</v>
      </c>
    </row>
    <row r="1784" spans="3:3" x14ac:dyDescent="0.25">
      <c r="C1784" s="541" t="s">
        <v>5626</v>
      </c>
    </row>
    <row r="1785" spans="3:3" x14ac:dyDescent="0.25">
      <c r="C1785" s="541" t="s">
        <v>5627</v>
      </c>
    </row>
    <row r="1786" spans="3:3" x14ac:dyDescent="0.25">
      <c r="C1786" s="541" t="s">
        <v>5628</v>
      </c>
    </row>
    <row r="1787" spans="3:3" x14ac:dyDescent="0.25">
      <c r="C1787" s="541" t="s">
        <v>5629</v>
      </c>
    </row>
    <row r="1788" spans="3:3" x14ac:dyDescent="0.25">
      <c r="C1788" s="541" t="s">
        <v>5630</v>
      </c>
    </row>
    <row r="1789" spans="3:3" x14ac:dyDescent="0.25">
      <c r="C1789" s="541" t="s">
        <v>5631</v>
      </c>
    </row>
    <row r="1790" spans="3:3" x14ac:dyDescent="0.25">
      <c r="C1790" s="541" t="s">
        <v>5632</v>
      </c>
    </row>
    <row r="1791" spans="3:3" x14ac:dyDescent="0.25">
      <c r="C1791" s="541" t="s">
        <v>5633</v>
      </c>
    </row>
    <row r="1792" spans="3:3" x14ac:dyDescent="0.25">
      <c r="C1792" s="541" t="s">
        <v>5634</v>
      </c>
    </row>
    <row r="1793" spans="3:3" x14ac:dyDescent="0.25">
      <c r="C1793" s="541" t="s">
        <v>5635</v>
      </c>
    </row>
    <row r="1794" spans="3:3" x14ac:dyDescent="0.25">
      <c r="C1794" s="541" t="s">
        <v>5636</v>
      </c>
    </row>
    <row r="1795" spans="3:3" x14ac:dyDescent="0.25">
      <c r="C1795" s="541" t="s">
        <v>5637</v>
      </c>
    </row>
    <row r="1796" spans="3:3" x14ac:dyDescent="0.25">
      <c r="C1796" s="541" t="s">
        <v>5638</v>
      </c>
    </row>
    <row r="1797" spans="3:3" x14ac:dyDescent="0.25">
      <c r="C1797" s="541" t="s">
        <v>5639</v>
      </c>
    </row>
    <row r="1798" spans="3:3" x14ac:dyDescent="0.25">
      <c r="C1798" s="541" t="s">
        <v>5640</v>
      </c>
    </row>
    <row r="1799" spans="3:3" x14ac:dyDescent="0.25">
      <c r="C1799" s="541" t="s">
        <v>5641</v>
      </c>
    </row>
    <row r="1800" spans="3:3" x14ac:dyDescent="0.25">
      <c r="C1800" s="541" t="s">
        <v>5642</v>
      </c>
    </row>
    <row r="1801" spans="3:3" x14ac:dyDescent="0.25">
      <c r="C1801" s="541" t="s">
        <v>5643</v>
      </c>
    </row>
    <row r="1802" spans="3:3" x14ac:dyDescent="0.25">
      <c r="C1802" s="541" t="s">
        <v>5644</v>
      </c>
    </row>
    <row r="1803" spans="3:3" x14ac:dyDescent="0.25">
      <c r="C1803" s="541" t="s">
        <v>5645</v>
      </c>
    </row>
    <row r="1804" spans="3:3" x14ac:dyDescent="0.25">
      <c r="C1804" s="541" t="s">
        <v>5646</v>
      </c>
    </row>
    <row r="1805" spans="3:3" x14ac:dyDescent="0.25">
      <c r="C1805" s="541" t="s">
        <v>5647</v>
      </c>
    </row>
    <row r="1806" spans="3:3" x14ac:dyDescent="0.25">
      <c r="C1806" s="541" t="s">
        <v>5648</v>
      </c>
    </row>
    <row r="1807" spans="3:3" x14ac:dyDescent="0.25">
      <c r="C1807" s="541" t="s">
        <v>5649</v>
      </c>
    </row>
    <row r="1808" spans="3:3" x14ac:dyDescent="0.25">
      <c r="C1808" s="541" t="s">
        <v>5650</v>
      </c>
    </row>
    <row r="1809" spans="3:3" x14ac:dyDescent="0.25">
      <c r="C1809" s="541" t="s">
        <v>5651</v>
      </c>
    </row>
    <row r="1810" spans="3:3" x14ac:dyDescent="0.25">
      <c r="C1810" s="541" t="s">
        <v>5652</v>
      </c>
    </row>
    <row r="1811" spans="3:3" x14ac:dyDescent="0.25">
      <c r="C1811" s="541" t="s">
        <v>5653</v>
      </c>
    </row>
    <row r="1812" spans="3:3" x14ac:dyDescent="0.25">
      <c r="C1812" s="541" t="s">
        <v>5654</v>
      </c>
    </row>
    <row r="1813" spans="3:3" x14ac:dyDescent="0.25">
      <c r="C1813" s="541" t="s">
        <v>5655</v>
      </c>
    </row>
    <row r="1814" spans="3:3" x14ac:dyDescent="0.25">
      <c r="C1814" s="541" t="s">
        <v>5656</v>
      </c>
    </row>
    <row r="1815" spans="3:3" x14ac:dyDescent="0.25">
      <c r="C1815" s="541" t="s">
        <v>5657</v>
      </c>
    </row>
    <row r="1816" spans="3:3" x14ac:dyDescent="0.25">
      <c r="C1816" s="541" t="s">
        <v>5658</v>
      </c>
    </row>
    <row r="1817" spans="3:3" x14ac:dyDescent="0.25">
      <c r="C1817" s="541" t="s">
        <v>5659</v>
      </c>
    </row>
    <row r="1818" spans="3:3" x14ac:dyDescent="0.25">
      <c r="C1818" s="541" t="s">
        <v>5660</v>
      </c>
    </row>
    <row r="1819" spans="3:3" x14ac:dyDescent="0.25">
      <c r="C1819" s="541" t="s">
        <v>5661</v>
      </c>
    </row>
    <row r="1820" spans="3:3" x14ac:dyDescent="0.25">
      <c r="C1820" s="541" t="s">
        <v>5662</v>
      </c>
    </row>
    <row r="1821" spans="3:3" x14ac:dyDescent="0.25">
      <c r="C1821" s="541" t="s">
        <v>5663</v>
      </c>
    </row>
    <row r="1822" spans="3:3" x14ac:dyDescent="0.25">
      <c r="C1822" s="541" t="s">
        <v>5664</v>
      </c>
    </row>
    <row r="1823" spans="3:3" x14ac:dyDescent="0.25">
      <c r="C1823" s="541" t="s">
        <v>5665</v>
      </c>
    </row>
    <row r="1824" spans="3:3" x14ac:dyDescent="0.25">
      <c r="C1824" s="541" t="s">
        <v>5666</v>
      </c>
    </row>
    <row r="1825" spans="3:3" x14ac:dyDescent="0.25">
      <c r="C1825" s="541" t="s">
        <v>5667</v>
      </c>
    </row>
    <row r="1826" spans="3:3" x14ac:dyDescent="0.25">
      <c r="C1826" s="541" t="s">
        <v>5668</v>
      </c>
    </row>
    <row r="1827" spans="3:3" x14ac:dyDescent="0.25">
      <c r="C1827" s="541" t="s">
        <v>5669</v>
      </c>
    </row>
    <row r="1828" spans="3:3" x14ac:dyDescent="0.25">
      <c r="C1828" s="541" t="s">
        <v>5670</v>
      </c>
    </row>
    <row r="1829" spans="3:3" x14ac:dyDescent="0.25">
      <c r="C1829" s="541" t="s">
        <v>5671</v>
      </c>
    </row>
    <row r="1830" spans="3:3" x14ac:dyDescent="0.25">
      <c r="C1830" s="541" t="s">
        <v>5672</v>
      </c>
    </row>
    <row r="1831" spans="3:3" x14ac:dyDescent="0.25">
      <c r="C1831" s="541" t="s">
        <v>5673</v>
      </c>
    </row>
    <row r="1832" spans="3:3" x14ac:dyDescent="0.25">
      <c r="C1832" s="541" t="s">
        <v>5674</v>
      </c>
    </row>
    <row r="1833" spans="3:3" x14ac:dyDescent="0.25">
      <c r="C1833" s="541" t="s">
        <v>5675</v>
      </c>
    </row>
    <row r="1834" spans="3:3" x14ac:dyDescent="0.25">
      <c r="C1834" s="541" t="s">
        <v>5676</v>
      </c>
    </row>
    <row r="1835" spans="3:3" x14ac:dyDescent="0.25">
      <c r="C1835" s="541" t="s">
        <v>5677</v>
      </c>
    </row>
    <row r="1836" spans="3:3" x14ac:dyDescent="0.25">
      <c r="C1836" s="541" t="s">
        <v>5678</v>
      </c>
    </row>
    <row r="1837" spans="3:3" x14ac:dyDescent="0.25">
      <c r="C1837" s="541" t="s">
        <v>5679</v>
      </c>
    </row>
    <row r="1838" spans="3:3" x14ac:dyDescent="0.25">
      <c r="C1838" s="541" t="s">
        <v>5680</v>
      </c>
    </row>
    <row r="1839" spans="3:3" x14ac:dyDescent="0.25">
      <c r="C1839" s="541" t="s">
        <v>5681</v>
      </c>
    </row>
    <row r="1840" spans="3:3" x14ac:dyDescent="0.25">
      <c r="C1840" s="541" t="s">
        <v>5682</v>
      </c>
    </row>
    <row r="1841" spans="3:3" x14ac:dyDescent="0.25">
      <c r="C1841" s="541" t="s">
        <v>5683</v>
      </c>
    </row>
    <row r="1842" spans="3:3" x14ac:dyDescent="0.25">
      <c r="C1842" s="541" t="s">
        <v>5684</v>
      </c>
    </row>
    <row r="1843" spans="3:3" x14ac:dyDescent="0.25">
      <c r="C1843" s="541" t="s">
        <v>5685</v>
      </c>
    </row>
    <row r="1844" spans="3:3" x14ac:dyDescent="0.25">
      <c r="C1844" s="541" t="s">
        <v>5686</v>
      </c>
    </row>
    <row r="1845" spans="3:3" x14ac:dyDescent="0.25">
      <c r="C1845" s="541" t="s">
        <v>5687</v>
      </c>
    </row>
    <row r="1846" spans="3:3" x14ac:dyDescent="0.25">
      <c r="C1846" s="541" t="s">
        <v>5688</v>
      </c>
    </row>
    <row r="1847" spans="3:3" x14ac:dyDescent="0.25">
      <c r="C1847" s="541" t="s">
        <v>5689</v>
      </c>
    </row>
    <row r="1848" spans="3:3" x14ac:dyDescent="0.25">
      <c r="C1848" s="541" t="s">
        <v>5690</v>
      </c>
    </row>
    <row r="1849" spans="3:3" x14ac:dyDescent="0.25">
      <c r="C1849" s="541" t="s">
        <v>5691</v>
      </c>
    </row>
    <row r="1850" spans="3:3" x14ac:dyDescent="0.25">
      <c r="C1850" s="541" t="s">
        <v>5692</v>
      </c>
    </row>
    <row r="1851" spans="3:3" x14ac:dyDescent="0.25">
      <c r="C1851" s="541" t="s">
        <v>5693</v>
      </c>
    </row>
    <row r="1852" spans="3:3" x14ac:dyDescent="0.25">
      <c r="C1852" s="541" t="s">
        <v>5694</v>
      </c>
    </row>
    <row r="1853" spans="3:3" x14ac:dyDescent="0.25">
      <c r="C1853" s="541" t="s">
        <v>5695</v>
      </c>
    </row>
    <row r="1854" spans="3:3" x14ac:dyDescent="0.25">
      <c r="C1854" s="541" t="s">
        <v>5696</v>
      </c>
    </row>
    <row r="1855" spans="3:3" x14ac:dyDescent="0.25">
      <c r="C1855" s="541" t="s">
        <v>5697</v>
      </c>
    </row>
    <row r="1856" spans="3:3" x14ac:dyDescent="0.25">
      <c r="C1856" s="541" t="s">
        <v>5698</v>
      </c>
    </row>
    <row r="1857" spans="3:3" x14ac:dyDescent="0.25">
      <c r="C1857" s="541" t="s">
        <v>5699</v>
      </c>
    </row>
    <row r="1858" spans="3:3" x14ac:dyDescent="0.25">
      <c r="C1858" s="541" t="s">
        <v>5700</v>
      </c>
    </row>
  </sheetData>
  <sheetProtection password="D8E9" sheet="1" objects="1" scenario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30"/>
  <sheetViews>
    <sheetView workbookViewId="0">
      <selection activeCell="B8" sqref="B8"/>
    </sheetView>
  </sheetViews>
  <sheetFormatPr defaultRowHeight="15" x14ac:dyDescent="0.25"/>
  <cols>
    <col min="1" max="5" width="42.28515625" style="436" customWidth="1"/>
    <col min="6" max="6" width="42.42578125" style="436" customWidth="1"/>
  </cols>
  <sheetData>
    <row r="1" spans="1:6" ht="74.25" customHeight="1" x14ac:dyDescent="0.25">
      <c r="A1" s="848" t="s">
        <v>2738</v>
      </c>
      <c r="B1" s="848"/>
      <c r="C1" s="470"/>
      <c r="D1" s="470"/>
      <c r="E1" s="470"/>
      <c r="F1" s="470"/>
    </row>
    <row r="2" spans="1:6" x14ac:dyDescent="0.25">
      <c r="A2" s="765" t="s">
        <v>1707</v>
      </c>
      <c r="B2" s="765"/>
      <c r="C2" s="765" t="s">
        <v>1708</v>
      </c>
      <c r="D2" s="765"/>
      <c r="E2" s="765" t="s">
        <v>1709</v>
      </c>
      <c r="F2" s="765"/>
    </row>
    <row r="3" spans="1:6" x14ac:dyDescent="0.25">
      <c r="A3" s="469" t="s">
        <v>1710</v>
      </c>
      <c r="B3" s="469" t="s">
        <v>1711</v>
      </c>
      <c r="C3" s="469" t="s">
        <v>2742</v>
      </c>
      <c r="D3" s="469" t="s">
        <v>3588</v>
      </c>
      <c r="E3" s="469" t="s">
        <v>3589</v>
      </c>
      <c r="F3" s="469" t="s">
        <v>2743</v>
      </c>
    </row>
    <row r="4" spans="1:6" x14ac:dyDescent="0.25">
      <c r="A4" s="436" t="s">
        <v>1712</v>
      </c>
      <c r="B4" s="436" t="s">
        <v>1713</v>
      </c>
      <c r="C4" s="436" t="s">
        <v>1712</v>
      </c>
      <c r="D4" s="436" t="s">
        <v>1713</v>
      </c>
      <c r="E4" s="436" t="s">
        <v>1714</v>
      </c>
      <c r="F4" s="436" t="s">
        <v>1715</v>
      </c>
    </row>
    <row r="5" spans="1:6" x14ac:dyDescent="0.25">
      <c r="A5" s="436" t="s">
        <v>1716</v>
      </c>
      <c r="B5" s="436" t="s">
        <v>1713</v>
      </c>
      <c r="C5" s="436" t="s">
        <v>1712</v>
      </c>
      <c r="D5" s="436" t="s">
        <v>1713</v>
      </c>
      <c r="E5" s="436" t="s">
        <v>1714</v>
      </c>
      <c r="F5" s="436" t="s">
        <v>1715</v>
      </c>
    </row>
    <row r="6" spans="1:6" ht="30" x14ac:dyDescent="0.25">
      <c r="A6" s="436" t="s">
        <v>1717</v>
      </c>
      <c r="B6" s="436" t="s">
        <v>1713</v>
      </c>
      <c r="C6" s="436" t="s">
        <v>1718</v>
      </c>
      <c r="D6" s="436" t="s">
        <v>1713</v>
      </c>
      <c r="E6" s="436" t="s">
        <v>1719</v>
      </c>
      <c r="F6" s="436" t="s">
        <v>1720</v>
      </c>
    </row>
    <row r="7" spans="1:6" ht="30" x14ac:dyDescent="0.25">
      <c r="A7" s="436" t="s">
        <v>1721</v>
      </c>
      <c r="B7" s="436" t="s">
        <v>1713</v>
      </c>
      <c r="C7" s="436" t="s">
        <v>1718</v>
      </c>
      <c r="D7" s="436" t="s">
        <v>1713</v>
      </c>
      <c r="E7" s="436" t="s">
        <v>1719</v>
      </c>
      <c r="F7" s="436" t="s">
        <v>1720</v>
      </c>
    </row>
    <row r="8" spans="1:6" ht="45" x14ac:dyDescent="0.25">
      <c r="A8" s="436" t="s">
        <v>1722</v>
      </c>
      <c r="B8" s="436" t="s">
        <v>1713</v>
      </c>
      <c r="C8" s="436" t="s">
        <v>1723</v>
      </c>
      <c r="D8" s="436" t="s">
        <v>1713</v>
      </c>
      <c r="E8" s="436" t="s">
        <v>1724</v>
      </c>
      <c r="F8" s="436" t="s">
        <v>1720</v>
      </c>
    </row>
    <row r="9" spans="1:6" ht="30" x14ac:dyDescent="0.25">
      <c r="A9" s="436" t="s">
        <v>1725</v>
      </c>
      <c r="B9" s="436" t="s">
        <v>1713</v>
      </c>
      <c r="C9" s="436" t="s">
        <v>1726</v>
      </c>
      <c r="D9" s="436" t="s">
        <v>1713</v>
      </c>
      <c r="E9" s="436" t="s">
        <v>1727</v>
      </c>
      <c r="F9" s="436" t="s">
        <v>1715</v>
      </c>
    </row>
    <row r="10" spans="1:6" ht="30" x14ac:dyDescent="0.25">
      <c r="A10" s="436" t="s">
        <v>1728</v>
      </c>
      <c r="B10" s="436" t="s">
        <v>1713</v>
      </c>
      <c r="C10" s="436" t="s">
        <v>1726</v>
      </c>
      <c r="D10" s="436" t="s">
        <v>1713</v>
      </c>
      <c r="E10" s="436" t="s">
        <v>1727</v>
      </c>
      <c r="F10" s="436" t="s">
        <v>1715</v>
      </c>
    </row>
    <row r="11" spans="1:6" ht="45" x14ac:dyDescent="0.25">
      <c r="A11" s="436" t="s">
        <v>1729</v>
      </c>
      <c r="B11" s="436" t="s">
        <v>1713</v>
      </c>
      <c r="C11" s="436" t="s">
        <v>1730</v>
      </c>
      <c r="D11" s="436" t="s">
        <v>1713</v>
      </c>
      <c r="E11" s="436" t="s">
        <v>1731</v>
      </c>
      <c r="F11" s="436" t="s">
        <v>1720</v>
      </c>
    </row>
    <row r="12" spans="1:6" ht="30" x14ac:dyDescent="0.25">
      <c r="A12" s="436" t="s">
        <v>1732</v>
      </c>
      <c r="B12" s="436" t="s">
        <v>1713</v>
      </c>
      <c r="C12" s="436" t="s">
        <v>1733</v>
      </c>
      <c r="D12" s="436" t="s">
        <v>1713</v>
      </c>
      <c r="E12" s="436" t="s">
        <v>1734</v>
      </c>
      <c r="F12" s="436" t="s">
        <v>1735</v>
      </c>
    </row>
    <row r="13" spans="1:6" x14ac:dyDescent="0.25">
      <c r="A13" s="436" t="s">
        <v>1736</v>
      </c>
      <c r="B13" s="436" t="s">
        <v>1713</v>
      </c>
      <c r="C13" s="436" t="s">
        <v>1737</v>
      </c>
      <c r="D13" s="436" t="s">
        <v>1713</v>
      </c>
      <c r="E13" s="436" t="s">
        <v>1738</v>
      </c>
      <c r="F13" s="436" t="s">
        <v>1735</v>
      </c>
    </row>
    <row r="14" spans="1:6" x14ac:dyDescent="0.25">
      <c r="A14" s="436" t="s">
        <v>1739</v>
      </c>
      <c r="B14" s="436" t="s">
        <v>1713</v>
      </c>
      <c r="C14" s="436" t="s">
        <v>1737</v>
      </c>
      <c r="D14" s="436" t="s">
        <v>1713</v>
      </c>
      <c r="E14" s="436" t="s">
        <v>1738</v>
      </c>
      <c r="F14" s="436" t="s">
        <v>1735</v>
      </c>
    </row>
    <row r="15" spans="1:6" ht="30" x14ac:dyDescent="0.25">
      <c r="A15" s="436" t="s">
        <v>1740</v>
      </c>
      <c r="B15" s="436" t="s">
        <v>1713</v>
      </c>
      <c r="C15" s="436" t="s">
        <v>1737</v>
      </c>
      <c r="D15" s="436" t="s">
        <v>1713</v>
      </c>
      <c r="E15" s="436" t="s">
        <v>1738</v>
      </c>
      <c r="F15" s="436" t="s">
        <v>1735</v>
      </c>
    </row>
    <row r="16" spans="1:6" ht="30" x14ac:dyDescent="0.25">
      <c r="A16" s="436" t="s">
        <v>1741</v>
      </c>
      <c r="B16" s="436" t="s">
        <v>1713</v>
      </c>
      <c r="C16" s="436" t="s">
        <v>1737</v>
      </c>
      <c r="D16" s="436" t="s">
        <v>1713</v>
      </c>
      <c r="E16" s="436" t="s">
        <v>1738</v>
      </c>
      <c r="F16" s="436" t="s">
        <v>1735</v>
      </c>
    </row>
    <row r="17" spans="1:6" ht="30" x14ac:dyDescent="0.25">
      <c r="A17" s="436" t="s">
        <v>1742</v>
      </c>
      <c r="B17" s="436" t="s">
        <v>1713</v>
      </c>
      <c r="C17" s="436" t="s">
        <v>1737</v>
      </c>
      <c r="D17" s="436" t="s">
        <v>1713</v>
      </c>
      <c r="E17" s="436" t="s">
        <v>1738</v>
      </c>
      <c r="F17" s="436" t="s">
        <v>1735</v>
      </c>
    </row>
    <row r="18" spans="1:6" ht="30" x14ac:dyDescent="0.25">
      <c r="A18" s="436" t="s">
        <v>1743</v>
      </c>
      <c r="B18" s="436" t="s">
        <v>1713</v>
      </c>
      <c r="C18" s="436" t="s">
        <v>1737</v>
      </c>
      <c r="D18" s="436" t="s">
        <v>1713</v>
      </c>
      <c r="E18" s="436" t="s">
        <v>1738</v>
      </c>
      <c r="F18" s="436" t="s">
        <v>1735</v>
      </c>
    </row>
    <row r="19" spans="1:6" x14ac:dyDescent="0.25">
      <c r="A19" s="436" t="s">
        <v>1744</v>
      </c>
      <c r="B19" s="436" t="s">
        <v>1713</v>
      </c>
      <c r="C19" s="436" t="s">
        <v>1737</v>
      </c>
      <c r="D19" s="436" t="s">
        <v>1713</v>
      </c>
      <c r="E19" s="436" t="s">
        <v>1738</v>
      </c>
      <c r="F19" s="436" t="s">
        <v>1735</v>
      </c>
    </row>
    <row r="20" spans="1:6" ht="30" x14ac:dyDescent="0.25">
      <c r="A20" s="436" t="s">
        <v>1745</v>
      </c>
      <c r="B20" s="436" t="s">
        <v>1713</v>
      </c>
      <c r="C20" s="436" t="s">
        <v>1737</v>
      </c>
      <c r="D20" s="436" t="s">
        <v>1713</v>
      </c>
      <c r="E20" s="436" t="s">
        <v>1738</v>
      </c>
      <c r="F20" s="436" t="s">
        <v>1735</v>
      </c>
    </row>
    <row r="21" spans="1:6" ht="30" x14ac:dyDescent="0.25">
      <c r="A21" s="436" t="s">
        <v>1746</v>
      </c>
      <c r="B21" s="436" t="s">
        <v>1713</v>
      </c>
      <c r="C21" s="436" t="s">
        <v>1737</v>
      </c>
      <c r="D21" s="436" t="s">
        <v>1713</v>
      </c>
      <c r="E21" s="436" t="s">
        <v>1738</v>
      </c>
      <c r="F21" s="436" t="s">
        <v>1735</v>
      </c>
    </row>
    <row r="22" spans="1:6" x14ac:dyDescent="0.25">
      <c r="A22" s="436" t="s">
        <v>1747</v>
      </c>
      <c r="B22" s="436" t="s">
        <v>1713</v>
      </c>
      <c r="C22" s="436" t="s">
        <v>1748</v>
      </c>
      <c r="D22" s="436" t="s">
        <v>1713</v>
      </c>
      <c r="E22" s="436" t="s">
        <v>1749</v>
      </c>
      <c r="F22" s="436" t="s">
        <v>1735</v>
      </c>
    </row>
    <row r="23" spans="1:6" ht="30" x14ac:dyDescent="0.25">
      <c r="A23" s="436" t="s">
        <v>1750</v>
      </c>
      <c r="B23" s="436" t="s">
        <v>1713</v>
      </c>
      <c r="C23" s="436" t="s">
        <v>1748</v>
      </c>
      <c r="D23" s="436" t="s">
        <v>1713</v>
      </c>
      <c r="E23" s="436" t="s">
        <v>1749</v>
      </c>
      <c r="F23" s="436" t="s">
        <v>1735</v>
      </c>
    </row>
    <row r="24" spans="1:6" ht="30" x14ac:dyDescent="0.25">
      <c r="A24" s="436" t="s">
        <v>1751</v>
      </c>
      <c r="B24" s="436" t="s">
        <v>1713</v>
      </c>
      <c r="C24" s="436" t="s">
        <v>1748</v>
      </c>
      <c r="D24" s="436" t="s">
        <v>1713</v>
      </c>
      <c r="E24" s="436" t="s">
        <v>1749</v>
      </c>
      <c r="F24" s="436" t="s">
        <v>1735</v>
      </c>
    </row>
    <row r="25" spans="1:6" ht="45" x14ac:dyDescent="0.25">
      <c r="A25" s="436" t="s">
        <v>1752</v>
      </c>
      <c r="B25" s="436" t="s">
        <v>1713</v>
      </c>
      <c r="C25" s="436" t="s">
        <v>1748</v>
      </c>
      <c r="D25" s="436" t="s">
        <v>1713</v>
      </c>
      <c r="E25" s="436" t="s">
        <v>1749</v>
      </c>
      <c r="F25" s="436" t="s">
        <v>1735</v>
      </c>
    </row>
    <row r="26" spans="1:6" ht="30" x14ac:dyDescent="0.25">
      <c r="A26" s="436" t="s">
        <v>1753</v>
      </c>
      <c r="B26" s="436" t="s">
        <v>1713</v>
      </c>
      <c r="C26" s="436" t="s">
        <v>1754</v>
      </c>
      <c r="D26" s="436" t="s">
        <v>1713</v>
      </c>
      <c r="E26" s="436" t="s">
        <v>1755</v>
      </c>
      <c r="F26" s="436" t="s">
        <v>1715</v>
      </c>
    </row>
    <row r="27" spans="1:6" ht="30" x14ac:dyDescent="0.25">
      <c r="A27" s="436" t="s">
        <v>1756</v>
      </c>
      <c r="B27" s="436" t="s">
        <v>1713</v>
      </c>
      <c r="C27" s="436" t="s">
        <v>1754</v>
      </c>
      <c r="D27" s="436" t="s">
        <v>1713</v>
      </c>
      <c r="E27" s="436" t="s">
        <v>1755</v>
      </c>
      <c r="F27" s="436" t="s">
        <v>1715</v>
      </c>
    </row>
    <row r="28" spans="1:6" ht="30" x14ac:dyDescent="0.25">
      <c r="A28" s="436" t="s">
        <v>1757</v>
      </c>
      <c r="B28" s="436" t="s">
        <v>1713</v>
      </c>
      <c r="C28" s="436" t="s">
        <v>1754</v>
      </c>
      <c r="D28" s="436" t="s">
        <v>1713</v>
      </c>
      <c r="E28" s="436" t="s">
        <v>1755</v>
      </c>
      <c r="F28" s="436" t="s">
        <v>1715</v>
      </c>
    </row>
    <row r="29" spans="1:6" x14ac:dyDescent="0.25">
      <c r="A29" s="436" t="s">
        <v>1758</v>
      </c>
      <c r="B29" s="436" t="s">
        <v>1759</v>
      </c>
      <c r="C29" s="436" t="s">
        <v>1758</v>
      </c>
      <c r="D29" s="436" t="s">
        <v>1759</v>
      </c>
      <c r="E29" s="436" t="s">
        <v>1760</v>
      </c>
      <c r="F29" s="436" t="s">
        <v>1761</v>
      </c>
    </row>
    <row r="30" spans="1:6" x14ac:dyDescent="0.25">
      <c r="A30" s="436" t="s">
        <v>1762</v>
      </c>
      <c r="B30" s="436" t="s">
        <v>1759</v>
      </c>
      <c r="C30" s="436" t="s">
        <v>1758</v>
      </c>
      <c r="D30" s="436" t="s">
        <v>1759</v>
      </c>
      <c r="E30" s="436" t="s">
        <v>1760</v>
      </c>
      <c r="F30" s="436" t="s">
        <v>1761</v>
      </c>
    </row>
    <row r="31" spans="1:6" x14ac:dyDescent="0.25">
      <c r="A31" s="436" t="s">
        <v>1763</v>
      </c>
      <c r="B31" s="436" t="s">
        <v>1759</v>
      </c>
      <c r="C31" s="436" t="s">
        <v>1764</v>
      </c>
      <c r="D31" s="436" t="s">
        <v>1759</v>
      </c>
      <c r="E31" s="436" t="s">
        <v>1765</v>
      </c>
      <c r="F31" s="436" t="s">
        <v>1766</v>
      </c>
    </row>
    <row r="32" spans="1:6" x14ac:dyDescent="0.25">
      <c r="A32" s="436" t="s">
        <v>1767</v>
      </c>
      <c r="B32" s="436" t="s">
        <v>1759</v>
      </c>
      <c r="C32" s="436" t="s">
        <v>1764</v>
      </c>
      <c r="D32" s="436" t="s">
        <v>1759</v>
      </c>
      <c r="E32" s="436" t="s">
        <v>1765</v>
      </c>
      <c r="F32" s="436" t="s">
        <v>1766</v>
      </c>
    </row>
    <row r="33" spans="1:6" x14ac:dyDescent="0.25">
      <c r="A33" s="436" t="s">
        <v>1768</v>
      </c>
      <c r="B33" s="436" t="s">
        <v>1759</v>
      </c>
      <c r="C33" s="436" t="s">
        <v>1764</v>
      </c>
      <c r="D33" s="436" t="s">
        <v>1759</v>
      </c>
      <c r="E33" s="436" t="s">
        <v>1765</v>
      </c>
      <c r="F33" s="436" t="s">
        <v>1766</v>
      </c>
    </row>
    <row r="34" spans="1:6" x14ac:dyDescent="0.25">
      <c r="A34" s="436" t="s">
        <v>1769</v>
      </c>
      <c r="B34" s="436" t="s">
        <v>1759</v>
      </c>
      <c r="C34" s="436" t="s">
        <v>1764</v>
      </c>
      <c r="D34" s="436" t="s">
        <v>1759</v>
      </c>
      <c r="E34" s="436" t="s">
        <v>1765</v>
      </c>
      <c r="F34" s="436" t="s">
        <v>1766</v>
      </c>
    </row>
    <row r="35" spans="1:6" x14ac:dyDescent="0.25">
      <c r="A35" s="436" t="s">
        <v>1770</v>
      </c>
      <c r="B35" s="436" t="s">
        <v>1759</v>
      </c>
      <c r="C35" s="436" t="s">
        <v>1764</v>
      </c>
      <c r="D35" s="436" t="s">
        <v>1759</v>
      </c>
      <c r="E35" s="436" t="s">
        <v>1765</v>
      </c>
      <c r="F35" s="436" t="s">
        <v>1766</v>
      </c>
    </row>
    <row r="36" spans="1:6" x14ac:dyDescent="0.25">
      <c r="A36" s="436" t="s">
        <v>1771</v>
      </c>
      <c r="B36" s="436" t="s">
        <v>1772</v>
      </c>
      <c r="C36" s="436" t="s">
        <v>1764</v>
      </c>
      <c r="D36" s="436" t="s">
        <v>1759</v>
      </c>
      <c r="E36" s="436" t="s">
        <v>1765</v>
      </c>
      <c r="F36" s="436" t="s">
        <v>1766</v>
      </c>
    </row>
    <row r="37" spans="1:6" x14ac:dyDescent="0.25">
      <c r="A37" s="436" t="s">
        <v>1773</v>
      </c>
      <c r="B37" s="436" t="s">
        <v>1759</v>
      </c>
      <c r="C37" s="436" t="s">
        <v>1764</v>
      </c>
      <c r="D37" s="436" t="s">
        <v>1759</v>
      </c>
      <c r="E37" s="436" t="s">
        <v>1765</v>
      </c>
      <c r="F37" s="436" t="s">
        <v>1766</v>
      </c>
    </row>
    <row r="38" spans="1:6" x14ac:dyDescent="0.25">
      <c r="A38" s="436" t="s">
        <v>1774</v>
      </c>
      <c r="B38" s="436" t="s">
        <v>1759</v>
      </c>
      <c r="C38" s="436" t="s">
        <v>1764</v>
      </c>
      <c r="D38" s="436" t="s">
        <v>1759</v>
      </c>
      <c r="E38" s="436" t="s">
        <v>1765</v>
      </c>
      <c r="F38" s="436" t="s">
        <v>1766</v>
      </c>
    </row>
    <row r="39" spans="1:6" x14ac:dyDescent="0.25">
      <c r="A39" s="436" t="s">
        <v>1775</v>
      </c>
      <c r="B39" s="436" t="s">
        <v>1759</v>
      </c>
      <c r="C39" s="436" t="s">
        <v>1764</v>
      </c>
      <c r="D39" s="436" t="s">
        <v>1759</v>
      </c>
      <c r="E39" s="436" t="s">
        <v>1765</v>
      </c>
      <c r="F39" s="436" t="s">
        <v>1766</v>
      </c>
    </row>
    <row r="40" spans="1:6" x14ac:dyDescent="0.25">
      <c r="A40" s="436" t="s">
        <v>1776</v>
      </c>
      <c r="B40" s="436" t="s">
        <v>1759</v>
      </c>
      <c r="C40" s="436" t="s">
        <v>1764</v>
      </c>
      <c r="D40" s="436" t="s">
        <v>1759</v>
      </c>
      <c r="E40" s="436" t="s">
        <v>1765</v>
      </c>
      <c r="F40" s="436" t="s">
        <v>1766</v>
      </c>
    </row>
    <row r="41" spans="1:6" x14ac:dyDescent="0.25">
      <c r="A41" s="436" t="s">
        <v>1777</v>
      </c>
      <c r="B41" s="436" t="s">
        <v>1759</v>
      </c>
      <c r="C41" s="436" t="s">
        <v>1778</v>
      </c>
      <c r="D41" s="436" t="s">
        <v>1759</v>
      </c>
      <c r="E41" s="436" t="s">
        <v>1779</v>
      </c>
      <c r="F41" s="436" t="s">
        <v>1780</v>
      </c>
    </row>
    <row r="42" spans="1:6" x14ac:dyDescent="0.25">
      <c r="A42" s="436" t="s">
        <v>1781</v>
      </c>
      <c r="B42" s="436" t="s">
        <v>1759</v>
      </c>
      <c r="C42" s="436" t="s">
        <v>1778</v>
      </c>
      <c r="D42" s="436" t="s">
        <v>1759</v>
      </c>
      <c r="E42" s="436" t="s">
        <v>1779</v>
      </c>
      <c r="F42" s="436" t="s">
        <v>1780</v>
      </c>
    </row>
    <row r="43" spans="1:6" x14ac:dyDescent="0.25">
      <c r="A43" s="436" t="s">
        <v>1782</v>
      </c>
      <c r="B43" s="436" t="s">
        <v>1759</v>
      </c>
      <c r="C43" s="436" t="s">
        <v>1778</v>
      </c>
      <c r="D43" s="436" t="s">
        <v>1759</v>
      </c>
      <c r="E43" s="436" t="s">
        <v>1779</v>
      </c>
      <c r="F43" s="436" t="s">
        <v>1780</v>
      </c>
    </row>
    <row r="44" spans="1:6" x14ac:dyDescent="0.25">
      <c r="A44" s="436" t="s">
        <v>1783</v>
      </c>
      <c r="B44" s="436" t="s">
        <v>1759</v>
      </c>
      <c r="C44" s="436" t="s">
        <v>1778</v>
      </c>
      <c r="D44" s="436" t="s">
        <v>1759</v>
      </c>
      <c r="E44" s="436" t="s">
        <v>1779</v>
      </c>
      <c r="F44" s="436" t="s">
        <v>1780</v>
      </c>
    </row>
    <row r="45" spans="1:6" ht="30" x14ac:dyDescent="0.25">
      <c r="A45" s="436" t="s">
        <v>1784</v>
      </c>
      <c r="B45" s="436" t="s">
        <v>1759</v>
      </c>
      <c r="C45" s="436" t="s">
        <v>1778</v>
      </c>
      <c r="D45" s="436" t="s">
        <v>1759</v>
      </c>
      <c r="E45" s="436" t="s">
        <v>1779</v>
      </c>
      <c r="F45" s="436" t="s">
        <v>1780</v>
      </c>
    </row>
    <row r="46" spans="1:6" ht="30" x14ac:dyDescent="0.25">
      <c r="A46" s="436" t="s">
        <v>1785</v>
      </c>
      <c r="B46" s="436" t="s">
        <v>1759</v>
      </c>
      <c r="C46" s="436" t="s">
        <v>1778</v>
      </c>
      <c r="D46" s="436" t="s">
        <v>1759</v>
      </c>
      <c r="E46" s="436" t="s">
        <v>1779</v>
      </c>
      <c r="F46" s="436" t="s">
        <v>1780</v>
      </c>
    </row>
    <row r="47" spans="1:6" ht="30" x14ac:dyDescent="0.25">
      <c r="A47" s="436" t="s">
        <v>1786</v>
      </c>
      <c r="B47" s="436" t="s">
        <v>1759</v>
      </c>
      <c r="C47" s="436" t="s">
        <v>1778</v>
      </c>
      <c r="D47" s="436" t="s">
        <v>1759</v>
      </c>
      <c r="E47" s="436" t="s">
        <v>1779</v>
      </c>
      <c r="F47" s="436" t="s">
        <v>1780</v>
      </c>
    </row>
    <row r="48" spans="1:6" x14ac:dyDescent="0.25">
      <c r="A48" s="436" t="s">
        <v>1787</v>
      </c>
      <c r="B48" s="436" t="s">
        <v>1759</v>
      </c>
      <c r="C48" s="436" t="s">
        <v>1788</v>
      </c>
      <c r="D48" s="436" t="s">
        <v>1759</v>
      </c>
      <c r="E48" s="436" t="s">
        <v>1789</v>
      </c>
      <c r="F48" s="436" t="s">
        <v>1780</v>
      </c>
    </row>
    <row r="49" spans="1:6" x14ac:dyDescent="0.25">
      <c r="A49" s="436" t="s">
        <v>1790</v>
      </c>
      <c r="B49" s="436" t="s">
        <v>1759</v>
      </c>
      <c r="C49" s="436" t="s">
        <v>1788</v>
      </c>
      <c r="D49" s="436" t="s">
        <v>1759</v>
      </c>
      <c r="E49" s="436" t="s">
        <v>1789</v>
      </c>
      <c r="F49" s="436" t="s">
        <v>1780</v>
      </c>
    </row>
    <row r="50" spans="1:6" ht="30" x14ac:dyDescent="0.25">
      <c r="A50" s="436" t="s">
        <v>1791</v>
      </c>
      <c r="B50" s="436" t="s">
        <v>1759</v>
      </c>
      <c r="C50" s="436" t="s">
        <v>1792</v>
      </c>
      <c r="D50" s="436" t="s">
        <v>1759</v>
      </c>
      <c r="E50" s="436" t="s">
        <v>1793</v>
      </c>
      <c r="F50" s="436" t="s">
        <v>1780</v>
      </c>
    </row>
    <row r="51" spans="1:6" ht="30" x14ac:dyDescent="0.25">
      <c r="A51" s="436" t="s">
        <v>1794</v>
      </c>
      <c r="B51" s="436" t="s">
        <v>1759</v>
      </c>
      <c r="C51" s="436" t="s">
        <v>1792</v>
      </c>
      <c r="D51" s="436" t="s">
        <v>1759</v>
      </c>
      <c r="E51" s="436" t="s">
        <v>1793</v>
      </c>
      <c r="F51" s="436" t="s">
        <v>1780</v>
      </c>
    </row>
    <row r="52" spans="1:6" x14ac:dyDescent="0.25">
      <c r="A52" s="436" t="s">
        <v>1795</v>
      </c>
      <c r="B52" s="436" t="s">
        <v>1759</v>
      </c>
      <c r="C52" s="436" t="s">
        <v>1796</v>
      </c>
      <c r="D52" s="436" t="s">
        <v>1759</v>
      </c>
      <c r="E52" s="436" t="s">
        <v>1797</v>
      </c>
      <c r="F52" s="436" t="s">
        <v>1780</v>
      </c>
    </row>
    <row r="53" spans="1:6" ht="45" x14ac:dyDescent="0.25">
      <c r="A53" s="436" t="s">
        <v>1795</v>
      </c>
      <c r="B53" s="436" t="s">
        <v>1759</v>
      </c>
      <c r="C53" s="436" t="s">
        <v>1798</v>
      </c>
      <c r="D53" s="436" t="s">
        <v>1799</v>
      </c>
      <c r="E53" s="436" t="s">
        <v>1800</v>
      </c>
      <c r="F53" s="436" t="s">
        <v>1780</v>
      </c>
    </row>
    <row r="54" spans="1:6" x14ac:dyDescent="0.25">
      <c r="A54" s="436" t="s">
        <v>1801</v>
      </c>
      <c r="B54" s="436" t="s">
        <v>1759</v>
      </c>
      <c r="C54" s="436" t="s">
        <v>1796</v>
      </c>
      <c r="D54" s="436" t="s">
        <v>1759</v>
      </c>
      <c r="E54" s="436" t="s">
        <v>1797</v>
      </c>
      <c r="F54" s="436" t="s">
        <v>1780</v>
      </c>
    </row>
    <row r="55" spans="1:6" ht="45" x14ac:dyDescent="0.25">
      <c r="A55" s="436" t="s">
        <v>1801</v>
      </c>
      <c r="B55" s="436" t="s">
        <v>1759</v>
      </c>
      <c r="C55" s="436" t="s">
        <v>1798</v>
      </c>
      <c r="D55" s="436" t="s">
        <v>1799</v>
      </c>
      <c r="E55" s="436" t="s">
        <v>1800</v>
      </c>
      <c r="F55" s="436" t="s">
        <v>1780</v>
      </c>
    </row>
    <row r="56" spans="1:6" x14ac:dyDescent="0.25">
      <c r="A56" s="436" t="s">
        <v>1802</v>
      </c>
      <c r="B56" s="436" t="s">
        <v>1759</v>
      </c>
      <c r="C56" s="436" t="s">
        <v>1796</v>
      </c>
      <c r="D56" s="436" t="s">
        <v>1759</v>
      </c>
      <c r="E56" s="436" t="s">
        <v>1797</v>
      </c>
      <c r="F56" s="436" t="s">
        <v>1780</v>
      </c>
    </row>
    <row r="57" spans="1:6" ht="45" x14ac:dyDescent="0.25">
      <c r="A57" s="436" t="s">
        <v>1803</v>
      </c>
      <c r="B57" s="436" t="s">
        <v>1759</v>
      </c>
      <c r="C57" s="436" t="s">
        <v>1798</v>
      </c>
      <c r="D57" s="436" t="s">
        <v>1799</v>
      </c>
      <c r="E57" s="436" t="s">
        <v>1800</v>
      </c>
      <c r="F57" s="436" t="s">
        <v>1780</v>
      </c>
    </row>
    <row r="58" spans="1:6" x14ac:dyDescent="0.25">
      <c r="A58" s="436" t="s">
        <v>1804</v>
      </c>
      <c r="B58" s="436" t="s">
        <v>1759</v>
      </c>
      <c r="C58" s="436" t="s">
        <v>1796</v>
      </c>
      <c r="D58" s="436" t="s">
        <v>1759</v>
      </c>
      <c r="E58" s="436" t="s">
        <v>1797</v>
      </c>
      <c r="F58" s="436" t="s">
        <v>1780</v>
      </c>
    </row>
    <row r="59" spans="1:6" ht="45" x14ac:dyDescent="0.25">
      <c r="A59" s="436" t="s">
        <v>1804</v>
      </c>
      <c r="B59" s="436" t="s">
        <v>1759</v>
      </c>
      <c r="C59" s="436" t="s">
        <v>1798</v>
      </c>
      <c r="D59" s="436" t="s">
        <v>1799</v>
      </c>
      <c r="E59" s="436" t="s">
        <v>1800</v>
      </c>
      <c r="F59" s="436" t="s">
        <v>1780</v>
      </c>
    </row>
    <row r="60" spans="1:6" x14ac:dyDescent="0.25">
      <c r="A60" s="436" t="s">
        <v>1805</v>
      </c>
      <c r="B60" s="436" t="s">
        <v>1759</v>
      </c>
      <c r="C60" s="436" t="s">
        <v>1806</v>
      </c>
      <c r="D60" s="436" t="s">
        <v>1759</v>
      </c>
      <c r="E60" s="436" t="s">
        <v>1807</v>
      </c>
      <c r="F60" s="436" t="s">
        <v>1766</v>
      </c>
    </row>
    <row r="61" spans="1:6" x14ac:dyDescent="0.25">
      <c r="A61" s="436" t="s">
        <v>1808</v>
      </c>
      <c r="B61" s="436" t="s">
        <v>1759</v>
      </c>
      <c r="C61" s="436" t="s">
        <v>1806</v>
      </c>
      <c r="D61" s="436" t="s">
        <v>1759</v>
      </c>
      <c r="E61" s="436" t="s">
        <v>1807</v>
      </c>
      <c r="F61" s="436" t="s">
        <v>1766</v>
      </c>
    </row>
    <row r="62" spans="1:6" ht="30" x14ac:dyDescent="0.25">
      <c r="A62" s="436" t="s">
        <v>1809</v>
      </c>
      <c r="B62" s="436" t="s">
        <v>1759</v>
      </c>
      <c r="C62" s="436" t="s">
        <v>1764</v>
      </c>
      <c r="D62" s="436" t="s">
        <v>1759</v>
      </c>
      <c r="E62" s="436" t="s">
        <v>1765</v>
      </c>
      <c r="F62" s="436" t="s">
        <v>1766</v>
      </c>
    </row>
    <row r="63" spans="1:6" ht="30" x14ac:dyDescent="0.25">
      <c r="A63" s="436" t="s">
        <v>1809</v>
      </c>
      <c r="B63" s="436" t="s">
        <v>1759</v>
      </c>
      <c r="C63" s="436" t="s">
        <v>1810</v>
      </c>
      <c r="D63" s="436" t="s">
        <v>1759</v>
      </c>
      <c r="E63" s="436" t="s">
        <v>1811</v>
      </c>
      <c r="F63" s="436" t="s">
        <v>1780</v>
      </c>
    </row>
    <row r="64" spans="1:6" x14ac:dyDescent="0.25">
      <c r="A64" s="436" t="s">
        <v>1812</v>
      </c>
      <c r="B64" s="436" t="s">
        <v>1759</v>
      </c>
      <c r="C64" s="436" t="s">
        <v>1764</v>
      </c>
      <c r="D64" s="436" t="s">
        <v>1759</v>
      </c>
      <c r="E64" s="436" t="s">
        <v>1765</v>
      </c>
      <c r="F64" s="436" t="s">
        <v>1766</v>
      </c>
    </row>
    <row r="65" spans="1:6" ht="30" x14ac:dyDescent="0.25">
      <c r="A65" s="436" t="s">
        <v>1812</v>
      </c>
      <c r="B65" s="436" t="s">
        <v>1759</v>
      </c>
      <c r="C65" s="436" t="s">
        <v>1810</v>
      </c>
      <c r="D65" s="436" t="s">
        <v>1759</v>
      </c>
      <c r="E65" s="436" t="s">
        <v>1811</v>
      </c>
      <c r="F65" s="436" t="s">
        <v>1780</v>
      </c>
    </row>
    <row r="66" spans="1:6" ht="30" x14ac:dyDescent="0.25">
      <c r="A66" s="436" t="s">
        <v>1813</v>
      </c>
      <c r="B66" s="436" t="s">
        <v>1759</v>
      </c>
      <c r="C66" s="436" t="s">
        <v>1810</v>
      </c>
      <c r="D66" s="436" t="s">
        <v>1759</v>
      </c>
      <c r="E66" s="436" t="s">
        <v>1811</v>
      </c>
      <c r="F66" s="436" t="s">
        <v>1780</v>
      </c>
    </row>
    <row r="67" spans="1:6" x14ac:dyDescent="0.25">
      <c r="A67" s="436" t="s">
        <v>1814</v>
      </c>
      <c r="B67" s="436" t="s">
        <v>1759</v>
      </c>
      <c r="C67" s="436" t="s">
        <v>1764</v>
      </c>
      <c r="D67" s="436" t="s">
        <v>1759</v>
      </c>
      <c r="E67" s="436" t="s">
        <v>1765</v>
      </c>
      <c r="F67" s="436" t="s">
        <v>1766</v>
      </c>
    </row>
    <row r="68" spans="1:6" ht="30" x14ac:dyDescent="0.25">
      <c r="A68" s="436" t="s">
        <v>1815</v>
      </c>
      <c r="B68" s="436" t="s">
        <v>1759</v>
      </c>
      <c r="C68" s="436" t="s">
        <v>1810</v>
      </c>
      <c r="D68" s="436" t="s">
        <v>1759</v>
      </c>
      <c r="E68" s="436" t="s">
        <v>1811</v>
      </c>
      <c r="F68" s="436" t="s">
        <v>1780</v>
      </c>
    </row>
    <row r="69" spans="1:6" ht="30" x14ac:dyDescent="0.25">
      <c r="A69" s="436" t="s">
        <v>1816</v>
      </c>
      <c r="B69" s="436" t="s">
        <v>1759</v>
      </c>
      <c r="C69" s="436" t="s">
        <v>1817</v>
      </c>
      <c r="D69" s="436" t="s">
        <v>1759</v>
      </c>
      <c r="E69" s="436" t="s">
        <v>1818</v>
      </c>
      <c r="F69" s="436" t="s">
        <v>1761</v>
      </c>
    </row>
    <row r="70" spans="1:6" ht="30" x14ac:dyDescent="0.25">
      <c r="A70" s="436" t="s">
        <v>1819</v>
      </c>
      <c r="B70" s="436" t="s">
        <v>1820</v>
      </c>
      <c r="C70" s="436" t="s">
        <v>1819</v>
      </c>
      <c r="D70" s="436" t="s">
        <v>1820</v>
      </c>
      <c r="E70" s="436" t="s">
        <v>1821</v>
      </c>
      <c r="F70" s="436" t="s">
        <v>1822</v>
      </c>
    </row>
    <row r="71" spans="1:6" ht="30" x14ac:dyDescent="0.25">
      <c r="A71" s="436" t="s">
        <v>1823</v>
      </c>
      <c r="B71" s="436" t="s">
        <v>1820</v>
      </c>
      <c r="C71" s="436" t="s">
        <v>1819</v>
      </c>
      <c r="D71" s="436" t="s">
        <v>1820</v>
      </c>
      <c r="E71" s="436" t="s">
        <v>1821</v>
      </c>
      <c r="F71" s="436" t="s">
        <v>1822</v>
      </c>
    </row>
    <row r="72" spans="1:6" ht="30" x14ac:dyDescent="0.25">
      <c r="A72" s="436" t="s">
        <v>1824</v>
      </c>
      <c r="B72" s="436" t="s">
        <v>1820</v>
      </c>
      <c r="C72" s="436" t="s">
        <v>1824</v>
      </c>
      <c r="D72" s="436" t="s">
        <v>1820</v>
      </c>
      <c r="E72" s="436" t="s">
        <v>1825</v>
      </c>
      <c r="F72" s="436" t="s">
        <v>1826</v>
      </c>
    </row>
    <row r="73" spans="1:6" ht="30" x14ac:dyDescent="0.25">
      <c r="C73" s="436" t="s">
        <v>1824</v>
      </c>
      <c r="D73" s="436" t="s">
        <v>1820</v>
      </c>
      <c r="E73" s="436" t="s">
        <v>1827</v>
      </c>
      <c r="F73" s="436" t="s">
        <v>1826</v>
      </c>
    </row>
    <row r="74" spans="1:6" ht="30" x14ac:dyDescent="0.25">
      <c r="A74" s="436" t="s">
        <v>1828</v>
      </c>
      <c r="B74" s="436" t="s">
        <v>1820</v>
      </c>
      <c r="C74" s="436" t="s">
        <v>1824</v>
      </c>
      <c r="D74" s="436" t="s">
        <v>1820</v>
      </c>
      <c r="E74" s="436" t="s">
        <v>1825</v>
      </c>
      <c r="F74" s="436" t="s">
        <v>1826</v>
      </c>
    </row>
    <row r="75" spans="1:6" ht="30" x14ac:dyDescent="0.25">
      <c r="C75" s="436" t="s">
        <v>1824</v>
      </c>
      <c r="D75" s="436" t="s">
        <v>1820</v>
      </c>
      <c r="E75" s="436" t="s">
        <v>1827</v>
      </c>
      <c r="F75" s="436" t="s">
        <v>1826</v>
      </c>
    </row>
    <row r="76" spans="1:6" x14ac:dyDescent="0.25">
      <c r="A76" s="436" t="s">
        <v>1829</v>
      </c>
      <c r="B76" s="436" t="s">
        <v>1820</v>
      </c>
      <c r="C76" s="436" t="s">
        <v>1829</v>
      </c>
      <c r="D76" s="436" t="s">
        <v>1820</v>
      </c>
      <c r="E76" s="436" t="s">
        <v>1830</v>
      </c>
      <c r="F76" s="436" t="s">
        <v>1831</v>
      </c>
    </row>
    <row r="77" spans="1:6" x14ac:dyDescent="0.25">
      <c r="A77" s="436" t="s">
        <v>1832</v>
      </c>
      <c r="B77" s="436" t="s">
        <v>1820</v>
      </c>
      <c r="C77" s="436" t="s">
        <v>1829</v>
      </c>
      <c r="D77" s="436" t="s">
        <v>1820</v>
      </c>
      <c r="E77" s="436" t="s">
        <v>1830</v>
      </c>
      <c r="F77" s="436" t="s">
        <v>1831</v>
      </c>
    </row>
    <row r="78" spans="1:6" x14ac:dyDescent="0.25">
      <c r="A78" s="436" t="s">
        <v>1833</v>
      </c>
      <c r="B78" s="436" t="s">
        <v>1820</v>
      </c>
      <c r="C78" s="436" t="s">
        <v>1834</v>
      </c>
      <c r="D78" s="436" t="s">
        <v>1820</v>
      </c>
      <c r="E78" s="436" t="s">
        <v>1835</v>
      </c>
      <c r="F78" s="436" t="s">
        <v>1836</v>
      </c>
    </row>
    <row r="79" spans="1:6" x14ac:dyDescent="0.25">
      <c r="A79" s="436" t="s">
        <v>1837</v>
      </c>
      <c r="B79" s="436" t="s">
        <v>1820</v>
      </c>
      <c r="C79" s="436" t="s">
        <v>1834</v>
      </c>
      <c r="D79" s="436" t="s">
        <v>1820</v>
      </c>
      <c r="E79" s="436" t="s">
        <v>1835</v>
      </c>
      <c r="F79" s="436" t="s">
        <v>1836</v>
      </c>
    </row>
    <row r="80" spans="1:6" ht="30" x14ac:dyDescent="0.25">
      <c r="A80" s="436" t="s">
        <v>1838</v>
      </c>
      <c r="B80" s="436" t="s">
        <v>1820</v>
      </c>
      <c r="C80" s="436" t="s">
        <v>1839</v>
      </c>
      <c r="D80" s="436" t="s">
        <v>1820</v>
      </c>
      <c r="E80" s="436" t="s">
        <v>1840</v>
      </c>
      <c r="F80" s="436" t="s">
        <v>1836</v>
      </c>
    </row>
    <row r="81" spans="1:6" x14ac:dyDescent="0.25">
      <c r="A81" s="436" t="s">
        <v>1841</v>
      </c>
      <c r="B81" s="436" t="s">
        <v>1820</v>
      </c>
      <c r="C81" s="436" t="s">
        <v>1842</v>
      </c>
      <c r="D81" s="436" t="s">
        <v>1820</v>
      </c>
      <c r="E81" s="436" t="s">
        <v>1843</v>
      </c>
      <c r="F81" s="436" t="s">
        <v>1844</v>
      </c>
    </row>
    <row r="82" spans="1:6" x14ac:dyDescent="0.25">
      <c r="A82" s="436" t="s">
        <v>1845</v>
      </c>
      <c r="B82" s="436" t="s">
        <v>1820</v>
      </c>
      <c r="C82" s="436" t="s">
        <v>1842</v>
      </c>
      <c r="D82" s="436" t="s">
        <v>1820</v>
      </c>
      <c r="E82" s="436" t="s">
        <v>1843</v>
      </c>
      <c r="F82" s="436" t="s">
        <v>1844</v>
      </c>
    </row>
    <row r="83" spans="1:6" ht="30" x14ac:dyDescent="0.25">
      <c r="A83" s="436" t="s">
        <v>1846</v>
      </c>
      <c r="B83" s="436" t="s">
        <v>1820</v>
      </c>
      <c r="C83" s="436" t="s">
        <v>1847</v>
      </c>
      <c r="D83" s="436" t="s">
        <v>1820</v>
      </c>
      <c r="E83" s="436" t="s">
        <v>1848</v>
      </c>
      <c r="F83" s="436" t="s">
        <v>1849</v>
      </c>
    </row>
    <row r="84" spans="1:6" ht="30" x14ac:dyDescent="0.25">
      <c r="C84" s="436" t="s">
        <v>1847</v>
      </c>
      <c r="D84" s="436" t="s">
        <v>1820</v>
      </c>
      <c r="E84" s="436" t="s">
        <v>1827</v>
      </c>
      <c r="F84" s="436" t="s">
        <v>1826</v>
      </c>
    </row>
    <row r="85" spans="1:6" ht="30" x14ac:dyDescent="0.25">
      <c r="A85" s="436" t="s">
        <v>1850</v>
      </c>
      <c r="B85" s="436" t="s">
        <v>1820</v>
      </c>
      <c r="C85" s="436" t="s">
        <v>1847</v>
      </c>
      <c r="D85" s="436" t="s">
        <v>1820</v>
      </c>
      <c r="E85" s="436" t="s">
        <v>1848</v>
      </c>
      <c r="F85" s="436" t="s">
        <v>1851</v>
      </c>
    </row>
    <row r="86" spans="1:6" ht="30" x14ac:dyDescent="0.25">
      <c r="C86" s="436" t="s">
        <v>1847</v>
      </c>
      <c r="D86" s="436" t="s">
        <v>1820</v>
      </c>
      <c r="E86" s="436" t="s">
        <v>1827</v>
      </c>
      <c r="F86" s="436" t="s">
        <v>1826</v>
      </c>
    </row>
    <row r="87" spans="1:6" ht="30" x14ac:dyDescent="0.25">
      <c r="A87" s="436" t="s">
        <v>1852</v>
      </c>
      <c r="B87" s="436" t="s">
        <v>1820</v>
      </c>
      <c r="C87" s="436" t="s">
        <v>1853</v>
      </c>
      <c r="D87" s="436" t="s">
        <v>1820</v>
      </c>
      <c r="E87" s="436" t="s">
        <v>1854</v>
      </c>
      <c r="F87" s="436" t="s">
        <v>1849</v>
      </c>
    </row>
    <row r="88" spans="1:6" ht="30" x14ac:dyDescent="0.25">
      <c r="C88" s="436" t="s">
        <v>1853</v>
      </c>
      <c r="D88" s="436" t="s">
        <v>1820</v>
      </c>
      <c r="E88" s="436" t="s">
        <v>1827</v>
      </c>
      <c r="F88" s="436" t="s">
        <v>1826</v>
      </c>
    </row>
    <row r="89" spans="1:6" ht="30" x14ac:dyDescent="0.25">
      <c r="A89" s="436" t="s">
        <v>1855</v>
      </c>
      <c r="B89" s="436" t="s">
        <v>1820</v>
      </c>
      <c r="C89" s="436" t="s">
        <v>1856</v>
      </c>
      <c r="D89" s="436" t="s">
        <v>1820</v>
      </c>
      <c r="E89" s="436" t="s">
        <v>1857</v>
      </c>
      <c r="F89" s="436" t="s">
        <v>1826</v>
      </c>
    </row>
    <row r="90" spans="1:6" ht="30" x14ac:dyDescent="0.25">
      <c r="A90" s="436" t="s">
        <v>1858</v>
      </c>
      <c r="B90" s="436" t="s">
        <v>1820</v>
      </c>
      <c r="C90" s="436" t="s">
        <v>1856</v>
      </c>
      <c r="D90" s="436" t="s">
        <v>1820</v>
      </c>
      <c r="E90" s="436" t="s">
        <v>1857</v>
      </c>
      <c r="F90" s="436" t="s">
        <v>1826</v>
      </c>
    </row>
    <row r="91" spans="1:6" ht="30" x14ac:dyDescent="0.25">
      <c r="A91" s="436" t="s">
        <v>1859</v>
      </c>
      <c r="B91" s="436" t="s">
        <v>1820</v>
      </c>
      <c r="C91" s="436" t="s">
        <v>1860</v>
      </c>
      <c r="D91" s="436" t="s">
        <v>1820</v>
      </c>
      <c r="E91" s="436" t="s">
        <v>1861</v>
      </c>
      <c r="F91" s="436" t="s">
        <v>1826</v>
      </c>
    </row>
    <row r="92" spans="1:6" ht="30" x14ac:dyDescent="0.25">
      <c r="A92" s="436" t="s">
        <v>1862</v>
      </c>
      <c r="B92" s="436" t="s">
        <v>1820</v>
      </c>
      <c r="C92" s="436" t="s">
        <v>1860</v>
      </c>
      <c r="D92" s="436" t="s">
        <v>1820</v>
      </c>
      <c r="E92" s="436" t="s">
        <v>1861</v>
      </c>
      <c r="F92" s="436" t="s">
        <v>1863</v>
      </c>
    </row>
    <row r="93" spans="1:6" ht="30" x14ac:dyDescent="0.25">
      <c r="A93" s="436" t="s">
        <v>1864</v>
      </c>
      <c r="B93" s="436" t="s">
        <v>1820</v>
      </c>
      <c r="C93" s="436" t="s">
        <v>1865</v>
      </c>
      <c r="D93" s="436" t="s">
        <v>1820</v>
      </c>
      <c r="E93" s="436" t="s">
        <v>1866</v>
      </c>
      <c r="F93" s="436" t="s">
        <v>1849</v>
      </c>
    </row>
    <row r="94" spans="1:6" ht="30" x14ac:dyDescent="0.25">
      <c r="A94" s="436" t="s">
        <v>1867</v>
      </c>
      <c r="B94" s="436" t="s">
        <v>1820</v>
      </c>
      <c r="C94" s="436" t="s">
        <v>1865</v>
      </c>
      <c r="D94" s="436" t="s">
        <v>1820</v>
      </c>
      <c r="E94" s="436" t="s">
        <v>1866</v>
      </c>
      <c r="F94" s="436" t="s">
        <v>1849</v>
      </c>
    </row>
    <row r="95" spans="1:6" ht="30" x14ac:dyDescent="0.25">
      <c r="A95" s="436" t="s">
        <v>1868</v>
      </c>
      <c r="B95" s="436" t="s">
        <v>1820</v>
      </c>
      <c r="C95" s="436" t="s">
        <v>1865</v>
      </c>
      <c r="D95" s="436" t="s">
        <v>1820</v>
      </c>
      <c r="E95" s="436" t="s">
        <v>1866</v>
      </c>
      <c r="F95" s="436" t="s">
        <v>1849</v>
      </c>
    </row>
    <row r="96" spans="1:6" x14ac:dyDescent="0.25">
      <c r="A96" s="436" t="s">
        <v>1869</v>
      </c>
      <c r="B96" s="436" t="s">
        <v>1820</v>
      </c>
      <c r="C96" s="436" t="s">
        <v>1870</v>
      </c>
      <c r="D96" s="436" t="s">
        <v>1820</v>
      </c>
      <c r="E96" s="436" t="s">
        <v>1871</v>
      </c>
      <c r="F96" s="436" t="s">
        <v>1872</v>
      </c>
    </row>
    <row r="97" spans="1:6" x14ac:dyDescent="0.25">
      <c r="A97" s="436" t="s">
        <v>1873</v>
      </c>
      <c r="B97" s="436" t="s">
        <v>1820</v>
      </c>
      <c r="C97" s="436" t="s">
        <v>1870</v>
      </c>
      <c r="D97" s="436" t="s">
        <v>1820</v>
      </c>
      <c r="E97" s="436" t="s">
        <v>1871</v>
      </c>
      <c r="F97" s="436" t="s">
        <v>1872</v>
      </c>
    </row>
    <row r="98" spans="1:6" x14ac:dyDescent="0.25">
      <c r="A98" s="436" t="s">
        <v>1874</v>
      </c>
      <c r="B98" s="436" t="s">
        <v>1820</v>
      </c>
      <c r="C98" s="436" t="s">
        <v>1875</v>
      </c>
      <c r="D98" s="436" t="s">
        <v>1820</v>
      </c>
      <c r="E98" s="436" t="s">
        <v>1876</v>
      </c>
      <c r="F98" s="436" t="s">
        <v>1872</v>
      </c>
    </row>
    <row r="99" spans="1:6" ht="45" x14ac:dyDescent="0.25">
      <c r="A99" s="436" t="s">
        <v>1877</v>
      </c>
      <c r="B99" s="436" t="s">
        <v>1820</v>
      </c>
      <c r="C99" s="436" t="s">
        <v>1875</v>
      </c>
      <c r="D99" s="436" t="s">
        <v>1820</v>
      </c>
      <c r="E99" s="436" t="s">
        <v>1876</v>
      </c>
      <c r="F99" s="436" t="s">
        <v>1872</v>
      </c>
    </row>
    <row r="100" spans="1:6" ht="30" x14ac:dyDescent="0.25">
      <c r="A100" s="436" t="s">
        <v>1878</v>
      </c>
      <c r="B100" s="436" t="s">
        <v>1820</v>
      </c>
      <c r="C100" s="436" t="s">
        <v>1875</v>
      </c>
      <c r="D100" s="436" t="s">
        <v>1820</v>
      </c>
      <c r="E100" s="436" t="s">
        <v>1876</v>
      </c>
      <c r="F100" s="436" t="s">
        <v>1872</v>
      </c>
    </row>
    <row r="101" spans="1:6" ht="30" x14ac:dyDescent="0.25">
      <c r="A101" s="436" t="s">
        <v>1879</v>
      </c>
      <c r="B101" s="436" t="s">
        <v>1820</v>
      </c>
      <c r="C101" s="436" t="s">
        <v>1875</v>
      </c>
      <c r="D101" s="436" t="s">
        <v>1820</v>
      </c>
      <c r="E101" s="436" t="s">
        <v>1876</v>
      </c>
      <c r="F101" s="436" t="s">
        <v>1872</v>
      </c>
    </row>
    <row r="102" spans="1:6" ht="30" x14ac:dyDescent="0.25">
      <c r="A102" s="436" t="s">
        <v>1880</v>
      </c>
      <c r="B102" s="436" t="s">
        <v>1820</v>
      </c>
      <c r="C102" s="436" t="s">
        <v>1875</v>
      </c>
      <c r="D102" s="436" t="s">
        <v>1820</v>
      </c>
      <c r="E102" s="436" t="s">
        <v>1876</v>
      </c>
      <c r="F102" s="436" t="s">
        <v>1872</v>
      </c>
    </row>
    <row r="103" spans="1:6" ht="30" x14ac:dyDescent="0.25">
      <c r="A103" s="436" t="s">
        <v>1880</v>
      </c>
      <c r="B103" s="436" t="s">
        <v>1820</v>
      </c>
      <c r="C103" s="436" t="s">
        <v>1881</v>
      </c>
      <c r="D103" s="436" t="s">
        <v>1820</v>
      </c>
      <c r="E103" s="436" t="s">
        <v>1882</v>
      </c>
      <c r="F103" s="436" t="s">
        <v>1872</v>
      </c>
    </row>
    <row r="104" spans="1:6" ht="30" x14ac:dyDescent="0.25">
      <c r="A104" s="436" t="s">
        <v>1883</v>
      </c>
      <c r="B104" s="436" t="s">
        <v>1820</v>
      </c>
      <c r="C104" s="436" t="s">
        <v>1884</v>
      </c>
      <c r="D104" s="436" t="s">
        <v>1820</v>
      </c>
      <c r="E104" s="436" t="s">
        <v>1885</v>
      </c>
      <c r="F104" s="436" t="s">
        <v>1872</v>
      </c>
    </row>
    <row r="105" spans="1:6" ht="30" x14ac:dyDescent="0.25">
      <c r="A105" s="436" t="s">
        <v>1886</v>
      </c>
      <c r="B105" s="436" t="s">
        <v>1820</v>
      </c>
      <c r="C105" s="436" t="s">
        <v>1887</v>
      </c>
      <c r="D105" s="436" t="s">
        <v>1820</v>
      </c>
      <c r="E105" s="436" t="s">
        <v>1888</v>
      </c>
      <c r="F105" s="436" t="s">
        <v>1889</v>
      </c>
    </row>
    <row r="106" spans="1:6" ht="30" x14ac:dyDescent="0.25">
      <c r="A106" s="436" t="s">
        <v>1890</v>
      </c>
      <c r="B106" s="436" t="s">
        <v>1820</v>
      </c>
      <c r="C106" s="436" t="s">
        <v>1887</v>
      </c>
      <c r="D106" s="436" t="s">
        <v>1820</v>
      </c>
      <c r="E106" s="436" t="s">
        <v>1888</v>
      </c>
      <c r="F106" s="436" t="s">
        <v>1889</v>
      </c>
    </row>
    <row r="107" spans="1:6" ht="30" x14ac:dyDescent="0.25">
      <c r="A107" s="436" t="s">
        <v>1891</v>
      </c>
      <c r="B107" s="436" t="s">
        <v>1820</v>
      </c>
      <c r="C107" s="436" t="s">
        <v>1892</v>
      </c>
      <c r="D107" s="436" t="s">
        <v>1820</v>
      </c>
      <c r="E107" s="436" t="s">
        <v>1893</v>
      </c>
      <c r="F107" s="436" t="s">
        <v>1894</v>
      </c>
    </row>
    <row r="108" spans="1:6" ht="30" x14ac:dyDescent="0.25">
      <c r="A108" s="436" t="s">
        <v>1891</v>
      </c>
      <c r="B108" s="436" t="s">
        <v>1820</v>
      </c>
      <c r="C108" s="436" t="s">
        <v>1895</v>
      </c>
      <c r="D108" s="436" t="s">
        <v>1820</v>
      </c>
      <c r="E108" s="436" t="s">
        <v>1896</v>
      </c>
      <c r="F108" s="436" t="s">
        <v>1894</v>
      </c>
    </row>
    <row r="109" spans="1:6" ht="30" x14ac:dyDescent="0.25">
      <c r="A109" s="436" t="s">
        <v>1897</v>
      </c>
      <c r="B109" s="436" t="s">
        <v>1820</v>
      </c>
      <c r="C109" s="436" t="s">
        <v>1892</v>
      </c>
      <c r="D109" s="436" t="s">
        <v>1820</v>
      </c>
      <c r="E109" s="436" t="s">
        <v>1893</v>
      </c>
      <c r="F109" s="436" t="s">
        <v>1894</v>
      </c>
    </row>
    <row r="110" spans="1:6" x14ac:dyDescent="0.25">
      <c r="A110" s="436" t="s">
        <v>1897</v>
      </c>
      <c r="B110" s="436" t="s">
        <v>1820</v>
      </c>
      <c r="C110" s="436" t="s">
        <v>1895</v>
      </c>
      <c r="D110" s="436" t="s">
        <v>1820</v>
      </c>
      <c r="E110" s="436" t="s">
        <v>1896</v>
      </c>
      <c r="F110" s="436" t="s">
        <v>1894</v>
      </c>
    </row>
    <row r="111" spans="1:6" ht="45" x14ac:dyDescent="0.25">
      <c r="A111" s="436" t="s">
        <v>1898</v>
      </c>
      <c r="B111" s="436" t="s">
        <v>1820</v>
      </c>
      <c r="C111" s="436" t="s">
        <v>1899</v>
      </c>
      <c r="D111" s="436" t="s">
        <v>1900</v>
      </c>
      <c r="E111" s="436" t="s">
        <v>1901</v>
      </c>
      <c r="F111" s="436" t="s">
        <v>1889</v>
      </c>
    </row>
    <row r="112" spans="1:6" ht="30" x14ac:dyDescent="0.25">
      <c r="A112" s="436" t="s">
        <v>1902</v>
      </c>
      <c r="B112" s="436" t="s">
        <v>1820</v>
      </c>
      <c r="C112" s="436" t="s">
        <v>1892</v>
      </c>
      <c r="D112" s="436" t="s">
        <v>1820</v>
      </c>
      <c r="E112" s="436" t="s">
        <v>1893</v>
      </c>
      <c r="F112" s="436" t="s">
        <v>1894</v>
      </c>
    </row>
    <row r="113" spans="1:6" ht="30" x14ac:dyDescent="0.25">
      <c r="A113" s="436" t="s">
        <v>1902</v>
      </c>
      <c r="B113" s="436" t="s">
        <v>1820</v>
      </c>
      <c r="C113" s="436" t="s">
        <v>1903</v>
      </c>
      <c r="D113" s="436" t="s">
        <v>1900</v>
      </c>
      <c r="E113" s="436" t="s">
        <v>1904</v>
      </c>
      <c r="F113" s="436" t="s">
        <v>1894</v>
      </c>
    </row>
    <row r="114" spans="1:6" ht="30" x14ac:dyDescent="0.25">
      <c r="A114" s="436" t="s">
        <v>1902</v>
      </c>
      <c r="B114" s="436" t="s">
        <v>1820</v>
      </c>
      <c r="C114" s="436" t="s">
        <v>1905</v>
      </c>
      <c r="D114" s="436" t="s">
        <v>1900</v>
      </c>
      <c r="E114" s="436" t="s">
        <v>1906</v>
      </c>
      <c r="F114" s="436" t="s">
        <v>1907</v>
      </c>
    </row>
    <row r="115" spans="1:6" x14ac:dyDescent="0.25">
      <c r="A115" s="436" t="s">
        <v>1908</v>
      </c>
      <c r="B115" s="436" t="s">
        <v>1820</v>
      </c>
      <c r="C115" s="436" t="s">
        <v>1909</v>
      </c>
      <c r="D115" s="436" t="s">
        <v>1820</v>
      </c>
      <c r="E115" s="436" t="s">
        <v>1910</v>
      </c>
      <c r="F115" s="436" t="s">
        <v>1894</v>
      </c>
    </row>
    <row r="116" spans="1:6" ht="30" x14ac:dyDescent="0.25">
      <c r="A116" s="436" t="s">
        <v>1911</v>
      </c>
      <c r="B116" s="436" t="s">
        <v>1820</v>
      </c>
      <c r="C116" s="436" t="s">
        <v>1912</v>
      </c>
      <c r="D116" s="436" t="s">
        <v>1820</v>
      </c>
      <c r="E116" s="436" t="s">
        <v>1913</v>
      </c>
      <c r="F116" s="436" t="s">
        <v>1914</v>
      </c>
    </row>
    <row r="117" spans="1:6" ht="30" x14ac:dyDescent="0.25">
      <c r="A117" s="436" t="s">
        <v>1915</v>
      </c>
      <c r="B117" s="436" t="s">
        <v>1820</v>
      </c>
      <c r="C117" s="436" t="s">
        <v>1912</v>
      </c>
      <c r="D117" s="436" t="s">
        <v>1820</v>
      </c>
      <c r="E117" s="436" t="s">
        <v>1913</v>
      </c>
      <c r="F117" s="436" t="s">
        <v>1822</v>
      </c>
    </row>
    <row r="118" spans="1:6" x14ac:dyDescent="0.25">
      <c r="A118" s="436" t="s">
        <v>1916</v>
      </c>
      <c r="B118" s="436" t="s">
        <v>1820</v>
      </c>
      <c r="C118" s="436" t="s">
        <v>1917</v>
      </c>
      <c r="D118" s="436" t="s">
        <v>1820</v>
      </c>
      <c r="E118" s="436" t="s">
        <v>1918</v>
      </c>
      <c r="F118" s="436" t="s">
        <v>1919</v>
      </c>
    </row>
    <row r="119" spans="1:6" x14ac:dyDescent="0.25">
      <c r="A119" s="436" t="s">
        <v>1920</v>
      </c>
      <c r="B119" s="436" t="s">
        <v>1820</v>
      </c>
      <c r="C119" s="436" t="s">
        <v>1917</v>
      </c>
      <c r="D119" s="436" t="s">
        <v>1820</v>
      </c>
      <c r="E119" s="436" t="s">
        <v>1918</v>
      </c>
      <c r="F119" s="436" t="s">
        <v>1919</v>
      </c>
    </row>
    <row r="120" spans="1:6" ht="30" x14ac:dyDescent="0.25">
      <c r="A120" s="436" t="s">
        <v>1921</v>
      </c>
      <c r="B120" s="436" t="s">
        <v>1820</v>
      </c>
      <c r="C120" s="436" t="s">
        <v>1839</v>
      </c>
      <c r="D120" s="436" t="s">
        <v>1820</v>
      </c>
      <c r="E120" s="436" t="s">
        <v>1840</v>
      </c>
      <c r="F120" s="436" t="s">
        <v>1836</v>
      </c>
    </row>
    <row r="121" spans="1:6" ht="45" x14ac:dyDescent="0.25">
      <c r="A121" s="436" t="s">
        <v>1922</v>
      </c>
      <c r="B121" s="436" t="s">
        <v>1820</v>
      </c>
      <c r="C121" s="436" t="s">
        <v>1839</v>
      </c>
      <c r="D121" s="436" t="s">
        <v>1820</v>
      </c>
      <c r="E121" s="436" t="s">
        <v>1840</v>
      </c>
      <c r="F121" s="436" t="s">
        <v>1836</v>
      </c>
    </row>
    <row r="122" spans="1:6" x14ac:dyDescent="0.25">
      <c r="A122" s="436" t="s">
        <v>1923</v>
      </c>
      <c r="B122" s="436" t="s">
        <v>1820</v>
      </c>
      <c r="C122" s="436" t="s">
        <v>1924</v>
      </c>
      <c r="D122" s="436" t="s">
        <v>1820</v>
      </c>
      <c r="E122" s="436" t="s">
        <v>1925</v>
      </c>
      <c r="F122" s="436" t="s">
        <v>1926</v>
      </c>
    </row>
    <row r="123" spans="1:6" ht="30" x14ac:dyDescent="0.25">
      <c r="A123" s="436" t="s">
        <v>1927</v>
      </c>
      <c r="B123" s="436" t="s">
        <v>1820</v>
      </c>
      <c r="C123" s="436" t="s">
        <v>1924</v>
      </c>
      <c r="D123" s="436" t="s">
        <v>1820</v>
      </c>
      <c r="E123" s="436" t="s">
        <v>1925</v>
      </c>
      <c r="F123" s="436" t="s">
        <v>1926</v>
      </c>
    </row>
    <row r="124" spans="1:6" ht="60" x14ac:dyDescent="0.25">
      <c r="A124" s="436" t="s">
        <v>1928</v>
      </c>
      <c r="B124" s="436" t="s">
        <v>1820</v>
      </c>
      <c r="C124" s="436" t="s">
        <v>1929</v>
      </c>
      <c r="D124" s="436" t="s">
        <v>1820</v>
      </c>
      <c r="E124" s="436" t="s">
        <v>1930</v>
      </c>
      <c r="F124" s="436" t="s">
        <v>1926</v>
      </c>
    </row>
    <row r="125" spans="1:6" ht="30" x14ac:dyDescent="0.25">
      <c r="A125" s="436" t="s">
        <v>1931</v>
      </c>
      <c r="B125" s="436" t="s">
        <v>1820</v>
      </c>
      <c r="C125" s="436" t="s">
        <v>1932</v>
      </c>
      <c r="D125" s="436" t="s">
        <v>1820</v>
      </c>
      <c r="E125" s="436" t="s">
        <v>1933</v>
      </c>
      <c r="F125" s="436" t="s">
        <v>1926</v>
      </c>
    </row>
    <row r="126" spans="1:6" ht="30" x14ac:dyDescent="0.25">
      <c r="A126" s="436" t="s">
        <v>1934</v>
      </c>
      <c r="B126" s="436" t="s">
        <v>1820</v>
      </c>
      <c r="C126" s="436" t="s">
        <v>1935</v>
      </c>
      <c r="D126" s="436" t="s">
        <v>1820</v>
      </c>
      <c r="E126" s="436" t="s">
        <v>1936</v>
      </c>
      <c r="F126" s="436" t="s">
        <v>1937</v>
      </c>
    </row>
    <row r="127" spans="1:6" ht="30" x14ac:dyDescent="0.25">
      <c r="A127" s="436" t="s">
        <v>1938</v>
      </c>
      <c r="B127" s="436" t="s">
        <v>1820</v>
      </c>
      <c r="C127" s="436" t="s">
        <v>1939</v>
      </c>
      <c r="D127" s="436" t="s">
        <v>1820</v>
      </c>
      <c r="E127" s="436" t="s">
        <v>1940</v>
      </c>
      <c r="F127" s="436" t="s">
        <v>1826</v>
      </c>
    </row>
    <row r="128" spans="1:6" ht="30" x14ac:dyDescent="0.25">
      <c r="C128" s="436" t="s">
        <v>1939</v>
      </c>
      <c r="D128" s="436" t="s">
        <v>1820</v>
      </c>
      <c r="E128" s="436" t="s">
        <v>1827</v>
      </c>
      <c r="F128" s="436" t="s">
        <v>1826</v>
      </c>
    </row>
    <row r="129" spans="1:6" ht="30" x14ac:dyDescent="0.25">
      <c r="A129" s="436" t="s">
        <v>1938</v>
      </c>
      <c r="B129" s="436" t="s">
        <v>1820</v>
      </c>
      <c r="C129" s="436" t="s">
        <v>1941</v>
      </c>
      <c r="D129" s="436" t="s">
        <v>1820</v>
      </c>
      <c r="E129" s="436" t="s">
        <v>1942</v>
      </c>
      <c r="F129" s="436" t="s">
        <v>1826</v>
      </c>
    </row>
    <row r="130" spans="1:6" ht="30" x14ac:dyDescent="0.25">
      <c r="C130" s="436" t="s">
        <v>1941</v>
      </c>
      <c r="D130" s="436" t="s">
        <v>1820</v>
      </c>
      <c r="E130" s="436" t="s">
        <v>1827</v>
      </c>
      <c r="F130" s="436" t="s">
        <v>1826</v>
      </c>
    </row>
    <row r="131" spans="1:6" ht="30" x14ac:dyDescent="0.25">
      <c r="A131" s="436" t="s">
        <v>1943</v>
      </c>
      <c r="B131" s="436" t="s">
        <v>1820</v>
      </c>
      <c r="C131" s="436" t="s">
        <v>1939</v>
      </c>
      <c r="D131" s="436" t="s">
        <v>1820</v>
      </c>
      <c r="E131" s="436" t="s">
        <v>1940</v>
      </c>
      <c r="F131" s="436" t="s">
        <v>1826</v>
      </c>
    </row>
    <row r="132" spans="1:6" ht="30" x14ac:dyDescent="0.25">
      <c r="C132" s="436" t="s">
        <v>1939</v>
      </c>
      <c r="D132" s="436" t="s">
        <v>1820</v>
      </c>
      <c r="E132" s="436" t="s">
        <v>1827</v>
      </c>
      <c r="F132" s="436" t="s">
        <v>1826</v>
      </c>
    </row>
    <row r="133" spans="1:6" ht="30" x14ac:dyDescent="0.25">
      <c r="A133" s="436" t="s">
        <v>1943</v>
      </c>
      <c r="B133" s="436" t="s">
        <v>1820</v>
      </c>
      <c r="C133" s="436" t="s">
        <v>1941</v>
      </c>
      <c r="D133" s="436" t="s">
        <v>1820</v>
      </c>
      <c r="E133" s="436" t="s">
        <v>1942</v>
      </c>
      <c r="F133" s="436" t="s">
        <v>1826</v>
      </c>
    </row>
    <row r="134" spans="1:6" ht="30" x14ac:dyDescent="0.25">
      <c r="C134" s="436" t="s">
        <v>1941</v>
      </c>
      <c r="D134" s="436" t="s">
        <v>1820</v>
      </c>
      <c r="E134" s="436" t="s">
        <v>1827</v>
      </c>
      <c r="F134" s="436" t="s">
        <v>1826</v>
      </c>
    </row>
    <row r="135" spans="1:6" x14ac:dyDescent="0.25">
      <c r="A135" s="436" t="s">
        <v>1944</v>
      </c>
      <c r="B135" s="436" t="s">
        <v>1820</v>
      </c>
      <c r="C135" s="436" t="s">
        <v>1945</v>
      </c>
      <c r="D135" s="436" t="s">
        <v>1946</v>
      </c>
      <c r="E135" s="436" t="s">
        <v>1947</v>
      </c>
      <c r="F135" s="436" t="s">
        <v>1948</v>
      </c>
    </row>
    <row r="136" spans="1:6" ht="30" x14ac:dyDescent="0.25">
      <c r="A136" s="436" t="s">
        <v>1944</v>
      </c>
      <c r="B136" s="436" t="s">
        <v>1820</v>
      </c>
      <c r="C136" s="436" t="s">
        <v>1853</v>
      </c>
      <c r="D136" s="436" t="s">
        <v>1820</v>
      </c>
      <c r="E136" s="436" t="s">
        <v>1854</v>
      </c>
      <c r="F136" s="436" t="s">
        <v>1849</v>
      </c>
    </row>
    <row r="137" spans="1:6" ht="30" x14ac:dyDescent="0.25">
      <c r="C137" s="436" t="s">
        <v>1853</v>
      </c>
      <c r="D137" s="436" t="s">
        <v>1820</v>
      </c>
      <c r="E137" s="436" t="s">
        <v>1827</v>
      </c>
      <c r="F137" s="436" t="s">
        <v>1826</v>
      </c>
    </row>
    <row r="138" spans="1:6" ht="30" x14ac:dyDescent="0.25">
      <c r="C138" s="436" t="s">
        <v>1949</v>
      </c>
      <c r="D138" s="436" t="s">
        <v>1820</v>
      </c>
      <c r="E138" s="436" t="s">
        <v>1950</v>
      </c>
      <c r="F138" s="436" t="s">
        <v>1836</v>
      </c>
    </row>
    <row r="139" spans="1:6" ht="30" x14ac:dyDescent="0.25">
      <c r="C139" s="436" t="s">
        <v>1951</v>
      </c>
      <c r="D139" s="436" t="s">
        <v>1820</v>
      </c>
      <c r="E139" s="436" t="s">
        <v>1952</v>
      </c>
      <c r="F139" s="436" t="s">
        <v>1849</v>
      </c>
    </row>
    <row r="140" spans="1:6" x14ac:dyDescent="0.25">
      <c r="A140" s="436" t="s">
        <v>1953</v>
      </c>
      <c r="B140" s="436" t="s">
        <v>1954</v>
      </c>
      <c r="C140" s="436" t="s">
        <v>1955</v>
      </c>
      <c r="D140" s="436" t="s">
        <v>1954</v>
      </c>
      <c r="E140" s="436" t="s">
        <v>1956</v>
      </c>
      <c r="F140" s="436" t="s">
        <v>1957</v>
      </c>
    </row>
    <row r="141" spans="1:6" x14ac:dyDescent="0.25">
      <c r="A141" s="436" t="s">
        <v>1958</v>
      </c>
      <c r="B141" s="436" t="s">
        <v>1954</v>
      </c>
      <c r="C141" s="436" t="s">
        <v>1955</v>
      </c>
      <c r="D141" s="436" t="s">
        <v>1954</v>
      </c>
      <c r="E141" s="436" t="s">
        <v>1959</v>
      </c>
      <c r="F141" s="436" t="s">
        <v>1957</v>
      </c>
    </row>
    <row r="142" spans="1:6" ht="30" x14ac:dyDescent="0.25">
      <c r="A142" s="436" t="s">
        <v>1960</v>
      </c>
      <c r="B142" s="436" t="s">
        <v>1954</v>
      </c>
      <c r="C142" s="436" t="s">
        <v>1961</v>
      </c>
      <c r="D142" s="436" t="s">
        <v>1954</v>
      </c>
      <c r="E142" s="436" t="s">
        <v>1962</v>
      </c>
      <c r="F142" s="436" t="s">
        <v>1957</v>
      </c>
    </row>
    <row r="143" spans="1:6" x14ac:dyDescent="0.25">
      <c r="A143" s="436" t="s">
        <v>1963</v>
      </c>
      <c r="B143" s="436" t="s">
        <v>1954</v>
      </c>
      <c r="C143" s="436" t="s">
        <v>1964</v>
      </c>
      <c r="D143" s="436" t="s">
        <v>1954</v>
      </c>
      <c r="E143" s="436" t="s">
        <v>1965</v>
      </c>
      <c r="F143" s="436" t="s">
        <v>1957</v>
      </c>
    </row>
    <row r="144" spans="1:6" x14ac:dyDescent="0.25">
      <c r="A144" s="436" t="s">
        <v>1966</v>
      </c>
      <c r="B144" s="436" t="s">
        <v>1954</v>
      </c>
      <c r="C144" s="436" t="s">
        <v>1964</v>
      </c>
      <c r="D144" s="436" t="s">
        <v>1954</v>
      </c>
      <c r="E144" s="436" t="s">
        <v>1965</v>
      </c>
      <c r="F144" s="436" t="s">
        <v>1957</v>
      </c>
    </row>
    <row r="145" spans="1:6" x14ac:dyDescent="0.25">
      <c r="A145" s="436" t="s">
        <v>1967</v>
      </c>
      <c r="B145" s="436" t="s">
        <v>1954</v>
      </c>
      <c r="C145" s="436" t="s">
        <v>1968</v>
      </c>
      <c r="D145" s="436" t="s">
        <v>1820</v>
      </c>
      <c r="E145" s="436" t="s">
        <v>1969</v>
      </c>
      <c r="F145" s="436" t="s">
        <v>1831</v>
      </c>
    </row>
    <row r="146" spans="1:6" ht="30" x14ac:dyDescent="0.25">
      <c r="A146" s="436" t="s">
        <v>1970</v>
      </c>
      <c r="B146" s="436" t="s">
        <v>1971</v>
      </c>
      <c r="C146" s="436" t="s">
        <v>1972</v>
      </c>
      <c r="D146" s="436" t="s">
        <v>1971</v>
      </c>
      <c r="E146" s="436" t="s">
        <v>1973</v>
      </c>
      <c r="F146" s="436" t="s">
        <v>1974</v>
      </c>
    </row>
    <row r="147" spans="1:6" ht="45" x14ac:dyDescent="0.25">
      <c r="A147" s="436" t="s">
        <v>1970</v>
      </c>
      <c r="B147" s="436" t="s">
        <v>1971</v>
      </c>
      <c r="C147" s="436" t="s">
        <v>1975</v>
      </c>
      <c r="D147" s="436" t="s">
        <v>1971</v>
      </c>
      <c r="E147" s="436" t="s">
        <v>1976</v>
      </c>
      <c r="F147" s="436" t="s">
        <v>1974</v>
      </c>
    </row>
    <row r="148" spans="1:6" ht="30" x14ac:dyDescent="0.25">
      <c r="A148" s="436" t="s">
        <v>1977</v>
      </c>
      <c r="B148" s="436" t="s">
        <v>1971</v>
      </c>
      <c r="C148" s="436" t="s">
        <v>1972</v>
      </c>
      <c r="D148" s="436" t="s">
        <v>1971</v>
      </c>
      <c r="E148" s="436" t="s">
        <v>1973</v>
      </c>
      <c r="F148" s="436" t="s">
        <v>1974</v>
      </c>
    </row>
    <row r="149" spans="1:6" ht="45" x14ac:dyDescent="0.25">
      <c r="A149" s="436" t="s">
        <v>1977</v>
      </c>
      <c r="B149" s="436" t="s">
        <v>1971</v>
      </c>
      <c r="C149" s="436" t="s">
        <v>1975</v>
      </c>
      <c r="D149" s="436" t="s">
        <v>1971</v>
      </c>
      <c r="E149" s="436" t="s">
        <v>1978</v>
      </c>
      <c r="F149" s="436" t="s">
        <v>1974</v>
      </c>
    </row>
    <row r="150" spans="1:6" ht="30" x14ac:dyDescent="0.25">
      <c r="A150" s="436" t="s">
        <v>1979</v>
      </c>
      <c r="B150" s="436" t="s">
        <v>1971</v>
      </c>
      <c r="C150" s="436" t="s">
        <v>1972</v>
      </c>
      <c r="D150" s="436" t="s">
        <v>1971</v>
      </c>
      <c r="E150" s="436" t="s">
        <v>1973</v>
      </c>
      <c r="F150" s="436" t="s">
        <v>1974</v>
      </c>
    </row>
    <row r="151" spans="1:6" ht="45" x14ac:dyDescent="0.25">
      <c r="A151" s="436" t="s">
        <v>1979</v>
      </c>
      <c r="B151" s="436" t="s">
        <v>1971</v>
      </c>
      <c r="C151" s="436" t="s">
        <v>1975</v>
      </c>
      <c r="D151" s="436" t="s">
        <v>1971</v>
      </c>
      <c r="E151" s="436" t="s">
        <v>1980</v>
      </c>
      <c r="F151" s="436" t="s">
        <v>1974</v>
      </c>
    </row>
    <row r="152" spans="1:6" ht="30" x14ac:dyDescent="0.25">
      <c r="A152" s="436" t="s">
        <v>1981</v>
      </c>
      <c r="B152" s="436" t="s">
        <v>1971</v>
      </c>
      <c r="C152" s="436" t="s">
        <v>1972</v>
      </c>
      <c r="D152" s="436" t="s">
        <v>1971</v>
      </c>
      <c r="E152" s="436" t="s">
        <v>1973</v>
      </c>
      <c r="F152" s="436" t="s">
        <v>1974</v>
      </c>
    </row>
    <row r="153" spans="1:6" ht="45" x14ac:dyDescent="0.25">
      <c r="A153" s="436" t="s">
        <v>1981</v>
      </c>
      <c r="B153" s="436" t="s">
        <v>1971</v>
      </c>
      <c r="C153" s="436" t="s">
        <v>1975</v>
      </c>
      <c r="D153" s="436" t="s">
        <v>1971</v>
      </c>
      <c r="E153" s="436" t="s">
        <v>1978</v>
      </c>
      <c r="F153" s="436" t="s">
        <v>1974</v>
      </c>
    </row>
    <row r="154" spans="1:6" ht="30" x14ac:dyDescent="0.25">
      <c r="A154" s="436" t="s">
        <v>1982</v>
      </c>
      <c r="B154" s="436" t="s">
        <v>1971</v>
      </c>
      <c r="C154" s="436" t="s">
        <v>1972</v>
      </c>
      <c r="D154" s="436" t="s">
        <v>1971</v>
      </c>
      <c r="E154" s="436" t="s">
        <v>1973</v>
      </c>
      <c r="F154" s="436" t="s">
        <v>1974</v>
      </c>
    </row>
    <row r="155" spans="1:6" ht="45" x14ac:dyDescent="0.25">
      <c r="A155" s="436" t="s">
        <v>1982</v>
      </c>
      <c r="B155" s="436" t="s">
        <v>1971</v>
      </c>
      <c r="C155" s="436" t="s">
        <v>1975</v>
      </c>
      <c r="D155" s="436" t="s">
        <v>1971</v>
      </c>
      <c r="E155" s="436" t="s">
        <v>1978</v>
      </c>
      <c r="F155" s="436" t="s">
        <v>1974</v>
      </c>
    </row>
    <row r="156" spans="1:6" ht="30" x14ac:dyDescent="0.25">
      <c r="A156" s="436" t="s">
        <v>1983</v>
      </c>
      <c r="B156" s="436" t="s">
        <v>1971</v>
      </c>
      <c r="C156" s="436" t="s">
        <v>1972</v>
      </c>
      <c r="D156" s="436" t="s">
        <v>1971</v>
      </c>
      <c r="E156" s="436" t="s">
        <v>1973</v>
      </c>
      <c r="F156" s="436" t="s">
        <v>1974</v>
      </c>
    </row>
    <row r="157" spans="1:6" ht="45" x14ac:dyDescent="0.25">
      <c r="A157" s="436" t="s">
        <v>1983</v>
      </c>
      <c r="B157" s="436" t="s">
        <v>1971</v>
      </c>
      <c r="C157" s="436" t="s">
        <v>1975</v>
      </c>
      <c r="D157" s="436" t="s">
        <v>1971</v>
      </c>
      <c r="E157" s="436" t="s">
        <v>1978</v>
      </c>
      <c r="F157" s="436" t="s">
        <v>1974</v>
      </c>
    </row>
    <row r="158" spans="1:6" ht="30" x14ac:dyDescent="0.25">
      <c r="A158" s="436" t="s">
        <v>1984</v>
      </c>
      <c r="B158" s="436" t="s">
        <v>1971</v>
      </c>
      <c r="C158" s="436" t="s">
        <v>1972</v>
      </c>
      <c r="D158" s="436" t="s">
        <v>1971</v>
      </c>
      <c r="E158" s="436" t="s">
        <v>1973</v>
      </c>
      <c r="F158" s="436" t="s">
        <v>1974</v>
      </c>
    </row>
    <row r="159" spans="1:6" ht="45" x14ac:dyDescent="0.25">
      <c r="A159" s="436" t="s">
        <v>1984</v>
      </c>
      <c r="B159" s="436" t="s">
        <v>1971</v>
      </c>
      <c r="C159" s="436" t="s">
        <v>1975</v>
      </c>
      <c r="D159" s="436" t="s">
        <v>1971</v>
      </c>
      <c r="E159" s="436" t="s">
        <v>1978</v>
      </c>
      <c r="F159" s="436" t="s">
        <v>1974</v>
      </c>
    </row>
    <row r="160" spans="1:6" ht="30" x14ac:dyDescent="0.25">
      <c r="A160" s="436" t="s">
        <v>1985</v>
      </c>
      <c r="B160" s="436" t="s">
        <v>1971</v>
      </c>
      <c r="C160" s="436" t="s">
        <v>1986</v>
      </c>
      <c r="D160" s="436" t="s">
        <v>1987</v>
      </c>
      <c r="E160" s="436" t="s">
        <v>1973</v>
      </c>
      <c r="F160" s="436" t="s">
        <v>1974</v>
      </c>
    </row>
    <row r="161" spans="1:6" ht="45" x14ac:dyDescent="0.25">
      <c r="A161" s="436" t="s">
        <v>1985</v>
      </c>
      <c r="B161" s="436" t="s">
        <v>1971</v>
      </c>
      <c r="C161" s="436" t="s">
        <v>1975</v>
      </c>
      <c r="D161" s="436" t="s">
        <v>1971</v>
      </c>
      <c r="E161" s="436" t="s">
        <v>1978</v>
      </c>
      <c r="F161" s="436" t="s">
        <v>1974</v>
      </c>
    </row>
    <row r="162" spans="1:6" ht="30" x14ac:dyDescent="0.25">
      <c r="A162" s="436" t="s">
        <v>1988</v>
      </c>
      <c r="B162" s="436" t="s">
        <v>1971</v>
      </c>
      <c r="C162" s="436" t="s">
        <v>1972</v>
      </c>
      <c r="D162" s="436" t="s">
        <v>1971</v>
      </c>
      <c r="E162" s="436" t="s">
        <v>1973</v>
      </c>
      <c r="F162" s="436" t="s">
        <v>1974</v>
      </c>
    </row>
    <row r="163" spans="1:6" ht="45" x14ac:dyDescent="0.25">
      <c r="A163" s="436" t="s">
        <v>1988</v>
      </c>
      <c r="B163" s="436" t="s">
        <v>1971</v>
      </c>
      <c r="C163" s="436" t="s">
        <v>1975</v>
      </c>
      <c r="D163" s="436" t="s">
        <v>1971</v>
      </c>
      <c r="E163" s="436" t="s">
        <v>1978</v>
      </c>
      <c r="F163" s="436" t="s">
        <v>1974</v>
      </c>
    </row>
    <row r="164" spans="1:6" ht="30" x14ac:dyDescent="0.25">
      <c r="A164" s="436" t="s">
        <v>1989</v>
      </c>
      <c r="B164" s="436" t="s">
        <v>1971</v>
      </c>
      <c r="C164" s="436" t="s">
        <v>1972</v>
      </c>
      <c r="D164" s="436" t="s">
        <v>1971</v>
      </c>
      <c r="E164" s="436" t="s">
        <v>1973</v>
      </c>
      <c r="F164" s="436" t="s">
        <v>1974</v>
      </c>
    </row>
    <row r="165" spans="1:6" ht="45" x14ac:dyDescent="0.25">
      <c r="A165" s="436" t="s">
        <v>1989</v>
      </c>
      <c r="B165" s="436" t="s">
        <v>1971</v>
      </c>
      <c r="C165" s="436" t="s">
        <v>1975</v>
      </c>
      <c r="D165" s="436" t="s">
        <v>1971</v>
      </c>
      <c r="E165" s="436" t="s">
        <v>1978</v>
      </c>
      <c r="F165" s="436" t="s">
        <v>1974</v>
      </c>
    </row>
    <row r="166" spans="1:6" ht="30" x14ac:dyDescent="0.25">
      <c r="A166" s="436" t="s">
        <v>1990</v>
      </c>
      <c r="B166" s="436" t="s">
        <v>1971</v>
      </c>
      <c r="C166" s="436" t="s">
        <v>1972</v>
      </c>
      <c r="D166" s="436" t="s">
        <v>1971</v>
      </c>
      <c r="E166" s="436" t="s">
        <v>1973</v>
      </c>
      <c r="F166" s="436" t="s">
        <v>1974</v>
      </c>
    </row>
    <row r="167" spans="1:6" ht="45" x14ac:dyDescent="0.25">
      <c r="A167" s="436" t="s">
        <v>1990</v>
      </c>
      <c r="B167" s="436" t="s">
        <v>1971</v>
      </c>
      <c r="C167" s="436" t="s">
        <v>1975</v>
      </c>
      <c r="D167" s="436" t="s">
        <v>1971</v>
      </c>
      <c r="E167" s="436" t="s">
        <v>1978</v>
      </c>
      <c r="F167" s="436" t="s">
        <v>1974</v>
      </c>
    </row>
    <row r="168" spans="1:6" ht="30" x14ac:dyDescent="0.25">
      <c r="A168" s="436" t="s">
        <v>1991</v>
      </c>
      <c r="B168" s="436" t="s">
        <v>1971</v>
      </c>
      <c r="C168" s="436" t="s">
        <v>1972</v>
      </c>
      <c r="D168" s="436" t="s">
        <v>1971</v>
      </c>
      <c r="E168" s="436" t="s">
        <v>1973</v>
      </c>
      <c r="F168" s="436" t="s">
        <v>1974</v>
      </c>
    </row>
    <row r="169" spans="1:6" ht="45" x14ac:dyDescent="0.25">
      <c r="A169" s="436" t="s">
        <v>1991</v>
      </c>
      <c r="B169" s="436" t="s">
        <v>1971</v>
      </c>
      <c r="C169" s="436" t="s">
        <v>1975</v>
      </c>
      <c r="D169" s="436" t="s">
        <v>1971</v>
      </c>
      <c r="E169" s="436" t="s">
        <v>1978</v>
      </c>
      <c r="F169" s="436" t="s">
        <v>1974</v>
      </c>
    </row>
    <row r="170" spans="1:6" ht="30" x14ac:dyDescent="0.25">
      <c r="A170" s="436" t="s">
        <v>1992</v>
      </c>
      <c r="B170" s="436" t="s">
        <v>1971</v>
      </c>
      <c r="C170" s="436" t="s">
        <v>1972</v>
      </c>
      <c r="D170" s="436" t="s">
        <v>1971</v>
      </c>
      <c r="E170" s="436" t="s">
        <v>1973</v>
      </c>
      <c r="F170" s="436" t="s">
        <v>1974</v>
      </c>
    </row>
    <row r="171" spans="1:6" ht="45" x14ac:dyDescent="0.25">
      <c r="A171" s="436" t="s">
        <v>1992</v>
      </c>
      <c r="B171" s="436" t="s">
        <v>1971</v>
      </c>
      <c r="C171" s="436" t="s">
        <v>1975</v>
      </c>
      <c r="D171" s="436" t="s">
        <v>1971</v>
      </c>
      <c r="E171" s="436" t="s">
        <v>1978</v>
      </c>
      <c r="F171" s="436" t="s">
        <v>1974</v>
      </c>
    </row>
    <row r="172" spans="1:6" ht="30" x14ac:dyDescent="0.25">
      <c r="A172" s="436" t="s">
        <v>1993</v>
      </c>
      <c r="B172" s="436" t="s">
        <v>1971</v>
      </c>
      <c r="C172" s="436" t="s">
        <v>1972</v>
      </c>
      <c r="D172" s="436" t="s">
        <v>1971</v>
      </c>
      <c r="E172" s="436" t="s">
        <v>1973</v>
      </c>
      <c r="F172" s="436" t="s">
        <v>1974</v>
      </c>
    </row>
    <row r="173" spans="1:6" ht="45" x14ac:dyDescent="0.25">
      <c r="A173" s="436" t="s">
        <v>1993</v>
      </c>
      <c r="B173" s="436" t="s">
        <v>1971</v>
      </c>
      <c r="C173" s="436" t="s">
        <v>1975</v>
      </c>
      <c r="D173" s="436" t="s">
        <v>1971</v>
      </c>
      <c r="E173" s="436" t="s">
        <v>1978</v>
      </c>
      <c r="F173" s="436" t="s">
        <v>1974</v>
      </c>
    </row>
    <row r="174" spans="1:6" ht="30" x14ac:dyDescent="0.25">
      <c r="A174" s="436" t="s">
        <v>1994</v>
      </c>
      <c r="B174" s="436" t="s">
        <v>1971</v>
      </c>
      <c r="C174" s="436" t="s">
        <v>1972</v>
      </c>
      <c r="D174" s="436" t="s">
        <v>1971</v>
      </c>
      <c r="E174" s="436" t="s">
        <v>1973</v>
      </c>
      <c r="F174" s="436" t="s">
        <v>1974</v>
      </c>
    </row>
    <row r="175" spans="1:6" ht="45" x14ac:dyDescent="0.25">
      <c r="A175" s="436" t="s">
        <v>1994</v>
      </c>
      <c r="B175" s="436" t="s">
        <v>1971</v>
      </c>
      <c r="C175" s="436" t="s">
        <v>1975</v>
      </c>
      <c r="D175" s="436" t="s">
        <v>1971</v>
      </c>
      <c r="E175" s="436" t="s">
        <v>1978</v>
      </c>
      <c r="F175" s="436" t="s">
        <v>1974</v>
      </c>
    </row>
    <row r="176" spans="1:6" ht="30" x14ac:dyDescent="0.25">
      <c r="A176" s="436" t="s">
        <v>1995</v>
      </c>
      <c r="B176" s="436" t="s">
        <v>1971</v>
      </c>
      <c r="C176" s="436" t="s">
        <v>1972</v>
      </c>
      <c r="D176" s="436" t="s">
        <v>1971</v>
      </c>
      <c r="E176" s="436" t="s">
        <v>1973</v>
      </c>
      <c r="F176" s="436" t="s">
        <v>1974</v>
      </c>
    </row>
    <row r="177" spans="1:6" ht="45" x14ac:dyDescent="0.25">
      <c r="A177" s="436" t="s">
        <v>1995</v>
      </c>
      <c r="B177" s="436" t="s">
        <v>1971</v>
      </c>
      <c r="C177" s="436" t="s">
        <v>1975</v>
      </c>
      <c r="D177" s="436" t="s">
        <v>1971</v>
      </c>
      <c r="E177" s="436" t="s">
        <v>1978</v>
      </c>
      <c r="F177" s="436" t="s">
        <v>1974</v>
      </c>
    </row>
    <row r="178" spans="1:6" ht="30" x14ac:dyDescent="0.25">
      <c r="A178" s="436" t="s">
        <v>1996</v>
      </c>
      <c r="B178" s="436" t="s">
        <v>1971</v>
      </c>
      <c r="C178" s="436" t="s">
        <v>1972</v>
      </c>
      <c r="D178" s="436" t="s">
        <v>1971</v>
      </c>
      <c r="E178" s="436" t="s">
        <v>1973</v>
      </c>
      <c r="F178" s="436" t="s">
        <v>1974</v>
      </c>
    </row>
    <row r="179" spans="1:6" ht="45" x14ac:dyDescent="0.25">
      <c r="A179" s="436" t="s">
        <v>1997</v>
      </c>
      <c r="B179" s="436" t="s">
        <v>1971</v>
      </c>
      <c r="C179" s="436" t="s">
        <v>1975</v>
      </c>
      <c r="D179" s="436" t="s">
        <v>1971</v>
      </c>
      <c r="E179" s="436" t="s">
        <v>1978</v>
      </c>
      <c r="F179" s="436" t="s">
        <v>1974</v>
      </c>
    </row>
    <row r="180" spans="1:6" ht="30" x14ac:dyDescent="0.25">
      <c r="A180" s="436" t="s">
        <v>1998</v>
      </c>
      <c r="B180" s="436" t="s">
        <v>1971</v>
      </c>
      <c r="C180" s="436" t="s">
        <v>1972</v>
      </c>
      <c r="D180" s="436" t="s">
        <v>1971</v>
      </c>
      <c r="E180" s="436" t="s">
        <v>1973</v>
      </c>
      <c r="F180" s="436" t="s">
        <v>1974</v>
      </c>
    </row>
    <row r="181" spans="1:6" ht="45" x14ac:dyDescent="0.25">
      <c r="A181" s="436" t="s">
        <v>1998</v>
      </c>
      <c r="B181" s="436" t="s">
        <v>1971</v>
      </c>
      <c r="C181" s="436" t="s">
        <v>1975</v>
      </c>
      <c r="D181" s="436" t="s">
        <v>1971</v>
      </c>
      <c r="E181" s="436" t="s">
        <v>1978</v>
      </c>
      <c r="F181" s="436" t="s">
        <v>1974</v>
      </c>
    </row>
    <row r="182" spans="1:6" ht="30" x14ac:dyDescent="0.25">
      <c r="A182" s="436" t="s">
        <v>1999</v>
      </c>
      <c r="B182" s="436" t="s">
        <v>1971</v>
      </c>
      <c r="C182" s="436" t="s">
        <v>2000</v>
      </c>
      <c r="D182" s="436" t="s">
        <v>1971</v>
      </c>
      <c r="E182" s="436" t="s">
        <v>2001</v>
      </c>
      <c r="F182" s="436" t="s">
        <v>1974</v>
      </c>
    </row>
    <row r="183" spans="1:6" ht="30" x14ac:dyDescent="0.25">
      <c r="A183" s="436" t="s">
        <v>2002</v>
      </c>
      <c r="B183" s="436" t="s">
        <v>1971</v>
      </c>
      <c r="C183" s="436" t="s">
        <v>1972</v>
      </c>
      <c r="D183" s="436" t="s">
        <v>1971</v>
      </c>
      <c r="E183" s="436" t="s">
        <v>1973</v>
      </c>
      <c r="F183" s="436" t="s">
        <v>1974</v>
      </c>
    </row>
    <row r="184" spans="1:6" ht="45" x14ac:dyDescent="0.25">
      <c r="A184" s="436" t="s">
        <v>2002</v>
      </c>
      <c r="B184" s="436" t="s">
        <v>1971</v>
      </c>
      <c r="C184" s="436" t="s">
        <v>1975</v>
      </c>
      <c r="D184" s="436" t="s">
        <v>1971</v>
      </c>
      <c r="E184" s="436" t="s">
        <v>1978</v>
      </c>
      <c r="F184" s="436" t="s">
        <v>1974</v>
      </c>
    </row>
    <row r="185" spans="1:6" ht="30" x14ac:dyDescent="0.25">
      <c r="A185" s="436" t="s">
        <v>2003</v>
      </c>
      <c r="B185" s="436" t="s">
        <v>1971</v>
      </c>
      <c r="C185" s="436" t="s">
        <v>1972</v>
      </c>
      <c r="D185" s="436" t="s">
        <v>1971</v>
      </c>
      <c r="E185" s="436" t="s">
        <v>1973</v>
      </c>
      <c r="F185" s="436" t="s">
        <v>1974</v>
      </c>
    </row>
    <row r="186" spans="1:6" ht="45" x14ac:dyDescent="0.25">
      <c r="A186" s="436" t="s">
        <v>2003</v>
      </c>
      <c r="B186" s="436" t="s">
        <v>1971</v>
      </c>
      <c r="C186" s="436" t="s">
        <v>2004</v>
      </c>
      <c r="D186" s="436" t="s">
        <v>1971</v>
      </c>
      <c r="E186" s="436" t="s">
        <v>1978</v>
      </c>
      <c r="F186" s="436" t="s">
        <v>1974</v>
      </c>
    </row>
    <row r="187" spans="1:6" ht="30" x14ac:dyDescent="0.25">
      <c r="A187" s="436" t="s">
        <v>2003</v>
      </c>
      <c r="B187" s="436" t="s">
        <v>1971</v>
      </c>
      <c r="C187" s="436" t="s">
        <v>1905</v>
      </c>
      <c r="D187" s="436" t="s">
        <v>1900</v>
      </c>
      <c r="E187" s="436" t="s">
        <v>1906</v>
      </c>
      <c r="F187" s="436" t="s">
        <v>1907</v>
      </c>
    </row>
    <row r="188" spans="1:6" ht="30" x14ac:dyDescent="0.25">
      <c r="A188" s="436" t="s">
        <v>2005</v>
      </c>
      <c r="B188" s="436" t="s">
        <v>1971</v>
      </c>
      <c r="C188" s="436" t="s">
        <v>1972</v>
      </c>
      <c r="D188" s="436" t="s">
        <v>1971</v>
      </c>
      <c r="E188" s="436" t="s">
        <v>1973</v>
      </c>
      <c r="F188" s="436" t="s">
        <v>1974</v>
      </c>
    </row>
    <row r="189" spans="1:6" ht="45" x14ac:dyDescent="0.25">
      <c r="A189" s="436" t="s">
        <v>2005</v>
      </c>
      <c r="B189" s="436" t="s">
        <v>1971</v>
      </c>
      <c r="C189" s="436" t="s">
        <v>1975</v>
      </c>
      <c r="D189" s="436" t="s">
        <v>1971</v>
      </c>
      <c r="E189" s="436" t="s">
        <v>1978</v>
      </c>
      <c r="F189" s="436" t="s">
        <v>1974</v>
      </c>
    </row>
    <row r="190" spans="1:6" ht="30" x14ac:dyDescent="0.25">
      <c r="A190" s="436" t="s">
        <v>2006</v>
      </c>
      <c r="B190" s="436" t="s">
        <v>1971</v>
      </c>
      <c r="C190" s="436" t="s">
        <v>1972</v>
      </c>
      <c r="D190" s="436" t="s">
        <v>1971</v>
      </c>
      <c r="E190" s="436" t="s">
        <v>1973</v>
      </c>
      <c r="F190" s="436" t="s">
        <v>1974</v>
      </c>
    </row>
    <row r="191" spans="1:6" ht="45" x14ac:dyDescent="0.25">
      <c r="A191" s="436" t="s">
        <v>2006</v>
      </c>
      <c r="B191" s="436" t="s">
        <v>1971</v>
      </c>
      <c r="C191" s="436" t="s">
        <v>1975</v>
      </c>
      <c r="D191" s="436" t="s">
        <v>1971</v>
      </c>
      <c r="E191" s="436" t="s">
        <v>1978</v>
      </c>
      <c r="F191" s="436" t="s">
        <v>1974</v>
      </c>
    </row>
    <row r="192" spans="1:6" ht="30" x14ac:dyDescent="0.25">
      <c r="A192" s="436" t="s">
        <v>2007</v>
      </c>
      <c r="B192" s="436" t="s">
        <v>1971</v>
      </c>
      <c r="C192" s="436" t="s">
        <v>1972</v>
      </c>
      <c r="D192" s="436" t="s">
        <v>1971</v>
      </c>
      <c r="E192" s="436" t="s">
        <v>1973</v>
      </c>
      <c r="F192" s="436" t="s">
        <v>1974</v>
      </c>
    </row>
    <row r="193" spans="1:6" ht="45" x14ac:dyDescent="0.25">
      <c r="A193" s="436" t="s">
        <v>2007</v>
      </c>
      <c r="B193" s="436" t="s">
        <v>1971</v>
      </c>
      <c r="C193" s="436" t="s">
        <v>1975</v>
      </c>
      <c r="D193" s="436" t="s">
        <v>1971</v>
      </c>
      <c r="E193" s="436" t="s">
        <v>1978</v>
      </c>
      <c r="F193" s="436" t="s">
        <v>1974</v>
      </c>
    </row>
    <row r="194" spans="1:6" ht="30" x14ac:dyDescent="0.25">
      <c r="A194" s="436" t="s">
        <v>2007</v>
      </c>
      <c r="B194" s="436" t="s">
        <v>1971</v>
      </c>
      <c r="C194" s="436" t="s">
        <v>2008</v>
      </c>
      <c r="D194" s="436" t="s">
        <v>1971</v>
      </c>
      <c r="E194" s="436" t="s">
        <v>2009</v>
      </c>
      <c r="F194" s="436" t="s">
        <v>1974</v>
      </c>
    </row>
    <row r="195" spans="1:6" ht="30" x14ac:dyDescent="0.25">
      <c r="A195" s="436" t="s">
        <v>2007</v>
      </c>
      <c r="B195" s="436" t="s">
        <v>1971</v>
      </c>
      <c r="C195" s="436" t="s">
        <v>2010</v>
      </c>
      <c r="D195" s="436" t="s">
        <v>1971</v>
      </c>
      <c r="E195" s="436" t="s">
        <v>2011</v>
      </c>
      <c r="F195" s="436" t="s">
        <v>1974</v>
      </c>
    </row>
    <row r="196" spans="1:6" ht="30" x14ac:dyDescent="0.25">
      <c r="A196" s="436" t="s">
        <v>2012</v>
      </c>
      <c r="B196" s="436" t="s">
        <v>1971</v>
      </c>
      <c r="C196" s="436" t="s">
        <v>1972</v>
      </c>
      <c r="D196" s="436" t="s">
        <v>1971</v>
      </c>
      <c r="E196" s="436" t="s">
        <v>1973</v>
      </c>
      <c r="F196" s="436" t="s">
        <v>1974</v>
      </c>
    </row>
    <row r="197" spans="1:6" ht="45" x14ac:dyDescent="0.25">
      <c r="A197" s="436" t="s">
        <v>2012</v>
      </c>
      <c r="B197" s="436" t="s">
        <v>1971</v>
      </c>
      <c r="C197" s="436" t="s">
        <v>1975</v>
      </c>
      <c r="D197" s="436" t="s">
        <v>1971</v>
      </c>
      <c r="E197" s="436" t="s">
        <v>2013</v>
      </c>
      <c r="F197" s="436" t="s">
        <v>1974</v>
      </c>
    </row>
    <row r="198" spans="1:6" ht="30" x14ac:dyDescent="0.25">
      <c r="A198" s="436" t="s">
        <v>2014</v>
      </c>
      <c r="B198" s="436" t="s">
        <v>1971</v>
      </c>
      <c r="C198" s="436" t="s">
        <v>1972</v>
      </c>
      <c r="D198" s="436" t="s">
        <v>1971</v>
      </c>
      <c r="E198" s="436" t="s">
        <v>1973</v>
      </c>
      <c r="F198" s="436" t="s">
        <v>1974</v>
      </c>
    </row>
    <row r="199" spans="1:6" ht="45" x14ac:dyDescent="0.25">
      <c r="A199" s="436" t="s">
        <v>2014</v>
      </c>
      <c r="B199" s="436" t="s">
        <v>1971</v>
      </c>
      <c r="C199" s="436" t="s">
        <v>1975</v>
      </c>
      <c r="D199" s="436" t="s">
        <v>1971</v>
      </c>
      <c r="E199" s="436" t="s">
        <v>1978</v>
      </c>
      <c r="F199" s="436" t="s">
        <v>1974</v>
      </c>
    </row>
    <row r="200" spans="1:6" ht="30" x14ac:dyDescent="0.25">
      <c r="A200" s="436" t="s">
        <v>2014</v>
      </c>
      <c r="B200" s="436" t="s">
        <v>1971</v>
      </c>
      <c r="C200" s="436" t="s">
        <v>2008</v>
      </c>
      <c r="D200" s="436" t="s">
        <v>1971</v>
      </c>
      <c r="E200" s="436" t="s">
        <v>2009</v>
      </c>
      <c r="F200" s="436" t="s">
        <v>1974</v>
      </c>
    </row>
    <row r="201" spans="1:6" ht="30" x14ac:dyDescent="0.25">
      <c r="A201" s="436" t="s">
        <v>2015</v>
      </c>
      <c r="B201" s="436" t="s">
        <v>1971</v>
      </c>
      <c r="C201" s="436" t="s">
        <v>2008</v>
      </c>
      <c r="D201" s="436" t="s">
        <v>1971</v>
      </c>
      <c r="E201" s="436" t="s">
        <v>2016</v>
      </c>
      <c r="F201" s="436" t="s">
        <v>1974</v>
      </c>
    </row>
    <row r="202" spans="1:6" ht="30" x14ac:dyDescent="0.25">
      <c r="A202" s="436" t="s">
        <v>2017</v>
      </c>
      <c r="B202" s="436" t="s">
        <v>1971</v>
      </c>
      <c r="C202" s="436" t="s">
        <v>1972</v>
      </c>
      <c r="D202" s="436" t="s">
        <v>1971</v>
      </c>
      <c r="E202" s="436" t="s">
        <v>1973</v>
      </c>
      <c r="F202" s="436" t="s">
        <v>1974</v>
      </c>
    </row>
    <row r="203" spans="1:6" ht="45" x14ac:dyDescent="0.25">
      <c r="A203" s="436" t="s">
        <v>2017</v>
      </c>
      <c r="B203" s="436" t="s">
        <v>1971</v>
      </c>
      <c r="C203" s="436" t="s">
        <v>1975</v>
      </c>
      <c r="D203" s="436" t="s">
        <v>1971</v>
      </c>
      <c r="E203" s="436" t="s">
        <v>1978</v>
      </c>
      <c r="F203" s="436" t="s">
        <v>1974</v>
      </c>
    </row>
    <row r="204" spans="1:6" ht="30" x14ac:dyDescent="0.25">
      <c r="A204" s="436" t="s">
        <v>2017</v>
      </c>
      <c r="B204" s="436" t="s">
        <v>1971</v>
      </c>
      <c r="C204" s="436" t="s">
        <v>2008</v>
      </c>
      <c r="D204" s="436" t="s">
        <v>1971</v>
      </c>
      <c r="E204" s="436" t="s">
        <v>2009</v>
      </c>
      <c r="F204" s="436" t="s">
        <v>1974</v>
      </c>
    </row>
    <row r="205" spans="1:6" ht="30" x14ac:dyDescent="0.25">
      <c r="A205" s="436" t="s">
        <v>2018</v>
      </c>
      <c r="B205" s="436" t="s">
        <v>1971</v>
      </c>
      <c r="C205" s="436" t="s">
        <v>1972</v>
      </c>
      <c r="D205" s="436" t="s">
        <v>1971</v>
      </c>
      <c r="E205" s="436" t="s">
        <v>1973</v>
      </c>
      <c r="F205" s="436" t="s">
        <v>1974</v>
      </c>
    </row>
    <row r="206" spans="1:6" ht="45" x14ac:dyDescent="0.25">
      <c r="A206" s="436" t="s">
        <v>2018</v>
      </c>
      <c r="B206" s="436" t="s">
        <v>1971</v>
      </c>
      <c r="C206" s="436" t="s">
        <v>1975</v>
      </c>
      <c r="D206" s="436" t="s">
        <v>1971</v>
      </c>
      <c r="E206" s="436" t="s">
        <v>1978</v>
      </c>
      <c r="F206" s="436" t="s">
        <v>1974</v>
      </c>
    </row>
    <row r="207" spans="1:6" ht="30" x14ac:dyDescent="0.25">
      <c r="A207" s="436" t="s">
        <v>2018</v>
      </c>
      <c r="B207" s="436" t="s">
        <v>1971</v>
      </c>
      <c r="C207" s="436" t="s">
        <v>2008</v>
      </c>
      <c r="D207" s="436" t="s">
        <v>1971</v>
      </c>
      <c r="E207" s="436" t="s">
        <v>2009</v>
      </c>
      <c r="F207" s="436" t="s">
        <v>1974</v>
      </c>
    </row>
    <row r="208" spans="1:6" ht="30" x14ac:dyDescent="0.25">
      <c r="A208" s="436" t="s">
        <v>2019</v>
      </c>
      <c r="B208" s="436" t="s">
        <v>1971</v>
      </c>
      <c r="C208" s="436" t="s">
        <v>2008</v>
      </c>
      <c r="D208" s="436" t="s">
        <v>1971</v>
      </c>
      <c r="E208" s="436" t="s">
        <v>2009</v>
      </c>
      <c r="F208" s="436" t="s">
        <v>1974</v>
      </c>
    </row>
    <row r="209" spans="1:6" ht="30" x14ac:dyDescent="0.25">
      <c r="A209" s="436" t="s">
        <v>2020</v>
      </c>
      <c r="B209" s="436" t="s">
        <v>1971</v>
      </c>
      <c r="C209" s="436" t="s">
        <v>2010</v>
      </c>
      <c r="D209" s="436" t="s">
        <v>1971</v>
      </c>
      <c r="E209" s="436" t="s">
        <v>2011</v>
      </c>
      <c r="F209" s="436" t="s">
        <v>1974</v>
      </c>
    </row>
    <row r="210" spans="1:6" ht="30" x14ac:dyDescent="0.25">
      <c r="A210" s="436" t="s">
        <v>2021</v>
      </c>
      <c r="B210" s="436" t="s">
        <v>1971</v>
      </c>
      <c r="C210" s="436" t="s">
        <v>2010</v>
      </c>
      <c r="D210" s="436" t="s">
        <v>1971</v>
      </c>
      <c r="E210" s="436" t="s">
        <v>2011</v>
      </c>
      <c r="F210" s="436" t="s">
        <v>1974</v>
      </c>
    </row>
    <row r="211" spans="1:6" ht="30" x14ac:dyDescent="0.25">
      <c r="A211" s="436" t="s">
        <v>2022</v>
      </c>
      <c r="B211" s="436" t="s">
        <v>1971</v>
      </c>
      <c r="C211" s="436" t="s">
        <v>2010</v>
      </c>
      <c r="D211" s="436" t="s">
        <v>1971</v>
      </c>
      <c r="E211" s="436" t="s">
        <v>2011</v>
      </c>
      <c r="F211" s="436" t="s">
        <v>1974</v>
      </c>
    </row>
    <row r="212" spans="1:6" ht="30" x14ac:dyDescent="0.25">
      <c r="A212" s="436" t="s">
        <v>2023</v>
      </c>
      <c r="B212" s="436" t="s">
        <v>1971</v>
      </c>
      <c r="C212" s="436" t="s">
        <v>2010</v>
      </c>
      <c r="D212" s="436" t="s">
        <v>1971</v>
      </c>
      <c r="E212" s="436" t="s">
        <v>2011</v>
      </c>
      <c r="F212" s="436" t="s">
        <v>1974</v>
      </c>
    </row>
    <row r="213" spans="1:6" ht="30" x14ac:dyDescent="0.25">
      <c r="A213" s="436" t="s">
        <v>2024</v>
      </c>
      <c r="B213" s="436" t="s">
        <v>1971</v>
      </c>
      <c r="C213" s="436" t="s">
        <v>2008</v>
      </c>
      <c r="D213" s="436" t="s">
        <v>1971</v>
      </c>
      <c r="E213" s="436" t="s">
        <v>2009</v>
      </c>
      <c r="F213" s="436" t="s">
        <v>1974</v>
      </c>
    </row>
    <row r="214" spans="1:6" ht="30" x14ac:dyDescent="0.25">
      <c r="A214" s="436" t="s">
        <v>2024</v>
      </c>
      <c r="B214" s="436" t="s">
        <v>1971</v>
      </c>
      <c r="C214" s="436" t="s">
        <v>2010</v>
      </c>
      <c r="D214" s="436" t="s">
        <v>1971</v>
      </c>
      <c r="E214" s="436" t="s">
        <v>2011</v>
      </c>
      <c r="F214" s="436" t="s">
        <v>1974</v>
      </c>
    </row>
    <row r="215" spans="1:6" ht="30" x14ac:dyDescent="0.25">
      <c r="A215" s="436" t="s">
        <v>2025</v>
      </c>
      <c r="B215" s="436" t="s">
        <v>1971</v>
      </c>
      <c r="C215" s="436" t="s">
        <v>2008</v>
      </c>
      <c r="D215" s="436" t="s">
        <v>1971</v>
      </c>
      <c r="E215" s="436" t="s">
        <v>2009</v>
      </c>
      <c r="F215" s="436" t="s">
        <v>1974</v>
      </c>
    </row>
    <row r="216" spans="1:6" ht="30" x14ac:dyDescent="0.25">
      <c r="A216" s="436" t="s">
        <v>2025</v>
      </c>
      <c r="B216" s="436" t="s">
        <v>1971</v>
      </c>
      <c r="C216" s="436" t="s">
        <v>2010</v>
      </c>
      <c r="D216" s="436" t="s">
        <v>1971</v>
      </c>
      <c r="E216" s="436" t="s">
        <v>2011</v>
      </c>
      <c r="F216" s="436" t="s">
        <v>1974</v>
      </c>
    </row>
    <row r="217" spans="1:6" ht="30" x14ac:dyDescent="0.25">
      <c r="A217" s="436" t="s">
        <v>2026</v>
      </c>
      <c r="B217" s="436" t="s">
        <v>1971</v>
      </c>
      <c r="C217" s="436" t="s">
        <v>1972</v>
      </c>
      <c r="D217" s="436" t="s">
        <v>1971</v>
      </c>
      <c r="E217" s="436" t="s">
        <v>1973</v>
      </c>
      <c r="F217" s="436" t="s">
        <v>1974</v>
      </c>
    </row>
    <row r="218" spans="1:6" ht="45" x14ac:dyDescent="0.25">
      <c r="A218" s="436" t="s">
        <v>2026</v>
      </c>
      <c r="B218" s="436" t="s">
        <v>1971</v>
      </c>
      <c r="C218" s="436" t="s">
        <v>1975</v>
      </c>
      <c r="D218" s="436" t="s">
        <v>1971</v>
      </c>
      <c r="E218" s="436" t="s">
        <v>1978</v>
      </c>
      <c r="F218" s="436" t="s">
        <v>1974</v>
      </c>
    </row>
    <row r="219" spans="1:6" x14ac:dyDescent="0.25">
      <c r="A219" s="436" t="s">
        <v>2027</v>
      </c>
      <c r="B219" s="436" t="s">
        <v>2028</v>
      </c>
      <c r="C219" s="436" t="s">
        <v>2029</v>
      </c>
      <c r="D219" s="436" t="s">
        <v>2028</v>
      </c>
      <c r="E219" s="436" t="s">
        <v>2030</v>
      </c>
      <c r="F219" s="436" t="s">
        <v>2031</v>
      </c>
    </row>
    <row r="220" spans="1:6" ht="30" x14ac:dyDescent="0.25">
      <c r="A220" s="436" t="s">
        <v>2032</v>
      </c>
      <c r="B220" s="436" t="s">
        <v>1900</v>
      </c>
      <c r="C220" s="436" t="s">
        <v>2033</v>
      </c>
      <c r="D220" s="436" t="s">
        <v>1900</v>
      </c>
      <c r="E220" s="436" t="s">
        <v>2034</v>
      </c>
      <c r="F220" s="436" t="s">
        <v>2035</v>
      </c>
    </row>
    <row r="221" spans="1:6" ht="30" x14ac:dyDescent="0.25">
      <c r="C221" s="436" t="s">
        <v>2036</v>
      </c>
      <c r="D221" s="436" t="s">
        <v>1900</v>
      </c>
      <c r="E221" s="436" t="s">
        <v>2037</v>
      </c>
      <c r="F221" s="436" t="s">
        <v>1907</v>
      </c>
    </row>
    <row r="222" spans="1:6" ht="30" x14ac:dyDescent="0.25">
      <c r="A222" s="436" t="s">
        <v>2032</v>
      </c>
      <c r="B222" s="436" t="s">
        <v>1900</v>
      </c>
      <c r="C222" s="436" t="s">
        <v>2038</v>
      </c>
      <c r="D222" s="436" t="s">
        <v>1900</v>
      </c>
      <c r="E222" s="436" t="s">
        <v>2039</v>
      </c>
      <c r="F222" s="436" t="s">
        <v>2035</v>
      </c>
    </row>
    <row r="223" spans="1:6" ht="30" x14ac:dyDescent="0.25">
      <c r="A223" s="436" t="s">
        <v>2032</v>
      </c>
      <c r="B223" s="436" t="s">
        <v>1900</v>
      </c>
      <c r="C223" s="436" t="s">
        <v>2040</v>
      </c>
      <c r="D223" s="436" t="s">
        <v>1900</v>
      </c>
      <c r="E223" s="436" t="s">
        <v>2041</v>
      </c>
      <c r="F223" s="436" t="s">
        <v>2035</v>
      </c>
    </row>
    <row r="224" spans="1:6" ht="30" x14ac:dyDescent="0.25">
      <c r="A224" s="436" t="s">
        <v>2032</v>
      </c>
      <c r="B224" s="436" t="s">
        <v>1900</v>
      </c>
      <c r="C224" s="436" t="s">
        <v>2042</v>
      </c>
      <c r="D224" s="436" t="s">
        <v>1900</v>
      </c>
      <c r="E224" s="436" t="s">
        <v>2043</v>
      </c>
      <c r="F224" s="436" t="s">
        <v>2035</v>
      </c>
    </row>
    <row r="225" spans="1:6" ht="30" x14ac:dyDescent="0.25">
      <c r="A225" s="436" t="s">
        <v>2032</v>
      </c>
      <c r="B225" s="436" t="s">
        <v>1900</v>
      </c>
      <c r="C225" s="436" t="s">
        <v>2044</v>
      </c>
      <c r="D225" s="436" t="s">
        <v>1900</v>
      </c>
      <c r="E225" s="436" t="s">
        <v>2045</v>
      </c>
      <c r="F225" s="436" t="s">
        <v>2035</v>
      </c>
    </row>
    <row r="226" spans="1:6" ht="30" x14ac:dyDescent="0.25">
      <c r="A226" s="436" t="s">
        <v>2032</v>
      </c>
      <c r="B226" s="436" t="s">
        <v>1900</v>
      </c>
      <c r="C226" s="436" t="s">
        <v>2046</v>
      </c>
      <c r="D226" s="436" t="s">
        <v>1900</v>
      </c>
      <c r="E226" s="436" t="s">
        <v>2047</v>
      </c>
      <c r="F226" s="436" t="s">
        <v>2035</v>
      </c>
    </row>
    <row r="227" spans="1:6" ht="90" x14ac:dyDescent="0.25">
      <c r="A227" s="436" t="s">
        <v>2048</v>
      </c>
      <c r="B227" s="436" t="s">
        <v>1900</v>
      </c>
      <c r="C227" s="436" t="s">
        <v>2044</v>
      </c>
      <c r="D227" s="436" t="s">
        <v>1900</v>
      </c>
      <c r="E227" s="436" t="s">
        <v>2045</v>
      </c>
      <c r="F227" s="436" t="s">
        <v>2035</v>
      </c>
    </row>
    <row r="228" spans="1:6" ht="45" x14ac:dyDescent="0.25">
      <c r="A228" s="436" t="s">
        <v>2049</v>
      </c>
      <c r="B228" s="436" t="s">
        <v>1900</v>
      </c>
      <c r="C228" s="436" t="s">
        <v>2038</v>
      </c>
      <c r="D228" s="436" t="s">
        <v>1900</v>
      </c>
      <c r="E228" s="436" t="s">
        <v>2039</v>
      </c>
      <c r="F228" s="436" t="s">
        <v>2035</v>
      </c>
    </row>
    <row r="229" spans="1:6" x14ac:dyDescent="0.25">
      <c r="A229" s="436" t="s">
        <v>2050</v>
      </c>
    </row>
    <row r="230" spans="1:6" ht="90" x14ac:dyDescent="0.25">
      <c r="A230" s="436" t="s">
        <v>2739</v>
      </c>
      <c r="B230" s="436" t="s">
        <v>1900</v>
      </c>
      <c r="C230" s="436" t="s">
        <v>2040</v>
      </c>
      <c r="D230" s="436" t="s">
        <v>1900</v>
      </c>
      <c r="E230" s="436" t="s">
        <v>2041</v>
      </c>
      <c r="F230" s="436" t="s">
        <v>2035</v>
      </c>
    </row>
    <row r="231" spans="1:6" ht="45" x14ac:dyDescent="0.25">
      <c r="A231" s="436" t="s">
        <v>2740</v>
      </c>
      <c r="B231" s="436" t="s">
        <v>1900</v>
      </c>
      <c r="C231" s="436" t="s">
        <v>2042</v>
      </c>
      <c r="D231" s="436" t="s">
        <v>1900</v>
      </c>
      <c r="E231" s="436" t="s">
        <v>2043</v>
      </c>
      <c r="F231" s="436" t="s">
        <v>2035</v>
      </c>
    </row>
    <row r="232" spans="1:6" ht="90" x14ac:dyDescent="0.25">
      <c r="A232" s="436" t="s">
        <v>2739</v>
      </c>
      <c r="B232" s="436" t="s">
        <v>1900</v>
      </c>
      <c r="C232" s="436" t="s">
        <v>2042</v>
      </c>
      <c r="D232" s="436" t="s">
        <v>1900</v>
      </c>
      <c r="E232" s="436" t="s">
        <v>2043</v>
      </c>
      <c r="F232" s="436" t="s">
        <v>2035</v>
      </c>
    </row>
    <row r="233" spans="1:6" ht="60" x14ac:dyDescent="0.25">
      <c r="A233" s="436" t="s">
        <v>2741</v>
      </c>
      <c r="B233" s="436" t="s">
        <v>1900</v>
      </c>
      <c r="C233" s="436" t="s">
        <v>2033</v>
      </c>
      <c r="D233" s="436" t="s">
        <v>1900</v>
      </c>
      <c r="E233" s="436" t="s">
        <v>2034</v>
      </c>
      <c r="F233" s="436" t="s">
        <v>2035</v>
      </c>
    </row>
    <row r="234" spans="1:6" ht="30" x14ac:dyDescent="0.25">
      <c r="A234" s="436" t="s">
        <v>2051</v>
      </c>
      <c r="B234" s="436" t="s">
        <v>1900</v>
      </c>
      <c r="C234" s="436" t="s">
        <v>2046</v>
      </c>
      <c r="D234" s="436" t="s">
        <v>1900</v>
      </c>
      <c r="E234" s="436" t="s">
        <v>2047</v>
      </c>
      <c r="F234" s="436" t="s">
        <v>2035</v>
      </c>
    </row>
    <row r="235" spans="1:6" ht="30" x14ac:dyDescent="0.25">
      <c r="A235" s="436" t="s">
        <v>2052</v>
      </c>
      <c r="B235" s="436" t="s">
        <v>1900</v>
      </c>
      <c r="C235" s="436" t="s">
        <v>2046</v>
      </c>
      <c r="D235" s="436" t="s">
        <v>1900</v>
      </c>
      <c r="E235" s="436" t="s">
        <v>2047</v>
      </c>
      <c r="F235" s="436" t="s">
        <v>2035</v>
      </c>
    </row>
    <row r="236" spans="1:6" ht="30" x14ac:dyDescent="0.25">
      <c r="A236" s="436" t="s">
        <v>2053</v>
      </c>
      <c r="B236" s="436" t="s">
        <v>1900</v>
      </c>
      <c r="C236" s="436" t="s">
        <v>2054</v>
      </c>
      <c r="D236" s="436" t="s">
        <v>1900</v>
      </c>
      <c r="E236" s="436" t="s">
        <v>2055</v>
      </c>
      <c r="F236" s="436" t="s">
        <v>1907</v>
      </c>
    </row>
    <row r="237" spans="1:6" ht="30" x14ac:dyDescent="0.25">
      <c r="A237" s="436" t="s">
        <v>2056</v>
      </c>
      <c r="B237" s="436" t="s">
        <v>1900</v>
      </c>
      <c r="C237" s="436" t="s">
        <v>2057</v>
      </c>
      <c r="D237" s="436" t="s">
        <v>1900</v>
      </c>
      <c r="E237" s="436" t="s">
        <v>2058</v>
      </c>
      <c r="F237" s="436" t="s">
        <v>1907</v>
      </c>
    </row>
    <row r="238" spans="1:6" ht="30" x14ac:dyDescent="0.25">
      <c r="A238" s="436" t="s">
        <v>2059</v>
      </c>
      <c r="B238" s="436" t="s">
        <v>1900</v>
      </c>
      <c r="C238" s="436" t="s">
        <v>2060</v>
      </c>
      <c r="D238" s="436" t="s">
        <v>1900</v>
      </c>
      <c r="E238" s="436" t="s">
        <v>2061</v>
      </c>
      <c r="F238" s="436" t="s">
        <v>1889</v>
      </c>
    </row>
    <row r="239" spans="1:6" ht="30" x14ac:dyDescent="0.25">
      <c r="A239" s="436" t="s">
        <v>2062</v>
      </c>
      <c r="B239" s="436" t="s">
        <v>1900</v>
      </c>
      <c r="C239" s="436" t="s">
        <v>2063</v>
      </c>
      <c r="D239" s="436" t="s">
        <v>1900</v>
      </c>
      <c r="E239" s="436" t="s">
        <v>2064</v>
      </c>
      <c r="F239" s="436" t="s">
        <v>1907</v>
      </c>
    </row>
    <row r="240" spans="1:6" ht="30" x14ac:dyDescent="0.25">
      <c r="A240" s="436" t="s">
        <v>2065</v>
      </c>
      <c r="B240" s="436" t="s">
        <v>1900</v>
      </c>
      <c r="C240" s="436" t="s">
        <v>2054</v>
      </c>
      <c r="D240" s="436" t="s">
        <v>1900</v>
      </c>
      <c r="E240" s="436" t="s">
        <v>2055</v>
      </c>
      <c r="F240" s="436" t="s">
        <v>1907</v>
      </c>
    </row>
    <row r="241" spans="1:6" ht="30" x14ac:dyDescent="0.25">
      <c r="A241" s="436" t="s">
        <v>2066</v>
      </c>
      <c r="B241" s="436" t="s">
        <v>1900</v>
      </c>
      <c r="C241" s="436" t="s">
        <v>1905</v>
      </c>
      <c r="D241" s="436" t="s">
        <v>1900</v>
      </c>
      <c r="E241" s="436" t="s">
        <v>1906</v>
      </c>
      <c r="F241" s="436" t="s">
        <v>1907</v>
      </c>
    </row>
    <row r="242" spans="1:6" ht="30" x14ac:dyDescent="0.25">
      <c r="A242" s="436" t="s">
        <v>2066</v>
      </c>
      <c r="B242" s="436" t="s">
        <v>1900</v>
      </c>
      <c r="C242" s="436" t="s">
        <v>1903</v>
      </c>
      <c r="D242" s="436" t="s">
        <v>1900</v>
      </c>
      <c r="E242" s="436" t="s">
        <v>1904</v>
      </c>
      <c r="F242" s="436" t="s">
        <v>1894</v>
      </c>
    </row>
    <row r="243" spans="1:6" ht="30" x14ac:dyDescent="0.25">
      <c r="A243" s="436" t="s">
        <v>2066</v>
      </c>
      <c r="B243" s="436" t="s">
        <v>1900</v>
      </c>
      <c r="C243" s="436" t="s">
        <v>2067</v>
      </c>
      <c r="D243" s="436" t="s">
        <v>1900</v>
      </c>
      <c r="E243" s="436" t="s">
        <v>2068</v>
      </c>
      <c r="F243" s="436" t="s">
        <v>1907</v>
      </c>
    </row>
    <row r="244" spans="1:6" ht="30" x14ac:dyDescent="0.25">
      <c r="A244" s="436" t="s">
        <v>2069</v>
      </c>
      <c r="B244" s="436" t="s">
        <v>1900</v>
      </c>
      <c r="C244" s="436" t="s">
        <v>2070</v>
      </c>
      <c r="D244" s="436" t="s">
        <v>1900</v>
      </c>
      <c r="E244" s="436" t="s">
        <v>1906</v>
      </c>
      <c r="F244" s="436" t="s">
        <v>1907</v>
      </c>
    </row>
    <row r="245" spans="1:6" ht="30" x14ac:dyDescent="0.25">
      <c r="A245" s="436" t="s">
        <v>2069</v>
      </c>
      <c r="B245" s="436" t="s">
        <v>1900</v>
      </c>
      <c r="C245" s="436" t="s">
        <v>2067</v>
      </c>
      <c r="D245" s="436" t="s">
        <v>1900</v>
      </c>
      <c r="E245" s="436" t="s">
        <v>2068</v>
      </c>
      <c r="F245" s="436" t="s">
        <v>1907</v>
      </c>
    </row>
    <row r="246" spans="1:6" ht="30" x14ac:dyDescent="0.25">
      <c r="A246" s="436" t="s">
        <v>2071</v>
      </c>
      <c r="B246" s="436" t="s">
        <v>1900</v>
      </c>
      <c r="C246" s="436" t="s">
        <v>1905</v>
      </c>
      <c r="D246" s="436" t="s">
        <v>1900</v>
      </c>
      <c r="E246" s="436" t="s">
        <v>1906</v>
      </c>
      <c r="F246" s="436" t="s">
        <v>1907</v>
      </c>
    </row>
    <row r="247" spans="1:6" ht="30" x14ac:dyDescent="0.25">
      <c r="A247" s="436" t="s">
        <v>2072</v>
      </c>
      <c r="B247" s="436" t="s">
        <v>1900</v>
      </c>
      <c r="C247" s="436" t="s">
        <v>1905</v>
      </c>
      <c r="D247" s="436" t="s">
        <v>1900</v>
      </c>
      <c r="E247" s="436" t="s">
        <v>1906</v>
      </c>
      <c r="F247" s="436" t="s">
        <v>1907</v>
      </c>
    </row>
    <row r="248" spans="1:6" ht="45" x14ac:dyDescent="0.25">
      <c r="A248" s="436" t="s">
        <v>2073</v>
      </c>
      <c r="B248" s="436" t="s">
        <v>1900</v>
      </c>
      <c r="C248" s="436" t="s">
        <v>1903</v>
      </c>
      <c r="D248" s="436" t="s">
        <v>1900</v>
      </c>
      <c r="E248" s="436" t="s">
        <v>1904</v>
      </c>
      <c r="F248" s="436" t="s">
        <v>1894</v>
      </c>
    </row>
    <row r="249" spans="1:6" ht="45" x14ac:dyDescent="0.25">
      <c r="A249" s="436" t="s">
        <v>2073</v>
      </c>
      <c r="B249" s="436" t="s">
        <v>1900</v>
      </c>
      <c r="C249" s="436" t="s">
        <v>1905</v>
      </c>
      <c r="D249" s="436" t="s">
        <v>1900</v>
      </c>
      <c r="E249" s="436" t="s">
        <v>1906</v>
      </c>
      <c r="F249" s="436" t="s">
        <v>1907</v>
      </c>
    </row>
    <row r="250" spans="1:6" ht="30" x14ac:dyDescent="0.25">
      <c r="A250" s="436" t="s">
        <v>2074</v>
      </c>
      <c r="B250" s="436" t="s">
        <v>1900</v>
      </c>
      <c r="C250" s="436" t="s">
        <v>2075</v>
      </c>
      <c r="D250" s="436" t="s">
        <v>1900</v>
      </c>
      <c r="E250" s="436" t="s">
        <v>2076</v>
      </c>
      <c r="F250" s="436" t="s">
        <v>2077</v>
      </c>
    </row>
    <row r="251" spans="1:6" ht="30" x14ac:dyDescent="0.25">
      <c r="A251" s="436" t="s">
        <v>2078</v>
      </c>
      <c r="B251" s="436" t="s">
        <v>1900</v>
      </c>
      <c r="C251" s="436" t="s">
        <v>2075</v>
      </c>
      <c r="D251" s="436" t="s">
        <v>1900</v>
      </c>
      <c r="E251" s="436" t="s">
        <v>2076</v>
      </c>
      <c r="F251" s="436" t="s">
        <v>2077</v>
      </c>
    </row>
    <row r="252" spans="1:6" ht="45" x14ac:dyDescent="0.25">
      <c r="A252" s="436" t="s">
        <v>2079</v>
      </c>
      <c r="B252" s="436" t="s">
        <v>1900</v>
      </c>
      <c r="C252" s="436" t="s">
        <v>1899</v>
      </c>
      <c r="D252" s="436" t="s">
        <v>1900</v>
      </c>
      <c r="E252" s="436" t="s">
        <v>1901</v>
      </c>
      <c r="F252" s="436" t="s">
        <v>1889</v>
      </c>
    </row>
    <row r="253" spans="1:6" ht="30" x14ac:dyDescent="0.25">
      <c r="A253" s="436" t="s">
        <v>2080</v>
      </c>
      <c r="B253" s="436" t="s">
        <v>1900</v>
      </c>
      <c r="C253" s="436" t="s">
        <v>2081</v>
      </c>
      <c r="D253" s="436" t="s">
        <v>1900</v>
      </c>
      <c r="E253" s="436" t="s">
        <v>2082</v>
      </c>
      <c r="F253" s="436" t="s">
        <v>2077</v>
      </c>
    </row>
    <row r="254" spans="1:6" ht="30" x14ac:dyDescent="0.25">
      <c r="A254" s="436" t="s">
        <v>2083</v>
      </c>
      <c r="B254" s="436" t="s">
        <v>1900</v>
      </c>
      <c r="C254" s="436" t="s">
        <v>2081</v>
      </c>
      <c r="D254" s="436" t="s">
        <v>1900</v>
      </c>
      <c r="E254" s="436" t="s">
        <v>2082</v>
      </c>
      <c r="F254" s="436" t="s">
        <v>2077</v>
      </c>
    </row>
    <row r="255" spans="1:6" ht="30" x14ac:dyDescent="0.25">
      <c r="A255" s="436" t="s">
        <v>2084</v>
      </c>
      <c r="B255" s="436" t="s">
        <v>1900</v>
      </c>
      <c r="C255" s="436" t="s">
        <v>2081</v>
      </c>
      <c r="D255" s="436" t="s">
        <v>1900</v>
      </c>
      <c r="E255" s="436" t="s">
        <v>2082</v>
      </c>
      <c r="F255" s="436" t="s">
        <v>2077</v>
      </c>
    </row>
    <row r="256" spans="1:6" ht="45" x14ac:dyDescent="0.25">
      <c r="A256" s="436" t="s">
        <v>2085</v>
      </c>
      <c r="B256" s="436" t="s">
        <v>1900</v>
      </c>
      <c r="C256" s="436" t="s">
        <v>2086</v>
      </c>
      <c r="D256" s="436" t="s">
        <v>1900</v>
      </c>
      <c r="E256" s="436" t="s">
        <v>2087</v>
      </c>
      <c r="F256" s="436" t="s">
        <v>2077</v>
      </c>
    </row>
    <row r="257" spans="1:6" ht="45" x14ac:dyDescent="0.25">
      <c r="A257" s="436" t="s">
        <v>2088</v>
      </c>
      <c r="B257" s="436" t="s">
        <v>1900</v>
      </c>
      <c r="C257" s="436" t="s">
        <v>2086</v>
      </c>
      <c r="D257" s="436" t="s">
        <v>1900</v>
      </c>
      <c r="E257" s="436" t="s">
        <v>2087</v>
      </c>
      <c r="F257" s="436" t="s">
        <v>2077</v>
      </c>
    </row>
    <row r="258" spans="1:6" ht="30" x14ac:dyDescent="0.25">
      <c r="A258" s="436" t="s">
        <v>2089</v>
      </c>
      <c r="B258" s="436" t="s">
        <v>1900</v>
      </c>
      <c r="C258" s="436" t="s">
        <v>1903</v>
      </c>
      <c r="D258" s="436" t="s">
        <v>1900</v>
      </c>
      <c r="E258" s="436" t="s">
        <v>1904</v>
      </c>
      <c r="F258" s="436" t="s">
        <v>1894</v>
      </c>
    </row>
    <row r="259" spans="1:6" x14ac:dyDescent="0.25">
      <c r="A259" s="436" t="s">
        <v>2090</v>
      </c>
      <c r="B259" s="436" t="s">
        <v>1900</v>
      </c>
      <c r="C259" s="436" t="s">
        <v>2091</v>
      </c>
      <c r="D259" s="436" t="s">
        <v>2092</v>
      </c>
      <c r="E259" s="436" t="s">
        <v>2093</v>
      </c>
      <c r="F259" s="436" t="s">
        <v>2094</v>
      </c>
    </row>
    <row r="260" spans="1:6" ht="30" x14ac:dyDescent="0.25">
      <c r="A260" s="436" t="s">
        <v>2095</v>
      </c>
      <c r="B260" s="436" t="s">
        <v>1900</v>
      </c>
      <c r="C260" s="436" t="s">
        <v>1903</v>
      </c>
      <c r="D260" s="436" t="s">
        <v>1900</v>
      </c>
      <c r="E260" s="436" t="s">
        <v>1904</v>
      </c>
      <c r="F260" s="436" t="s">
        <v>1894</v>
      </c>
    </row>
    <row r="261" spans="1:6" ht="30" x14ac:dyDescent="0.25">
      <c r="A261" s="436" t="s">
        <v>2096</v>
      </c>
      <c r="B261" s="436" t="s">
        <v>1900</v>
      </c>
    </row>
    <row r="262" spans="1:6" x14ac:dyDescent="0.25">
      <c r="A262" s="436" t="s">
        <v>2097</v>
      </c>
      <c r="B262" s="436" t="s">
        <v>1900</v>
      </c>
    </row>
    <row r="263" spans="1:6" ht="30" x14ac:dyDescent="0.25">
      <c r="A263" s="436" t="s">
        <v>2098</v>
      </c>
      <c r="B263" s="436" t="s">
        <v>1900</v>
      </c>
      <c r="C263" s="436" t="s">
        <v>2099</v>
      </c>
      <c r="D263" s="436" t="s">
        <v>1900</v>
      </c>
      <c r="E263" s="436" t="s">
        <v>2100</v>
      </c>
      <c r="F263" s="436" t="s">
        <v>1889</v>
      </c>
    </row>
    <row r="264" spans="1:6" ht="30" x14ac:dyDescent="0.25">
      <c r="A264" s="436" t="s">
        <v>2101</v>
      </c>
      <c r="B264" s="436" t="s">
        <v>1900</v>
      </c>
      <c r="C264" s="436" t="s">
        <v>2099</v>
      </c>
      <c r="D264" s="436" t="s">
        <v>1900</v>
      </c>
      <c r="E264" s="436" t="s">
        <v>2100</v>
      </c>
      <c r="F264" s="436" t="s">
        <v>2102</v>
      </c>
    </row>
    <row r="265" spans="1:6" ht="30" x14ac:dyDescent="0.25">
      <c r="A265" s="436" t="s">
        <v>2103</v>
      </c>
      <c r="B265" s="436" t="s">
        <v>1900</v>
      </c>
      <c r="C265" s="436" t="s">
        <v>2104</v>
      </c>
      <c r="D265" s="436" t="s">
        <v>1900</v>
      </c>
      <c r="E265" s="436" t="s">
        <v>2105</v>
      </c>
      <c r="F265" s="436" t="s">
        <v>1889</v>
      </c>
    </row>
    <row r="266" spans="1:6" ht="30" x14ac:dyDescent="0.25">
      <c r="A266" s="436" t="s">
        <v>2103</v>
      </c>
      <c r="B266" s="436" t="s">
        <v>1900</v>
      </c>
      <c r="C266" s="436" t="s">
        <v>1905</v>
      </c>
      <c r="D266" s="436" t="s">
        <v>1900</v>
      </c>
      <c r="E266" s="436" t="s">
        <v>1906</v>
      </c>
      <c r="F266" s="436" t="s">
        <v>1907</v>
      </c>
    </row>
    <row r="267" spans="1:6" ht="30" x14ac:dyDescent="0.25">
      <c r="A267" s="436" t="s">
        <v>2103</v>
      </c>
      <c r="B267" s="436" t="s">
        <v>1900</v>
      </c>
      <c r="C267" s="436" t="s">
        <v>2067</v>
      </c>
      <c r="D267" s="436" t="s">
        <v>1900</v>
      </c>
      <c r="E267" s="436" t="s">
        <v>2068</v>
      </c>
      <c r="F267" s="436" t="s">
        <v>1907</v>
      </c>
    </row>
    <row r="268" spans="1:6" ht="30" x14ac:dyDescent="0.25">
      <c r="A268" s="436" t="s">
        <v>2106</v>
      </c>
      <c r="B268" s="436" t="s">
        <v>1900</v>
      </c>
      <c r="C268" s="436" t="s">
        <v>2104</v>
      </c>
      <c r="D268" s="436" t="s">
        <v>1900</v>
      </c>
      <c r="E268" s="436" t="s">
        <v>2105</v>
      </c>
      <c r="F268" s="436" t="s">
        <v>1889</v>
      </c>
    </row>
    <row r="269" spans="1:6" ht="30" x14ac:dyDescent="0.25">
      <c r="A269" s="436" t="s">
        <v>2103</v>
      </c>
      <c r="B269" s="436" t="s">
        <v>1900</v>
      </c>
      <c r="C269" s="436" t="s">
        <v>2042</v>
      </c>
      <c r="D269" s="436" t="s">
        <v>1900</v>
      </c>
      <c r="E269" s="436" t="s">
        <v>2107</v>
      </c>
      <c r="F269" s="436" t="s">
        <v>2035</v>
      </c>
    </row>
    <row r="270" spans="1:6" ht="30" x14ac:dyDescent="0.25">
      <c r="A270" s="436" t="s">
        <v>2106</v>
      </c>
      <c r="B270" s="436" t="s">
        <v>1900</v>
      </c>
      <c r="C270" s="436" t="s">
        <v>2042</v>
      </c>
      <c r="D270" s="436" t="s">
        <v>1900</v>
      </c>
      <c r="E270" s="436" t="s">
        <v>2043</v>
      </c>
      <c r="F270" s="436" t="s">
        <v>2035</v>
      </c>
    </row>
    <row r="271" spans="1:6" ht="30" x14ac:dyDescent="0.25">
      <c r="A271" s="436" t="s">
        <v>2106</v>
      </c>
      <c r="B271" s="436" t="s">
        <v>1900</v>
      </c>
      <c r="C271" s="436" t="s">
        <v>2067</v>
      </c>
      <c r="D271" s="436" t="s">
        <v>1900</v>
      </c>
      <c r="E271" s="436" t="s">
        <v>2068</v>
      </c>
      <c r="F271" s="436" t="s">
        <v>1907</v>
      </c>
    </row>
    <row r="272" spans="1:6" ht="30" x14ac:dyDescent="0.25">
      <c r="A272" s="436" t="s">
        <v>2106</v>
      </c>
      <c r="B272" s="436" t="s">
        <v>1900</v>
      </c>
      <c r="C272" s="436" t="s">
        <v>1905</v>
      </c>
      <c r="D272" s="436" t="s">
        <v>1900</v>
      </c>
      <c r="E272" s="436" t="s">
        <v>1906</v>
      </c>
      <c r="F272" s="436" t="s">
        <v>1907</v>
      </c>
    </row>
    <row r="273" spans="1:6" ht="30" x14ac:dyDescent="0.25">
      <c r="A273" s="436" t="s">
        <v>2108</v>
      </c>
      <c r="B273" s="436" t="s">
        <v>1900</v>
      </c>
      <c r="C273" s="436" t="s">
        <v>2109</v>
      </c>
      <c r="D273" s="436" t="s">
        <v>1900</v>
      </c>
      <c r="E273" s="436" t="s">
        <v>2110</v>
      </c>
      <c r="F273" s="436" t="s">
        <v>1889</v>
      </c>
    </row>
    <row r="274" spans="1:6" ht="30" x14ac:dyDescent="0.25">
      <c r="A274" s="436" t="s">
        <v>2111</v>
      </c>
      <c r="B274" s="436" t="s">
        <v>1900</v>
      </c>
      <c r="C274" s="436" t="s">
        <v>2109</v>
      </c>
      <c r="D274" s="436" t="s">
        <v>1900</v>
      </c>
      <c r="E274" s="436" t="s">
        <v>2110</v>
      </c>
      <c r="F274" s="436" t="s">
        <v>1889</v>
      </c>
    </row>
    <row r="275" spans="1:6" ht="30" x14ac:dyDescent="0.25">
      <c r="A275" s="436" t="s">
        <v>2112</v>
      </c>
      <c r="B275" s="436" t="s">
        <v>1900</v>
      </c>
      <c r="C275" s="436" t="s">
        <v>2113</v>
      </c>
      <c r="D275" s="436" t="s">
        <v>1900</v>
      </c>
      <c r="E275" s="436" t="s">
        <v>2114</v>
      </c>
      <c r="F275" s="436" t="s">
        <v>2115</v>
      </c>
    </row>
    <row r="276" spans="1:6" ht="30" x14ac:dyDescent="0.25">
      <c r="A276" s="436" t="s">
        <v>2116</v>
      </c>
      <c r="B276" s="436" t="s">
        <v>1900</v>
      </c>
      <c r="C276" s="436" t="s">
        <v>2113</v>
      </c>
      <c r="D276" s="436" t="s">
        <v>1900</v>
      </c>
      <c r="E276" s="436" t="s">
        <v>2114</v>
      </c>
      <c r="F276" s="436" t="s">
        <v>2077</v>
      </c>
    </row>
    <row r="277" spans="1:6" ht="30" x14ac:dyDescent="0.25">
      <c r="A277" s="436" t="s">
        <v>2117</v>
      </c>
      <c r="B277" s="436" t="s">
        <v>1900</v>
      </c>
      <c r="C277" s="436" t="s">
        <v>2113</v>
      </c>
      <c r="D277" s="436" t="s">
        <v>1900</v>
      </c>
      <c r="E277" s="436" t="s">
        <v>2114</v>
      </c>
      <c r="F277" s="436" t="s">
        <v>2077</v>
      </c>
    </row>
    <row r="278" spans="1:6" ht="30" x14ac:dyDescent="0.25">
      <c r="A278" s="436" t="s">
        <v>2118</v>
      </c>
      <c r="B278" s="436" t="s">
        <v>1900</v>
      </c>
      <c r="C278" s="436" t="s">
        <v>2113</v>
      </c>
      <c r="D278" s="436" t="s">
        <v>1900</v>
      </c>
      <c r="E278" s="436" t="s">
        <v>2114</v>
      </c>
      <c r="F278" s="436" t="s">
        <v>2077</v>
      </c>
    </row>
    <row r="279" spans="1:6" x14ac:dyDescent="0.25">
      <c r="A279" s="436" t="s">
        <v>2119</v>
      </c>
      <c r="B279" s="436" t="s">
        <v>2120</v>
      </c>
      <c r="C279" s="436" t="s">
        <v>2119</v>
      </c>
      <c r="D279" s="436" t="s">
        <v>2120</v>
      </c>
      <c r="E279" s="436" t="s">
        <v>2121</v>
      </c>
      <c r="F279" s="436" t="s">
        <v>1948</v>
      </c>
    </row>
    <row r="280" spans="1:6" ht="30" x14ac:dyDescent="0.25">
      <c r="A280" s="436" t="s">
        <v>2122</v>
      </c>
      <c r="B280" s="436" t="s">
        <v>2120</v>
      </c>
      <c r="C280" s="436" t="s">
        <v>2119</v>
      </c>
      <c r="D280" s="436" t="s">
        <v>2120</v>
      </c>
      <c r="E280" s="436" t="s">
        <v>2121</v>
      </c>
      <c r="F280" s="436" t="s">
        <v>1948</v>
      </c>
    </row>
    <row r="281" spans="1:6" x14ac:dyDescent="0.25">
      <c r="A281" s="436" t="s">
        <v>2123</v>
      </c>
      <c r="B281" s="436" t="s">
        <v>2120</v>
      </c>
      <c r="C281" s="436" t="s">
        <v>2119</v>
      </c>
      <c r="D281" s="436" t="s">
        <v>2120</v>
      </c>
      <c r="E281" s="436" t="s">
        <v>2124</v>
      </c>
      <c r="F281" s="436" t="s">
        <v>1948</v>
      </c>
    </row>
    <row r="282" spans="1:6" ht="30" x14ac:dyDescent="0.25">
      <c r="A282" s="436" t="s">
        <v>2125</v>
      </c>
      <c r="B282" s="436" t="s">
        <v>2120</v>
      </c>
      <c r="C282" s="436" t="s">
        <v>2119</v>
      </c>
      <c r="D282" s="436" t="s">
        <v>2120</v>
      </c>
      <c r="E282" s="436" t="s">
        <v>2121</v>
      </c>
      <c r="F282" s="436" t="s">
        <v>1948</v>
      </c>
    </row>
    <row r="283" spans="1:6" x14ac:dyDescent="0.25">
      <c r="A283" s="436" t="s">
        <v>2126</v>
      </c>
      <c r="B283" s="436" t="s">
        <v>2120</v>
      </c>
      <c r="C283" s="436" t="s">
        <v>2119</v>
      </c>
      <c r="D283" s="436" t="s">
        <v>2120</v>
      </c>
      <c r="E283" s="436" t="s">
        <v>2121</v>
      </c>
      <c r="F283" s="436" t="s">
        <v>1948</v>
      </c>
    </row>
    <row r="284" spans="1:6" ht="30" x14ac:dyDescent="0.25">
      <c r="A284" s="436" t="s">
        <v>2126</v>
      </c>
      <c r="B284" s="436" t="s">
        <v>2120</v>
      </c>
      <c r="C284" s="436" t="s">
        <v>2127</v>
      </c>
      <c r="D284" s="436" t="s">
        <v>2120</v>
      </c>
      <c r="E284" s="436" t="s">
        <v>2121</v>
      </c>
      <c r="F284" s="436" t="s">
        <v>1948</v>
      </c>
    </row>
    <row r="285" spans="1:6" ht="30" x14ac:dyDescent="0.25">
      <c r="C285" s="436" t="s">
        <v>2127</v>
      </c>
      <c r="D285" s="436" t="s">
        <v>2120</v>
      </c>
      <c r="E285" s="436" t="s">
        <v>1827</v>
      </c>
      <c r="F285" s="436" t="s">
        <v>1826</v>
      </c>
    </row>
    <row r="286" spans="1:6" x14ac:dyDescent="0.25">
      <c r="A286" s="436" t="s">
        <v>2128</v>
      </c>
      <c r="B286" s="436" t="s">
        <v>2120</v>
      </c>
      <c r="C286" s="436" t="s">
        <v>2119</v>
      </c>
      <c r="D286" s="436" t="s">
        <v>2120</v>
      </c>
      <c r="E286" s="436" t="s">
        <v>2121</v>
      </c>
      <c r="F286" s="436" t="s">
        <v>1948</v>
      </c>
    </row>
    <row r="287" spans="1:6" ht="30" x14ac:dyDescent="0.25">
      <c r="A287" s="436" t="s">
        <v>2129</v>
      </c>
      <c r="B287" s="436" t="s">
        <v>2120</v>
      </c>
      <c r="C287" s="436" t="s">
        <v>2119</v>
      </c>
      <c r="D287" s="436" t="s">
        <v>2120</v>
      </c>
      <c r="E287" s="436" t="s">
        <v>2121</v>
      </c>
      <c r="F287" s="436" t="s">
        <v>1948</v>
      </c>
    </row>
    <row r="288" spans="1:6" ht="30" x14ac:dyDescent="0.25">
      <c r="A288" s="436" t="s">
        <v>2130</v>
      </c>
      <c r="B288" s="436" t="s">
        <v>2120</v>
      </c>
      <c r="C288" s="436" t="s">
        <v>2119</v>
      </c>
      <c r="D288" s="436" t="s">
        <v>2120</v>
      </c>
      <c r="E288" s="436" t="s">
        <v>2121</v>
      </c>
      <c r="F288" s="436" t="s">
        <v>1948</v>
      </c>
    </row>
    <row r="289" spans="1:6" x14ac:dyDescent="0.25">
      <c r="A289" s="436" t="s">
        <v>2131</v>
      </c>
      <c r="B289" s="436" t="s">
        <v>2120</v>
      </c>
      <c r="C289" s="436" t="s">
        <v>2132</v>
      </c>
      <c r="D289" s="436" t="s">
        <v>2120</v>
      </c>
      <c r="E289" s="436" t="s">
        <v>2133</v>
      </c>
      <c r="F289" s="436" t="s">
        <v>1948</v>
      </c>
    </row>
    <row r="290" spans="1:6" x14ac:dyDescent="0.25">
      <c r="A290" s="436" t="s">
        <v>2131</v>
      </c>
      <c r="B290" s="436" t="s">
        <v>2120</v>
      </c>
      <c r="C290" s="436" t="s">
        <v>1945</v>
      </c>
      <c r="D290" s="436" t="s">
        <v>1946</v>
      </c>
      <c r="E290" s="436" t="s">
        <v>1947</v>
      </c>
      <c r="F290" s="436" t="s">
        <v>1948</v>
      </c>
    </row>
    <row r="291" spans="1:6" ht="30" x14ac:dyDescent="0.25">
      <c r="A291" s="436" t="s">
        <v>2134</v>
      </c>
      <c r="B291" s="436" t="s">
        <v>2120</v>
      </c>
      <c r="C291" s="436" t="s">
        <v>2119</v>
      </c>
      <c r="D291" s="436" t="s">
        <v>2120</v>
      </c>
      <c r="E291" s="436" t="s">
        <v>2121</v>
      </c>
      <c r="F291" s="436" t="s">
        <v>1948</v>
      </c>
    </row>
    <row r="292" spans="1:6" ht="30" x14ac:dyDescent="0.25">
      <c r="A292" s="436" t="s">
        <v>2134</v>
      </c>
      <c r="B292" s="436" t="s">
        <v>2120</v>
      </c>
      <c r="C292" s="436" t="s">
        <v>2135</v>
      </c>
      <c r="D292" s="436" t="s">
        <v>2120</v>
      </c>
      <c r="E292" s="436" t="s">
        <v>2136</v>
      </c>
      <c r="F292" s="436" t="s">
        <v>1948</v>
      </c>
    </row>
    <row r="293" spans="1:6" ht="30" x14ac:dyDescent="0.25">
      <c r="A293" s="436" t="s">
        <v>2134</v>
      </c>
      <c r="B293" s="436" t="s">
        <v>2120</v>
      </c>
      <c r="C293" s="436" t="s">
        <v>2137</v>
      </c>
      <c r="D293" s="436" t="s">
        <v>2138</v>
      </c>
      <c r="E293" s="436" t="s">
        <v>2139</v>
      </c>
      <c r="F293" s="436" t="s">
        <v>2140</v>
      </c>
    </row>
    <row r="294" spans="1:6" ht="30" x14ac:dyDescent="0.25">
      <c r="A294" s="436" t="s">
        <v>2134</v>
      </c>
      <c r="B294" s="436" t="s">
        <v>2120</v>
      </c>
      <c r="C294" s="436" t="s">
        <v>1726</v>
      </c>
      <c r="D294" s="436" t="s">
        <v>1713</v>
      </c>
      <c r="E294" s="436" t="s">
        <v>1727</v>
      </c>
      <c r="F294" s="436" t="s">
        <v>1715</v>
      </c>
    </row>
    <row r="295" spans="1:6" x14ac:dyDescent="0.25">
      <c r="A295" s="436" t="s">
        <v>2141</v>
      </c>
      <c r="B295" s="436" t="s">
        <v>2120</v>
      </c>
      <c r="C295" s="436" t="s">
        <v>1945</v>
      </c>
      <c r="D295" s="436" t="s">
        <v>1946</v>
      </c>
      <c r="E295" s="436" t="s">
        <v>1947</v>
      </c>
      <c r="F295" s="436" t="s">
        <v>1948</v>
      </c>
    </row>
    <row r="296" spans="1:6" ht="30" x14ac:dyDescent="0.25">
      <c r="A296" s="436" t="s">
        <v>2142</v>
      </c>
      <c r="B296" s="436" t="s">
        <v>2120</v>
      </c>
      <c r="C296" s="436" t="s">
        <v>1945</v>
      </c>
      <c r="D296" s="436" t="s">
        <v>1946</v>
      </c>
      <c r="E296" s="436" t="s">
        <v>1947</v>
      </c>
      <c r="F296" s="436" t="s">
        <v>1948</v>
      </c>
    </row>
    <row r="297" spans="1:6" ht="45" x14ac:dyDescent="0.25">
      <c r="A297" s="436" t="s">
        <v>2143</v>
      </c>
      <c r="B297" s="436" t="s">
        <v>2120</v>
      </c>
      <c r="C297" s="436" t="s">
        <v>2144</v>
      </c>
      <c r="D297" s="436" t="s">
        <v>1946</v>
      </c>
      <c r="E297" s="436" t="s">
        <v>2145</v>
      </c>
      <c r="F297" s="436" t="s">
        <v>1948</v>
      </c>
    </row>
    <row r="298" spans="1:6" x14ac:dyDescent="0.25">
      <c r="A298" s="436" t="s">
        <v>2146</v>
      </c>
      <c r="B298" s="436" t="s">
        <v>2120</v>
      </c>
      <c r="C298" s="436" t="s">
        <v>2132</v>
      </c>
      <c r="D298" s="436" t="s">
        <v>2120</v>
      </c>
      <c r="E298" s="436" t="s">
        <v>2133</v>
      </c>
      <c r="F298" s="436" t="s">
        <v>1948</v>
      </c>
    </row>
    <row r="299" spans="1:6" ht="30" x14ac:dyDescent="0.25">
      <c r="C299" s="436" t="s">
        <v>2132</v>
      </c>
      <c r="D299" s="436" t="s">
        <v>2120</v>
      </c>
      <c r="E299" s="436" t="s">
        <v>1827</v>
      </c>
      <c r="F299" s="436" t="s">
        <v>1826</v>
      </c>
    </row>
    <row r="300" spans="1:6" ht="30" x14ac:dyDescent="0.25">
      <c r="A300" s="436" t="s">
        <v>2147</v>
      </c>
      <c r="B300" s="436" t="s">
        <v>2120</v>
      </c>
      <c r="C300" s="436" t="s">
        <v>2119</v>
      </c>
      <c r="D300" s="436" t="s">
        <v>2120</v>
      </c>
      <c r="E300" s="436" t="s">
        <v>2121</v>
      </c>
      <c r="F300" s="436" t="s">
        <v>1948</v>
      </c>
    </row>
    <row r="301" spans="1:6" ht="30" x14ac:dyDescent="0.25">
      <c r="A301" s="436" t="s">
        <v>2147</v>
      </c>
      <c r="B301" s="436" t="s">
        <v>2120</v>
      </c>
      <c r="C301" s="436" t="s">
        <v>2132</v>
      </c>
      <c r="D301" s="436" t="s">
        <v>2120</v>
      </c>
      <c r="E301" s="436" t="s">
        <v>2133</v>
      </c>
      <c r="F301" s="436" t="s">
        <v>1948</v>
      </c>
    </row>
    <row r="302" spans="1:6" ht="30" x14ac:dyDescent="0.25">
      <c r="A302" s="436" t="s">
        <v>2148</v>
      </c>
      <c r="B302" s="436" t="s">
        <v>2120</v>
      </c>
      <c r="C302" s="436" t="s">
        <v>2132</v>
      </c>
      <c r="D302" s="436" t="s">
        <v>2120</v>
      </c>
      <c r="E302" s="436" t="s">
        <v>2133</v>
      </c>
      <c r="F302" s="436" t="s">
        <v>1948</v>
      </c>
    </row>
    <row r="303" spans="1:6" ht="30" x14ac:dyDescent="0.25">
      <c r="A303" s="436" t="s">
        <v>2149</v>
      </c>
      <c r="B303" s="436" t="s">
        <v>2120</v>
      </c>
      <c r="C303" s="436" t="s">
        <v>2150</v>
      </c>
      <c r="D303" s="436" t="s">
        <v>2120</v>
      </c>
      <c r="E303" s="436" t="s">
        <v>2151</v>
      </c>
      <c r="F303" s="436" t="s">
        <v>1948</v>
      </c>
    </row>
    <row r="304" spans="1:6" ht="30" x14ac:dyDescent="0.25">
      <c r="A304" s="436" t="s">
        <v>2152</v>
      </c>
      <c r="B304" s="436" t="s">
        <v>2120</v>
      </c>
      <c r="C304" s="436" t="s">
        <v>2127</v>
      </c>
      <c r="D304" s="436" t="s">
        <v>2120</v>
      </c>
      <c r="E304" s="436" t="s">
        <v>2153</v>
      </c>
      <c r="F304" s="436" t="s">
        <v>1948</v>
      </c>
    </row>
    <row r="305" spans="1:6" ht="30" x14ac:dyDescent="0.25">
      <c r="C305" s="436" t="s">
        <v>2127</v>
      </c>
      <c r="D305" s="436" t="s">
        <v>2120</v>
      </c>
      <c r="E305" s="436" t="s">
        <v>1827</v>
      </c>
      <c r="F305" s="436" t="s">
        <v>1826</v>
      </c>
    </row>
    <row r="306" spans="1:6" ht="30" x14ac:dyDescent="0.25">
      <c r="A306" s="436" t="s">
        <v>2154</v>
      </c>
      <c r="B306" s="436" t="s">
        <v>2120</v>
      </c>
      <c r="C306" s="436" t="s">
        <v>2132</v>
      </c>
      <c r="D306" s="436" t="s">
        <v>2120</v>
      </c>
      <c r="E306" s="436" t="s">
        <v>2133</v>
      </c>
      <c r="F306" s="436" t="s">
        <v>1948</v>
      </c>
    </row>
    <row r="307" spans="1:6" ht="30" x14ac:dyDescent="0.25">
      <c r="A307" s="436" t="s">
        <v>2154</v>
      </c>
      <c r="B307" s="436" t="s">
        <v>2120</v>
      </c>
      <c r="C307" s="436" t="s">
        <v>1945</v>
      </c>
      <c r="D307" s="436" t="s">
        <v>1946</v>
      </c>
      <c r="E307" s="436" t="s">
        <v>1947</v>
      </c>
      <c r="F307" s="436" t="s">
        <v>1948</v>
      </c>
    </row>
    <row r="308" spans="1:6" ht="30" x14ac:dyDescent="0.25">
      <c r="A308" s="436" t="s">
        <v>2155</v>
      </c>
      <c r="B308" s="436" t="s">
        <v>2120</v>
      </c>
      <c r="C308" s="436" t="s">
        <v>2132</v>
      </c>
      <c r="D308" s="436" t="s">
        <v>2120</v>
      </c>
      <c r="E308" s="436" t="s">
        <v>2133</v>
      </c>
      <c r="F308" s="436" t="s">
        <v>1948</v>
      </c>
    </row>
    <row r="309" spans="1:6" ht="30" x14ac:dyDescent="0.25">
      <c r="A309" s="436" t="s">
        <v>2156</v>
      </c>
      <c r="B309" s="436" t="s">
        <v>2120</v>
      </c>
      <c r="C309" s="436" t="s">
        <v>2132</v>
      </c>
      <c r="D309" s="436" t="s">
        <v>2120</v>
      </c>
      <c r="E309" s="436" t="s">
        <v>2133</v>
      </c>
      <c r="F309" s="436" t="s">
        <v>1948</v>
      </c>
    </row>
    <row r="310" spans="1:6" x14ac:dyDescent="0.25">
      <c r="A310" s="436" t="s">
        <v>2157</v>
      </c>
      <c r="B310" s="436" t="s">
        <v>2120</v>
      </c>
      <c r="C310" s="436" t="s">
        <v>2119</v>
      </c>
      <c r="D310" s="436" t="s">
        <v>2120</v>
      </c>
      <c r="E310" s="436" t="s">
        <v>2121</v>
      </c>
      <c r="F310" s="436" t="s">
        <v>1948</v>
      </c>
    </row>
    <row r="311" spans="1:6" x14ac:dyDescent="0.25">
      <c r="A311" s="436" t="s">
        <v>2158</v>
      </c>
      <c r="B311" s="436" t="s">
        <v>2120</v>
      </c>
      <c r="C311" s="436" t="s">
        <v>2119</v>
      </c>
      <c r="D311" s="436" t="s">
        <v>2120</v>
      </c>
      <c r="E311" s="436" t="s">
        <v>2121</v>
      </c>
      <c r="F311" s="436" t="s">
        <v>1948</v>
      </c>
    </row>
    <row r="312" spans="1:6" x14ac:dyDescent="0.25">
      <c r="A312" s="436" t="s">
        <v>2159</v>
      </c>
      <c r="B312" s="436" t="s">
        <v>2120</v>
      </c>
      <c r="C312" s="436" t="s">
        <v>2135</v>
      </c>
      <c r="D312" s="436" t="s">
        <v>2120</v>
      </c>
      <c r="E312" s="436" t="s">
        <v>2136</v>
      </c>
      <c r="F312" s="436" t="s">
        <v>1948</v>
      </c>
    </row>
    <row r="313" spans="1:6" ht="30" x14ac:dyDescent="0.25">
      <c r="A313" s="436" t="s">
        <v>2160</v>
      </c>
      <c r="B313" s="436" t="s">
        <v>2120</v>
      </c>
      <c r="C313" s="436" t="s">
        <v>2137</v>
      </c>
      <c r="D313" s="436" t="s">
        <v>2138</v>
      </c>
      <c r="E313" s="436" t="s">
        <v>2139</v>
      </c>
      <c r="F313" s="436" t="s">
        <v>2140</v>
      </c>
    </row>
    <row r="314" spans="1:6" ht="30" x14ac:dyDescent="0.25">
      <c r="A314" s="436" t="s">
        <v>2161</v>
      </c>
      <c r="B314" s="436" t="s">
        <v>2120</v>
      </c>
      <c r="C314" s="436" t="s">
        <v>2137</v>
      </c>
      <c r="D314" s="436" t="s">
        <v>2138</v>
      </c>
      <c r="E314" s="436" t="s">
        <v>2139</v>
      </c>
      <c r="F314" s="436" t="s">
        <v>2140</v>
      </c>
    </row>
    <row r="315" spans="1:6" ht="30" x14ac:dyDescent="0.25">
      <c r="A315" s="436" t="s">
        <v>2162</v>
      </c>
      <c r="B315" s="436" t="s">
        <v>2163</v>
      </c>
      <c r="C315" s="436" t="s">
        <v>2164</v>
      </c>
      <c r="D315" s="436" t="s">
        <v>2163</v>
      </c>
      <c r="E315" s="436" t="s">
        <v>2165</v>
      </c>
      <c r="F315" s="436" t="s">
        <v>2166</v>
      </c>
    </row>
    <row r="316" spans="1:6" ht="30" x14ac:dyDescent="0.25">
      <c r="A316" s="436" t="s">
        <v>2167</v>
      </c>
      <c r="B316" s="436" t="s">
        <v>2163</v>
      </c>
      <c r="C316" s="436" t="s">
        <v>2164</v>
      </c>
      <c r="D316" s="436" t="s">
        <v>2163</v>
      </c>
      <c r="E316" s="436" t="s">
        <v>2165</v>
      </c>
      <c r="F316" s="436" t="s">
        <v>2166</v>
      </c>
    </row>
    <row r="317" spans="1:6" ht="30" x14ac:dyDescent="0.25">
      <c r="A317" s="436" t="s">
        <v>2168</v>
      </c>
      <c r="B317" s="436" t="s">
        <v>2163</v>
      </c>
      <c r="C317" s="436" t="s">
        <v>2164</v>
      </c>
      <c r="D317" s="436" t="s">
        <v>2163</v>
      </c>
      <c r="E317" s="436" t="s">
        <v>2165</v>
      </c>
      <c r="F317" s="436" t="s">
        <v>2166</v>
      </c>
    </row>
    <row r="318" spans="1:6" ht="45" x14ac:dyDescent="0.25">
      <c r="A318" s="436" t="s">
        <v>2169</v>
      </c>
      <c r="B318" s="436" t="s">
        <v>2163</v>
      </c>
      <c r="C318" s="436" t="s">
        <v>2164</v>
      </c>
      <c r="D318" s="436" t="s">
        <v>2163</v>
      </c>
      <c r="E318" s="436" t="s">
        <v>2165</v>
      </c>
      <c r="F318" s="436" t="s">
        <v>2166</v>
      </c>
    </row>
    <row r="319" spans="1:6" ht="45" x14ac:dyDescent="0.25">
      <c r="A319" s="436" t="s">
        <v>2170</v>
      </c>
      <c r="B319" s="436" t="s">
        <v>2163</v>
      </c>
      <c r="C319" s="436" t="s">
        <v>2164</v>
      </c>
      <c r="D319" s="436" t="s">
        <v>2163</v>
      </c>
      <c r="E319" s="436" t="s">
        <v>2165</v>
      </c>
      <c r="F319" s="436" t="s">
        <v>2166</v>
      </c>
    </row>
    <row r="320" spans="1:6" x14ac:dyDescent="0.25">
      <c r="A320" s="436" t="s">
        <v>2171</v>
      </c>
      <c r="B320" s="436" t="s">
        <v>1946</v>
      </c>
      <c r="C320" s="436" t="s">
        <v>2171</v>
      </c>
      <c r="D320" s="436" t="s">
        <v>1946</v>
      </c>
      <c r="E320" s="436" t="s">
        <v>2172</v>
      </c>
      <c r="F320" s="436" t="s">
        <v>2173</v>
      </c>
    </row>
    <row r="321" spans="1:6" x14ac:dyDescent="0.25">
      <c r="A321" s="436" t="s">
        <v>2174</v>
      </c>
      <c r="B321" s="436" t="s">
        <v>1946</v>
      </c>
      <c r="C321" s="436" t="s">
        <v>2171</v>
      </c>
      <c r="D321" s="436" t="s">
        <v>1946</v>
      </c>
      <c r="E321" s="436" t="s">
        <v>2172</v>
      </c>
      <c r="F321" s="436" t="s">
        <v>2173</v>
      </c>
    </row>
    <row r="322" spans="1:6" ht="30" x14ac:dyDescent="0.25">
      <c r="A322" s="436" t="s">
        <v>2175</v>
      </c>
      <c r="B322" s="436" t="s">
        <v>1946</v>
      </c>
      <c r="C322" s="436" t="s">
        <v>2171</v>
      </c>
      <c r="D322" s="436" t="s">
        <v>1946</v>
      </c>
      <c r="E322" s="436" t="s">
        <v>2172</v>
      </c>
      <c r="F322" s="436" t="s">
        <v>2173</v>
      </c>
    </row>
    <row r="323" spans="1:6" ht="30" x14ac:dyDescent="0.25">
      <c r="A323" s="436" t="s">
        <v>2175</v>
      </c>
      <c r="B323" s="436" t="s">
        <v>1946</v>
      </c>
      <c r="C323" s="436" t="s">
        <v>2176</v>
      </c>
      <c r="D323" s="436" t="s">
        <v>1946</v>
      </c>
      <c r="E323" s="436" t="s">
        <v>2177</v>
      </c>
      <c r="F323" s="436" t="s">
        <v>2173</v>
      </c>
    </row>
    <row r="324" spans="1:6" ht="30" x14ac:dyDescent="0.25">
      <c r="A324" s="436" t="s">
        <v>2175</v>
      </c>
      <c r="B324" s="436" t="s">
        <v>1946</v>
      </c>
      <c r="C324" s="436" t="s">
        <v>2178</v>
      </c>
      <c r="D324" s="436" t="s">
        <v>1946</v>
      </c>
      <c r="E324" s="436" t="s">
        <v>2179</v>
      </c>
      <c r="F324" s="436" t="s">
        <v>2173</v>
      </c>
    </row>
    <row r="325" spans="1:6" x14ac:dyDescent="0.25">
      <c r="A325" s="436" t="s">
        <v>2180</v>
      </c>
      <c r="B325" s="436" t="s">
        <v>1946</v>
      </c>
      <c r="C325" s="436" t="s">
        <v>2171</v>
      </c>
      <c r="D325" s="436" t="s">
        <v>1946</v>
      </c>
      <c r="E325" s="436" t="s">
        <v>2172</v>
      </c>
      <c r="F325" s="436" t="s">
        <v>2173</v>
      </c>
    </row>
    <row r="326" spans="1:6" x14ac:dyDescent="0.25">
      <c r="A326" s="436" t="s">
        <v>2181</v>
      </c>
      <c r="B326" s="436" t="s">
        <v>1946</v>
      </c>
      <c r="C326" s="436" t="s">
        <v>2178</v>
      </c>
      <c r="D326" s="436" t="s">
        <v>1946</v>
      </c>
      <c r="E326" s="436" t="s">
        <v>2179</v>
      </c>
      <c r="F326" s="436" t="s">
        <v>2173</v>
      </c>
    </row>
    <row r="327" spans="1:6" x14ac:dyDescent="0.25">
      <c r="A327" s="436" t="s">
        <v>2181</v>
      </c>
      <c r="B327" s="436" t="s">
        <v>1946</v>
      </c>
      <c r="C327" s="436" t="s">
        <v>2176</v>
      </c>
      <c r="D327" s="436" t="s">
        <v>1946</v>
      </c>
      <c r="E327" s="436" t="s">
        <v>2177</v>
      </c>
      <c r="F327" s="436" t="s">
        <v>2173</v>
      </c>
    </row>
    <row r="328" spans="1:6" x14ac:dyDescent="0.25">
      <c r="A328" s="436" t="s">
        <v>2182</v>
      </c>
      <c r="B328" s="436" t="s">
        <v>1946</v>
      </c>
      <c r="C328" s="436" t="s">
        <v>2178</v>
      </c>
      <c r="D328" s="436" t="s">
        <v>1946</v>
      </c>
      <c r="E328" s="436" t="s">
        <v>2179</v>
      </c>
      <c r="F328" s="436" t="s">
        <v>2173</v>
      </c>
    </row>
    <row r="329" spans="1:6" x14ac:dyDescent="0.25">
      <c r="A329" s="436" t="s">
        <v>2182</v>
      </c>
      <c r="B329" s="436" t="s">
        <v>1946</v>
      </c>
      <c r="C329" s="436" t="s">
        <v>2176</v>
      </c>
      <c r="D329" s="436" t="s">
        <v>1946</v>
      </c>
      <c r="E329" s="436" t="s">
        <v>2177</v>
      </c>
      <c r="F329" s="436" t="s">
        <v>2173</v>
      </c>
    </row>
    <row r="330" spans="1:6" ht="30" x14ac:dyDescent="0.25">
      <c r="A330" s="436" t="s">
        <v>2183</v>
      </c>
      <c r="B330" s="436" t="s">
        <v>2184</v>
      </c>
      <c r="C330" s="436" t="s">
        <v>2183</v>
      </c>
      <c r="D330" s="436" t="s">
        <v>2185</v>
      </c>
      <c r="E330" s="436" t="s">
        <v>2186</v>
      </c>
      <c r="F330" s="436" t="s">
        <v>2187</v>
      </c>
    </row>
    <row r="331" spans="1:6" ht="30" x14ac:dyDescent="0.25">
      <c r="A331" s="436" t="s">
        <v>2188</v>
      </c>
      <c r="B331" s="436" t="s">
        <v>2184</v>
      </c>
      <c r="C331" s="436" t="s">
        <v>2183</v>
      </c>
      <c r="D331" s="436" t="s">
        <v>2185</v>
      </c>
      <c r="E331" s="436" t="s">
        <v>2186</v>
      </c>
      <c r="F331" s="436" t="s">
        <v>2187</v>
      </c>
    </row>
    <row r="332" spans="1:6" ht="30" x14ac:dyDescent="0.25">
      <c r="A332" s="436" t="s">
        <v>2189</v>
      </c>
      <c r="B332" s="436" t="s">
        <v>2184</v>
      </c>
      <c r="C332" s="436" t="s">
        <v>2183</v>
      </c>
      <c r="D332" s="436" t="s">
        <v>2185</v>
      </c>
      <c r="E332" s="436" t="s">
        <v>2186</v>
      </c>
      <c r="F332" s="436" t="s">
        <v>2187</v>
      </c>
    </row>
    <row r="333" spans="1:6" ht="30" x14ac:dyDescent="0.25">
      <c r="A333" s="436" t="s">
        <v>2190</v>
      </c>
      <c r="B333" s="436" t="s">
        <v>2184</v>
      </c>
      <c r="C333" s="436" t="s">
        <v>2191</v>
      </c>
      <c r="D333" s="436" t="s">
        <v>2185</v>
      </c>
      <c r="E333" s="436" t="s">
        <v>2192</v>
      </c>
      <c r="F333" s="436" t="s">
        <v>2187</v>
      </c>
    </row>
    <row r="334" spans="1:6" ht="30" x14ac:dyDescent="0.25">
      <c r="A334" s="436" t="s">
        <v>2190</v>
      </c>
      <c r="B334" s="436" t="s">
        <v>2184</v>
      </c>
      <c r="C334" s="436" t="s">
        <v>2193</v>
      </c>
      <c r="D334" s="436" t="s">
        <v>2184</v>
      </c>
      <c r="E334" s="436" t="s">
        <v>2194</v>
      </c>
      <c r="F334" s="436" t="s">
        <v>2187</v>
      </c>
    </row>
    <row r="335" spans="1:6" ht="30" x14ac:dyDescent="0.25">
      <c r="A335" s="436" t="s">
        <v>2195</v>
      </c>
      <c r="B335" s="436" t="s">
        <v>2184</v>
      </c>
      <c r="C335" s="436" t="s">
        <v>2191</v>
      </c>
      <c r="D335" s="436" t="s">
        <v>2185</v>
      </c>
      <c r="E335" s="436" t="s">
        <v>2192</v>
      </c>
      <c r="F335" s="436" t="s">
        <v>2187</v>
      </c>
    </row>
    <row r="336" spans="1:6" ht="30" x14ac:dyDescent="0.25">
      <c r="A336" s="436" t="s">
        <v>2196</v>
      </c>
      <c r="B336" s="436" t="s">
        <v>2184</v>
      </c>
      <c r="C336" s="436" t="s">
        <v>2193</v>
      </c>
      <c r="D336" s="436" t="s">
        <v>2184</v>
      </c>
      <c r="E336" s="436" t="s">
        <v>2194</v>
      </c>
      <c r="F336" s="436" t="s">
        <v>2187</v>
      </c>
    </row>
    <row r="337" spans="1:6" ht="30" x14ac:dyDescent="0.25">
      <c r="A337" s="436" t="s">
        <v>2197</v>
      </c>
      <c r="B337" s="436" t="s">
        <v>2184</v>
      </c>
      <c r="C337" s="436" t="s">
        <v>2191</v>
      </c>
      <c r="D337" s="436" t="s">
        <v>2185</v>
      </c>
      <c r="E337" s="436" t="s">
        <v>2192</v>
      </c>
      <c r="F337" s="436" t="s">
        <v>2187</v>
      </c>
    </row>
    <row r="338" spans="1:6" ht="45" x14ac:dyDescent="0.25">
      <c r="A338" s="436" t="s">
        <v>2198</v>
      </c>
      <c r="B338" s="436" t="s">
        <v>2184</v>
      </c>
      <c r="C338" s="436" t="s">
        <v>2191</v>
      </c>
      <c r="D338" s="436" t="s">
        <v>2185</v>
      </c>
      <c r="E338" s="436" t="s">
        <v>2192</v>
      </c>
      <c r="F338" s="436" t="s">
        <v>2187</v>
      </c>
    </row>
    <row r="339" spans="1:6" ht="30" x14ac:dyDescent="0.25">
      <c r="A339" s="436" t="s">
        <v>2199</v>
      </c>
      <c r="B339" s="436" t="s">
        <v>2184</v>
      </c>
      <c r="C339" s="436" t="s">
        <v>2200</v>
      </c>
      <c r="D339" s="436" t="s">
        <v>2185</v>
      </c>
      <c r="E339" s="436" t="s">
        <v>2201</v>
      </c>
      <c r="F339" s="436" t="s">
        <v>2187</v>
      </c>
    </row>
    <row r="340" spans="1:6" ht="30" x14ac:dyDescent="0.25">
      <c r="A340" s="436" t="s">
        <v>2202</v>
      </c>
      <c r="B340" s="436" t="s">
        <v>2184</v>
      </c>
      <c r="C340" s="436" t="s">
        <v>2200</v>
      </c>
      <c r="D340" s="436" t="s">
        <v>2185</v>
      </c>
      <c r="E340" s="436" t="s">
        <v>2201</v>
      </c>
      <c r="F340" s="436" t="s">
        <v>2187</v>
      </c>
    </row>
    <row r="341" spans="1:6" ht="30" x14ac:dyDescent="0.25">
      <c r="A341" s="436" t="s">
        <v>2203</v>
      </c>
      <c r="B341" s="436" t="s">
        <v>2184</v>
      </c>
      <c r="C341" s="436" t="s">
        <v>2200</v>
      </c>
      <c r="D341" s="436" t="s">
        <v>2185</v>
      </c>
      <c r="E341" s="436" t="s">
        <v>2201</v>
      </c>
      <c r="F341" s="436" t="s">
        <v>2187</v>
      </c>
    </row>
    <row r="342" spans="1:6" ht="45" x14ac:dyDescent="0.25">
      <c r="A342" s="436" t="s">
        <v>2204</v>
      </c>
      <c r="B342" s="436" t="s">
        <v>2184</v>
      </c>
      <c r="C342" s="436" t="s">
        <v>2200</v>
      </c>
      <c r="D342" s="436" t="s">
        <v>2185</v>
      </c>
      <c r="E342" s="436" t="s">
        <v>2201</v>
      </c>
      <c r="F342" s="436" t="s">
        <v>2187</v>
      </c>
    </row>
    <row r="343" spans="1:6" ht="45" x14ac:dyDescent="0.25">
      <c r="A343" s="436" t="s">
        <v>2205</v>
      </c>
      <c r="B343" s="436" t="s">
        <v>2184</v>
      </c>
      <c r="C343" s="436" t="s">
        <v>2200</v>
      </c>
      <c r="D343" s="436" t="s">
        <v>2185</v>
      </c>
      <c r="E343" s="436" t="s">
        <v>2201</v>
      </c>
      <c r="F343" s="436" t="s">
        <v>2187</v>
      </c>
    </row>
    <row r="344" spans="1:6" ht="45" x14ac:dyDescent="0.25">
      <c r="A344" s="436" t="s">
        <v>2206</v>
      </c>
      <c r="B344" s="436" t="s">
        <v>2184</v>
      </c>
      <c r="C344" s="436" t="s">
        <v>2207</v>
      </c>
      <c r="D344" s="436" t="s">
        <v>2185</v>
      </c>
      <c r="E344" s="436" t="s">
        <v>2208</v>
      </c>
      <c r="F344" s="436" t="s">
        <v>2187</v>
      </c>
    </row>
    <row r="345" spans="1:6" x14ac:dyDescent="0.25">
      <c r="A345" s="436" t="s">
        <v>2209</v>
      </c>
      <c r="B345" s="436" t="s">
        <v>2184</v>
      </c>
      <c r="C345" s="436" t="s">
        <v>2210</v>
      </c>
      <c r="D345" s="436" t="s">
        <v>2185</v>
      </c>
      <c r="E345" s="436" t="s">
        <v>2211</v>
      </c>
      <c r="F345" s="436" t="s">
        <v>2212</v>
      </c>
    </row>
    <row r="346" spans="1:6" x14ac:dyDescent="0.25">
      <c r="A346" s="436" t="s">
        <v>2213</v>
      </c>
      <c r="B346" s="436" t="s">
        <v>2184</v>
      </c>
      <c r="C346" s="436" t="s">
        <v>2210</v>
      </c>
      <c r="D346" s="436" t="s">
        <v>2185</v>
      </c>
      <c r="E346" s="436" t="s">
        <v>2211</v>
      </c>
      <c r="F346" s="436" t="s">
        <v>2212</v>
      </c>
    </row>
    <row r="347" spans="1:6" ht="30" x14ac:dyDescent="0.25">
      <c r="A347" s="436" t="s">
        <v>2214</v>
      </c>
      <c r="B347" s="436" t="s">
        <v>2184</v>
      </c>
      <c r="C347" s="436" t="s">
        <v>2215</v>
      </c>
      <c r="D347" s="436" t="s">
        <v>2185</v>
      </c>
      <c r="E347" s="436" t="s">
        <v>2216</v>
      </c>
      <c r="F347" s="436" t="s">
        <v>2212</v>
      </c>
    </row>
    <row r="348" spans="1:6" ht="30" x14ac:dyDescent="0.25">
      <c r="A348" s="436" t="s">
        <v>2217</v>
      </c>
      <c r="B348" s="436" t="s">
        <v>2184</v>
      </c>
      <c r="C348" s="436" t="s">
        <v>2215</v>
      </c>
      <c r="D348" s="436" t="s">
        <v>2185</v>
      </c>
      <c r="E348" s="436" t="s">
        <v>2216</v>
      </c>
      <c r="F348" s="436" t="s">
        <v>2212</v>
      </c>
    </row>
    <row r="349" spans="1:6" ht="30" x14ac:dyDescent="0.25">
      <c r="A349" s="436" t="s">
        <v>2218</v>
      </c>
      <c r="B349" s="436" t="s">
        <v>2184</v>
      </c>
      <c r="C349" s="436" t="s">
        <v>2219</v>
      </c>
      <c r="D349" s="436" t="s">
        <v>2185</v>
      </c>
      <c r="E349" s="436" t="s">
        <v>2220</v>
      </c>
      <c r="F349" s="436" t="s">
        <v>2187</v>
      </c>
    </row>
    <row r="350" spans="1:6" ht="30" x14ac:dyDescent="0.25">
      <c r="A350" s="436" t="s">
        <v>2221</v>
      </c>
      <c r="B350" s="436" t="s">
        <v>2184</v>
      </c>
      <c r="C350" s="436" t="s">
        <v>2219</v>
      </c>
      <c r="D350" s="436" t="s">
        <v>2185</v>
      </c>
      <c r="E350" s="436" t="s">
        <v>2220</v>
      </c>
      <c r="F350" s="436" t="s">
        <v>2187</v>
      </c>
    </row>
    <row r="351" spans="1:6" ht="30" x14ac:dyDescent="0.25">
      <c r="A351" s="436" t="s">
        <v>2222</v>
      </c>
      <c r="B351" s="436" t="s">
        <v>2184</v>
      </c>
      <c r="C351" s="436" t="s">
        <v>2223</v>
      </c>
      <c r="D351" s="436" t="s">
        <v>2185</v>
      </c>
      <c r="E351" s="436" t="s">
        <v>2224</v>
      </c>
      <c r="F351" s="436" t="s">
        <v>2187</v>
      </c>
    </row>
    <row r="352" spans="1:6" ht="30" x14ac:dyDescent="0.25">
      <c r="A352" s="436" t="s">
        <v>2225</v>
      </c>
      <c r="B352" s="436" t="s">
        <v>2184</v>
      </c>
      <c r="C352" s="436" t="s">
        <v>2223</v>
      </c>
      <c r="D352" s="436" t="s">
        <v>2185</v>
      </c>
      <c r="E352" s="436" t="s">
        <v>2224</v>
      </c>
      <c r="F352" s="436" t="s">
        <v>2187</v>
      </c>
    </row>
    <row r="353" spans="1:6" ht="30" x14ac:dyDescent="0.25">
      <c r="A353" s="436" t="s">
        <v>2226</v>
      </c>
      <c r="B353" s="436" t="s">
        <v>2184</v>
      </c>
      <c r="C353" s="436" t="s">
        <v>2193</v>
      </c>
      <c r="D353" s="436" t="s">
        <v>2185</v>
      </c>
      <c r="E353" s="436" t="s">
        <v>2194</v>
      </c>
      <c r="F353" s="436" t="s">
        <v>2187</v>
      </c>
    </row>
    <row r="354" spans="1:6" ht="30" x14ac:dyDescent="0.25">
      <c r="A354" s="436" t="s">
        <v>2227</v>
      </c>
      <c r="B354" s="436" t="s">
        <v>2228</v>
      </c>
      <c r="C354" s="436" t="s">
        <v>2229</v>
      </c>
      <c r="D354" s="436" t="s">
        <v>2228</v>
      </c>
      <c r="E354" s="436" t="s">
        <v>2230</v>
      </c>
      <c r="F354" s="436" t="s">
        <v>2231</v>
      </c>
    </row>
    <row r="355" spans="1:6" ht="30" x14ac:dyDescent="0.25">
      <c r="A355" s="436" t="s">
        <v>2232</v>
      </c>
      <c r="B355" s="436" t="s">
        <v>2228</v>
      </c>
      <c r="C355" s="436" t="s">
        <v>2229</v>
      </c>
      <c r="D355" s="436" t="s">
        <v>2228</v>
      </c>
      <c r="E355" s="436" t="s">
        <v>2230</v>
      </c>
      <c r="F355" s="436" t="s">
        <v>2231</v>
      </c>
    </row>
    <row r="356" spans="1:6" ht="30" x14ac:dyDescent="0.25">
      <c r="A356" s="436" t="s">
        <v>2233</v>
      </c>
      <c r="B356" s="436" t="s">
        <v>2228</v>
      </c>
      <c r="C356" s="436" t="s">
        <v>2229</v>
      </c>
      <c r="D356" s="436" t="s">
        <v>2228</v>
      </c>
      <c r="E356" s="436" t="s">
        <v>2230</v>
      </c>
      <c r="F356" s="436" t="s">
        <v>2231</v>
      </c>
    </row>
    <row r="357" spans="1:6" ht="45" x14ac:dyDescent="0.25">
      <c r="A357" s="436" t="s">
        <v>2234</v>
      </c>
      <c r="B357" s="436" t="s">
        <v>2228</v>
      </c>
      <c r="C357" s="436" t="s">
        <v>2229</v>
      </c>
      <c r="D357" s="436" t="s">
        <v>2228</v>
      </c>
      <c r="E357" s="436" t="s">
        <v>2230</v>
      </c>
      <c r="F357" s="436" t="s">
        <v>2231</v>
      </c>
    </row>
    <row r="358" spans="1:6" ht="30" x14ac:dyDescent="0.25">
      <c r="A358" s="436" t="s">
        <v>2235</v>
      </c>
      <c r="B358" s="436" t="s">
        <v>2228</v>
      </c>
      <c r="C358" s="436" t="s">
        <v>2229</v>
      </c>
      <c r="D358" s="436" t="s">
        <v>2228</v>
      </c>
      <c r="E358" s="436" t="s">
        <v>2230</v>
      </c>
      <c r="F358" s="436" t="s">
        <v>2231</v>
      </c>
    </row>
    <row r="359" spans="1:6" ht="30" x14ac:dyDescent="0.25">
      <c r="A359" s="436" t="s">
        <v>2236</v>
      </c>
      <c r="B359" s="436" t="s">
        <v>2228</v>
      </c>
      <c r="C359" s="436" t="s">
        <v>2237</v>
      </c>
      <c r="D359" s="436" t="s">
        <v>2228</v>
      </c>
      <c r="E359" s="436" t="s">
        <v>2238</v>
      </c>
      <c r="F359" s="436" t="s">
        <v>2231</v>
      </c>
    </row>
    <row r="360" spans="1:6" ht="30" x14ac:dyDescent="0.25">
      <c r="A360" s="436" t="s">
        <v>2239</v>
      </c>
      <c r="B360" s="436" t="s">
        <v>2228</v>
      </c>
      <c r="C360" s="436" t="s">
        <v>2237</v>
      </c>
      <c r="D360" s="436" t="s">
        <v>2228</v>
      </c>
      <c r="E360" s="436" t="s">
        <v>2238</v>
      </c>
      <c r="F360" s="436" t="s">
        <v>2231</v>
      </c>
    </row>
    <row r="361" spans="1:6" ht="30" x14ac:dyDescent="0.25">
      <c r="A361" s="436" t="s">
        <v>2240</v>
      </c>
      <c r="B361" s="436" t="s">
        <v>2228</v>
      </c>
      <c r="C361" s="436" t="s">
        <v>2237</v>
      </c>
      <c r="D361" s="436" t="s">
        <v>2228</v>
      </c>
      <c r="E361" s="436" t="s">
        <v>2238</v>
      </c>
      <c r="F361" s="436" t="s">
        <v>2231</v>
      </c>
    </row>
    <row r="362" spans="1:6" ht="30" x14ac:dyDescent="0.25">
      <c r="A362" s="436" t="s">
        <v>2241</v>
      </c>
      <c r="B362" s="436" t="s">
        <v>2228</v>
      </c>
      <c r="C362" s="436" t="s">
        <v>2237</v>
      </c>
      <c r="D362" s="436" t="s">
        <v>2228</v>
      </c>
      <c r="E362" s="436" t="s">
        <v>2238</v>
      </c>
      <c r="F362" s="436" t="s">
        <v>2231</v>
      </c>
    </row>
    <row r="363" spans="1:6" ht="30" x14ac:dyDescent="0.25">
      <c r="A363" s="436" t="s">
        <v>2242</v>
      </c>
      <c r="B363" s="436" t="s">
        <v>2243</v>
      </c>
    </row>
    <row r="364" spans="1:6" ht="30" x14ac:dyDescent="0.25">
      <c r="A364" s="436" t="s">
        <v>2244</v>
      </c>
      <c r="B364" s="436" t="s">
        <v>2243</v>
      </c>
    </row>
    <row r="365" spans="1:6" ht="30" x14ac:dyDescent="0.25">
      <c r="A365" s="436" t="s">
        <v>2245</v>
      </c>
      <c r="B365" s="436" t="s">
        <v>2243</v>
      </c>
      <c r="C365" s="436" t="s">
        <v>2246</v>
      </c>
      <c r="D365" s="436" t="s">
        <v>2243</v>
      </c>
      <c r="E365" s="436" t="s">
        <v>2247</v>
      </c>
      <c r="F365" s="436" t="s">
        <v>2231</v>
      </c>
    </row>
    <row r="366" spans="1:6" ht="45" x14ac:dyDescent="0.25">
      <c r="A366" s="436" t="s">
        <v>2248</v>
      </c>
      <c r="B366" s="436" t="s">
        <v>2243</v>
      </c>
      <c r="C366" s="436" t="s">
        <v>2246</v>
      </c>
      <c r="D366" s="436" t="s">
        <v>2243</v>
      </c>
      <c r="E366" s="436" t="s">
        <v>2247</v>
      </c>
      <c r="F366" s="436" t="s">
        <v>2231</v>
      </c>
    </row>
    <row r="367" spans="1:6" ht="45" x14ac:dyDescent="0.25">
      <c r="A367" s="436" t="s">
        <v>2249</v>
      </c>
      <c r="B367" s="436" t="s">
        <v>2243</v>
      </c>
      <c r="C367" s="436" t="s">
        <v>2246</v>
      </c>
      <c r="D367" s="436" t="s">
        <v>2243</v>
      </c>
      <c r="E367" s="436" t="s">
        <v>2247</v>
      </c>
      <c r="F367" s="436" t="s">
        <v>2231</v>
      </c>
    </row>
    <row r="368" spans="1:6" ht="30" x14ac:dyDescent="0.25">
      <c r="A368" s="436" t="s">
        <v>2250</v>
      </c>
      <c r="B368" s="436" t="s">
        <v>2243</v>
      </c>
      <c r="C368" s="436" t="s">
        <v>2246</v>
      </c>
      <c r="D368" s="436" t="s">
        <v>2243</v>
      </c>
      <c r="E368" s="436" t="s">
        <v>2247</v>
      </c>
      <c r="F368" s="436" t="s">
        <v>2231</v>
      </c>
    </row>
    <row r="369" spans="1:6" ht="30" x14ac:dyDescent="0.25">
      <c r="A369" s="436" t="s">
        <v>2251</v>
      </c>
      <c r="B369" s="436" t="s">
        <v>2243</v>
      </c>
      <c r="C369" s="436" t="s">
        <v>2252</v>
      </c>
      <c r="D369" s="436" t="s">
        <v>2253</v>
      </c>
      <c r="E369" s="436" t="s">
        <v>2254</v>
      </c>
      <c r="F369" s="436" t="s">
        <v>2255</v>
      </c>
    </row>
    <row r="370" spans="1:6" ht="30" x14ac:dyDescent="0.25">
      <c r="A370" s="436" t="s">
        <v>2256</v>
      </c>
      <c r="B370" s="436" t="s">
        <v>2243</v>
      </c>
      <c r="C370" s="436" t="s">
        <v>2252</v>
      </c>
      <c r="D370" s="436" t="s">
        <v>2253</v>
      </c>
      <c r="E370" s="436" t="s">
        <v>2254</v>
      </c>
      <c r="F370" s="436" t="s">
        <v>2255</v>
      </c>
    </row>
    <row r="371" spans="1:6" ht="30" x14ac:dyDescent="0.25">
      <c r="A371" s="436" t="s">
        <v>2257</v>
      </c>
      <c r="B371" s="436" t="s">
        <v>2243</v>
      </c>
      <c r="C371" s="436" t="s">
        <v>2252</v>
      </c>
      <c r="D371" s="436" t="s">
        <v>2253</v>
      </c>
      <c r="E371" s="436" t="s">
        <v>2254</v>
      </c>
      <c r="F371" s="436" t="s">
        <v>2255</v>
      </c>
    </row>
    <row r="372" spans="1:6" ht="30" x14ac:dyDescent="0.25">
      <c r="A372" s="436" t="s">
        <v>2258</v>
      </c>
      <c r="B372" s="436" t="s">
        <v>2259</v>
      </c>
      <c r="C372" s="436" t="s">
        <v>2260</v>
      </c>
      <c r="D372" s="436" t="s">
        <v>2259</v>
      </c>
      <c r="E372" s="436" t="s">
        <v>2261</v>
      </c>
      <c r="F372" s="436" t="s">
        <v>2262</v>
      </c>
    </row>
    <row r="373" spans="1:6" ht="30" x14ac:dyDescent="0.25">
      <c r="A373" s="436" t="s">
        <v>2263</v>
      </c>
      <c r="B373" s="436" t="s">
        <v>2259</v>
      </c>
      <c r="C373" s="436" t="s">
        <v>2260</v>
      </c>
      <c r="D373" s="436" t="s">
        <v>2259</v>
      </c>
      <c r="E373" s="436" t="s">
        <v>2261</v>
      </c>
      <c r="F373" s="436" t="s">
        <v>2262</v>
      </c>
    </row>
    <row r="374" spans="1:6" ht="45" x14ac:dyDescent="0.25">
      <c r="A374" s="436" t="s">
        <v>2264</v>
      </c>
      <c r="B374" s="436" t="s">
        <v>2259</v>
      </c>
      <c r="C374" s="436" t="s">
        <v>2260</v>
      </c>
      <c r="D374" s="436" t="s">
        <v>2259</v>
      </c>
      <c r="E374" s="436" t="s">
        <v>2261</v>
      </c>
      <c r="F374" s="436" t="s">
        <v>2262</v>
      </c>
    </row>
    <row r="375" spans="1:6" ht="30" x14ac:dyDescent="0.25">
      <c r="A375" s="436" t="s">
        <v>2265</v>
      </c>
      <c r="B375" s="436" t="s">
        <v>2259</v>
      </c>
      <c r="C375" s="436" t="s">
        <v>2260</v>
      </c>
      <c r="D375" s="436" t="s">
        <v>2259</v>
      </c>
      <c r="E375" s="436" t="s">
        <v>2261</v>
      </c>
      <c r="F375" s="436" t="s">
        <v>2262</v>
      </c>
    </row>
    <row r="376" spans="1:6" ht="30" x14ac:dyDescent="0.25">
      <c r="A376" s="436" t="s">
        <v>2266</v>
      </c>
      <c r="B376" s="436" t="s">
        <v>2259</v>
      </c>
      <c r="C376" s="436" t="s">
        <v>2260</v>
      </c>
      <c r="D376" s="436" t="s">
        <v>2259</v>
      </c>
      <c r="E376" s="436" t="s">
        <v>2261</v>
      </c>
      <c r="F376" s="436" t="s">
        <v>2262</v>
      </c>
    </row>
    <row r="377" spans="1:6" ht="30" x14ac:dyDescent="0.25">
      <c r="A377" s="436" t="s">
        <v>2267</v>
      </c>
      <c r="B377" s="436" t="s">
        <v>2259</v>
      </c>
      <c r="C377" s="436" t="s">
        <v>2260</v>
      </c>
      <c r="D377" s="436" t="s">
        <v>2259</v>
      </c>
      <c r="E377" s="436" t="s">
        <v>2261</v>
      </c>
      <c r="F377" s="436" t="s">
        <v>2262</v>
      </c>
    </row>
    <row r="378" spans="1:6" ht="30" x14ac:dyDescent="0.25">
      <c r="A378" s="436" t="s">
        <v>2268</v>
      </c>
      <c r="B378" s="436" t="s">
        <v>2259</v>
      </c>
      <c r="C378" s="436" t="s">
        <v>2269</v>
      </c>
      <c r="D378" s="436" t="s">
        <v>2259</v>
      </c>
      <c r="E378" s="436" t="s">
        <v>2270</v>
      </c>
      <c r="F378" s="436" t="s">
        <v>2262</v>
      </c>
    </row>
    <row r="379" spans="1:6" ht="30" x14ac:dyDescent="0.25">
      <c r="A379" s="436" t="s">
        <v>2271</v>
      </c>
      <c r="B379" s="436" t="s">
        <v>2259</v>
      </c>
      <c r="C379" s="436" t="s">
        <v>2269</v>
      </c>
      <c r="D379" s="436" t="s">
        <v>2259</v>
      </c>
      <c r="E379" s="436" t="s">
        <v>2270</v>
      </c>
      <c r="F379" s="436" t="s">
        <v>2262</v>
      </c>
    </row>
    <row r="380" spans="1:6" ht="45" x14ac:dyDescent="0.25">
      <c r="A380" s="436" t="s">
        <v>2272</v>
      </c>
      <c r="B380" s="436" t="s">
        <v>2259</v>
      </c>
      <c r="C380" s="436" t="s">
        <v>2269</v>
      </c>
      <c r="D380" s="436" t="s">
        <v>2259</v>
      </c>
      <c r="E380" s="436" t="s">
        <v>2270</v>
      </c>
      <c r="F380" s="436" t="s">
        <v>2262</v>
      </c>
    </row>
    <row r="381" spans="1:6" ht="45" x14ac:dyDescent="0.25">
      <c r="A381" s="436" t="s">
        <v>2273</v>
      </c>
      <c r="B381" s="436" t="s">
        <v>2259</v>
      </c>
      <c r="C381" s="436" t="s">
        <v>2269</v>
      </c>
      <c r="D381" s="436" t="s">
        <v>2259</v>
      </c>
      <c r="E381" s="436" t="s">
        <v>2270</v>
      </c>
      <c r="F381" s="436" t="s">
        <v>2262</v>
      </c>
    </row>
    <row r="382" spans="1:6" ht="30" x14ac:dyDescent="0.25">
      <c r="A382" s="436" t="s">
        <v>2274</v>
      </c>
      <c r="B382" s="436" t="s">
        <v>2259</v>
      </c>
      <c r="C382" s="436" t="s">
        <v>2269</v>
      </c>
      <c r="D382" s="436" t="s">
        <v>2259</v>
      </c>
      <c r="E382" s="436" t="s">
        <v>2270</v>
      </c>
      <c r="F382" s="436" t="s">
        <v>2262</v>
      </c>
    </row>
    <row r="383" spans="1:6" ht="30" x14ac:dyDescent="0.25">
      <c r="A383" s="436" t="s">
        <v>2275</v>
      </c>
      <c r="B383" s="436" t="s">
        <v>2259</v>
      </c>
      <c r="C383" s="436" t="s">
        <v>2269</v>
      </c>
      <c r="D383" s="436" t="s">
        <v>2259</v>
      </c>
      <c r="E383" s="436" t="s">
        <v>2270</v>
      </c>
      <c r="F383" s="436" t="s">
        <v>2262</v>
      </c>
    </row>
    <row r="384" spans="1:6" ht="30" x14ac:dyDescent="0.25">
      <c r="A384" s="436" t="s">
        <v>2276</v>
      </c>
      <c r="B384" s="436" t="s">
        <v>2259</v>
      </c>
      <c r="C384" s="436" t="s">
        <v>2269</v>
      </c>
      <c r="D384" s="436" t="s">
        <v>2259</v>
      </c>
      <c r="E384" s="436" t="s">
        <v>2270</v>
      </c>
      <c r="F384" s="436" t="s">
        <v>2262</v>
      </c>
    </row>
    <row r="385" spans="1:6" ht="30" x14ac:dyDescent="0.25">
      <c r="A385" s="436" t="s">
        <v>2277</v>
      </c>
      <c r="B385" s="436" t="s">
        <v>2259</v>
      </c>
      <c r="C385" s="436" t="s">
        <v>2269</v>
      </c>
      <c r="D385" s="436" t="s">
        <v>2259</v>
      </c>
      <c r="E385" s="436" t="s">
        <v>2270</v>
      </c>
      <c r="F385" s="436" t="s">
        <v>2262</v>
      </c>
    </row>
    <row r="386" spans="1:6" ht="30" x14ac:dyDescent="0.25">
      <c r="A386" s="436" t="s">
        <v>2278</v>
      </c>
      <c r="B386" s="436" t="s">
        <v>2259</v>
      </c>
      <c r="C386" s="436" t="s">
        <v>2279</v>
      </c>
      <c r="D386" s="436" t="s">
        <v>2259</v>
      </c>
      <c r="E386" s="436" t="s">
        <v>2280</v>
      </c>
      <c r="F386" s="436" t="s">
        <v>2281</v>
      </c>
    </row>
    <row r="387" spans="1:6" ht="30" x14ac:dyDescent="0.25">
      <c r="A387" s="436" t="s">
        <v>2282</v>
      </c>
      <c r="B387" s="436" t="s">
        <v>2259</v>
      </c>
      <c r="C387" s="436" t="s">
        <v>2279</v>
      </c>
      <c r="D387" s="436" t="s">
        <v>2259</v>
      </c>
      <c r="E387" s="436" t="s">
        <v>2280</v>
      </c>
      <c r="F387" s="436" t="s">
        <v>2281</v>
      </c>
    </row>
    <row r="388" spans="1:6" ht="30" x14ac:dyDescent="0.25">
      <c r="A388" s="436" t="s">
        <v>2283</v>
      </c>
      <c r="B388" s="436" t="s">
        <v>2259</v>
      </c>
      <c r="C388" s="436" t="s">
        <v>2279</v>
      </c>
      <c r="D388" s="436" t="s">
        <v>2259</v>
      </c>
      <c r="E388" s="436" t="s">
        <v>2280</v>
      </c>
      <c r="F388" s="436" t="s">
        <v>2281</v>
      </c>
    </row>
    <row r="389" spans="1:6" ht="30" x14ac:dyDescent="0.25">
      <c r="A389" s="436" t="s">
        <v>2284</v>
      </c>
      <c r="B389" s="436" t="s">
        <v>2259</v>
      </c>
      <c r="C389" s="436" t="s">
        <v>2279</v>
      </c>
      <c r="D389" s="436" t="s">
        <v>2259</v>
      </c>
      <c r="E389" s="436" t="s">
        <v>2280</v>
      </c>
      <c r="F389" s="436" t="s">
        <v>2281</v>
      </c>
    </row>
    <row r="390" spans="1:6" ht="30" x14ac:dyDescent="0.25">
      <c r="A390" s="436" t="s">
        <v>2285</v>
      </c>
      <c r="B390" s="436" t="s">
        <v>2259</v>
      </c>
      <c r="C390" s="436" t="s">
        <v>2279</v>
      </c>
      <c r="D390" s="436" t="s">
        <v>2259</v>
      </c>
      <c r="E390" s="436" t="s">
        <v>2280</v>
      </c>
      <c r="F390" s="436" t="s">
        <v>2281</v>
      </c>
    </row>
    <row r="391" spans="1:6" ht="30" x14ac:dyDescent="0.25">
      <c r="A391" s="436" t="s">
        <v>2286</v>
      </c>
      <c r="B391" s="436" t="s">
        <v>2259</v>
      </c>
      <c r="C391" s="436" t="s">
        <v>2279</v>
      </c>
      <c r="D391" s="436" t="s">
        <v>2259</v>
      </c>
      <c r="E391" s="436" t="s">
        <v>2280</v>
      </c>
      <c r="F391" s="436" t="s">
        <v>2281</v>
      </c>
    </row>
    <row r="392" spans="1:6" ht="45" x14ac:dyDescent="0.25">
      <c r="A392" s="436" t="s">
        <v>2287</v>
      </c>
      <c r="B392" s="436" t="s">
        <v>2259</v>
      </c>
      <c r="C392" s="436" t="s">
        <v>2279</v>
      </c>
      <c r="D392" s="436" t="s">
        <v>2259</v>
      </c>
      <c r="E392" s="436" t="s">
        <v>2280</v>
      </c>
      <c r="F392" s="436" t="s">
        <v>2281</v>
      </c>
    </row>
    <row r="393" spans="1:6" ht="30" x14ac:dyDescent="0.25">
      <c r="A393" s="436" t="s">
        <v>2288</v>
      </c>
      <c r="B393" s="436" t="s">
        <v>2259</v>
      </c>
      <c r="C393" s="436" t="s">
        <v>2279</v>
      </c>
      <c r="D393" s="436" t="s">
        <v>2259</v>
      </c>
      <c r="E393" s="436" t="s">
        <v>2280</v>
      </c>
      <c r="F393" s="436" t="s">
        <v>2281</v>
      </c>
    </row>
    <row r="394" spans="1:6" ht="30" x14ac:dyDescent="0.25">
      <c r="A394" s="436" t="s">
        <v>2289</v>
      </c>
      <c r="B394" s="436" t="s">
        <v>2259</v>
      </c>
      <c r="C394" s="436" t="s">
        <v>2290</v>
      </c>
      <c r="D394" s="436" t="s">
        <v>2259</v>
      </c>
      <c r="E394" s="436" t="s">
        <v>2291</v>
      </c>
      <c r="F394" s="436" t="s">
        <v>2281</v>
      </c>
    </row>
    <row r="395" spans="1:6" ht="30" x14ac:dyDescent="0.25">
      <c r="A395" s="436" t="s">
        <v>2289</v>
      </c>
      <c r="B395" s="436" t="s">
        <v>2259</v>
      </c>
      <c r="C395" s="436" t="s">
        <v>2292</v>
      </c>
      <c r="D395" s="436" t="s">
        <v>2293</v>
      </c>
      <c r="E395" s="436" t="s">
        <v>2294</v>
      </c>
      <c r="F395" s="436" t="s">
        <v>2295</v>
      </c>
    </row>
    <row r="396" spans="1:6" ht="30" x14ac:dyDescent="0.25">
      <c r="A396" s="436" t="s">
        <v>2296</v>
      </c>
      <c r="B396" s="436" t="s">
        <v>2259</v>
      </c>
      <c r="C396" s="436" t="s">
        <v>2290</v>
      </c>
      <c r="D396" s="436" t="s">
        <v>2259</v>
      </c>
      <c r="E396" s="436" t="s">
        <v>2291</v>
      </c>
      <c r="F396" s="436" t="s">
        <v>2281</v>
      </c>
    </row>
    <row r="397" spans="1:6" ht="30" x14ac:dyDescent="0.25">
      <c r="A397" s="436" t="s">
        <v>2296</v>
      </c>
      <c r="B397" s="436" t="s">
        <v>2259</v>
      </c>
      <c r="C397" s="436" t="s">
        <v>2292</v>
      </c>
      <c r="D397" s="436" t="s">
        <v>2293</v>
      </c>
      <c r="E397" s="436" t="s">
        <v>2297</v>
      </c>
      <c r="F397" s="436" t="s">
        <v>2295</v>
      </c>
    </row>
    <row r="398" spans="1:6" ht="30" x14ac:dyDescent="0.25">
      <c r="A398" s="436" t="s">
        <v>2298</v>
      </c>
      <c r="B398" s="436" t="s">
        <v>2259</v>
      </c>
      <c r="C398" s="436" t="s">
        <v>2290</v>
      </c>
      <c r="D398" s="436" t="s">
        <v>2259</v>
      </c>
      <c r="E398" s="436" t="s">
        <v>2291</v>
      </c>
      <c r="F398" s="436" t="s">
        <v>2281</v>
      </c>
    </row>
    <row r="399" spans="1:6" ht="30" x14ac:dyDescent="0.25">
      <c r="A399" s="436" t="s">
        <v>2298</v>
      </c>
      <c r="B399" s="436" t="s">
        <v>2259</v>
      </c>
      <c r="C399" s="436" t="s">
        <v>2292</v>
      </c>
      <c r="D399" s="436" t="s">
        <v>2293</v>
      </c>
      <c r="E399" s="436" t="s">
        <v>2297</v>
      </c>
      <c r="F399" s="436" t="s">
        <v>2295</v>
      </c>
    </row>
    <row r="400" spans="1:6" ht="45" x14ac:dyDescent="0.25">
      <c r="A400" s="436" t="s">
        <v>2299</v>
      </c>
      <c r="B400" s="436" t="s">
        <v>2259</v>
      </c>
      <c r="C400" s="436" t="s">
        <v>2290</v>
      </c>
      <c r="D400" s="436" t="s">
        <v>2259</v>
      </c>
      <c r="E400" s="436" t="s">
        <v>2291</v>
      </c>
      <c r="F400" s="436" t="s">
        <v>2281</v>
      </c>
    </row>
    <row r="401" spans="1:6" ht="45" x14ac:dyDescent="0.25">
      <c r="A401" s="436" t="s">
        <v>2299</v>
      </c>
      <c r="B401" s="436" t="s">
        <v>2259</v>
      </c>
      <c r="C401" s="436" t="s">
        <v>2292</v>
      </c>
      <c r="D401" s="436" t="s">
        <v>2293</v>
      </c>
      <c r="E401" s="436" t="s">
        <v>2294</v>
      </c>
      <c r="F401" s="436" t="s">
        <v>2295</v>
      </c>
    </row>
    <row r="402" spans="1:6" ht="30" x14ac:dyDescent="0.25">
      <c r="A402" s="436" t="s">
        <v>2300</v>
      </c>
      <c r="B402" s="436" t="s">
        <v>2259</v>
      </c>
      <c r="C402" s="436" t="s">
        <v>2290</v>
      </c>
      <c r="D402" s="436" t="s">
        <v>2259</v>
      </c>
      <c r="E402" s="436" t="s">
        <v>2291</v>
      </c>
      <c r="F402" s="436" t="s">
        <v>2281</v>
      </c>
    </row>
    <row r="403" spans="1:6" ht="30" x14ac:dyDescent="0.25">
      <c r="A403" s="436" t="s">
        <v>2300</v>
      </c>
      <c r="B403" s="436" t="s">
        <v>2259</v>
      </c>
      <c r="C403" s="436" t="s">
        <v>2292</v>
      </c>
      <c r="D403" s="436" t="s">
        <v>2293</v>
      </c>
      <c r="E403" s="436" t="s">
        <v>2297</v>
      </c>
      <c r="F403" s="436" t="s">
        <v>2295</v>
      </c>
    </row>
    <row r="404" spans="1:6" ht="45" x14ac:dyDescent="0.25">
      <c r="A404" s="436" t="s">
        <v>2301</v>
      </c>
      <c r="B404" s="436" t="s">
        <v>2302</v>
      </c>
      <c r="C404" s="436" t="s">
        <v>2303</v>
      </c>
      <c r="D404" s="436" t="s">
        <v>2259</v>
      </c>
      <c r="E404" s="436" t="s">
        <v>2304</v>
      </c>
      <c r="F404" s="436" t="s">
        <v>2295</v>
      </c>
    </row>
    <row r="405" spans="1:6" ht="30" x14ac:dyDescent="0.25">
      <c r="A405" s="436" t="s">
        <v>2301</v>
      </c>
      <c r="B405" s="436" t="s">
        <v>2259</v>
      </c>
      <c r="C405" s="436" t="s">
        <v>2305</v>
      </c>
      <c r="D405" s="436" t="s">
        <v>2259</v>
      </c>
      <c r="E405" s="436" t="s">
        <v>2306</v>
      </c>
      <c r="F405" s="436" t="s">
        <v>2262</v>
      </c>
    </row>
    <row r="406" spans="1:6" ht="45" x14ac:dyDescent="0.25">
      <c r="A406" s="436" t="s">
        <v>2301</v>
      </c>
      <c r="B406" s="436" t="s">
        <v>2259</v>
      </c>
      <c r="C406" s="436" t="s">
        <v>2307</v>
      </c>
      <c r="D406" s="436" t="s">
        <v>2259</v>
      </c>
      <c r="E406" s="436" t="s">
        <v>2308</v>
      </c>
      <c r="F406" s="436" t="s">
        <v>2295</v>
      </c>
    </row>
    <row r="407" spans="1:6" ht="30" x14ac:dyDescent="0.25">
      <c r="A407" s="436" t="s">
        <v>2309</v>
      </c>
      <c r="B407" s="436" t="s">
        <v>2259</v>
      </c>
      <c r="C407" s="436" t="s">
        <v>2305</v>
      </c>
      <c r="D407" s="436" t="s">
        <v>2259</v>
      </c>
      <c r="E407" s="436" t="s">
        <v>2306</v>
      </c>
      <c r="F407" s="436" t="s">
        <v>2262</v>
      </c>
    </row>
    <row r="408" spans="1:6" ht="30" x14ac:dyDescent="0.25">
      <c r="A408" s="436" t="s">
        <v>2310</v>
      </c>
      <c r="B408" s="436" t="s">
        <v>2259</v>
      </c>
      <c r="C408" s="436" t="s">
        <v>2305</v>
      </c>
      <c r="D408" s="436" t="s">
        <v>2259</v>
      </c>
      <c r="E408" s="436" t="s">
        <v>2306</v>
      </c>
      <c r="F408" s="436" t="s">
        <v>2262</v>
      </c>
    </row>
    <row r="409" spans="1:6" ht="30" x14ac:dyDescent="0.25">
      <c r="A409" s="436" t="s">
        <v>2311</v>
      </c>
      <c r="B409" s="436" t="s">
        <v>2259</v>
      </c>
      <c r="C409" s="436" t="s">
        <v>2305</v>
      </c>
      <c r="D409" s="436" t="s">
        <v>2259</v>
      </c>
      <c r="E409" s="436" t="s">
        <v>2306</v>
      </c>
      <c r="F409" s="436" t="s">
        <v>2262</v>
      </c>
    </row>
    <row r="410" spans="1:6" ht="45" x14ac:dyDescent="0.25">
      <c r="A410" s="436" t="s">
        <v>2312</v>
      </c>
      <c r="B410" s="436" t="s">
        <v>2259</v>
      </c>
      <c r="C410" s="436" t="s">
        <v>2307</v>
      </c>
      <c r="D410" s="436" t="s">
        <v>2259</v>
      </c>
      <c r="E410" s="436" t="s">
        <v>2308</v>
      </c>
      <c r="F410" s="436" t="s">
        <v>2295</v>
      </c>
    </row>
    <row r="411" spans="1:6" ht="45" x14ac:dyDescent="0.25">
      <c r="A411" s="436" t="s">
        <v>2313</v>
      </c>
      <c r="B411" s="436" t="s">
        <v>2259</v>
      </c>
      <c r="C411" s="436" t="s">
        <v>2303</v>
      </c>
      <c r="D411" s="436" t="s">
        <v>2259</v>
      </c>
      <c r="E411" s="436" t="s">
        <v>2304</v>
      </c>
      <c r="F411" s="436" t="s">
        <v>2295</v>
      </c>
    </row>
    <row r="412" spans="1:6" ht="30" x14ac:dyDescent="0.25">
      <c r="A412" s="436" t="s">
        <v>2314</v>
      </c>
      <c r="B412" s="436" t="s">
        <v>2259</v>
      </c>
      <c r="C412" s="436" t="s">
        <v>2269</v>
      </c>
      <c r="D412" s="436" t="s">
        <v>2259</v>
      </c>
      <c r="E412" s="436" t="s">
        <v>2270</v>
      </c>
      <c r="F412" s="436" t="s">
        <v>2262</v>
      </c>
    </row>
    <row r="413" spans="1:6" ht="30" x14ac:dyDescent="0.25">
      <c r="A413" s="436" t="s">
        <v>2315</v>
      </c>
      <c r="B413" s="436" t="s">
        <v>2259</v>
      </c>
      <c r="C413" s="436" t="s">
        <v>2269</v>
      </c>
      <c r="D413" s="436" t="s">
        <v>2259</v>
      </c>
      <c r="E413" s="436" t="s">
        <v>2270</v>
      </c>
      <c r="F413" s="436" t="s">
        <v>2262</v>
      </c>
    </row>
    <row r="414" spans="1:6" ht="30" x14ac:dyDescent="0.25">
      <c r="A414" s="436" t="s">
        <v>2316</v>
      </c>
      <c r="B414" s="436" t="s">
        <v>2259</v>
      </c>
      <c r="C414" s="436" t="s">
        <v>2269</v>
      </c>
      <c r="D414" s="436" t="s">
        <v>2259</v>
      </c>
      <c r="E414" s="436" t="s">
        <v>2270</v>
      </c>
      <c r="F414" s="436" t="s">
        <v>2262</v>
      </c>
    </row>
    <row r="415" spans="1:6" ht="60" x14ac:dyDescent="0.25">
      <c r="A415" s="436" t="s">
        <v>2317</v>
      </c>
      <c r="B415" s="436" t="s">
        <v>2259</v>
      </c>
      <c r="C415" s="436" t="s">
        <v>2269</v>
      </c>
      <c r="D415" s="436" t="s">
        <v>2259</v>
      </c>
      <c r="E415" s="436" t="s">
        <v>2270</v>
      </c>
      <c r="F415" s="436" t="s">
        <v>2262</v>
      </c>
    </row>
    <row r="416" spans="1:6" ht="30" x14ac:dyDescent="0.25">
      <c r="A416" s="436" t="s">
        <v>2318</v>
      </c>
      <c r="B416" s="436" t="s">
        <v>2259</v>
      </c>
      <c r="C416" s="436" t="s">
        <v>2269</v>
      </c>
      <c r="D416" s="436" t="s">
        <v>2259</v>
      </c>
      <c r="E416" s="436" t="s">
        <v>2270</v>
      </c>
      <c r="F416" s="436" t="s">
        <v>2262</v>
      </c>
    </row>
    <row r="417" spans="1:6" ht="30" x14ac:dyDescent="0.25">
      <c r="A417" s="436" t="s">
        <v>2319</v>
      </c>
      <c r="B417" s="436" t="s">
        <v>2259</v>
      </c>
      <c r="C417" s="436" t="s">
        <v>2269</v>
      </c>
      <c r="D417" s="436" t="s">
        <v>2259</v>
      </c>
      <c r="E417" s="436" t="s">
        <v>2270</v>
      </c>
      <c r="F417" s="436" t="s">
        <v>2262</v>
      </c>
    </row>
    <row r="418" spans="1:6" ht="30" x14ac:dyDescent="0.25">
      <c r="A418" s="436" t="s">
        <v>2320</v>
      </c>
      <c r="B418" s="436" t="s">
        <v>2259</v>
      </c>
      <c r="C418" s="436" t="s">
        <v>2269</v>
      </c>
      <c r="D418" s="436" t="s">
        <v>2259</v>
      </c>
      <c r="E418" s="436" t="s">
        <v>2270</v>
      </c>
      <c r="F418" s="436" t="s">
        <v>2262</v>
      </c>
    </row>
    <row r="419" spans="1:6" ht="30" x14ac:dyDescent="0.25">
      <c r="A419" s="436" t="s">
        <v>2321</v>
      </c>
      <c r="B419" s="436" t="s">
        <v>2259</v>
      </c>
      <c r="C419" s="436" t="s">
        <v>2269</v>
      </c>
      <c r="D419" s="436" t="s">
        <v>2259</v>
      </c>
      <c r="E419" s="436" t="s">
        <v>2270</v>
      </c>
      <c r="F419" s="436" t="s">
        <v>2262</v>
      </c>
    </row>
    <row r="420" spans="1:6" ht="30" x14ac:dyDescent="0.25">
      <c r="A420" s="436" t="s">
        <v>2322</v>
      </c>
      <c r="B420" s="436" t="s">
        <v>2259</v>
      </c>
      <c r="C420" s="436" t="s">
        <v>2269</v>
      </c>
      <c r="D420" s="436" t="s">
        <v>2259</v>
      </c>
      <c r="E420" s="436" t="s">
        <v>2270</v>
      </c>
      <c r="F420" s="436" t="s">
        <v>2262</v>
      </c>
    </row>
    <row r="421" spans="1:6" ht="45" x14ac:dyDescent="0.25">
      <c r="A421" s="436" t="s">
        <v>2323</v>
      </c>
      <c r="B421" s="436" t="s">
        <v>2259</v>
      </c>
      <c r="C421" s="436" t="s">
        <v>2269</v>
      </c>
      <c r="D421" s="436" t="s">
        <v>2259</v>
      </c>
      <c r="E421" s="436" t="s">
        <v>2270</v>
      </c>
      <c r="F421" s="436" t="s">
        <v>2262</v>
      </c>
    </row>
    <row r="422" spans="1:6" ht="30" x14ac:dyDescent="0.25">
      <c r="A422" s="436" t="s">
        <v>2324</v>
      </c>
      <c r="B422" s="436" t="s">
        <v>2259</v>
      </c>
      <c r="C422" s="436" t="s">
        <v>2269</v>
      </c>
      <c r="D422" s="436" t="s">
        <v>2259</v>
      </c>
      <c r="E422" s="436" t="s">
        <v>2270</v>
      </c>
      <c r="F422" s="436" t="s">
        <v>2262</v>
      </c>
    </row>
    <row r="423" spans="1:6" ht="30" x14ac:dyDescent="0.25">
      <c r="A423" s="436" t="s">
        <v>2325</v>
      </c>
      <c r="B423" s="436" t="s">
        <v>2253</v>
      </c>
      <c r="C423" s="436" t="s">
        <v>2326</v>
      </c>
      <c r="D423" s="436" t="s">
        <v>2253</v>
      </c>
      <c r="E423" s="436" t="s">
        <v>2327</v>
      </c>
      <c r="F423" s="436" t="s">
        <v>2328</v>
      </c>
    </row>
    <row r="424" spans="1:6" ht="30" x14ac:dyDescent="0.25">
      <c r="A424" s="436" t="s">
        <v>2329</v>
      </c>
      <c r="B424" s="436" t="s">
        <v>2253</v>
      </c>
      <c r="C424" s="436" t="s">
        <v>2326</v>
      </c>
      <c r="D424" s="436" t="s">
        <v>2253</v>
      </c>
      <c r="E424" s="436" t="s">
        <v>2327</v>
      </c>
      <c r="F424" s="436" t="s">
        <v>2328</v>
      </c>
    </row>
    <row r="425" spans="1:6" ht="30" x14ac:dyDescent="0.25">
      <c r="A425" s="436" t="s">
        <v>2330</v>
      </c>
      <c r="B425" s="436" t="s">
        <v>2253</v>
      </c>
      <c r="C425" s="436" t="s">
        <v>2326</v>
      </c>
      <c r="D425" s="436" t="s">
        <v>2253</v>
      </c>
      <c r="E425" s="436" t="s">
        <v>2327</v>
      </c>
      <c r="F425" s="436" t="s">
        <v>2328</v>
      </c>
    </row>
    <row r="426" spans="1:6" ht="45" x14ac:dyDescent="0.25">
      <c r="A426" s="436" t="s">
        <v>2331</v>
      </c>
      <c r="B426" s="436" t="s">
        <v>2253</v>
      </c>
      <c r="C426" s="436" t="s">
        <v>2326</v>
      </c>
      <c r="D426" s="436" t="s">
        <v>2253</v>
      </c>
      <c r="E426" s="436" t="s">
        <v>2327</v>
      </c>
      <c r="F426" s="436" t="s">
        <v>2328</v>
      </c>
    </row>
    <row r="427" spans="1:6" ht="30" x14ac:dyDescent="0.25">
      <c r="A427" s="436" t="s">
        <v>2332</v>
      </c>
      <c r="B427" s="436" t="s">
        <v>2253</v>
      </c>
      <c r="C427" s="436" t="s">
        <v>2326</v>
      </c>
      <c r="D427" s="436" t="s">
        <v>2253</v>
      </c>
      <c r="E427" s="436" t="s">
        <v>2327</v>
      </c>
      <c r="F427" s="436" t="s">
        <v>2328</v>
      </c>
    </row>
    <row r="428" spans="1:6" ht="30" x14ac:dyDescent="0.25">
      <c r="A428" s="436" t="s">
        <v>2333</v>
      </c>
      <c r="B428" s="436" t="s">
        <v>2253</v>
      </c>
      <c r="C428" s="436" t="s">
        <v>2326</v>
      </c>
      <c r="D428" s="436" t="s">
        <v>2253</v>
      </c>
      <c r="E428" s="436" t="s">
        <v>2327</v>
      </c>
      <c r="F428" s="436" t="s">
        <v>2328</v>
      </c>
    </row>
    <row r="429" spans="1:6" ht="30" x14ac:dyDescent="0.25">
      <c r="A429" s="436" t="s">
        <v>2334</v>
      </c>
      <c r="B429" s="436" t="s">
        <v>2253</v>
      </c>
      <c r="C429" s="436" t="s">
        <v>2326</v>
      </c>
      <c r="D429" s="436" t="s">
        <v>2253</v>
      </c>
      <c r="E429" s="436" t="s">
        <v>2327</v>
      </c>
      <c r="F429" s="436" t="s">
        <v>2328</v>
      </c>
    </row>
    <row r="430" spans="1:6" ht="30" x14ac:dyDescent="0.25">
      <c r="A430" s="436" t="s">
        <v>2335</v>
      </c>
      <c r="B430" s="436" t="s">
        <v>2253</v>
      </c>
      <c r="C430" s="436" t="s">
        <v>2326</v>
      </c>
      <c r="D430" s="436" t="s">
        <v>2253</v>
      </c>
      <c r="E430" s="436" t="s">
        <v>2327</v>
      </c>
      <c r="F430" s="436" t="s">
        <v>2328</v>
      </c>
    </row>
    <row r="431" spans="1:6" ht="45" x14ac:dyDescent="0.25">
      <c r="A431" s="436" t="s">
        <v>2336</v>
      </c>
      <c r="B431" s="436" t="s">
        <v>2253</v>
      </c>
      <c r="C431" s="436" t="s">
        <v>2326</v>
      </c>
      <c r="D431" s="436" t="s">
        <v>2253</v>
      </c>
      <c r="E431" s="436" t="s">
        <v>2327</v>
      </c>
      <c r="F431" s="436" t="s">
        <v>2328</v>
      </c>
    </row>
    <row r="432" spans="1:6" ht="30" x14ac:dyDescent="0.25">
      <c r="A432" s="436" t="s">
        <v>2337</v>
      </c>
      <c r="B432" s="436" t="s">
        <v>2253</v>
      </c>
      <c r="C432" s="436" t="s">
        <v>2326</v>
      </c>
      <c r="D432" s="436" t="s">
        <v>2253</v>
      </c>
      <c r="E432" s="436" t="s">
        <v>2327</v>
      </c>
      <c r="F432" s="436" t="s">
        <v>2328</v>
      </c>
    </row>
    <row r="433" spans="1:6" ht="30" x14ac:dyDescent="0.25">
      <c r="A433" s="436" t="s">
        <v>2338</v>
      </c>
      <c r="B433" s="436" t="s">
        <v>2253</v>
      </c>
      <c r="C433" s="436" t="s">
        <v>2339</v>
      </c>
      <c r="D433" s="436" t="s">
        <v>2253</v>
      </c>
      <c r="E433" s="436" t="s">
        <v>2340</v>
      </c>
      <c r="F433" s="436" t="s">
        <v>2255</v>
      </c>
    </row>
    <row r="434" spans="1:6" ht="30" x14ac:dyDescent="0.25">
      <c r="A434" s="436" t="s">
        <v>2341</v>
      </c>
      <c r="B434" s="436" t="s">
        <v>2253</v>
      </c>
      <c r="C434" s="436" t="s">
        <v>2339</v>
      </c>
      <c r="D434" s="436" t="s">
        <v>2253</v>
      </c>
      <c r="E434" s="436" t="s">
        <v>2340</v>
      </c>
      <c r="F434" s="436" t="s">
        <v>2255</v>
      </c>
    </row>
    <row r="435" spans="1:6" ht="30" x14ac:dyDescent="0.25">
      <c r="A435" s="436" t="s">
        <v>2342</v>
      </c>
      <c r="B435" s="436" t="s">
        <v>2253</v>
      </c>
      <c r="C435" s="436" t="s">
        <v>2339</v>
      </c>
      <c r="D435" s="436" t="s">
        <v>2253</v>
      </c>
      <c r="E435" s="436" t="s">
        <v>2340</v>
      </c>
      <c r="F435" s="436" t="s">
        <v>2255</v>
      </c>
    </row>
    <row r="436" spans="1:6" ht="60" x14ac:dyDescent="0.25">
      <c r="A436" s="436" t="s">
        <v>2343</v>
      </c>
      <c r="B436" s="436" t="s">
        <v>2253</v>
      </c>
      <c r="C436" s="436" t="s">
        <v>2339</v>
      </c>
      <c r="D436" s="436" t="s">
        <v>2253</v>
      </c>
      <c r="E436" s="436" t="s">
        <v>2340</v>
      </c>
      <c r="F436" s="436" t="s">
        <v>2255</v>
      </c>
    </row>
    <row r="437" spans="1:6" ht="45" x14ac:dyDescent="0.25">
      <c r="A437" s="436" t="s">
        <v>2344</v>
      </c>
      <c r="B437" s="436" t="s">
        <v>2253</v>
      </c>
      <c r="C437" s="436" t="s">
        <v>2339</v>
      </c>
      <c r="D437" s="436" t="s">
        <v>2253</v>
      </c>
      <c r="E437" s="436" t="s">
        <v>2340</v>
      </c>
      <c r="F437" s="436" t="s">
        <v>2255</v>
      </c>
    </row>
    <row r="438" spans="1:6" ht="45" x14ac:dyDescent="0.25">
      <c r="A438" s="436" t="s">
        <v>2344</v>
      </c>
      <c r="B438" s="436" t="s">
        <v>2253</v>
      </c>
      <c r="C438" s="436" t="s">
        <v>2305</v>
      </c>
      <c r="D438" s="436" t="s">
        <v>2259</v>
      </c>
      <c r="E438" s="436" t="s">
        <v>2306</v>
      </c>
      <c r="F438" s="436" t="s">
        <v>2262</v>
      </c>
    </row>
    <row r="439" spans="1:6" ht="45" x14ac:dyDescent="0.25">
      <c r="A439" s="436" t="s">
        <v>2345</v>
      </c>
      <c r="B439" s="436" t="s">
        <v>2253</v>
      </c>
      <c r="C439" s="436" t="s">
        <v>2339</v>
      </c>
      <c r="D439" s="436" t="s">
        <v>2253</v>
      </c>
      <c r="E439" s="436" t="s">
        <v>2340</v>
      </c>
      <c r="F439" s="436" t="s">
        <v>2255</v>
      </c>
    </row>
    <row r="440" spans="1:6" ht="30" x14ac:dyDescent="0.25">
      <c r="A440" s="436" t="s">
        <v>2346</v>
      </c>
      <c r="B440" s="436" t="s">
        <v>2253</v>
      </c>
      <c r="C440" s="436" t="s">
        <v>2347</v>
      </c>
      <c r="D440" s="436" t="s">
        <v>2253</v>
      </c>
      <c r="E440" s="436" t="s">
        <v>2348</v>
      </c>
      <c r="F440" s="436" t="s">
        <v>2255</v>
      </c>
    </row>
    <row r="441" spans="1:6" ht="30" x14ac:dyDescent="0.25">
      <c r="A441" s="436" t="s">
        <v>2349</v>
      </c>
      <c r="B441" s="436" t="s">
        <v>2253</v>
      </c>
      <c r="C441" s="436" t="s">
        <v>2347</v>
      </c>
      <c r="D441" s="436" t="s">
        <v>2253</v>
      </c>
      <c r="E441" s="436" t="s">
        <v>2348</v>
      </c>
      <c r="F441" s="436" t="s">
        <v>2255</v>
      </c>
    </row>
    <row r="442" spans="1:6" ht="30" x14ac:dyDescent="0.25">
      <c r="A442" s="436" t="s">
        <v>2350</v>
      </c>
      <c r="B442" s="436" t="s">
        <v>2253</v>
      </c>
      <c r="C442" s="436" t="s">
        <v>2347</v>
      </c>
      <c r="D442" s="436" t="s">
        <v>2253</v>
      </c>
      <c r="E442" s="436" t="s">
        <v>2348</v>
      </c>
      <c r="F442" s="436" t="s">
        <v>2255</v>
      </c>
    </row>
    <row r="443" spans="1:6" ht="30" x14ac:dyDescent="0.25">
      <c r="A443" s="436" t="s">
        <v>2351</v>
      </c>
      <c r="B443" s="436" t="s">
        <v>2253</v>
      </c>
      <c r="C443" s="436" t="s">
        <v>2339</v>
      </c>
      <c r="D443" s="436" t="s">
        <v>2253</v>
      </c>
      <c r="E443" s="436" t="s">
        <v>2340</v>
      </c>
      <c r="F443" s="436" t="s">
        <v>2255</v>
      </c>
    </row>
    <row r="444" spans="1:6" ht="30" x14ac:dyDescent="0.25">
      <c r="A444" s="436" t="s">
        <v>2351</v>
      </c>
      <c r="B444" s="436" t="s">
        <v>2253</v>
      </c>
      <c r="C444" s="436" t="s">
        <v>2252</v>
      </c>
      <c r="D444" s="436" t="s">
        <v>2253</v>
      </c>
      <c r="E444" s="436" t="s">
        <v>2254</v>
      </c>
      <c r="F444" s="436" t="s">
        <v>2255</v>
      </c>
    </row>
    <row r="445" spans="1:6" ht="45" x14ac:dyDescent="0.25">
      <c r="A445" s="436" t="s">
        <v>2352</v>
      </c>
      <c r="B445" s="436" t="s">
        <v>2253</v>
      </c>
      <c r="C445" s="436" t="s">
        <v>2252</v>
      </c>
      <c r="D445" s="436" t="s">
        <v>2253</v>
      </c>
      <c r="E445" s="436" t="s">
        <v>2254</v>
      </c>
      <c r="F445" s="436" t="s">
        <v>2255</v>
      </c>
    </row>
    <row r="446" spans="1:6" ht="45" x14ac:dyDescent="0.25">
      <c r="A446" s="436" t="s">
        <v>2353</v>
      </c>
      <c r="B446" s="436" t="s">
        <v>2253</v>
      </c>
      <c r="C446" s="436" t="s">
        <v>2252</v>
      </c>
      <c r="D446" s="436" t="s">
        <v>2253</v>
      </c>
      <c r="E446" s="436" t="s">
        <v>2254</v>
      </c>
      <c r="F446" s="436" t="s">
        <v>2255</v>
      </c>
    </row>
    <row r="447" spans="1:6" ht="30" x14ac:dyDescent="0.25">
      <c r="A447" s="436" t="s">
        <v>2354</v>
      </c>
      <c r="B447" s="436" t="s">
        <v>2253</v>
      </c>
      <c r="C447" s="436" t="s">
        <v>2252</v>
      </c>
      <c r="D447" s="436" t="s">
        <v>2253</v>
      </c>
      <c r="E447" s="436" t="s">
        <v>2254</v>
      </c>
      <c r="F447" s="436" t="s">
        <v>2255</v>
      </c>
    </row>
    <row r="448" spans="1:6" ht="30" x14ac:dyDescent="0.25">
      <c r="A448" s="436" t="s">
        <v>2355</v>
      </c>
      <c r="B448" s="436" t="s">
        <v>2253</v>
      </c>
      <c r="C448" s="436" t="s">
        <v>2252</v>
      </c>
      <c r="D448" s="436" t="s">
        <v>2253</v>
      </c>
      <c r="E448" s="436" t="s">
        <v>2254</v>
      </c>
      <c r="F448" s="436" t="s">
        <v>2255</v>
      </c>
    </row>
    <row r="449" spans="1:6" ht="30" x14ac:dyDescent="0.25">
      <c r="A449" s="436" t="s">
        <v>2356</v>
      </c>
      <c r="B449" s="436" t="s">
        <v>2253</v>
      </c>
      <c r="C449" s="436" t="s">
        <v>2252</v>
      </c>
      <c r="D449" s="436" t="s">
        <v>2253</v>
      </c>
      <c r="E449" s="436" t="s">
        <v>2254</v>
      </c>
      <c r="F449" s="436" t="s">
        <v>2255</v>
      </c>
    </row>
    <row r="450" spans="1:6" ht="45" x14ac:dyDescent="0.25">
      <c r="A450" s="436" t="s">
        <v>2357</v>
      </c>
      <c r="B450" s="436" t="s">
        <v>2253</v>
      </c>
      <c r="C450" s="436" t="s">
        <v>2252</v>
      </c>
      <c r="D450" s="436" t="s">
        <v>2253</v>
      </c>
      <c r="E450" s="436" t="s">
        <v>2254</v>
      </c>
      <c r="F450" s="436" t="s">
        <v>2255</v>
      </c>
    </row>
    <row r="451" spans="1:6" ht="30" x14ac:dyDescent="0.25">
      <c r="A451" s="436" t="s">
        <v>2358</v>
      </c>
      <c r="B451" s="436" t="s">
        <v>2253</v>
      </c>
      <c r="C451" s="436" t="s">
        <v>2252</v>
      </c>
      <c r="D451" s="436" t="s">
        <v>2253</v>
      </c>
      <c r="E451" s="436" t="s">
        <v>2254</v>
      </c>
      <c r="F451" s="436" t="s">
        <v>2255</v>
      </c>
    </row>
    <row r="452" spans="1:6" ht="30" x14ac:dyDescent="0.25">
      <c r="A452" s="436" t="s">
        <v>2359</v>
      </c>
      <c r="B452" s="436" t="s">
        <v>2253</v>
      </c>
      <c r="C452" s="436" t="s">
        <v>2360</v>
      </c>
      <c r="D452" s="436" t="s">
        <v>2253</v>
      </c>
      <c r="E452" s="436" t="s">
        <v>2361</v>
      </c>
      <c r="F452" s="436" t="s">
        <v>2328</v>
      </c>
    </row>
    <row r="453" spans="1:6" ht="45" x14ac:dyDescent="0.25">
      <c r="A453" s="436" t="s">
        <v>2362</v>
      </c>
      <c r="B453" s="436" t="s">
        <v>2253</v>
      </c>
      <c r="C453" s="436" t="s">
        <v>2360</v>
      </c>
      <c r="D453" s="436" t="s">
        <v>2253</v>
      </c>
      <c r="E453" s="436" t="s">
        <v>2361</v>
      </c>
      <c r="F453" s="436" t="s">
        <v>2328</v>
      </c>
    </row>
    <row r="454" spans="1:6" ht="30" x14ac:dyDescent="0.25">
      <c r="A454" s="436" t="s">
        <v>2363</v>
      </c>
      <c r="B454" s="436" t="s">
        <v>2253</v>
      </c>
      <c r="C454" s="436" t="s">
        <v>2360</v>
      </c>
      <c r="D454" s="436" t="s">
        <v>2253</v>
      </c>
      <c r="E454" s="436" t="s">
        <v>2361</v>
      </c>
      <c r="F454" s="436" t="s">
        <v>2328</v>
      </c>
    </row>
    <row r="455" spans="1:6" ht="30" x14ac:dyDescent="0.25">
      <c r="A455" s="436" t="s">
        <v>2364</v>
      </c>
      <c r="B455" s="436" t="s">
        <v>2253</v>
      </c>
      <c r="C455" s="436" t="s">
        <v>2360</v>
      </c>
      <c r="D455" s="436" t="s">
        <v>2253</v>
      </c>
      <c r="E455" s="436" t="s">
        <v>2361</v>
      </c>
      <c r="F455" s="436" t="s">
        <v>2328</v>
      </c>
    </row>
    <row r="456" spans="1:6" ht="30" x14ac:dyDescent="0.25">
      <c r="A456" s="436" t="s">
        <v>2365</v>
      </c>
      <c r="B456" s="436" t="s">
        <v>2253</v>
      </c>
      <c r="C456" s="436" t="s">
        <v>2360</v>
      </c>
      <c r="D456" s="436" t="s">
        <v>2253</v>
      </c>
      <c r="E456" s="436" t="s">
        <v>2361</v>
      </c>
      <c r="F456" s="436" t="s">
        <v>2328</v>
      </c>
    </row>
    <row r="457" spans="1:6" ht="30" x14ac:dyDescent="0.25">
      <c r="A457" s="436" t="s">
        <v>2366</v>
      </c>
      <c r="B457" s="436" t="s">
        <v>2253</v>
      </c>
      <c r="C457" s="436" t="s">
        <v>2360</v>
      </c>
      <c r="D457" s="436" t="s">
        <v>2253</v>
      </c>
      <c r="E457" s="436" t="s">
        <v>2361</v>
      </c>
      <c r="F457" s="436" t="s">
        <v>2328</v>
      </c>
    </row>
    <row r="458" spans="1:6" ht="30" x14ac:dyDescent="0.25">
      <c r="A458" s="436" t="s">
        <v>2367</v>
      </c>
      <c r="B458" s="436" t="s">
        <v>2253</v>
      </c>
      <c r="C458" s="436" t="s">
        <v>2252</v>
      </c>
      <c r="D458" s="436" t="s">
        <v>2253</v>
      </c>
      <c r="E458" s="436" t="s">
        <v>2254</v>
      </c>
      <c r="F458" s="436" t="s">
        <v>2255</v>
      </c>
    </row>
    <row r="459" spans="1:6" ht="30" x14ac:dyDescent="0.25">
      <c r="A459" s="436" t="s">
        <v>2368</v>
      </c>
      <c r="B459" s="436" t="s">
        <v>2253</v>
      </c>
      <c r="C459" s="436" t="s">
        <v>2252</v>
      </c>
      <c r="D459" s="436" t="s">
        <v>2253</v>
      </c>
      <c r="E459" s="436" t="s">
        <v>2254</v>
      </c>
      <c r="F459" s="436" t="s">
        <v>2255</v>
      </c>
    </row>
    <row r="460" spans="1:6" ht="45" x14ac:dyDescent="0.25">
      <c r="A460" s="436" t="s">
        <v>2369</v>
      </c>
      <c r="B460" s="436" t="s">
        <v>2253</v>
      </c>
      <c r="C460" s="436" t="s">
        <v>2252</v>
      </c>
      <c r="D460" s="436" t="s">
        <v>2253</v>
      </c>
      <c r="E460" s="436" t="s">
        <v>2254</v>
      </c>
      <c r="F460" s="436" t="s">
        <v>2255</v>
      </c>
    </row>
    <row r="461" spans="1:6" ht="45" x14ac:dyDescent="0.25">
      <c r="A461" s="436" t="s">
        <v>2370</v>
      </c>
      <c r="B461" s="436" t="s">
        <v>2253</v>
      </c>
      <c r="C461" s="436" t="s">
        <v>2371</v>
      </c>
      <c r="D461" s="436" t="s">
        <v>2253</v>
      </c>
      <c r="E461" s="436" t="s">
        <v>2372</v>
      </c>
      <c r="F461" s="436" t="s">
        <v>2255</v>
      </c>
    </row>
    <row r="462" spans="1:6" ht="45" x14ac:dyDescent="0.25">
      <c r="A462" s="436" t="s">
        <v>2373</v>
      </c>
      <c r="B462" s="436" t="s">
        <v>2253</v>
      </c>
      <c r="C462" s="436" t="s">
        <v>2371</v>
      </c>
      <c r="D462" s="436" t="s">
        <v>2253</v>
      </c>
      <c r="E462" s="436" t="s">
        <v>2372</v>
      </c>
      <c r="F462" s="436" t="s">
        <v>2255</v>
      </c>
    </row>
    <row r="463" spans="1:6" ht="45" x14ac:dyDescent="0.25">
      <c r="A463" s="436" t="s">
        <v>2374</v>
      </c>
      <c r="B463" s="436" t="s">
        <v>2253</v>
      </c>
      <c r="C463" s="436" t="s">
        <v>2371</v>
      </c>
      <c r="D463" s="436" t="s">
        <v>2253</v>
      </c>
      <c r="E463" s="436" t="s">
        <v>2372</v>
      </c>
      <c r="F463" s="436" t="s">
        <v>2255</v>
      </c>
    </row>
    <row r="464" spans="1:6" ht="45" x14ac:dyDescent="0.25">
      <c r="A464" s="436" t="s">
        <v>2375</v>
      </c>
      <c r="B464" s="436" t="s">
        <v>2253</v>
      </c>
      <c r="C464" s="436" t="s">
        <v>2371</v>
      </c>
      <c r="D464" s="436" t="s">
        <v>2253</v>
      </c>
      <c r="E464" s="436" t="s">
        <v>2372</v>
      </c>
      <c r="F464" s="436" t="s">
        <v>2255</v>
      </c>
    </row>
    <row r="465" spans="1:6" ht="45" x14ac:dyDescent="0.25">
      <c r="A465" s="436" t="s">
        <v>2376</v>
      </c>
      <c r="B465" s="436" t="s">
        <v>2253</v>
      </c>
      <c r="C465" s="436" t="s">
        <v>2371</v>
      </c>
      <c r="D465" s="436" t="s">
        <v>2253</v>
      </c>
      <c r="E465" s="436" t="s">
        <v>2372</v>
      </c>
      <c r="F465" s="436" t="s">
        <v>2255</v>
      </c>
    </row>
    <row r="466" spans="1:6" ht="30" x14ac:dyDescent="0.25">
      <c r="A466" s="436" t="s">
        <v>2377</v>
      </c>
      <c r="B466" s="436" t="s">
        <v>2378</v>
      </c>
      <c r="C466" s="436" t="s">
        <v>2379</v>
      </c>
      <c r="D466" s="436" t="s">
        <v>2378</v>
      </c>
      <c r="E466" s="436" t="s">
        <v>2380</v>
      </c>
      <c r="F466" s="436" t="s">
        <v>2381</v>
      </c>
    </row>
    <row r="467" spans="1:6" ht="30" x14ac:dyDescent="0.25">
      <c r="A467" s="436" t="s">
        <v>2377</v>
      </c>
      <c r="B467" s="436" t="s">
        <v>2378</v>
      </c>
      <c r="C467" s="436" t="s">
        <v>2382</v>
      </c>
      <c r="D467" s="436" t="s">
        <v>2378</v>
      </c>
      <c r="E467" s="436" t="s">
        <v>2383</v>
      </c>
      <c r="F467" s="436" t="s">
        <v>2381</v>
      </c>
    </row>
    <row r="468" spans="1:6" ht="30" x14ac:dyDescent="0.25">
      <c r="A468" s="436" t="s">
        <v>2377</v>
      </c>
      <c r="B468" s="436" t="s">
        <v>2378</v>
      </c>
      <c r="C468" s="436" t="s">
        <v>2384</v>
      </c>
      <c r="D468" s="436" t="s">
        <v>2378</v>
      </c>
      <c r="E468" s="436" t="s">
        <v>2385</v>
      </c>
      <c r="F468" s="436" t="s">
        <v>2381</v>
      </c>
    </row>
    <row r="469" spans="1:6" ht="30" x14ac:dyDescent="0.25">
      <c r="A469" s="436" t="s">
        <v>2377</v>
      </c>
      <c r="B469" s="436" t="s">
        <v>2378</v>
      </c>
      <c r="C469" s="436" t="s">
        <v>2386</v>
      </c>
      <c r="D469" s="436" t="s">
        <v>2378</v>
      </c>
      <c r="E469" s="436" t="s">
        <v>2387</v>
      </c>
      <c r="F469" s="436" t="s">
        <v>2381</v>
      </c>
    </row>
    <row r="470" spans="1:6" ht="30" x14ac:dyDescent="0.25">
      <c r="A470" s="436" t="s">
        <v>2377</v>
      </c>
      <c r="B470" s="436" t="s">
        <v>2378</v>
      </c>
      <c r="C470" s="436" t="s">
        <v>2388</v>
      </c>
      <c r="D470" s="436" t="s">
        <v>2378</v>
      </c>
      <c r="E470" s="436" t="s">
        <v>2389</v>
      </c>
      <c r="F470" s="436" t="s">
        <v>2381</v>
      </c>
    </row>
    <row r="471" spans="1:6" ht="30" x14ac:dyDescent="0.25">
      <c r="A471" s="436" t="s">
        <v>2390</v>
      </c>
      <c r="B471" s="436" t="s">
        <v>2378</v>
      </c>
      <c r="C471" s="436" t="s">
        <v>2379</v>
      </c>
      <c r="D471" s="436" t="s">
        <v>2378</v>
      </c>
      <c r="E471" s="436" t="s">
        <v>2380</v>
      </c>
      <c r="F471" s="436" t="s">
        <v>2381</v>
      </c>
    </row>
    <row r="472" spans="1:6" ht="45" x14ac:dyDescent="0.25">
      <c r="A472" s="436" t="s">
        <v>2391</v>
      </c>
      <c r="B472" s="436" t="s">
        <v>2378</v>
      </c>
      <c r="C472" s="436" t="s">
        <v>2379</v>
      </c>
      <c r="D472" s="436" t="s">
        <v>2378</v>
      </c>
      <c r="E472" s="436" t="s">
        <v>2380</v>
      </c>
      <c r="F472" s="436" t="s">
        <v>2381</v>
      </c>
    </row>
    <row r="473" spans="1:6" ht="30" x14ac:dyDescent="0.25">
      <c r="A473" s="436" t="s">
        <v>2392</v>
      </c>
      <c r="B473" s="436" t="s">
        <v>2378</v>
      </c>
      <c r="C473" s="436" t="s">
        <v>2384</v>
      </c>
      <c r="D473" s="436" t="s">
        <v>2378</v>
      </c>
      <c r="E473" s="436" t="s">
        <v>2385</v>
      </c>
      <c r="F473" s="436" t="s">
        <v>2381</v>
      </c>
    </row>
    <row r="474" spans="1:6" ht="30" x14ac:dyDescent="0.25">
      <c r="A474" s="436" t="s">
        <v>2393</v>
      </c>
      <c r="B474" s="436" t="s">
        <v>2378</v>
      </c>
      <c r="C474" s="436" t="s">
        <v>2384</v>
      </c>
      <c r="D474" s="436" t="s">
        <v>2378</v>
      </c>
      <c r="E474" s="436" t="s">
        <v>2385</v>
      </c>
      <c r="F474" s="436" t="s">
        <v>2381</v>
      </c>
    </row>
    <row r="475" spans="1:6" ht="30" x14ac:dyDescent="0.25">
      <c r="A475" s="436" t="s">
        <v>2394</v>
      </c>
      <c r="B475" s="436" t="s">
        <v>2378</v>
      </c>
      <c r="C475" s="436" t="s">
        <v>2384</v>
      </c>
      <c r="D475" s="436" t="s">
        <v>2378</v>
      </c>
      <c r="E475" s="436" t="s">
        <v>2385</v>
      </c>
      <c r="F475" s="436" t="s">
        <v>2381</v>
      </c>
    </row>
    <row r="476" spans="1:6" ht="30" x14ac:dyDescent="0.25">
      <c r="A476" s="436" t="s">
        <v>2395</v>
      </c>
      <c r="B476" s="436" t="s">
        <v>2378</v>
      </c>
      <c r="C476" s="436" t="s">
        <v>2384</v>
      </c>
      <c r="D476" s="436" t="s">
        <v>2378</v>
      </c>
      <c r="E476" s="436" t="s">
        <v>2385</v>
      </c>
      <c r="F476" s="436" t="s">
        <v>2381</v>
      </c>
    </row>
    <row r="477" spans="1:6" ht="60" x14ac:dyDescent="0.25">
      <c r="A477" s="436" t="s">
        <v>2396</v>
      </c>
      <c r="B477" s="436" t="s">
        <v>2378</v>
      </c>
      <c r="C477" s="436" t="s">
        <v>2386</v>
      </c>
      <c r="D477" s="436" t="s">
        <v>2378</v>
      </c>
      <c r="E477" s="436" t="s">
        <v>2387</v>
      </c>
      <c r="F477" s="436" t="s">
        <v>2381</v>
      </c>
    </row>
    <row r="478" spans="1:6" ht="30" x14ac:dyDescent="0.25">
      <c r="A478" s="436" t="s">
        <v>2397</v>
      </c>
      <c r="B478" s="436" t="s">
        <v>2378</v>
      </c>
      <c r="C478" s="436" t="s">
        <v>2386</v>
      </c>
      <c r="D478" s="436" t="s">
        <v>2378</v>
      </c>
      <c r="E478" s="436" t="s">
        <v>2387</v>
      </c>
      <c r="F478" s="436" t="s">
        <v>2381</v>
      </c>
    </row>
    <row r="479" spans="1:6" ht="30" x14ac:dyDescent="0.25">
      <c r="A479" s="436" t="s">
        <v>2398</v>
      </c>
      <c r="B479" s="436" t="s">
        <v>2378</v>
      </c>
      <c r="C479" s="436" t="s">
        <v>2386</v>
      </c>
      <c r="D479" s="436" t="s">
        <v>2378</v>
      </c>
      <c r="E479" s="436" t="s">
        <v>2387</v>
      </c>
      <c r="F479" s="436" t="s">
        <v>2381</v>
      </c>
    </row>
    <row r="480" spans="1:6" ht="45" x14ac:dyDescent="0.25">
      <c r="A480" s="436" t="s">
        <v>2399</v>
      </c>
      <c r="B480" s="436" t="s">
        <v>2378</v>
      </c>
      <c r="C480" s="436" t="s">
        <v>2400</v>
      </c>
      <c r="D480" s="436" t="s">
        <v>2378</v>
      </c>
      <c r="E480" s="436" t="s">
        <v>2401</v>
      </c>
      <c r="F480" s="436" t="s">
        <v>2402</v>
      </c>
    </row>
    <row r="481" spans="1:6" ht="45" x14ac:dyDescent="0.25">
      <c r="A481" s="436" t="s">
        <v>2399</v>
      </c>
      <c r="B481" s="436" t="s">
        <v>2378</v>
      </c>
      <c r="C481" s="436" t="s">
        <v>2403</v>
      </c>
      <c r="D481" s="436" t="s">
        <v>2378</v>
      </c>
      <c r="E481" s="436" t="s">
        <v>2404</v>
      </c>
      <c r="F481" s="436" t="s">
        <v>2405</v>
      </c>
    </row>
    <row r="482" spans="1:6" ht="45" x14ac:dyDescent="0.25">
      <c r="A482" s="436" t="s">
        <v>2406</v>
      </c>
      <c r="B482" s="436" t="s">
        <v>2378</v>
      </c>
      <c r="C482" s="436" t="s">
        <v>2400</v>
      </c>
      <c r="D482" s="436" t="s">
        <v>2378</v>
      </c>
      <c r="E482" s="436" t="s">
        <v>2401</v>
      </c>
      <c r="F482" s="436" t="s">
        <v>2402</v>
      </c>
    </row>
    <row r="483" spans="1:6" ht="45" x14ac:dyDescent="0.25">
      <c r="A483" s="436" t="s">
        <v>2407</v>
      </c>
      <c r="B483" s="436" t="s">
        <v>2378</v>
      </c>
      <c r="C483" s="436" t="s">
        <v>2400</v>
      </c>
      <c r="D483" s="436" t="s">
        <v>2378</v>
      </c>
      <c r="E483" s="436" t="s">
        <v>2401</v>
      </c>
      <c r="F483" s="436" t="s">
        <v>2402</v>
      </c>
    </row>
    <row r="484" spans="1:6" ht="45" x14ac:dyDescent="0.25">
      <c r="A484" s="436" t="s">
        <v>2407</v>
      </c>
      <c r="B484" s="436" t="s">
        <v>2378</v>
      </c>
      <c r="C484" s="436" t="s">
        <v>2403</v>
      </c>
      <c r="D484" s="436" t="s">
        <v>2378</v>
      </c>
      <c r="E484" s="436" t="s">
        <v>2404</v>
      </c>
      <c r="F484" s="436" t="s">
        <v>2402</v>
      </c>
    </row>
    <row r="485" spans="1:6" ht="30" x14ac:dyDescent="0.25">
      <c r="A485" s="436" t="s">
        <v>2408</v>
      </c>
      <c r="B485" s="436" t="s">
        <v>2378</v>
      </c>
      <c r="C485" s="436" t="s">
        <v>2388</v>
      </c>
      <c r="D485" s="436" t="s">
        <v>2378</v>
      </c>
      <c r="E485" s="436" t="s">
        <v>2389</v>
      </c>
      <c r="F485" s="436" t="s">
        <v>2381</v>
      </c>
    </row>
    <row r="486" spans="1:6" ht="30" x14ac:dyDescent="0.25">
      <c r="A486" s="436" t="s">
        <v>2409</v>
      </c>
      <c r="B486" s="436" t="s">
        <v>2378</v>
      </c>
      <c r="C486" s="436" t="s">
        <v>2388</v>
      </c>
      <c r="D486" s="436" t="s">
        <v>2378</v>
      </c>
      <c r="E486" s="436" t="s">
        <v>2389</v>
      </c>
      <c r="F486" s="436" t="s">
        <v>2381</v>
      </c>
    </row>
    <row r="487" spans="1:6" ht="45" x14ac:dyDescent="0.25">
      <c r="A487" s="436" t="s">
        <v>2410</v>
      </c>
      <c r="B487" s="436" t="s">
        <v>2378</v>
      </c>
      <c r="C487" s="436" t="s">
        <v>2388</v>
      </c>
      <c r="D487" s="436" t="s">
        <v>2378</v>
      </c>
      <c r="E487" s="436" t="s">
        <v>2389</v>
      </c>
      <c r="F487" s="436" t="s">
        <v>2381</v>
      </c>
    </row>
    <row r="488" spans="1:6" ht="30" x14ac:dyDescent="0.25">
      <c r="A488" s="436" t="s">
        <v>2411</v>
      </c>
      <c r="B488" s="436" t="s">
        <v>2378</v>
      </c>
      <c r="C488" s="436" t="s">
        <v>2382</v>
      </c>
      <c r="D488" s="436" t="s">
        <v>2378</v>
      </c>
      <c r="E488" s="436" t="s">
        <v>2383</v>
      </c>
      <c r="F488" s="436" t="s">
        <v>2381</v>
      </c>
    </row>
    <row r="489" spans="1:6" ht="30" x14ac:dyDescent="0.25">
      <c r="A489" s="436" t="s">
        <v>2412</v>
      </c>
      <c r="B489" s="436" t="s">
        <v>2378</v>
      </c>
      <c r="C489" s="436" t="s">
        <v>2382</v>
      </c>
      <c r="D489" s="436" t="s">
        <v>2378</v>
      </c>
      <c r="E489" s="436" t="s">
        <v>2383</v>
      </c>
      <c r="F489" s="436" t="s">
        <v>2381</v>
      </c>
    </row>
    <row r="490" spans="1:6" ht="45" x14ac:dyDescent="0.25">
      <c r="A490" s="436" t="s">
        <v>2413</v>
      </c>
      <c r="B490" s="436" t="s">
        <v>2378</v>
      </c>
      <c r="C490" s="436" t="s">
        <v>2382</v>
      </c>
      <c r="D490" s="436" t="s">
        <v>2378</v>
      </c>
      <c r="E490" s="436" t="s">
        <v>2383</v>
      </c>
      <c r="F490" s="436" t="s">
        <v>2381</v>
      </c>
    </row>
    <row r="491" spans="1:6" ht="45" x14ac:dyDescent="0.25">
      <c r="A491" s="436" t="s">
        <v>2414</v>
      </c>
      <c r="B491" s="436" t="s">
        <v>2378</v>
      </c>
      <c r="C491" s="436" t="s">
        <v>2382</v>
      </c>
      <c r="D491" s="436" t="s">
        <v>2378</v>
      </c>
      <c r="E491" s="436" t="s">
        <v>2383</v>
      </c>
      <c r="F491" s="436" t="s">
        <v>2381</v>
      </c>
    </row>
    <row r="492" spans="1:6" ht="45" x14ac:dyDescent="0.25">
      <c r="A492" s="436" t="s">
        <v>2415</v>
      </c>
      <c r="B492" s="436" t="s">
        <v>2378</v>
      </c>
      <c r="C492" s="436" t="s">
        <v>2416</v>
      </c>
      <c r="D492" s="436" t="s">
        <v>2378</v>
      </c>
      <c r="E492" s="436" t="s">
        <v>2417</v>
      </c>
      <c r="F492" s="436" t="s">
        <v>2402</v>
      </c>
    </row>
    <row r="493" spans="1:6" ht="45" x14ac:dyDescent="0.25">
      <c r="A493" s="436" t="s">
        <v>2418</v>
      </c>
      <c r="B493" s="436" t="s">
        <v>2378</v>
      </c>
      <c r="C493" s="436" t="s">
        <v>2416</v>
      </c>
      <c r="D493" s="436" t="s">
        <v>2378</v>
      </c>
      <c r="E493" s="436" t="s">
        <v>2417</v>
      </c>
      <c r="F493" s="436" t="s">
        <v>2402</v>
      </c>
    </row>
    <row r="494" spans="1:6" ht="45" x14ac:dyDescent="0.25">
      <c r="A494" s="436" t="s">
        <v>2419</v>
      </c>
      <c r="B494" s="436" t="s">
        <v>2378</v>
      </c>
      <c r="C494" s="436" t="s">
        <v>2420</v>
      </c>
      <c r="D494" s="436" t="s">
        <v>2378</v>
      </c>
      <c r="E494" s="436" t="s">
        <v>2421</v>
      </c>
      <c r="F494" s="436" t="s">
        <v>2402</v>
      </c>
    </row>
    <row r="495" spans="1:6" ht="45" x14ac:dyDescent="0.25">
      <c r="A495" s="436" t="s">
        <v>2422</v>
      </c>
      <c r="B495" s="436" t="s">
        <v>2423</v>
      </c>
      <c r="C495" s="436" t="s">
        <v>2424</v>
      </c>
      <c r="D495" s="436" t="s">
        <v>2423</v>
      </c>
      <c r="E495" s="436" t="s">
        <v>2425</v>
      </c>
      <c r="F495" s="436" t="s">
        <v>2426</v>
      </c>
    </row>
    <row r="496" spans="1:6" ht="30" x14ac:dyDescent="0.25">
      <c r="A496" s="436" t="s">
        <v>2422</v>
      </c>
      <c r="B496" s="436" t="s">
        <v>2423</v>
      </c>
      <c r="C496" s="436" t="s">
        <v>2427</v>
      </c>
      <c r="D496" s="436" t="s">
        <v>2423</v>
      </c>
      <c r="E496" s="436" t="s">
        <v>2428</v>
      </c>
      <c r="F496" s="436" t="s">
        <v>2429</v>
      </c>
    </row>
    <row r="497" spans="1:6" ht="45" x14ac:dyDescent="0.25">
      <c r="A497" s="436" t="s">
        <v>2430</v>
      </c>
      <c r="B497" s="436" t="s">
        <v>2423</v>
      </c>
      <c r="C497" s="436" t="s">
        <v>2424</v>
      </c>
      <c r="D497" s="436" t="s">
        <v>2423</v>
      </c>
      <c r="E497" s="436" t="s">
        <v>2425</v>
      </c>
      <c r="F497" s="436" t="s">
        <v>2426</v>
      </c>
    </row>
    <row r="498" spans="1:6" ht="45" x14ac:dyDescent="0.25">
      <c r="A498" s="436" t="s">
        <v>2431</v>
      </c>
      <c r="B498" s="436" t="s">
        <v>2423</v>
      </c>
      <c r="C498" s="436" t="s">
        <v>2424</v>
      </c>
      <c r="D498" s="436" t="s">
        <v>2423</v>
      </c>
      <c r="E498" s="436" t="s">
        <v>2425</v>
      </c>
      <c r="F498" s="436" t="s">
        <v>2426</v>
      </c>
    </row>
    <row r="499" spans="1:6" ht="45" x14ac:dyDescent="0.25">
      <c r="A499" s="436" t="s">
        <v>2432</v>
      </c>
      <c r="B499" s="436" t="s">
        <v>2423</v>
      </c>
      <c r="C499" s="436" t="s">
        <v>2424</v>
      </c>
      <c r="D499" s="436" t="s">
        <v>2423</v>
      </c>
      <c r="E499" s="436" t="s">
        <v>2425</v>
      </c>
      <c r="F499" s="436" t="s">
        <v>2426</v>
      </c>
    </row>
    <row r="500" spans="1:6" ht="45" x14ac:dyDescent="0.25">
      <c r="A500" s="436" t="s">
        <v>2433</v>
      </c>
      <c r="B500" s="436" t="s">
        <v>2423</v>
      </c>
      <c r="C500" s="436" t="s">
        <v>2424</v>
      </c>
      <c r="D500" s="436" t="s">
        <v>2423</v>
      </c>
      <c r="E500" s="436" t="s">
        <v>2425</v>
      </c>
      <c r="F500" s="436" t="s">
        <v>2426</v>
      </c>
    </row>
    <row r="501" spans="1:6" ht="45" x14ac:dyDescent="0.25">
      <c r="A501" s="436" t="s">
        <v>2434</v>
      </c>
      <c r="B501" s="436" t="s">
        <v>2423</v>
      </c>
      <c r="C501" s="436" t="s">
        <v>2424</v>
      </c>
      <c r="D501" s="436" t="s">
        <v>2423</v>
      </c>
      <c r="E501" s="436" t="s">
        <v>2425</v>
      </c>
      <c r="F501" s="436" t="s">
        <v>2426</v>
      </c>
    </row>
    <row r="502" spans="1:6" ht="45" x14ac:dyDescent="0.25">
      <c r="A502" s="436" t="s">
        <v>2435</v>
      </c>
      <c r="B502" s="436" t="s">
        <v>2423</v>
      </c>
      <c r="C502" s="436" t="s">
        <v>2424</v>
      </c>
      <c r="D502" s="436" t="s">
        <v>2423</v>
      </c>
      <c r="E502" s="436" t="s">
        <v>2425</v>
      </c>
      <c r="F502" s="436" t="s">
        <v>2426</v>
      </c>
    </row>
    <row r="503" spans="1:6" ht="45" x14ac:dyDescent="0.25">
      <c r="A503" s="436" t="s">
        <v>2436</v>
      </c>
      <c r="B503" s="436" t="s">
        <v>2423</v>
      </c>
      <c r="C503" s="436" t="s">
        <v>2424</v>
      </c>
      <c r="D503" s="436" t="s">
        <v>2423</v>
      </c>
      <c r="E503" s="436" t="s">
        <v>2425</v>
      </c>
      <c r="F503" s="436" t="s">
        <v>2426</v>
      </c>
    </row>
    <row r="504" spans="1:6" ht="30" x14ac:dyDescent="0.25">
      <c r="A504" s="436" t="s">
        <v>2437</v>
      </c>
      <c r="B504" s="436" t="s">
        <v>2423</v>
      </c>
      <c r="C504" s="436" t="s">
        <v>2427</v>
      </c>
      <c r="D504" s="436" t="s">
        <v>2423</v>
      </c>
      <c r="E504" s="436" t="s">
        <v>2428</v>
      </c>
      <c r="F504" s="436" t="s">
        <v>2429</v>
      </c>
    </row>
    <row r="505" spans="1:6" ht="30" x14ac:dyDescent="0.25">
      <c r="A505" s="436" t="s">
        <v>2438</v>
      </c>
      <c r="B505" s="436" t="s">
        <v>2423</v>
      </c>
      <c r="C505" s="436" t="s">
        <v>2427</v>
      </c>
      <c r="D505" s="436" t="s">
        <v>2423</v>
      </c>
      <c r="E505" s="436" t="s">
        <v>2428</v>
      </c>
      <c r="F505" s="436" t="s">
        <v>2429</v>
      </c>
    </row>
    <row r="506" spans="1:6" ht="45" x14ac:dyDescent="0.25">
      <c r="A506" s="436" t="s">
        <v>2439</v>
      </c>
      <c r="B506" s="436" t="s">
        <v>2423</v>
      </c>
      <c r="C506" s="436" t="s">
        <v>2427</v>
      </c>
      <c r="D506" s="436" t="s">
        <v>2423</v>
      </c>
      <c r="E506" s="436" t="s">
        <v>2428</v>
      </c>
      <c r="F506" s="436" t="s">
        <v>2429</v>
      </c>
    </row>
    <row r="507" spans="1:6" ht="30" x14ac:dyDescent="0.25">
      <c r="A507" s="436" t="s">
        <v>2440</v>
      </c>
      <c r="B507" s="436" t="s">
        <v>2423</v>
      </c>
      <c r="C507" s="436" t="s">
        <v>2427</v>
      </c>
      <c r="D507" s="436" t="s">
        <v>2423</v>
      </c>
      <c r="E507" s="436" t="s">
        <v>2428</v>
      </c>
      <c r="F507" s="436" t="s">
        <v>2429</v>
      </c>
    </row>
    <row r="508" spans="1:6" ht="45" x14ac:dyDescent="0.25">
      <c r="A508" s="436" t="s">
        <v>2441</v>
      </c>
      <c r="B508" s="436" t="s">
        <v>2423</v>
      </c>
      <c r="C508" s="436" t="s">
        <v>2427</v>
      </c>
      <c r="D508" s="436" t="s">
        <v>2423</v>
      </c>
      <c r="E508" s="436" t="s">
        <v>2428</v>
      </c>
      <c r="F508" s="436" t="s">
        <v>2429</v>
      </c>
    </row>
    <row r="509" spans="1:6" ht="45" x14ac:dyDescent="0.25">
      <c r="A509" s="436" t="s">
        <v>2442</v>
      </c>
      <c r="B509" s="436" t="s">
        <v>2423</v>
      </c>
      <c r="C509" s="436" t="s">
        <v>2443</v>
      </c>
      <c r="D509" s="436" t="s">
        <v>2423</v>
      </c>
      <c r="E509" s="436" t="s">
        <v>2444</v>
      </c>
      <c r="F509" s="436" t="s">
        <v>2426</v>
      </c>
    </row>
    <row r="510" spans="1:6" ht="30" x14ac:dyDescent="0.25">
      <c r="A510" s="436" t="s">
        <v>2445</v>
      </c>
      <c r="B510" s="436" t="s">
        <v>2446</v>
      </c>
      <c r="C510" s="436" t="s">
        <v>2447</v>
      </c>
      <c r="D510" s="436" t="s">
        <v>2446</v>
      </c>
      <c r="E510" s="436" t="s">
        <v>2448</v>
      </c>
      <c r="F510" s="436" t="s">
        <v>2449</v>
      </c>
    </row>
    <row r="511" spans="1:6" ht="30" x14ac:dyDescent="0.25">
      <c r="A511" s="436" t="s">
        <v>2450</v>
      </c>
      <c r="B511" s="436" t="s">
        <v>2446</v>
      </c>
      <c r="C511" s="436" t="s">
        <v>2447</v>
      </c>
      <c r="D511" s="436" t="s">
        <v>2446</v>
      </c>
      <c r="E511" s="436" t="s">
        <v>2448</v>
      </c>
      <c r="F511" s="436" t="s">
        <v>2449</v>
      </c>
    </row>
    <row r="512" spans="1:6" ht="30" x14ac:dyDescent="0.25">
      <c r="A512" s="436" t="s">
        <v>2451</v>
      </c>
      <c r="B512" s="436" t="s">
        <v>2446</v>
      </c>
      <c r="C512" s="436" t="s">
        <v>2447</v>
      </c>
      <c r="D512" s="436" t="s">
        <v>2446</v>
      </c>
      <c r="E512" s="436" t="s">
        <v>2448</v>
      </c>
      <c r="F512" s="436" t="s">
        <v>2449</v>
      </c>
    </row>
    <row r="513" spans="1:6" ht="30" x14ac:dyDescent="0.25">
      <c r="A513" s="436" t="s">
        <v>2452</v>
      </c>
      <c r="B513" s="436" t="s">
        <v>2446</v>
      </c>
      <c r="C513" s="436" t="s">
        <v>2447</v>
      </c>
      <c r="D513" s="436" t="s">
        <v>2446</v>
      </c>
      <c r="E513" s="436" t="s">
        <v>2448</v>
      </c>
      <c r="F513" s="436" t="s">
        <v>2449</v>
      </c>
    </row>
    <row r="514" spans="1:6" ht="45" x14ac:dyDescent="0.25">
      <c r="A514" s="436" t="s">
        <v>2453</v>
      </c>
      <c r="B514" s="436" t="s">
        <v>2446</v>
      </c>
      <c r="C514" s="436" t="s">
        <v>2447</v>
      </c>
      <c r="D514" s="436" t="s">
        <v>2446</v>
      </c>
      <c r="E514" s="436" t="s">
        <v>2448</v>
      </c>
      <c r="F514" s="436" t="s">
        <v>2449</v>
      </c>
    </row>
    <row r="515" spans="1:6" ht="45" x14ac:dyDescent="0.25">
      <c r="A515" s="436" t="s">
        <v>2454</v>
      </c>
      <c r="B515" s="436" t="s">
        <v>2446</v>
      </c>
      <c r="C515" s="436" t="s">
        <v>2447</v>
      </c>
      <c r="D515" s="436" t="s">
        <v>2446</v>
      </c>
      <c r="E515" s="436" t="s">
        <v>2448</v>
      </c>
      <c r="F515" s="436" t="s">
        <v>2449</v>
      </c>
    </row>
    <row r="516" spans="1:6" ht="30" x14ac:dyDescent="0.25">
      <c r="A516" s="436" t="s">
        <v>2455</v>
      </c>
      <c r="B516" s="436" t="s">
        <v>2446</v>
      </c>
      <c r="C516" s="436" t="s">
        <v>2447</v>
      </c>
      <c r="D516" s="436" t="s">
        <v>2446</v>
      </c>
      <c r="E516" s="436" t="s">
        <v>2448</v>
      </c>
      <c r="F516" s="436" t="s">
        <v>2449</v>
      </c>
    </row>
    <row r="517" spans="1:6" ht="45" x14ac:dyDescent="0.25">
      <c r="A517" s="436" t="s">
        <v>2456</v>
      </c>
      <c r="B517" s="436" t="s">
        <v>2446</v>
      </c>
      <c r="C517" s="436" t="s">
        <v>2447</v>
      </c>
      <c r="D517" s="436" t="s">
        <v>2446</v>
      </c>
      <c r="E517" s="436" t="s">
        <v>2448</v>
      </c>
      <c r="F517" s="436" t="s">
        <v>2449</v>
      </c>
    </row>
    <row r="518" spans="1:6" ht="45" x14ac:dyDescent="0.25">
      <c r="A518" s="436" t="s">
        <v>2457</v>
      </c>
      <c r="B518" s="436" t="s">
        <v>2446</v>
      </c>
      <c r="C518" s="436" t="s">
        <v>2458</v>
      </c>
      <c r="D518" s="436" t="s">
        <v>2446</v>
      </c>
      <c r="E518" s="436" t="s">
        <v>2459</v>
      </c>
      <c r="F518" s="436" t="s">
        <v>2449</v>
      </c>
    </row>
    <row r="519" spans="1:6" ht="30" x14ac:dyDescent="0.25">
      <c r="A519" s="436" t="s">
        <v>2457</v>
      </c>
      <c r="B519" s="436" t="s">
        <v>2446</v>
      </c>
      <c r="C519" s="436" t="s">
        <v>2460</v>
      </c>
      <c r="D519" s="436" t="s">
        <v>2446</v>
      </c>
      <c r="E519" s="436" t="s">
        <v>2461</v>
      </c>
      <c r="F519" s="436" t="s">
        <v>2449</v>
      </c>
    </row>
    <row r="520" spans="1:6" ht="30" x14ac:dyDescent="0.25">
      <c r="A520" s="436" t="s">
        <v>2462</v>
      </c>
      <c r="B520" s="436" t="s">
        <v>2446</v>
      </c>
      <c r="C520" s="436" t="s">
        <v>2447</v>
      </c>
      <c r="D520" s="436" t="s">
        <v>2446</v>
      </c>
      <c r="E520" s="436" t="s">
        <v>2448</v>
      </c>
      <c r="F520" s="436" t="s">
        <v>2449</v>
      </c>
    </row>
    <row r="521" spans="1:6" ht="45" x14ac:dyDescent="0.25">
      <c r="A521" s="436" t="s">
        <v>2462</v>
      </c>
      <c r="B521" s="436" t="s">
        <v>2446</v>
      </c>
      <c r="C521" s="436" t="s">
        <v>2458</v>
      </c>
      <c r="D521" s="436" t="s">
        <v>2446</v>
      </c>
      <c r="E521" s="436" t="s">
        <v>2459</v>
      </c>
      <c r="F521" s="436" t="s">
        <v>2449</v>
      </c>
    </row>
    <row r="522" spans="1:6" ht="45" x14ac:dyDescent="0.25">
      <c r="A522" s="436" t="s">
        <v>2463</v>
      </c>
      <c r="B522" s="436" t="s">
        <v>2446</v>
      </c>
      <c r="C522" s="436" t="s">
        <v>2458</v>
      </c>
      <c r="D522" s="436" t="s">
        <v>2446</v>
      </c>
      <c r="E522" s="436" t="s">
        <v>2459</v>
      </c>
      <c r="F522" s="436" t="s">
        <v>2449</v>
      </c>
    </row>
    <row r="523" spans="1:6" ht="45" x14ac:dyDescent="0.25">
      <c r="A523" s="436" t="s">
        <v>2464</v>
      </c>
      <c r="B523" s="436" t="s">
        <v>2446</v>
      </c>
      <c r="C523" s="436" t="s">
        <v>2458</v>
      </c>
      <c r="D523" s="436" t="s">
        <v>2446</v>
      </c>
      <c r="E523" s="436" t="s">
        <v>2459</v>
      </c>
      <c r="F523" s="436" t="s">
        <v>2449</v>
      </c>
    </row>
    <row r="524" spans="1:6" ht="45" x14ac:dyDescent="0.25">
      <c r="A524" s="436" t="s">
        <v>2465</v>
      </c>
      <c r="B524" s="436" t="s">
        <v>2446</v>
      </c>
      <c r="C524" s="436" t="s">
        <v>2460</v>
      </c>
      <c r="D524" s="436" t="s">
        <v>2446</v>
      </c>
      <c r="E524" s="436" t="s">
        <v>2461</v>
      </c>
      <c r="F524" s="436" t="s">
        <v>2449</v>
      </c>
    </row>
    <row r="525" spans="1:6" ht="45" x14ac:dyDescent="0.25">
      <c r="A525" s="436" t="s">
        <v>2465</v>
      </c>
      <c r="B525" s="436" t="s">
        <v>2446</v>
      </c>
      <c r="C525" s="436" t="s">
        <v>2443</v>
      </c>
      <c r="D525" s="436" t="s">
        <v>2423</v>
      </c>
      <c r="E525" s="436" t="s">
        <v>2444</v>
      </c>
      <c r="F525" s="436" t="s">
        <v>2426</v>
      </c>
    </row>
    <row r="526" spans="1:6" ht="30" x14ac:dyDescent="0.25">
      <c r="A526" s="436" t="s">
        <v>2466</v>
      </c>
      <c r="B526" s="436" t="s">
        <v>2446</v>
      </c>
      <c r="C526" s="436" t="s">
        <v>2460</v>
      </c>
      <c r="D526" s="436" t="s">
        <v>2446</v>
      </c>
      <c r="E526" s="436" t="s">
        <v>2461</v>
      </c>
      <c r="F526" s="436" t="s">
        <v>2449</v>
      </c>
    </row>
    <row r="527" spans="1:6" ht="45" x14ac:dyDescent="0.25">
      <c r="A527" s="436" t="s">
        <v>2467</v>
      </c>
      <c r="B527" s="436" t="s">
        <v>2468</v>
      </c>
      <c r="C527" s="436" t="s">
        <v>2467</v>
      </c>
      <c r="D527" s="436" t="s">
        <v>2468</v>
      </c>
      <c r="E527" s="436" t="s">
        <v>2469</v>
      </c>
      <c r="F527" s="436" t="s">
        <v>2470</v>
      </c>
    </row>
    <row r="528" spans="1:6" ht="45" x14ac:dyDescent="0.25">
      <c r="A528" s="436" t="s">
        <v>2471</v>
      </c>
      <c r="B528" s="436" t="s">
        <v>2472</v>
      </c>
      <c r="C528" s="436" t="s">
        <v>2467</v>
      </c>
      <c r="D528" s="436" t="s">
        <v>2468</v>
      </c>
      <c r="E528" s="436" t="s">
        <v>2469</v>
      </c>
      <c r="F528" s="436" t="s">
        <v>2470</v>
      </c>
    </row>
    <row r="529" spans="1:6" ht="45" x14ac:dyDescent="0.25">
      <c r="A529" s="436" t="s">
        <v>2473</v>
      </c>
      <c r="B529" s="436" t="s">
        <v>2468</v>
      </c>
      <c r="C529" s="436" t="s">
        <v>2467</v>
      </c>
      <c r="D529" s="436" t="s">
        <v>2468</v>
      </c>
      <c r="E529" s="436" t="s">
        <v>2469</v>
      </c>
      <c r="F529" s="436" t="s">
        <v>2470</v>
      </c>
    </row>
    <row r="530" spans="1:6" ht="45" x14ac:dyDescent="0.25">
      <c r="A530" s="436" t="s">
        <v>2474</v>
      </c>
      <c r="B530" s="436" t="s">
        <v>2468</v>
      </c>
      <c r="C530" s="436" t="s">
        <v>2467</v>
      </c>
      <c r="D530" s="436" t="s">
        <v>2468</v>
      </c>
      <c r="E530" s="436" t="s">
        <v>2469</v>
      </c>
      <c r="F530" s="436" t="s">
        <v>2470</v>
      </c>
    </row>
    <row r="531" spans="1:6" ht="45" x14ac:dyDescent="0.25">
      <c r="A531" s="436" t="s">
        <v>2475</v>
      </c>
      <c r="B531" s="436" t="s">
        <v>2468</v>
      </c>
      <c r="C531" s="436" t="s">
        <v>2467</v>
      </c>
      <c r="D531" s="436" t="s">
        <v>2468</v>
      </c>
      <c r="E531" s="436" t="s">
        <v>2469</v>
      </c>
      <c r="F531" s="436" t="s">
        <v>2470</v>
      </c>
    </row>
    <row r="532" spans="1:6" ht="45" x14ac:dyDescent="0.25">
      <c r="A532" s="436" t="s">
        <v>2476</v>
      </c>
      <c r="B532" s="436" t="s">
        <v>2468</v>
      </c>
      <c r="C532" s="436" t="s">
        <v>2467</v>
      </c>
      <c r="D532" s="436" t="s">
        <v>2468</v>
      </c>
      <c r="E532" s="436" t="s">
        <v>2469</v>
      </c>
      <c r="F532" s="436" t="s">
        <v>2470</v>
      </c>
    </row>
    <row r="533" spans="1:6" ht="45" x14ac:dyDescent="0.25">
      <c r="A533" s="436" t="s">
        <v>2477</v>
      </c>
      <c r="B533" s="436" t="s">
        <v>2468</v>
      </c>
      <c r="C533" s="436" t="s">
        <v>2467</v>
      </c>
      <c r="D533" s="436" t="s">
        <v>2468</v>
      </c>
      <c r="E533" s="436" t="s">
        <v>2469</v>
      </c>
      <c r="F533" s="436" t="s">
        <v>2470</v>
      </c>
    </row>
    <row r="534" spans="1:6" ht="45" x14ac:dyDescent="0.25">
      <c r="A534" s="436" t="s">
        <v>2478</v>
      </c>
      <c r="B534" s="436" t="s">
        <v>2468</v>
      </c>
      <c r="C534" s="436" t="s">
        <v>2479</v>
      </c>
      <c r="D534" s="436" t="s">
        <v>2468</v>
      </c>
      <c r="E534" s="436" t="s">
        <v>2480</v>
      </c>
      <c r="F534" s="436" t="s">
        <v>2470</v>
      </c>
    </row>
    <row r="535" spans="1:6" ht="45" x14ac:dyDescent="0.25">
      <c r="A535" s="436" t="s">
        <v>2478</v>
      </c>
      <c r="B535" s="436" t="s">
        <v>2468</v>
      </c>
      <c r="C535" s="436" t="s">
        <v>2481</v>
      </c>
      <c r="D535" s="436" t="s">
        <v>2468</v>
      </c>
      <c r="E535" s="436" t="s">
        <v>2482</v>
      </c>
      <c r="F535" s="436" t="s">
        <v>2470</v>
      </c>
    </row>
    <row r="536" spans="1:6" ht="45" x14ac:dyDescent="0.25">
      <c r="A536" s="436" t="s">
        <v>2483</v>
      </c>
      <c r="B536" s="436" t="s">
        <v>2468</v>
      </c>
      <c r="C536" s="436" t="s">
        <v>2481</v>
      </c>
      <c r="D536" s="436" t="s">
        <v>2468</v>
      </c>
      <c r="E536" s="436" t="s">
        <v>2482</v>
      </c>
      <c r="F536" s="436" t="s">
        <v>2470</v>
      </c>
    </row>
    <row r="537" spans="1:6" ht="45" x14ac:dyDescent="0.25">
      <c r="A537" s="436" t="s">
        <v>2484</v>
      </c>
      <c r="B537" s="436" t="s">
        <v>2468</v>
      </c>
      <c r="C537" s="436" t="s">
        <v>2481</v>
      </c>
      <c r="D537" s="436" t="s">
        <v>2468</v>
      </c>
      <c r="E537" s="436" t="s">
        <v>2482</v>
      </c>
      <c r="F537" s="436" t="s">
        <v>2470</v>
      </c>
    </row>
    <row r="538" spans="1:6" ht="45" x14ac:dyDescent="0.25">
      <c r="A538" s="436" t="s">
        <v>2485</v>
      </c>
      <c r="B538" s="436" t="s">
        <v>2468</v>
      </c>
      <c r="C538" s="436" t="s">
        <v>2479</v>
      </c>
      <c r="D538" s="436" t="s">
        <v>2468</v>
      </c>
      <c r="E538" s="436" t="s">
        <v>2480</v>
      </c>
      <c r="F538" s="436" t="s">
        <v>2470</v>
      </c>
    </row>
    <row r="539" spans="1:6" ht="45" x14ac:dyDescent="0.25">
      <c r="A539" s="436" t="s">
        <v>2486</v>
      </c>
      <c r="B539" s="436" t="s">
        <v>2468</v>
      </c>
      <c r="C539" s="436" t="s">
        <v>2479</v>
      </c>
      <c r="D539" s="436" t="s">
        <v>2468</v>
      </c>
      <c r="E539" s="436" t="s">
        <v>2480</v>
      </c>
      <c r="F539" s="436" t="s">
        <v>2470</v>
      </c>
    </row>
    <row r="540" spans="1:6" ht="45" x14ac:dyDescent="0.25">
      <c r="A540" s="436" t="s">
        <v>2487</v>
      </c>
      <c r="B540" s="436" t="s">
        <v>2468</v>
      </c>
      <c r="C540" s="436" t="s">
        <v>2479</v>
      </c>
      <c r="D540" s="436" t="s">
        <v>2468</v>
      </c>
      <c r="E540" s="436" t="s">
        <v>2480</v>
      </c>
      <c r="F540" s="436" t="s">
        <v>2470</v>
      </c>
    </row>
    <row r="541" spans="1:6" ht="45" x14ac:dyDescent="0.25">
      <c r="A541" s="436" t="s">
        <v>2487</v>
      </c>
      <c r="B541" s="436" t="s">
        <v>2468</v>
      </c>
      <c r="C541" s="436" t="s">
        <v>2488</v>
      </c>
      <c r="D541" s="436" t="s">
        <v>2468</v>
      </c>
      <c r="E541" s="436" t="s">
        <v>2489</v>
      </c>
      <c r="F541" s="436" t="s">
        <v>2470</v>
      </c>
    </row>
    <row r="542" spans="1:6" ht="45" x14ac:dyDescent="0.25">
      <c r="A542" s="436" t="s">
        <v>2490</v>
      </c>
      <c r="B542" s="436" t="s">
        <v>2468</v>
      </c>
      <c r="C542" s="436" t="s">
        <v>2491</v>
      </c>
      <c r="D542" s="436" t="s">
        <v>2468</v>
      </c>
      <c r="E542" s="436" t="s">
        <v>2492</v>
      </c>
      <c r="F542" s="436" t="s">
        <v>2470</v>
      </c>
    </row>
    <row r="543" spans="1:6" ht="45" x14ac:dyDescent="0.25">
      <c r="A543" s="436" t="s">
        <v>2493</v>
      </c>
      <c r="B543" s="436" t="s">
        <v>2468</v>
      </c>
      <c r="C543" s="436" t="s">
        <v>2491</v>
      </c>
      <c r="D543" s="436" t="s">
        <v>2468</v>
      </c>
      <c r="E543" s="436" t="s">
        <v>2492</v>
      </c>
      <c r="F543" s="436" t="s">
        <v>2470</v>
      </c>
    </row>
    <row r="544" spans="1:6" ht="45" x14ac:dyDescent="0.25">
      <c r="A544" s="436" t="s">
        <v>2494</v>
      </c>
      <c r="B544" s="436" t="s">
        <v>2468</v>
      </c>
      <c r="C544" s="436" t="s">
        <v>2491</v>
      </c>
      <c r="D544" s="436" t="s">
        <v>2468</v>
      </c>
      <c r="E544" s="436" t="s">
        <v>2492</v>
      </c>
      <c r="F544" s="436" t="s">
        <v>2470</v>
      </c>
    </row>
    <row r="545" spans="1:6" ht="30" x14ac:dyDescent="0.25">
      <c r="A545" s="436" t="s">
        <v>2495</v>
      </c>
      <c r="B545" s="436" t="s">
        <v>2468</v>
      </c>
      <c r="C545" s="436" t="s">
        <v>2496</v>
      </c>
      <c r="D545" s="436" t="s">
        <v>2293</v>
      </c>
      <c r="E545" s="436" t="s">
        <v>2497</v>
      </c>
      <c r="F545" s="436" t="s">
        <v>2498</v>
      </c>
    </row>
    <row r="546" spans="1:6" ht="30" x14ac:dyDescent="0.25">
      <c r="A546" s="436" t="s">
        <v>2499</v>
      </c>
      <c r="B546" s="436" t="s">
        <v>2468</v>
      </c>
      <c r="C546" s="436" t="s">
        <v>2496</v>
      </c>
      <c r="D546" s="436" t="s">
        <v>2293</v>
      </c>
      <c r="E546" s="436" t="s">
        <v>2497</v>
      </c>
      <c r="F546" s="436" t="s">
        <v>2498</v>
      </c>
    </row>
    <row r="547" spans="1:6" ht="30" x14ac:dyDescent="0.25">
      <c r="A547" s="436" t="s">
        <v>2500</v>
      </c>
      <c r="B547" s="436" t="s">
        <v>2468</v>
      </c>
      <c r="C547" s="436" t="s">
        <v>2496</v>
      </c>
      <c r="D547" s="436" t="s">
        <v>2293</v>
      </c>
      <c r="E547" s="436" t="s">
        <v>2497</v>
      </c>
      <c r="F547" s="436" t="s">
        <v>2498</v>
      </c>
    </row>
    <row r="548" spans="1:6" ht="45" x14ac:dyDescent="0.25">
      <c r="A548" s="436" t="s">
        <v>2501</v>
      </c>
      <c r="B548" s="436" t="s">
        <v>2468</v>
      </c>
      <c r="C548" s="436" t="s">
        <v>2488</v>
      </c>
      <c r="D548" s="436" t="s">
        <v>2468</v>
      </c>
      <c r="E548" s="436" t="s">
        <v>2489</v>
      </c>
      <c r="F548" s="436" t="s">
        <v>2470</v>
      </c>
    </row>
    <row r="549" spans="1:6" ht="30" x14ac:dyDescent="0.25">
      <c r="A549" s="436" t="s">
        <v>2502</v>
      </c>
      <c r="B549" s="436" t="s">
        <v>2503</v>
      </c>
      <c r="C549" s="436" t="s">
        <v>2504</v>
      </c>
      <c r="D549" s="436" t="s">
        <v>2503</v>
      </c>
      <c r="E549" s="436" t="s">
        <v>2505</v>
      </c>
      <c r="F549" s="436" t="s">
        <v>2506</v>
      </c>
    </row>
    <row r="550" spans="1:6" ht="30" x14ac:dyDescent="0.25">
      <c r="A550" s="436" t="s">
        <v>2507</v>
      </c>
      <c r="B550" s="436" t="s">
        <v>2503</v>
      </c>
      <c r="C550" s="436" t="s">
        <v>2504</v>
      </c>
      <c r="D550" s="436" t="s">
        <v>2503</v>
      </c>
      <c r="E550" s="436" t="s">
        <v>2505</v>
      </c>
      <c r="F550" s="436" t="s">
        <v>2506</v>
      </c>
    </row>
    <row r="551" spans="1:6" ht="30" x14ac:dyDescent="0.25">
      <c r="A551" s="436" t="s">
        <v>2508</v>
      </c>
      <c r="B551" s="436" t="s">
        <v>2503</v>
      </c>
      <c r="C551" s="436" t="s">
        <v>2504</v>
      </c>
      <c r="D551" s="436" t="s">
        <v>2503</v>
      </c>
      <c r="E551" s="436" t="s">
        <v>2505</v>
      </c>
      <c r="F551" s="436" t="s">
        <v>2506</v>
      </c>
    </row>
    <row r="552" spans="1:6" ht="30" x14ac:dyDescent="0.25">
      <c r="A552" s="436" t="s">
        <v>2509</v>
      </c>
      <c r="B552" s="436" t="s">
        <v>2503</v>
      </c>
      <c r="C552" s="436" t="s">
        <v>2504</v>
      </c>
      <c r="D552" s="436" t="s">
        <v>2503</v>
      </c>
      <c r="E552" s="436" t="s">
        <v>2505</v>
      </c>
      <c r="F552" s="436" t="s">
        <v>2506</v>
      </c>
    </row>
    <row r="553" spans="1:6" ht="30" x14ac:dyDescent="0.25">
      <c r="A553" s="436" t="s">
        <v>2510</v>
      </c>
      <c r="B553" s="436" t="s">
        <v>2503</v>
      </c>
      <c r="C553" s="436" t="s">
        <v>2504</v>
      </c>
      <c r="D553" s="436" t="s">
        <v>2503</v>
      </c>
      <c r="E553" s="436" t="s">
        <v>2505</v>
      </c>
      <c r="F553" s="436" t="s">
        <v>2506</v>
      </c>
    </row>
    <row r="554" spans="1:6" ht="30" x14ac:dyDescent="0.25">
      <c r="A554" s="436" t="s">
        <v>2511</v>
      </c>
      <c r="B554" s="436" t="s">
        <v>2503</v>
      </c>
      <c r="C554" s="436" t="s">
        <v>2504</v>
      </c>
      <c r="D554" s="436" t="s">
        <v>2503</v>
      </c>
      <c r="E554" s="436" t="s">
        <v>2505</v>
      </c>
      <c r="F554" s="436" t="s">
        <v>2506</v>
      </c>
    </row>
    <row r="555" spans="1:6" ht="30" x14ac:dyDescent="0.25">
      <c r="A555" s="436" t="s">
        <v>2512</v>
      </c>
      <c r="B555" s="436" t="s">
        <v>2503</v>
      </c>
      <c r="C555" s="436" t="s">
        <v>2504</v>
      </c>
      <c r="D555" s="436" t="s">
        <v>2503</v>
      </c>
      <c r="E555" s="436" t="s">
        <v>2505</v>
      </c>
      <c r="F555" s="436" t="s">
        <v>2506</v>
      </c>
    </row>
    <row r="556" spans="1:6" ht="30" x14ac:dyDescent="0.25">
      <c r="A556" s="436" t="s">
        <v>2513</v>
      </c>
      <c r="B556" s="436" t="s">
        <v>2503</v>
      </c>
      <c r="C556" s="436" t="s">
        <v>2504</v>
      </c>
      <c r="D556" s="436" t="s">
        <v>2503</v>
      </c>
      <c r="E556" s="436" t="s">
        <v>2505</v>
      </c>
      <c r="F556" s="436" t="s">
        <v>2506</v>
      </c>
    </row>
    <row r="557" spans="1:6" ht="30" x14ac:dyDescent="0.25">
      <c r="A557" s="436" t="s">
        <v>2514</v>
      </c>
      <c r="B557" s="436" t="s">
        <v>2503</v>
      </c>
      <c r="C557" s="436" t="s">
        <v>2504</v>
      </c>
      <c r="D557" s="436" t="s">
        <v>2503</v>
      </c>
      <c r="E557" s="436" t="s">
        <v>2505</v>
      </c>
      <c r="F557" s="436" t="s">
        <v>2506</v>
      </c>
    </row>
    <row r="558" spans="1:6" ht="30" x14ac:dyDescent="0.25">
      <c r="A558" s="436" t="s">
        <v>2514</v>
      </c>
      <c r="B558" s="436" t="s">
        <v>2503</v>
      </c>
      <c r="C558" s="436" t="s">
        <v>2515</v>
      </c>
      <c r="D558" s="436" t="s">
        <v>2293</v>
      </c>
      <c r="E558" s="436" t="s">
        <v>2516</v>
      </c>
      <c r="F558" s="436" t="s">
        <v>2517</v>
      </c>
    </row>
    <row r="559" spans="1:6" ht="30" x14ac:dyDescent="0.25">
      <c r="A559" s="436" t="s">
        <v>2518</v>
      </c>
      <c r="B559" s="436" t="s">
        <v>2503</v>
      </c>
      <c r="C559" s="436" t="s">
        <v>2519</v>
      </c>
      <c r="D559" s="436" t="s">
        <v>2503</v>
      </c>
      <c r="E559" s="436" t="s">
        <v>2520</v>
      </c>
      <c r="F559" s="436" t="s">
        <v>2506</v>
      </c>
    </row>
    <row r="560" spans="1:6" ht="30" x14ac:dyDescent="0.25">
      <c r="A560" s="436" t="s">
        <v>2521</v>
      </c>
      <c r="B560" s="436" t="s">
        <v>2503</v>
      </c>
      <c r="C560" s="436" t="s">
        <v>2519</v>
      </c>
      <c r="D560" s="436" t="s">
        <v>2503</v>
      </c>
      <c r="E560" s="436" t="s">
        <v>2520</v>
      </c>
      <c r="F560" s="436" t="s">
        <v>2506</v>
      </c>
    </row>
    <row r="561" spans="1:6" ht="45" x14ac:dyDescent="0.25">
      <c r="A561" s="436" t="s">
        <v>2522</v>
      </c>
      <c r="B561" s="436" t="s">
        <v>2503</v>
      </c>
      <c r="C561" s="436" t="s">
        <v>2519</v>
      </c>
      <c r="D561" s="436" t="s">
        <v>2503</v>
      </c>
      <c r="E561" s="436" t="s">
        <v>2520</v>
      </c>
      <c r="F561" s="436" t="s">
        <v>2506</v>
      </c>
    </row>
    <row r="562" spans="1:6" ht="30" x14ac:dyDescent="0.25">
      <c r="A562" s="436" t="s">
        <v>2523</v>
      </c>
      <c r="B562" s="436" t="s">
        <v>2503</v>
      </c>
      <c r="C562" s="436" t="s">
        <v>2524</v>
      </c>
      <c r="D562" s="436" t="s">
        <v>2503</v>
      </c>
      <c r="E562" s="436" t="s">
        <v>2525</v>
      </c>
      <c r="F562" s="436" t="s">
        <v>2506</v>
      </c>
    </row>
    <row r="563" spans="1:6" ht="30" x14ac:dyDescent="0.25">
      <c r="A563" s="436" t="s">
        <v>2526</v>
      </c>
      <c r="B563" s="436" t="s">
        <v>2503</v>
      </c>
      <c r="C563" s="436" t="s">
        <v>2524</v>
      </c>
      <c r="D563" s="436" t="s">
        <v>2503</v>
      </c>
      <c r="E563" s="436" t="s">
        <v>2525</v>
      </c>
      <c r="F563" s="436" t="s">
        <v>2506</v>
      </c>
    </row>
    <row r="564" spans="1:6" ht="30" x14ac:dyDescent="0.25">
      <c r="A564" s="436" t="s">
        <v>2527</v>
      </c>
      <c r="B564" s="436" t="s">
        <v>2503</v>
      </c>
      <c r="C564" s="436" t="s">
        <v>2524</v>
      </c>
      <c r="D564" s="436" t="s">
        <v>2503</v>
      </c>
      <c r="E564" s="436" t="s">
        <v>2525</v>
      </c>
      <c r="F564" s="436" t="s">
        <v>2506</v>
      </c>
    </row>
    <row r="565" spans="1:6" ht="30" x14ac:dyDescent="0.25">
      <c r="A565" s="436" t="s">
        <v>2528</v>
      </c>
      <c r="B565" s="436" t="s">
        <v>2503</v>
      </c>
      <c r="C565" s="436" t="s">
        <v>2524</v>
      </c>
      <c r="D565" s="436" t="s">
        <v>2503</v>
      </c>
      <c r="E565" s="436" t="s">
        <v>2525</v>
      </c>
      <c r="F565" s="436" t="s">
        <v>2506</v>
      </c>
    </row>
    <row r="566" spans="1:6" ht="30" x14ac:dyDescent="0.25">
      <c r="A566" s="436" t="s">
        <v>2529</v>
      </c>
      <c r="B566" s="436" t="s">
        <v>2503</v>
      </c>
      <c r="C566" s="436" t="s">
        <v>2524</v>
      </c>
      <c r="D566" s="436" t="s">
        <v>2503</v>
      </c>
      <c r="E566" s="436" t="s">
        <v>2525</v>
      </c>
      <c r="F566" s="436" t="s">
        <v>2506</v>
      </c>
    </row>
    <row r="567" spans="1:6" ht="30" x14ac:dyDescent="0.25">
      <c r="A567" s="436" t="s">
        <v>2530</v>
      </c>
      <c r="B567" s="436" t="s">
        <v>2503</v>
      </c>
      <c r="C567" s="436" t="s">
        <v>2524</v>
      </c>
      <c r="D567" s="436" t="s">
        <v>2503</v>
      </c>
      <c r="E567" s="436" t="s">
        <v>2525</v>
      </c>
      <c r="F567" s="436" t="s">
        <v>2506</v>
      </c>
    </row>
    <row r="568" spans="1:6" ht="30" x14ac:dyDescent="0.25">
      <c r="A568" s="436" t="s">
        <v>2531</v>
      </c>
      <c r="B568" s="436" t="s">
        <v>2503</v>
      </c>
      <c r="C568" s="436" t="s">
        <v>2524</v>
      </c>
      <c r="D568" s="436" t="s">
        <v>2503</v>
      </c>
      <c r="E568" s="436" t="s">
        <v>2525</v>
      </c>
      <c r="F568" s="436" t="s">
        <v>2506</v>
      </c>
    </row>
    <row r="569" spans="1:6" ht="30" x14ac:dyDescent="0.25">
      <c r="A569" s="436" t="s">
        <v>2532</v>
      </c>
      <c r="B569" s="436" t="s">
        <v>2503</v>
      </c>
      <c r="C569" s="436" t="s">
        <v>2533</v>
      </c>
      <c r="D569" s="436" t="s">
        <v>2503</v>
      </c>
      <c r="E569" s="436" t="s">
        <v>2534</v>
      </c>
      <c r="F569" s="436" t="s">
        <v>2506</v>
      </c>
    </row>
    <row r="570" spans="1:6" ht="30" x14ac:dyDescent="0.25">
      <c r="A570" s="436" t="s">
        <v>2535</v>
      </c>
      <c r="B570" s="436" t="s">
        <v>2503</v>
      </c>
      <c r="C570" s="436" t="s">
        <v>2533</v>
      </c>
      <c r="D570" s="436" t="s">
        <v>2503</v>
      </c>
      <c r="E570" s="436" t="s">
        <v>2534</v>
      </c>
      <c r="F570" s="436" t="s">
        <v>2506</v>
      </c>
    </row>
    <row r="571" spans="1:6" ht="30" x14ac:dyDescent="0.25">
      <c r="A571" s="436" t="s">
        <v>2536</v>
      </c>
      <c r="B571" s="436" t="s">
        <v>2503</v>
      </c>
      <c r="C571" s="436" t="s">
        <v>2533</v>
      </c>
      <c r="D571" s="436" t="s">
        <v>2503</v>
      </c>
      <c r="E571" s="436" t="s">
        <v>2534</v>
      </c>
      <c r="F571" s="436" t="s">
        <v>2506</v>
      </c>
    </row>
    <row r="572" spans="1:6" ht="30" x14ac:dyDescent="0.25">
      <c r="A572" s="436" t="s">
        <v>2537</v>
      </c>
      <c r="B572" s="436" t="s">
        <v>2503</v>
      </c>
      <c r="C572" s="436" t="s">
        <v>2533</v>
      </c>
      <c r="D572" s="436" t="s">
        <v>2503</v>
      </c>
      <c r="E572" s="436" t="s">
        <v>2534</v>
      </c>
      <c r="F572" s="436" t="s">
        <v>2506</v>
      </c>
    </row>
    <row r="573" spans="1:6" ht="45" x14ac:dyDescent="0.25">
      <c r="A573" s="436" t="s">
        <v>2538</v>
      </c>
      <c r="B573" s="436" t="s">
        <v>2503</v>
      </c>
      <c r="C573" s="436" t="s">
        <v>2533</v>
      </c>
      <c r="D573" s="436" t="s">
        <v>2503</v>
      </c>
      <c r="E573" s="436" t="s">
        <v>2534</v>
      </c>
      <c r="F573" s="436" t="s">
        <v>2506</v>
      </c>
    </row>
    <row r="574" spans="1:6" ht="30" x14ac:dyDescent="0.25">
      <c r="A574" s="436" t="s">
        <v>2539</v>
      </c>
      <c r="B574" s="436" t="s">
        <v>2503</v>
      </c>
      <c r="C574" s="436" t="s">
        <v>2533</v>
      </c>
      <c r="D574" s="436" t="s">
        <v>2503</v>
      </c>
      <c r="E574" s="436" t="s">
        <v>2534</v>
      </c>
      <c r="F574" s="436" t="s">
        <v>2506</v>
      </c>
    </row>
    <row r="575" spans="1:6" ht="30" x14ac:dyDescent="0.25">
      <c r="A575" s="436" t="s">
        <v>2540</v>
      </c>
      <c r="B575" s="436" t="s">
        <v>2503</v>
      </c>
      <c r="C575" s="436" t="s">
        <v>2533</v>
      </c>
      <c r="D575" s="436" t="s">
        <v>2503</v>
      </c>
      <c r="E575" s="436" t="s">
        <v>2534</v>
      </c>
      <c r="F575" s="436" t="s">
        <v>2541</v>
      </c>
    </row>
    <row r="576" spans="1:6" ht="30" x14ac:dyDescent="0.25">
      <c r="A576" s="436" t="s">
        <v>2542</v>
      </c>
      <c r="B576" s="436" t="s">
        <v>2503</v>
      </c>
      <c r="C576" s="436" t="s">
        <v>2504</v>
      </c>
      <c r="D576" s="436" t="s">
        <v>2503</v>
      </c>
      <c r="E576" s="436" t="s">
        <v>2505</v>
      </c>
      <c r="F576" s="436" t="s">
        <v>2506</v>
      </c>
    </row>
    <row r="577" spans="1:6" ht="30" x14ac:dyDescent="0.25">
      <c r="A577" s="436" t="s">
        <v>2542</v>
      </c>
      <c r="B577" s="436" t="s">
        <v>2503</v>
      </c>
      <c r="C577" s="436" t="s">
        <v>2360</v>
      </c>
      <c r="D577" s="436" t="s">
        <v>2253</v>
      </c>
      <c r="E577" s="436" t="s">
        <v>2361</v>
      </c>
      <c r="F577" s="436" t="s">
        <v>2328</v>
      </c>
    </row>
    <row r="578" spans="1:6" ht="30" x14ac:dyDescent="0.25">
      <c r="A578" s="436" t="s">
        <v>2542</v>
      </c>
      <c r="B578" s="436" t="s">
        <v>2503</v>
      </c>
      <c r="C578" s="436" t="s">
        <v>2515</v>
      </c>
      <c r="D578" s="436" t="s">
        <v>2293</v>
      </c>
      <c r="E578" s="436" t="s">
        <v>2516</v>
      </c>
      <c r="F578" s="436" t="s">
        <v>2517</v>
      </c>
    </row>
    <row r="579" spans="1:6" ht="30" x14ac:dyDescent="0.25">
      <c r="A579" s="436" t="s">
        <v>2542</v>
      </c>
      <c r="B579" s="436" t="s">
        <v>2503</v>
      </c>
      <c r="C579" s="436" t="s">
        <v>2543</v>
      </c>
      <c r="D579" s="436" t="s">
        <v>2253</v>
      </c>
      <c r="E579" s="436" t="s">
        <v>2544</v>
      </c>
      <c r="F579" s="436" t="s">
        <v>2517</v>
      </c>
    </row>
    <row r="580" spans="1:6" ht="30" x14ac:dyDescent="0.25">
      <c r="A580" s="436" t="s">
        <v>2545</v>
      </c>
      <c r="B580" s="436" t="s">
        <v>2503</v>
      </c>
      <c r="C580" s="436" t="s">
        <v>2504</v>
      </c>
      <c r="D580" s="436" t="s">
        <v>2503</v>
      </c>
      <c r="E580" s="436" t="s">
        <v>2505</v>
      </c>
      <c r="F580" s="436" t="s">
        <v>2506</v>
      </c>
    </row>
    <row r="581" spans="1:6" ht="30" x14ac:dyDescent="0.25">
      <c r="A581" s="436" t="s">
        <v>2545</v>
      </c>
      <c r="B581" s="436" t="s">
        <v>2503</v>
      </c>
      <c r="C581" s="436" t="s">
        <v>2543</v>
      </c>
      <c r="D581" s="436" t="s">
        <v>2253</v>
      </c>
      <c r="E581" s="436" t="s">
        <v>2544</v>
      </c>
      <c r="F581" s="436" t="s">
        <v>2517</v>
      </c>
    </row>
    <row r="582" spans="1:6" ht="30" x14ac:dyDescent="0.25">
      <c r="A582" s="436" t="s">
        <v>2546</v>
      </c>
      <c r="B582" s="436" t="s">
        <v>2503</v>
      </c>
      <c r="C582" s="436" t="s">
        <v>2360</v>
      </c>
      <c r="D582" s="436" t="s">
        <v>2253</v>
      </c>
      <c r="E582" s="436" t="s">
        <v>2361</v>
      </c>
      <c r="F582" s="436" t="s">
        <v>2328</v>
      </c>
    </row>
    <row r="583" spans="1:6" ht="30" x14ac:dyDescent="0.25">
      <c r="A583" s="436" t="s">
        <v>2546</v>
      </c>
      <c r="B583" s="436" t="s">
        <v>2503</v>
      </c>
      <c r="C583" s="436" t="s">
        <v>2543</v>
      </c>
      <c r="D583" s="436" t="s">
        <v>2253</v>
      </c>
      <c r="E583" s="436" t="s">
        <v>2544</v>
      </c>
      <c r="F583" s="436" t="s">
        <v>2517</v>
      </c>
    </row>
    <row r="584" spans="1:6" ht="30" x14ac:dyDescent="0.25">
      <c r="C584" s="436" t="s">
        <v>2547</v>
      </c>
      <c r="D584" s="436" t="s">
        <v>2253</v>
      </c>
      <c r="E584" s="436" t="s">
        <v>2548</v>
      </c>
      <c r="F584" s="436" t="s">
        <v>2517</v>
      </c>
    </row>
    <row r="585" spans="1:6" ht="30" x14ac:dyDescent="0.25">
      <c r="A585" s="436" t="s">
        <v>2549</v>
      </c>
      <c r="B585" s="436" t="s">
        <v>2293</v>
      </c>
      <c r="C585" s="436" t="s">
        <v>2549</v>
      </c>
      <c r="D585" s="436" t="s">
        <v>2293</v>
      </c>
      <c r="E585" s="436" t="s">
        <v>2550</v>
      </c>
      <c r="F585" s="436" t="s">
        <v>2498</v>
      </c>
    </row>
    <row r="586" spans="1:6" ht="30" x14ac:dyDescent="0.25">
      <c r="A586" s="436" t="s">
        <v>2551</v>
      </c>
      <c r="B586" s="436" t="s">
        <v>2293</v>
      </c>
      <c r="C586" s="436" t="s">
        <v>2549</v>
      </c>
      <c r="D586" s="436" t="s">
        <v>2293</v>
      </c>
      <c r="E586" s="436" t="s">
        <v>2550</v>
      </c>
      <c r="F586" s="436" t="s">
        <v>2498</v>
      </c>
    </row>
    <row r="587" spans="1:6" ht="30" x14ac:dyDescent="0.25">
      <c r="A587" s="436" t="s">
        <v>2552</v>
      </c>
      <c r="B587" s="436" t="s">
        <v>2293</v>
      </c>
      <c r="C587" s="436" t="s">
        <v>2553</v>
      </c>
      <c r="D587" s="436" t="s">
        <v>2293</v>
      </c>
      <c r="E587" s="436" t="s">
        <v>2554</v>
      </c>
      <c r="F587" s="436" t="s">
        <v>2498</v>
      </c>
    </row>
    <row r="588" spans="1:6" ht="30" x14ac:dyDescent="0.25">
      <c r="A588" s="436" t="s">
        <v>2552</v>
      </c>
      <c r="B588" s="436" t="s">
        <v>2293</v>
      </c>
      <c r="C588" s="436" t="s">
        <v>2555</v>
      </c>
      <c r="D588" s="436" t="s">
        <v>2293</v>
      </c>
      <c r="E588" s="436" t="s">
        <v>2556</v>
      </c>
      <c r="F588" s="436" t="s">
        <v>2255</v>
      </c>
    </row>
    <row r="589" spans="1:6" ht="30" x14ac:dyDescent="0.25">
      <c r="A589" s="436" t="s">
        <v>2557</v>
      </c>
      <c r="B589" s="436" t="s">
        <v>2293</v>
      </c>
      <c r="C589" s="436" t="s">
        <v>2553</v>
      </c>
      <c r="D589" s="436" t="s">
        <v>2293</v>
      </c>
      <c r="E589" s="436" t="s">
        <v>2554</v>
      </c>
      <c r="F589" s="436" t="s">
        <v>2498</v>
      </c>
    </row>
    <row r="590" spans="1:6" ht="30" x14ac:dyDescent="0.25">
      <c r="A590" s="436" t="s">
        <v>2558</v>
      </c>
      <c r="B590" s="436" t="s">
        <v>2293</v>
      </c>
      <c r="C590" s="436" t="s">
        <v>2553</v>
      </c>
      <c r="D590" s="436" t="s">
        <v>2293</v>
      </c>
      <c r="E590" s="436" t="s">
        <v>2554</v>
      </c>
      <c r="F590" s="436" t="s">
        <v>2498</v>
      </c>
    </row>
    <row r="591" spans="1:6" ht="30" x14ac:dyDescent="0.25">
      <c r="A591" s="436" t="s">
        <v>2559</v>
      </c>
      <c r="B591" s="436" t="s">
        <v>2293</v>
      </c>
      <c r="C591" s="436" t="s">
        <v>2553</v>
      </c>
      <c r="D591" s="436" t="s">
        <v>2293</v>
      </c>
      <c r="E591" s="436" t="s">
        <v>2554</v>
      </c>
      <c r="F591" s="436" t="s">
        <v>2498</v>
      </c>
    </row>
    <row r="592" spans="1:6" ht="45" x14ac:dyDescent="0.25">
      <c r="A592" s="436" t="s">
        <v>2560</v>
      </c>
      <c r="B592" s="436" t="s">
        <v>2293</v>
      </c>
      <c r="C592" s="436" t="s">
        <v>2561</v>
      </c>
      <c r="D592" s="436" t="s">
        <v>2293</v>
      </c>
      <c r="E592" s="436" t="s">
        <v>2562</v>
      </c>
      <c r="F592" s="436" t="s">
        <v>2255</v>
      </c>
    </row>
    <row r="593" spans="1:6" ht="45" x14ac:dyDescent="0.25">
      <c r="A593" s="436" t="s">
        <v>2563</v>
      </c>
      <c r="B593" s="436" t="s">
        <v>2293</v>
      </c>
      <c r="C593" s="436" t="s">
        <v>2561</v>
      </c>
      <c r="D593" s="436" t="s">
        <v>2293</v>
      </c>
      <c r="E593" s="436" t="s">
        <v>2562</v>
      </c>
      <c r="F593" s="436" t="s">
        <v>2255</v>
      </c>
    </row>
    <row r="594" spans="1:6" ht="45" x14ac:dyDescent="0.25">
      <c r="A594" s="436" t="s">
        <v>2564</v>
      </c>
      <c r="B594" s="436" t="s">
        <v>2293</v>
      </c>
      <c r="C594" s="436" t="s">
        <v>2561</v>
      </c>
      <c r="D594" s="436" t="s">
        <v>2293</v>
      </c>
      <c r="E594" s="436" t="s">
        <v>2562</v>
      </c>
      <c r="F594" s="436" t="s">
        <v>2255</v>
      </c>
    </row>
    <row r="595" spans="1:6" ht="30" x14ac:dyDescent="0.25">
      <c r="A595" s="436" t="s">
        <v>2565</v>
      </c>
      <c r="B595" s="436" t="s">
        <v>2293</v>
      </c>
      <c r="C595" s="436" t="s">
        <v>2555</v>
      </c>
      <c r="D595" s="436" t="s">
        <v>2293</v>
      </c>
      <c r="E595" s="436" t="s">
        <v>2556</v>
      </c>
      <c r="F595" s="436" t="s">
        <v>2255</v>
      </c>
    </row>
    <row r="596" spans="1:6" ht="30" x14ac:dyDescent="0.25">
      <c r="A596" s="436" t="s">
        <v>2566</v>
      </c>
      <c r="B596" s="436" t="s">
        <v>2293</v>
      </c>
      <c r="C596" s="436" t="s">
        <v>2555</v>
      </c>
      <c r="D596" s="436" t="s">
        <v>2293</v>
      </c>
      <c r="E596" s="436" t="s">
        <v>2556</v>
      </c>
      <c r="F596" s="436" t="s">
        <v>2255</v>
      </c>
    </row>
    <row r="597" spans="1:6" ht="30" x14ac:dyDescent="0.25">
      <c r="A597" s="436" t="s">
        <v>2567</v>
      </c>
      <c r="B597" s="436" t="s">
        <v>2293</v>
      </c>
      <c r="C597" s="436" t="s">
        <v>2568</v>
      </c>
      <c r="D597" s="436" t="s">
        <v>2293</v>
      </c>
      <c r="E597" s="436" t="s">
        <v>2569</v>
      </c>
      <c r="F597" s="436" t="s">
        <v>2498</v>
      </c>
    </row>
    <row r="598" spans="1:6" ht="30" x14ac:dyDescent="0.25">
      <c r="A598" s="436" t="s">
        <v>2570</v>
      </c>
      <c r="B598" s="436" t="s">
        <v>2293</v>
      </c>
      <c r="C598" s="436" t="s">
        <v>2571</v>
      </c>
      <c r="D598" s="436" t="s">
        <v>2293</v>
      </c>
      <c r="E598" s="436" t="s">
        <v>2572</v>
      </c>
      <c r="F598" s="436" t="s">
        <v>2498</v>
      </c>
    </row>
    <row r="599" spans="1:6" ht="30" x14ac:dyDescent="0.25">
      <c r="A599" s="436" t="s">
        <v>2573</v>
      </c>
      <c r="B599" s="436" t="s">
        <v>2293</v>
      </c>
      <c r="C599" s="436" t="s">
        <v>2571</v>
      </c>
      <c r="D599" s="436" t="s">
        <v>2293</v>
      </c>
      <c r="E599" s="436" t="s">
        <v>2572</v>
      </c>
      <c r="F599" s="436" t="s">
        <v>2574</v>
      </c>
    </row>
    <row r="600" spans="1:6" ht="30" x14ac:dyDescent="0.25">
      <c r="A600" s="436" t="s">
        <v>2575</v>
      </c>
      <c r="B600" s="436" t="s">
        <v>2293</v>
      </c>
    </row>
    <row r="601" spans="1:6" ht="30" x14ac:dyDescent="0.25">
      <c r="A601" s="436" t="s">
        <v>2576</v>
      </c>
      <c r="B601" s="436" t="s">
        <v>2138</v>
      </c>
      <c r="C601" s="436" t="s">
        <v>2576</v>
      </c>
      <c r="D601" s="436" t="s">
        <v>2138</v>
      </c>
      <c r="E601" s="436" t="s">
        <v>2577</v>
      </c>
      <c r="F601" s="436" t="s">
        <v>2140</v>
      </c>
    </row>
    <row r="602" spans="1:6" ht="30" x14ac:dyDescent="0.25">
      <c r="A602" s="436" t="s">
        <v>2576</v>
      </c>
      <c r="B602" s="436" t="s">
        <v>2138</v>
      </c>
      <c r="C602" s="436" t="s">
        <v>2578</v>
      </c>
      <c r="D602" s="436" t="s">
        <v>2138</v>
      </c>
      <c r="E602" s="436" t="s">
        <v>2579</v>
      </c>
      <c r="F602" s="436" t="s">
        <v>2140</v>
      </c>
    </row>
    <row r="603" spans="1:6" ht="30" x14ac:dyDescent="0.25">
      <c r="A603" s="436" t="s">
        <v>2580</v>
      </c>
      <c r="B603" s="436" t="s">
        <v>2138</v>
      </c>
      <c r="C603" s="436" t="s">
        <v>2576</v>
      </c>
      <c r="D603" s="436" t="s">
        <v>2138</v>
      </c>
      <c r="E603" s="436" t="s">
        <v>2577</v>
      </c>
      <c r="F603" s="436" t="s">
        <v>2140</v>
      </c>
    </row>
    <row r="604" spans="1:6" ht="45" x14ac:dyDescent="0.25">
      <c r="A604" s="436" t="s">
        <v>2581</v>
      </c>
      <c r="B604" s="436" t="s">
        <v>2138</v>
      </c>
      <c r="C604" s="436" t="s">
        <v>2576</v>
      </c>
      <c r="D604" s="436" t="s">
        <v>2138</v>
      </c>
      <c r="E604" s="436" t="s">
        <v>2577</v>
      </c>
      <c r="F604" s="436" t="s">
        <v>2140</v>
      </c>
    </row>
    <row r="605" spans="1:6" ht="30" x14ac:dyDescent="0.25">
      <c r="A605" s="436" t="s">
        <v>2582</v>
      </c>
      <c r="B605" s="436" t="s">
        <v>2138</v>
      </c>
      <c r="C605" s="436" t="s">
        <v>2576</v>
      </c>
      <c r="D605" s="436" t="s">
        <v>2138</v>
      </c>
      <c r="E605" s="436" t="s">
        <v>2577</v>
      </c>
      <c r="F605" s="436" t="s">
        <v>2140</v>
      </c>
    </row>
    <row r="606" spans="1:6" ht="45" x14ac:dyDescent="0.25">
      <c r="A606" s="436" t="s">
        <v>2583</v>
      </c>
      <c r="B606" s="436" t="s">
        <v>2138</v>
      </c>
      <c r="C606" s="436" t="s">
        <v>2576</v>
      </c>
      <c r="D606" s="436" t="s">
        <v>2138</v>
      </c>
      <c r="E606" s="436" t="s">
        <v>2577</v>
      </c>
      <c r="F606" s="436" t="s">
        <v>2140</v>
      </c>
    </row>
    <row r="607" spans="1:6" ht="45" x14ac:dyDescent="0.25">
      <c r="A607" s="436" t="s">
        <v>2583</v>
      </c>
      <c r="B607" s="436" t="s">
        <v>2138</v>
      </c>
      <c r="C607" s="436" t="s">
        <v>2578</v>
      </c>
      <c r="D607" s="436" t="s">
        <v>2138</v>
      </c>
      <c r="E607" s="436" t="s">
        <v>2579</v>
      </c>
      <c r="F607" s="436" t="s">
        <v>2140</v>
      </c>
    </row>
    <row r="608" spans="1:6" ht="30" x14ac:dyDescent="0.25">
      <c r="A608" s="436" t="s">
        <v>2584</v>
      </c>
      <c r="B608" s="436" t="s">
        <v>2138</v>
      </c>
      <c r="C608" s="436" t="s">
        <v>2585</v>
      </c>
      <c r="D608" s="436" t="s">
        <v>2138</v>
      </c>
      <c r="E608" s="436" t="s">
        <v>2586</v>
      </c>
      <c r="F608" s="436" t="s">
        <v>2140</v>
      </c>
    </row>
    <row r="609" spans="1:6" ht="30" x14ac:dyDescent="0.25">
      <c r="A609" s="436" t="s">
        <v>2587</v>
      </c>
      <c r="B609" s="436" t="s">
        <v>2138</v>
      </c>
      <c r="C609" s="436" t="s">
        <v>2585</v>
      </c>
      <c r="D609" s="436" t="s">
        <v>2138</v>
      </c>
      <c r="E609" s="436" t="s">
        <v>2586</v>
      </c>
      <c r="F609" s="436" t="s">
        <v>2140</v>
      </c>
    </row>
    <row r="610" spans="1:6" ht="30" x14ac:dyDescent="0.25">
      <c r="A610" s="436" t="s">
        <v>2588</v>
      </c>
      <c r="B610" s="436" t="s">
        <v>2138</v>
      </c>
      <c r="C610" s="436" t="s">
        <v>2585</v>
      </c>
      <c r="D610" s="436" t="s">
        <v>2138</v>
      </c>
      <c r="E610" s="436" t="s">
        <v>2586</v>
      </c>
      <c r="F610" s="436" t="s">
        <v>2140</v>
      </c>
    </row>
    <row r="611" spans="1:6" ht="30" x14ac:dyDescent="0.25">
      <c r="A611" s="436" t="s">
        <v>2589</v>
      </c>
      <c r="B611" s="436" t="s">
        <v>2138</v>
      </c>
      <c r="C611" s="436" t="s">
        <v>2585</v>
      </c>
      <c r="D611" s="436" t="s">
        <v>2138</v>
      </c>
      <c r="E611" s="436" t="s">
        <v>2586</v>
      </c>
      <c r="F611" s="436" t="s">
        <v>2140</v>
      </c>
    </row>
    <row r="612" spans="1:6" ht="30" x14ac:dyDescent="0.25">
      <c r="A612" s="436" t="s">
        <v>2590</v>
      </c>
      <c r="B612" s="436" t="s">
        <v>2138</v>
      </c>
      <c r="C612" s="436" t="s">
        <v>2585</v>
      </c>
      <c r="D612" s="436" t="s">
        <v>2138</v>
      </c>
      <c r="E612" s="436" t="s">
        <v>2586</v>
      </c>
      <c r="F612" s="436" t="s">
        <v>2140</v>
      </c>
    </row>
    <row r="613" spans="1:6" ht="45" x14ac:dyDescent="0.25">
      <c r="A613" s="436" t="s">
        <v>2591</v>
      </c>
      <c r="B613" s="436" t="s">
        <v>2138</v>
      </c>
      <c r="C613" s="436" t="s">
        <v>2379</v>
      </c>
      <c r="D613" s="436" t="s">
        <v>2378</v>
      </c>
      <c r="E613" s="436" t="s">
        <v>2380</v>
      </c>
      <c r="F613" s="436" t="s">
        <v>2381</v>
      </c>
    </row>
    <row r="614" spans="1:6" ht="45" x14ac:dyDescent="0.25">
      <c r="A614" s="436" t="s">
        <v>2591</v>
      </c>
      <c r="B614" s="436" t="s">
        <v>2138</v>
      </c>
      <c r="C614" s="436" t="s">
        <v>2549</v>
      </c>
      <c r="D614" s="436" t="s">
        <v>2293</v>
      </c>
      <c r="E614" s="436" t="s">
        <v>2550</v>
      </c>
      <c r="F614" s="436" t="s">
        <v>2498</v>
      </c>
    </row>
    <row r="615" spans="1:6" ht="30" x14ac:dyDescent="0.25">
      <c r="A615" s="436" t="s">
        <v>2592</v>
      </c>
      <c r="B615" s="436" t="s">
        <v>2138</v>
      </c>
      <c r="C615" s="436" t="s">
        <v>2593</v>
      </c>
      <c r="D615" s="436" t="s">
        <v>2138</v>
      </c>
      <c r="E615" s="436" t="s">
        <v>2594</v>
      </c>
      <c r="F615" s="436" t="s">
        <v>1715</v>
      </c>
    </row>
    <row r="616" spans="1:6" ht="30" x14ac:dyDescent="0.25">
      <c r="A616" s="436" t="s">
        <v>2595</v>
      </c>
      <c r="B616" s="436" t="s">
        <v>2596</v>
      </c>
      <c r="C616" s="436" t="s">
        <v>2597</v>
      </c>
      <c r="D616" s="436" t="s">
        <v>2596</v>
      </c>
      <c r="E616" s="436" t="s">
        <v>2598</v>
      </c>
      <c r="F616" s="436" t="s">
        <v>2599</v>
      </c>
    </row>
    <row r="617" spans="1:6" ht="60" x14ac:dyDescent="0.25">
      <c r="A617" s="436" t="s">
        <v>2600</v>
      </c>
      <c r="B617" s="436" t="s">
        <v>2596</v>
      </c>
      <c r="C617" s="436" t="s">
        <v>2597</v>
      </c>
      <c r="D617" s="436" t="s">
        <v>2596</v>
      </c>
      <c r="E617" s="436" t="s">
        <v>2598</v>
      </c>
      <c r="F617" s="436" t="s">
        <v>2599</v>
      </c>
    </row>
    <row r="618" spans="1:6" ht="45" x14ac:dyDescent="0.25">
      <c r="A618" s="436" t="s">
        <v>2601</v>
      </c>
      <c r="B618" s="436" t="s">
        <v>2596</v>
      </c>
      <c r="C618" s="436" t="s">
        <v>2597</v>
      </c>
      <c r="D618" s="436" t="s">
        <v>2596</v>
      </c>
      <c r="E618" s="436" t="s">
        <v>2598</v>
      </c>
      <c r="F618" s="436" t="s">
        <v>2599</v>
      </c>
    </row>
    <row r="619" spans="1:6" ht="30" x14ac:dyDescent="0.25">
      <c r="A619" s="436" t="s">
        <v>2602</v>
      </c>
      <c r="B619" s="436" t="s">
        <v>2596</v>
      </c>
      <c r="C619" s="436" t="s">
        <v>2597</v>
      </c>
      <c r="D619" s="436" t="s">
        <v>2596</v>
      </c>
      <c r="E619" s="436" t="s">
        <v>2598</v>
      </c>
      <c r="F619" s="436" t="s">
        <v>2599</v>
      </c>
    </row>
    <row r="620" spans="1:6" ht="30" x14ac:dyDescent="0.25">
      <c r="A620" s="436" t="s">
        <v>2603</v>
      </c>
      <c r="B620" s="436" t="s">
        <v>2596</v>
      </c>
      <c r="C620" s="436" t="s">
        <v>2597</v>
      </c>
      <c r="D620" s="436" t="s">
        <v>2596</v>
      </c>
      <c r="E620" s="436" t="s">
        <v>2598</v>
      </c>
      <c r="F620" s="436" t="s">
        <v>2599</v>
      </c>
    </row>
    <row r="621" spans="1:6" ht="45" x14ac:dyDescent="0.25">
      <c r="A621" s="436" t="s">
        <v>2604</v>
      </c>
      <c r="B621" s="436" t="s">
        <v>2596</v>
      </c>
      <c r="C621" s="436" t="s">
        <v>2597</v>
      </c>
      <c r="D621" s="436" t="s">
        <v>2596</v>
      </c>
      <c r="E621" s="436" t="s">
        <v>2598</v>
      </c>
      <c r="F621" s="436" t="s">
        <v>2599</v>
      </c>
    </row>
    <row r="622" spans="1:6" ht="45" x14ac:dyDescent="0.25">
      <c r="A622" s="436" t="s">
        <v>2605</v>
      </c>
      <c r="B622" s="436" t="s">
        <v>2596</v>
      </c>
      <c r="C622" s="436" t="s">
        <v>2597</v>
      </c>
      <c r="D622" s="436" t="s">
        <v>2596</v>
      </c>
      <c r="E622" s="436" t="s">
        <v>2598</v>
      </c>
      <c r="F622" s="436" t="s">
        <v>2599</v>
      </c>
    </row>
    <row r="623" spans="1:6" ht="30" x14ac:dyDescent="0.25">
      <c r="A623" s="436" t="s">
        <v>2606</v>
      </c>
      <c r="B623" s="436" t="s">
        <v>2596</v>
      </c>
      <c r="C623" s="436" t="s">
        <v>2597</v>
      </c>
      <c r="D623" s="436" t="s">
        <v>2596</v>
      </c>
      <c r="E623" s="436" t="s">
        <v>2598</v>
      </c>
      <c r="F623" s="436" t="s">
        <v>2599</v>
      </c>
    </row>
    <row r="624" spans="1:6" ht="30" x14ac:dyDescent="0.25">
      <c r="A624" s="436" t="s">
        <v>2607</v>
      </c>
      <c r="B624" s="436" t="s">
        <v>2596</v>
      </c>
      <c r="C624" s="436" t="s">
        <v>2597</v>
      </c>
      <c r="D624" s="436" t="s">
        <v>2596</v>
      </c>
      <c r="E624" s="436" t="s">
        <v>2598</v>
      </c>
      <c r="F624" s="436" t="s">
        <v>2599</v>
      </c>
    </row>
    <row r="625" spans="1:6" ht="45" x14ac:dyDescent="0.25">
      <c r="A625" s="436" t="s">
        <v>2608</v>
      </c>
      <c r="B625" s="436" t="s">
        <v>2596</v>
      </c>
      <c r="C625" s="436" t="s">
        <v>2597</v>
      </c>
      <c r="D625" s="436" t="s">
        <v>2596</v>
      </c>
      <c r="E625" s="436" t="s">
        <v>2598</v>
      </c>
      <c r="F625" s="436" t="s">
        <v>2599</v>
      </c>
    </row>
    <row r="626" spans="1:6" ht="45" x14ac:dyDescent="0.25">
      <c r="A626" s="436" t="s">
        <v>2609</v>
      </c>
      <c r="B626" s="436" t="s">
        <v>2596</v>
      </c>
      <c r="C626" s="436" t="s">
        <v>2597</v>
      </c>
      <c r="D626" s="436" t="s">
        <v>2596</v>
      </c>
      <c r="E626" s="436" t="s">
        <v>2598</v>
      </c>
      <c r="F626" s="436" t="s">
        <v>2599</v>
      </c>
    </row>
    <row r="627" spans="1:6" ht="30" x14ac:dyDescent="0.25">
      <c r="A627" s="436" t="s">
        <v>2610</v>
      </c>
      <c r="B627" s="436" t="s">
        <v>2596</v>
      </c>
      <c r="C627" s="436" t="s">
        <v>2597</v>
      </c>
      <c r="D627" s="436" t="s">
        <v>2596</v>
      </c>
      <c r="E627" s="436" t="s">
        <v>2598</v>
      </c>
      <c r="F627" s="436" t="s">
        <v>2599</v>
      </c>
    </row>
    <row r="628" spans="1:6" ht="45" x14ac:dyDescent="0.25">
      <c r="A628" s="436" t="s">
        <v>2611</v>
      </c>
      <c r="B628" s="436" t="s">
        <v>2596</v>
      </c>
      <c r="C628" s="436" t="s">
        <v>2597</v>
      </c>
      <c r="D628" s="436" t="s">
        <v>2596</v>
      </c>
      <c r="E628" s="436" t="s">
        <v>2598</v>
      </c>
      <c r="F628" s="436" t="s">
        <v>2599</v>
      </c>
    </row>
    <row r="629" spans="1:6" ht="45" x14ac:dyDescent="0.25">
      <c r="A629" s="436" t="s">
        <v>2612</v>
      </c>
      <c r="B629" s="436" t="s">
        <v>2596</v>
      </c>
      <c r="C629" s="436" t="s">
        <v>2597</v>
      </c>
      <c r="D629" s="436" t="s">
        <v>2596</v>
      </c>
      <c r="E629" s="436" t="s">
        <v>2598</v>
      </c>
      <c r="F629" s="436" t="s">
        <v>2599</v>
      </c>
    </row>
    <row r="630" spans="1:6" ht="30" x14ac:dyDescent="0.25">
      <c r="A630" s="436" t="s">
        <v>2613</v>
      </c>
      <c r="B630" s="436" t="s">
        <v>2596</v>
      </c>
      <c r="C630" s="436" t="s">
        <v>2597</v>
      </c>
      <c r="D630" s="436" t="s">
        <v>2596</v>
      </c>
      <c r="E630" s="436" t="s">
        <v>2598</v>
      </c>
      <c r="F630" s="436" t="s">
        <v>2599</v>
      </c>
    </row>
    <row r="631" spans="1:6" ht="45" x14ac:dyDescent="0.25">
      <c r="A631" s="436" t="s">
        <v>2614</v>
      </c>
      <c r="B631" s="436" t="s">
        <v>2596</v>
      </c>
      <c r="C631" s="436" t="s">
        <v>2597</v>
      </c>
      <c r="D631" s="436" t="s">
        <v>2596</v>
      </c>
      <c r="E631" s="436" t="s">
        <v>2598</v>
      </c>
      <c r="F631" s="436" t="s">
        <v>2599</v>
      </c>
    </row>
    <row r="632" spans="1:6" ht="60" x14ac:dyDescent="0.25">
      <c r="A632" s="436" t="s">
        <v>2615</v>
      </c>
      <c r="B632" s="436" t="s">
        <v>2596</v>
      </c>
      <c r="C632" s="436" t="s">
        <v>2616</v>
      </c>
      <c r="D632" s="436" t="s">
        <v>2596</v>
      </c>
      <c r="E632" s="436" t="s">
        <v>2617</v>
      </c>
      <c r="F632" s="436" t="s">
        <v>2599</v>
      </c>
    </row>
    <row r="633" spans="1:6" ht="60" x14ac:dyDescent="0.25">
      <c r="A633" s="436" t="s">
        <v>2618</v>
      </c>
      <c r="B633" s="436" t="s">
        <v>2596</v>
      </c>
      <c r="C633" s="436" t="s">
        <v>2616</v>
      </c>
      <c r="D633" s="436" t="s">
        <v>2596</v>
      </c>
      <c r="E633" s="436" t="s">
        <v>2617</v>
      </c>
      <c r="F633" s="436" t="s">
        <v>2599</v>
      </c>
    </row>
    <row r="634" spans="1:6" ht="60" x14ac:dyDescent="0.25">
      <c r="A634" s="436" t="s">
        <v>2619</v>
      </c>
      <c r="B634" s="436" t="s">
        <v>2596</v>
      </c>
      <c r="C634" s="436" t="s">
        <v>2616</v>
      </c>
      <c r="D634" s="436" t="s">
        <v>2596</v>
      </c>
      <c r="E634" s="436" t="s">
        <v>2617</v>
      </c>
      <c r="F634" s="436" t="s">
        <v>2599</v>
      </c>
    </row>
    <row r="635" spans="1:6" ht="30" x14ac:dyDescent="0.25">
      <c r="A635" s="436" t="s">
        <v>2620</v>
      </c>
      <c r="B635" s="436" t="s">
        <v>2596</v>
      </c>
      <c r="C635" s="436" t="s">
        <v>2621</v>
      </c>
      <c r="D635" s="436" t="s">
        <v>2622</v>
      </c>
      <c r="E635" s="436" t="s">
        <v>2623</v>
      </c>
      <c r="F635" s="436" t="s">
        <v>2624</v>
      </c>
    </row>
    <row r="636" spans="1:6" ht="30" x14ac:dyDescent="0.25">
      <c r="A636" s="436" t="s">
        <v>2625</v>
      </c>
      <c r="B636" s="436" t="s">
        <v>2596</v>
      </c>
      <c r="C636" s="436" t="s">
        <v>2621</v>
      </c>
      <c r="D636" s="436" t="s">
        <v>2596</v>
      </c>
      <c r="E636" s="436" t="s">
        <v>2623</v>
      </c>
      <c r="F636" s="436" t="s">
        <v>2626</v>
      </c>
    </row>
    <row r="637" spans="1:6" ht="30" x14ac:dyDescent="0.25">
      <c r="A637" s="436" t="s">
        <v>2627</v>
      </c>
      <c r="B637" s="436" t="s">
        <v>2628</v>
      </c>
      <c r="C637" s="436" t="s">
        <v>2627</v>
      </c>
      <c r="D637" s="436" t="s">
        <v>2628</v>
      </c>
      <c r="E637" s="436" t="s">
        <v>2629</v>
      </c>
      <c r="F637" s="436" t="s">
        <v>2187</v>
      </c>
    </row>
    <row r="638" spans="1:6" ht="30" x14ac:dyDescent="0.25">
      <c r="A638" s="436" t="s">
        <v>2630</v>
      </c>
      <c r="B638" s="436" t="s">
        <v>2628</v>
      </c>
      <c r="C638" s="436" t="s">
        <v>2627</v>
      </c>
      <c r="D638" s="436" t="s">
        <v>2628</v>
      </c>
      <c r="E638" s="436" t="s">
        <v>2629</v>
      </c>
      <c r="F638" s="436" t="s">
        <v>2187</v>
      </c>
    </row>
    <row r="639" spans="1:6" ht="30" x14ac:dyDescent="0.25">
      <c r="A639" s="436" t="s">
        <v>2631</v>
      </c>
      <c r="B639" s="436" t="s">
        <v>2628</v>
      </c>
      <c r="C639" s="436" t="s">
        <v>2632</v>
      </c>
      <c r="D639" s="436" t="s">
        <v>2628</v>
      </c>
      <c r="E639" s="436" t="s">
        <v>2633</v>
      </c>
      <c r="F639" s="436" t="s">
        <v>2187</v>
      </c>
    </row>
    <row r="640" spans="1:6" ht="60" x14ac:dyDescent="0.25">
      <c r="A640" s="436" t="s">
        <v>2634</v>
      </c>
      <c r="B640" s="436" t="s">
        <v>2628</v>
      </c>
      <c r="C640" s="436" t="s">
        <v>2635</v>
      </c>
      <c r="D640" s="436" t="s">
        <v>2628</v>
      </c>
      <c r="E640" s="436" t="s">
        <v>2636</v>
      </c>
      <c r="F640" s="436" t="s">
        <v>2187</v>
      </c>
    </row>
    <row r="641" spans="1:6" ht="45" x14ac:dyDescent="0.25">
      <c r="A641" s="436" t="s">
        <v>2637</v>
      </c>
      <c r="B641" s="436" t="s">
        <v>2628</v>
      </c>
      <c r="C641" s="436" t="s">
        <v>2635</v>
      </c>
      <c r="D641" s="436" t="s">
        <v>2628</v>
      </c>
      <c r="E641" s="436" t="s">
        <v>2638</v>
      </c>
      <c r="F641" s="436" t="s">
        <v>2187</v>
      </c>
    </row>
    <row r="642" spans="1:6" ht="45" x14ac:dyDescent="0.25">
      <c r="A642" s="436" t="s">
        <v>2639</v>
      </c>
      <c r="B642" s="436" t="s">
        <v>2628</v>
      </c>
      <c r="C642" s="436" t="s">
        <v>2635</v>
      </c>
      <c r="D642" s="436" t="s">
        <v>2628</v>
      </c>
      <c r="E642" s="436" t="s">
        <v>2636</v>
      </c>
      <c r="F642" s="436" t="s">
        <v>2187</v>
      </c>
    </row>
    <row r="643" spans="1:6" ht="30" x14ac:dyDescent="0.25">
      <c r="A643" s="436" t="s">
        <v>2640</v>
      </c>
      <c r="B643" s="436" t="s">
        <v>2641</v>
      </c>
      <c r="C643" s="436" t="s">
        <v>2642</v>
      </c>
      <c r="D643" s="436" t="s">
        <v>2641</v>
      </c>
      <c r="E643" s="436" t="s">
        <v>2643</v>
      </c>
      <c r="F643" s="436" t="s">
        <v>2624</v>
      </c>
    </row>
    <row r="644" spans="1:6" ht="30" x14ac:dyDescent="0.25">
      <c r="A644" s="436" t="s">
        <v>2640</v>
      </c>
      <c r="B644" s="436" t="s">
        <v>2641</v>
      </c>
      <c r="C644" s="436" t="s">
        <v>2644</v>
      </c>
      <c r="D644" s="436" t="s">
        <v>2641</v>
      </c>
      <c r="E644" s="436" t="s">
        <v>2645</v>
      </c>
      <c r="F644" s="436" t="s">
        <v>2624</v>
      </c>
    </row>
    <row r="645" spans="1:6" ht="30" x14ac:dyDescent="0.25">
      <c r="A645" s="436" t="s">
        <v>2646</v>
      </c>
      <c r="B645" s="436" t="s">
        <v>2641</v>
      </c>
      <c r="C645" s="436" t="s">
        <v>2642</v>
      </c>
      <c r="D645" s="436" t="s">
        <v>2641</v>
      </c>
      <c r="E645" s="436" t="s">
        <v>2643</v>
      </c>
      <c r="F645" s="436" t="s">
        <v>2624</v>
      </c>
    </row>
    <row r="646" spans="1:6" ht="30" x14ac:dyDescent="0.25">
      <c r="A646" s="436" t="s">
        <v>2647</v>
      </c>
      <c r="B646" s="436" t="s">
        <v>2641</v>
      </c>
      <c r="C646" s="436" t="s">
        <v>2642</v>
      </c>
      <c r="D646" s="436" t="s">
        <v>2641</v>
      </c>
      <c r="E646" s="436" t="s">
        <v>2643</v>
      </c>
      <c r="F646" s="436" t="s">
        <v>2624</v>
      </c>
    </row>
    <row r="647" spans="1:6" ht="30" x14ac:dyDescent="0.25">
      <c r="A647" s="436" t="s">
        <v>2648</v>
      </c>
      <c r="B647" s="436" t="s">
        <v>2641</v>
      </c>
      <c r="C647" s="436" t="s">
        <v>2642</v>
      </c>
      <c r="D647" s="436" t="s">
        <v>2641</v>
      </c>
      <c r="E647" s="436" t="s">
        <v>2643</v>
      </c>
      <c r="F647" s="436" t="s">
        <v>2624</v>
      </c>
    </row>
    <row r="648" spans="1:6" ht="30" x14ac:dyDescent="0.25">
      <c r="A648" s="436" t="s">
        <v>2649</v>
      </c>
      <c r="B648" s="436" t="s">
        <v>2641</v>
      </c>
      <c r="C648" s="436" t="s">
        <v>2642</v>
      </c>
      <c r="D648" s="436" t="s">
        <v>2641</v>
      </c>
      <c r="E648" s="436" t="s">
        <v>2643</v>
      </c>
      <c r="F648" s="436" t="s">
        <v>2624</v>
      </c>
    </row>
    <row r="649" spans="1:6" ht="30" x14ac:dyDescent="0.25">
      <c r="A649" s="436" t="s">
        <v>2650</v>
      </c>
      <c r="B649" s="436" t="s">
        <v>2641</v>
      </c>
      <c r="C649" s="436" t="s">
        <v>2644</v>
      </c>
      <c r="D649" s="436" t="s">
        <v>2641</v>
      </c>
      <c r="E649" s="436" t="s">
        <v>2645</v>
      </c>
      <c r="F649" s="436" t="s">
        <v>2624</v>
      </c>
    </row>
    <row r="650" spans="1:6" ht="30" x14ac:dyDescent="0.25">
      <c r="A650" s="436" t="s">
        <v>2651</v>
      </c>
      <c r="B650" s="436" t="s">
        <v>2641</v>
      </c>
      <c r="C650" s="436" t="s">
        <v>2644</v>
      </c>
      <c r="D650" s="436" t="s">
        <v>2641</v>
      </c>
      <c r="E650" s="436" t="s">
        <v>2645</v>
      </c>
      <c r="F650" s="436" t="s">
        <v>2624</v>
      </c>
    </row>
    <row r="651" spans="1:6" ht="30" x14ac:dyDescent="0.25">
      <c r="A651" s="436" t="s">
        <v>2652</v>
      </c>
      <c r="B651" s="436" t="s">
        <v>2641</v>
      </c>
      <c r="C651" s="436" t="s">
        <v>2644</v>
      </c>
      <c r="D651" s="436" t="s">
        <v>2641</v>
      </c>
      <c r="E651" s="436" t="s">
        <v>2645</v>
      </c>
      <c r="F651" s="436" t="s">
        <v>2624</v>
      </c>
    </row>
    <row r="652" spans="1:6" ht="45" x14ac:dyDescent="0.25">
      <c r="A652" s="436" t="s">
        <v>2653</v>
      </c>
      <c r="B652" s="436" t="s">
        <v>2641</v>
      </c>
      <c r="C652" s="436" t="s">
        <v>2642</v>
      </c>
      <c r="D652" s="436" t="s">
        <v>2641</v>
      </c>
      <c r="E652" s="436" t="s">
        <v>2643</v>
      </c>
      <c r="F652" s="436" t="s">
        <v>2624</v>
      </c>
    </row>
    <row r="653" spans="1:6" ht="30" x14ac:dyDescent="0.25">
      <c r="A653" s="436" t="s">
        <v>2654</v>
      </c>
      <c r="B653" s="436" t="s">
        <v>2641</v>
      </c>
      <c r="C653" s="436" t="s">
        <v>2642</v>
      </c>
      <c r="D653" s="436" t="s">
        <v>2641</v>
      </c>
      <c r="E653" s="436" t="s">
        <v>2643</v>
      </c>
      <c r="F653" s="436" t="s">
        <v>2624</v>
      </c>
    </row>
    <row r="654" spans="1:6" ht="45" x14ac:dyDescent="0.25">
      <c r="A654" s="436" t="s">
        <v>2654</v>
      </c>
      <c r="B654" s="436" t="s">
        <v>2641</v>
      </c>
      <c r="C654" s="436" t="s">
        <v>2655</v>
      </c>
      <c r="D654" s="436" t="s">
        <v>2641</v>
      </c>
      <c r="E654" s="436" t="s">
        <v>2656</v>
      </c>
      <c r="F654" s="436" t="s">
        <v>2624</v>
      </c>
    </row>
    <row r="655" spans="1:6" ht="30" x14ac:dyDescent="0.25">
      <c r="A655" s="436" t="s">
        <v>2657</v>
      </c>
      <c r="B655" s="436" t="s">
        <v>2641</v>
      </c>
      <c r="C655" s="436" t="s">
        <v>2642</v>
      </c>
      <c r="D655" s="436" t="s">
        <v>2641</v>
      </c>
      <c r="E655" s="436" t="s">
        <v>2643</v>
      </c>
      <c r="F655" s="436" t="s">
        <v>2624</v>
      </c>
    </row>
    <row r="656" spans="1:6" ht="30" x14ac:dyDescent="0.25">
      <c r="A656" s="436" t="s">
        <v>2658</v>
      </c>
      <c r="B656" s="436" t="s">
        <v>2641</v>
      </c>
      <c r="C656" s="436" t="s">
        <v>2642</v>
      </c>
      <c r="D656" s="436" t="s">
        <v>2641</v>
      </c>
      <c r="E656" s="436" t="s">
        <v>2643</v>
      </c>
      <c r="F656" s="436" t="s">
        <v>2624</v>
      </c>
    </row>
    <row r="657" spans="1:6" ht="30" x14ac:dyDescent="0.25">
      <c r="A657" s="436" t="s">
        <v>2659</v>
      </c>
      <c r="B657" s="436" t="s">
        <v>2641</v>
      </c>
      <c r="C657" s="436" t="s">
        <v>2642</v>
      </c>
      <c r="D657" s="436" t="s">
        <v>2641</v>
      </c>
      <c r="E657" s="436" t="s">
        <v>2643</v>
      </c>
      <c r="F657" s="436" t="s">
        <v>2624</v>
      </c>
    </row>
    <row r="658" spans="1:6" ht="30" x14ac:dyDescent="0.25">
      <c r="A658" s="436" t="s">
        <v>2660</v>
      </c>
      <c r="B658" s="436" t="s">
        <v>2641</v>
      </c>
      <c r="C658" s="436" t="s">
        <v>2252</v>
      </c>
      <c r="D658" s="436" t="s">
        <v>2253</v>
      </c>
      <c r="E658" s="436" t="s">
        <v>2254</v>
      </c>
      <c r="F658" s="436" t="s">
        <v>2255</v>
      </c>
    </row>
    <row r="659" spans="1:6" ht="30" x14ac:dyDescent="0.25">
      <c r="A659" s="436" t="s">
        <v>2661</v>
      </c>
      <c r="B659" s="436" t="s">
        <v>2641</v>
      </c>
      <c r="C659" s="436" t="s">
        <v>2252</v>
      </c>
      <c r="D659" s="436" t="s">
        <v>2253</v>
      </c>
      <c r="E659" s="436" t="s">
        <v>2254</v>
      </c>
      <c r="F659" s="436" t="s">
        <v>2255</v>
      </c>
    </row>
    <row r="660" spans="1:6" ht="30" x14ac:dyDescent="0.25">
      <c r="A660" s="436" t="s">
        <v>2662</v>
      </c>
      <c r="B660" s="436" t="s">
        <v>2641</v>
      </c>
      <c r="C660" s="436" t="s">
        <v>2663</v>
      </c>
      <c r="D660" s="436" t="s">
        <v>2664</v>
      </c>
      <c r="E660" s="436" t="s">
        <v>2665</v>
      </c>
      <c r="F660" s="436" t="s">
        <v>2666</v>
      </c>
    </row>
    <row r="661" spans="1:6" ht="45" x14ac:dyDescent="0.25">
      <c r="A661" s="436" t="s">
        <v>2667</v>
      </c>
      <c r="B661" s="436" t="s">
        <v>2641</v>
      </c>
      <c r="C661" s="436" t="s">
        <v>2663</v>
      </c>
      <c r="D661" s="436" t="s">
        <v>2664</v>
      </c>
      <c r="E661" s="436" t="s">
        <v>2665</v>
      </c>
      <c r="F661" s="436" t="s">
        <v>2666</v>
      </c>
    </row>
    <row r="662" spans="1:6" ht="30" x14ac:dyDescent="0.25">
      <c r="A662" s="436" t="s">
        <v>2668</v>
      </c>
      <c r="B662" s="436" t="s">
        <v>2641</v>
      </c>
      <c r="C662" s="436" t="s">
        <v>2663</v>
      </c>
      <c r="D662" s="436" t="s">
        <v>2641</v>
      </c>
      <c r="E662" s="436" t="s">
        <v>2665</v>
      </c>
      <c r="F662" s="436" t="s">
        <v>2666</v>
      </c>
    </row>
    <row r="663" spans="1:6" ht="30" x14ac:dyDescent="0.25">
      <c r="A663" s="436" t="s">
        <v>2669</v>
      </c>
      <c r="B663" s="436" t="s">
        <v>2641</v>
      </c>
      <c r="C663" s="436" t="s">
        <v>2663</v>
      </c>
      <c r="D663" s="436" t="s">
        <v>2641</v>
      </c>
      <c r="E663" s="436" t="s">
        <v>2665</v>
      </c>
      <c r="F663" s="436" t="s">
        <v>2666</v>
      </c>
    </row>
    <row r="664" spans="1:6" ht="45" x14ac:dyDescent="0.25">
      <c r="A664" s="436" t="s">
        <v>2670</v>
      </c>
      <c r="B664" s="436" t="s">
        <v>2641</v>
      </c>
      <c r="C664" s="436" t="s">
        <v>2671</v>
      </c>
      <c r="D664" s="436" t="s">
        <v>2672</v>
      </c>
      <c r="E664" s="436" t="s">
        <v>2673</v>
      </c>
      <c r="F664" s="436" t="s">
        <v>2666</v>
      </c>
    </row>
    <row r="665" spans="1:6" ht="45" x14ac:dyDescent="0.25">
      <c r="A665" s="436" t="s">
        <v>2670</v>
      </c>
      <c r="B665" s="436" t="s">
        <v>2641</v>
      </c>
      <c r="C665" s="436" t="s">
        <v>2671</v>
      </c>
      <c r="D665" s="436" t="s">
        <v>2641</v>
      </c>
      <c r="E665" s="436" t="s">
        <v>2674</v>
      </c>
      <c r="F665" s="436" t="s">
        <v>2666</v>
      </c>
    </row>
    <row r="666" spans="1:6" ht="30" x14ac:dyDescent="0.25">
      <c r="A666" s="436" t="s">
        <v>2675</v>
      </c>
      <c r="B666" s="436" t="s">
        <v>2641</v>
      </c>
      <c r="C666" s="436" t="s">
        <v>2671</v>
      </c>
      <c r="D666" s="436" t="s">
        <v>2641</v>
      </c>
      <c r="E666" s="436" t="s">
        <v>2673</v>
      </c>
      <c r="F666" s="436" t="s">
        <v>2666</v>
      </c>
    </row>
    <row r="667" spans="1:6" ht="30" x14ac:dyDescent="0.25">
      <c r="A667" s="436" t="s">
        <v>2676</v>
      </c>
      <c r="B667" s="436" t="s">
        <v>2641</v>
      </c>
      <c r="C667" s="436" t="s">
        <v>2677</v>
      </c>
      <c r="D667" s="436" t="s">
        <v>2641</v>
      </c>
      <c r="E667" s="436" t="s">
        <v>2678</v>
      </c>
      <c r="F667" s="436" t="s">
        <v>2666</v>
      </c>
    </row>
    <row r="668" spans="1:6" ht="30" x14ac:dyDescent="0.25">
      <c r="A668" s="436" t="s">
        <v>2679</v>
      </c>
      <c r="B668" s="436" t="s">
        <v>2641</v>
      </c>
      <c r="C668" s="436" t="s">
        <v>2671</v>
      </c>
      <c r="D668" s="436" t="s">
        <v>2641</v>
      </c>
      <c r="E668" s="436" t="s">
        <v>2673</v>
      </c>
      <c r="F668" s="436" t="s">
        <v>2666</v>
      </c>
    </row>
    <row r="669" spans="1:6" ht="30" x14ac:dyDescent="0.25">
      <c r="A669" s="436" t="s">
        <v>2680</v>
      </c>
      <c r="B669" s="436" t="s">
        <v>2641</v>
      </c>
      <c r="C669" s="436" t="s">
        <v>2671</v>
      </c>
      <c r="D669" s="436" t="s">
        <v>2641</v>
      </c>
      <c r="E669" s="436" t="s">
        <v>2673</v>
      </c>
      <c r="F669" s="436" t="s">
        <v>2666</v>
      </c>
    </row>
    <row r="670" spans="1:6" ht="30" x14ac:dyDescent="0.25">
      <c r="A670" s="436" t="s">
        <v>2681</v>
      </c>
      <c r="B670" s="436" t="s">
        <v>2641</v>
      </c>
      <c r="C670" s="436" t="s">
        <v>2682</v>
      </c>
      <c r="D670" s="436" t="s">
        <v>2641</v>
      </c>
      <c r="E670" s="436" t="s">
        <v>2674</v>
      </c>
      <c r="F670" s="436" t="s">
        <v>2666</v>
      </c>
    </row>
    <row r="671" spans="1:6" ht="30" x14ac:dyDescent="0.25">
      <c r="A671" s="436" t="s">
        <v>2683</v>
      </c>
      <c r="B671" s="436" t="s">
        <v>2641</v>
      </c>
      <c r="C671" s="436" t="s">
        <v>2684</v>
      </c>
      <c r="D671" s="436" t="s">
        <v>2641</v>
      </c>
      <c r="E671" s="436" t="s">
        <v>2685</v>
      </c>
      <c r="F671" s="436" t="s">
        <v>2666</v>
      </c>
    </row>
    <row r="672" spans="1:6" ht="30" x14ac:dyDescent="0.25">
      <c r="A672" s="436" t="s">
        <v>2686</v>
      </c>
      <c r="B672" s="436" t="s">
        <v>2641</v>
      </c>
      <c r="C672" s="436" t="s">
        <v>2684</v>
      </c>
      <c r="D672" s="436" t="s">
        <v>2641</v>
      </c>
      <c r="E672" s="436" t="s">
        <v>2685</v>
      </c>
      <c r="F672" s="436" t="s">
        <v>2666</v>
      </c>
    </row>
    <row r="673" spans="1:6" ht="30" x14ac:dyDescent="0.25">
      <c r="A673" s="436" t="s">
        <v>2687</v>
      </c>
      <c r="B673" s="436" t="s">
        <v>2641</v>
      </c>
      <c r="C673" s="436" t="s">
        <v>2688</v>
      </c>
      <c r="D673" s="436" t="s">
        <v>2641</v>
      </c>
      <c r="E673" s="436" t="s">
        <v>2689</v>
      </c>
      <c r="F673" s="436" t="s">
        <v>2666</v>
      </c>
    </row>
    <row r="674" spans="1:6" ht="30" x14ac:dyDescent="0.25">
      <c r="A674" s="436" t="s">
        <v>2690</v>
      </c>
      <c r="B674" s="436" t="s">
        <v>2641</v>
      </c>
      <c r="C674" s="436" t="s">
        <v>2688</v>
      </c>
      <c r="D674" s="436" t="s">
        <v>2641</v>
      </c>
      <c r="E674" s="436" t="s">
        <v>2691</v>
      </c>
      <c r="F674" s="436" t="s">
        <v>2666</v>
      </c>
    </row>
    <row r="675" spans="1:6" ht="30" x14ac:dyDescent="0.25">
      <c r="A675" s="436" t="s">
        <v>2692</v>
      </c>
      <c r="B675" s="436" t="s">
        <v>2641</v>
      </c>
    </row>
    <row r="676" spans="1:6" ht="30" x14ac:dyDescent="0.25">
      <c r="A676" s="436" t="s">
        <v>2693</v>
      </c>
      <c r="B676" s="436" t="s">
        <v>2092</v>
      </c>
      <c r="C676" s="436" t="s">
        <v>2694</v>
      </c>
      <c r="D676" s="436" t="s">
        <v>2092</v>
      </c>
      <c r="E676" s="436" t="s">
        <v>2695</v>
      </c>
      <c r="F676" s="436" t="s">
        <v>2696</v>
      </c>
    </row>
    <row r="677" spans="1:6" ht="60" x14ac:dyDescent="0.25">
      <c r="A677" s="436" t="s">
        <v>2697</v>
      </c>
      <c r="B677" s="436" t="s">
        <v>2092</v>
      </c>
      <c r="C677" s="436" t="s">
        <v>2694</v>
      </c>
      <c r="D677" s="436" t="s">
        <v>2092</v>
      </c>
      <c r="E677" s="436" t="s">
        <v>2695</v>
      </c>
      <c r="F677" s="436" t="s">
        <v>2696</v>
      </c>
    </row>
    <row r="678" spans="1:6" ht="30" x14ac:dyDescent="0.25">
      <c r="A678" s="436" t="s">
        <v>2698</v>
      </c>
      <c r="B678" s="436" t="s">
        <v>2092</v>
      </c>
      <c r="C678" s="436" t="s">
        <v>2694</v>
      </c>
      <c r="D678" s="436" t="s">
        <v>2092</v>
      </c>
      <c r="E678" s="436" t="s">
        <v>2695</v>
      </c>
      <c r="F678" s="436" t="s">
        <v>2696</v>
      </c>
    </row>
    <row r="679" spans="1:6" ht="30" x14ac:dyDescent="0.25">
      <c r="A679" s="436" t="s">
        <v>2699</v>
      </c>
      <c r="B679" s="436" t="s">
        <v>2092</v>
      </c>
      <c r="C679" s="436" t="s">
        <v>2694</v>
      </c>
      <c r="D679" s="436" t="s">
        <v>2092</v>
      </c>
      <c r="E679" s="436" t="s">
        <v>2695</v>
      </c>
      <c r="F679" s="436" t="s">
        <v>2696</v>
      </c>
    </row>
    <row r="680" spans="1:6" ht="30" x14ac:dyDescent="0.25">
      <c r="A680" s="436" t="s">
        <v>2700</v>
      </c>
      <c r="B680" s="436" t="s">
        <v>2092</v>
      </c>
      <c r="C680" s="436" t="s">
        <v>2694</v>
      </c>
      <c r="D680" s="436" t="s">
        <v>2092</v>
      </c>
      <c r="E680" s="436" t="s">
        <v>2695</v>
      </c>
      <c r="F680" s="436" t="s">
        <v>2696</v>
      </c>
    </row>
    <row r="681" spans="1:6" ht="45" x14ac:dyDescent="0.25">
      <c r="A681" s="436" t="s">
        <v>2701</v>
      </c>
      <c r="B681" s="436" t="s">
        <v>2092</v>
      </c>
      <c r="C681" s="436" t="s">
        <v>2694</v>
      </c>
      <c r="D681" s="436" t="s">
        <v>2092</v>
      </c>
      <c r="E681" s="436" t="s">
        <v>2695</v>
      </c>
      <c r="F681" s="436" t="s">
        <v>2696</v>
      </c>
    </row>
    <row r="682" spans="1:6" ht="30" x14ac:dyDescent="0.25">
      <c r="A682" s="436" t="s">
        <v>2702</v>
      </c>
      <c r="B682" s="436" t="s">
        <v>2092</v>
      </c>
      <c r="C682" s="436" t="s">
        <v>2694</v>
      </c>
      <c r="D682" s="436" t="s">
        <v>2092</v>
      </c>
      <c r="E682" s="436" t="s">
        <v>2695</v>
      </c>
      <c r="F682" s="436" t="s">
        <v>2696</v>
      </c>
    </row>
    <row r="683" spans="1:6" ht="30" x14ac:dyDescent="0.25">
      <c r="A683" s="436" t="s">
        <v>2703</v>
      </c>
      <c r="B683" s="436" t="s">
        <v>2092</v>
      </c>
      <c r="C683" s="436" t="s">
        <v>2694</v>
      </c>
      <c r="D683" s="436" t="s">
        <v>2092</v>
      </c>
      <c r="E683" s="436" t="s">
        <v>2695</v>
      </c>
      <c r="F683" s="436" t="s">
        <v>2696</v>
      </c>
    </row>
    <row r="684" spans="1:6" ht="30" x14ac:dyDescent="0.25">
      <c r="A684" s="436" t="s">
        <v>2704</v>
      </c>
      <c r="B684" s="436" t="s">
        <v>2092</v>
      </c>
      <c r="C684" s="436" t="s">
        <v>2694</v>
      </c>
      <c r="D684" s="436" t="s">
        <v>2092</v>
      </c>
      <c r="E684" s="436" t="s">
        <v>2695</v>
      </c>
      <c r="F684" s="436" t="s">
        <v>2696</v>
      </c>
    </row>
    <row r="685" spans="1:6" ht="30" x14ac:dyDescent="0.25">
      <c r="A685" s="436" t="s">
        <v>2705</v>
      </c>
      <c r="B685" s="436" t="s">
        <v>2092</v>
      </c>
      <c r="C685" s="436" t="s">
        <v>2694</v>
      </c>
      <c r="D685" s="436" t="s">
        <v>2092</v>
      </c>
      <c r="E685" s="436" t="s">
        <v>2695</v>
      </c>
      <c r="F685" s="436" t="s">
        <v>2696</v>
      </c>
    </row>
    <row r="686" spans="1:6" ht="30" x14ac:dyDescent="0.25">
      <c r="A686" s="436" t="s">
        <v>2706</v>
      </c>
      <c r="B686" s="436" t="s">
        <v>2092</v>
      </c>
      <c r="C686" s="436" t="s">
        <v>2694</v>
      </c>
      <c r="D686" s="436" t="s">
        <v>2092</v>
      </c>
      <c r="E686" s="436" t="s">
        <v>2695</v>
      </c>
      <c r="F686" s="436" t="s">
        <v>2696</v>
      </c>
    </row>
    <row r="687" spans="1:6" ht="30" x14ac:dyDescent="0.25">
      <c r="A687" s="436" t="s">
        <v>2707</v>
      </c>
      <c r="B687" s="436" t="s">
        <v>2092</v>
      </c>
      <c r="C687" s="436" t="s">
        <v>2694</v>
      </c>
      <c r="D687" s="436" t="s">
        <v>2092</v>
      </c>
      <c r="E687" s="436" t="s">
        <v>2695</v>
      </c>
      <c r="F687" s="436" t="s">
        <v>2696</v>
      </c>
    </row>
    <row r="688" spans="1:6" ht="30" x14ac:dyDescent="0.25">
      <c r="A688" s="436" t="s">
        <v>2708</v>
      </c>
      <c r="B688" s="436" t="s">
        <v>2092</v>
      </c>
      <c r="C688" s="436" t="s">
        <v>2694</v>
      </c>
      <c r="D688" s="436" t="s">
        <v>2092</v>
      </c>
      <c r="E688" s="436" t="s">
        <v>2695</v>
      </c>
      <c r="F688" s="436" t="s">
        <v>2696</v>
      </c>
    </row>
    <row r="689" spans="1:6" x14ac:dyDescent="0.25">
      <c r="A689" s="436" t="s">
        <v>2709</v>
      </c>
      <c r="B689" s="436" t="s">
        <v>2092</v>
      </c>
      <c r="C689" s="436" t="s">
        <v>2091</v>
      </c>
      <c r="D689" s="436" t="s">
        <v>2092</v>
      </c>
      <c r="E689" s="436" t="s">
        <v>2093</v>
      </c>
      <c r="F689" s="436" t="s">
        <v>2094</v>
      </c>
    </row>
    <row r="690" spans="1:6" x14ac:dyDescent="0.25">
      <c r="A690" s="436" t="s">
        <v>2710</v>
      </c>
      <c r="B690" s="436" t="s">
        <v>2092</v>
      </c>
      <c r="C690" s="436" t="s">
        <v>2091</v>
      </c>
      <c r="D690" s="436" t="s">
        <v>2092</v>
      </c>
      <c r="E690" s="436" t="s">
        <v>2093</v>
      </c>
      <c r="F690" s="436" t="s">
        <v>2094</v>
      </c>
    </row>
    <row r="691" spans="1:6" ht="30" x14ac:dyDescent="0.25">
      <c r="A691" s="436" t="s">
        <v>2711</v>
      </c>
      <c r="B691" s="436" t="s">
        <v>2092</v>
      </c>
      <c r="C691" s="436" t="s">
        <v>2712</v>
      </c>
      <c r="D691" s="436" t="s">
        <v>2092</v>
      </c>
      <c r="E691" s="436" t="s">
        <v>2713</v>
      </c>
      <c r="F691" s="436" t="s">
        <v>2094</v>
      </c>
    </row>
    <row r="692" spans="1:6" ht="30" x14ac:dyDescent="0.25">
      <c r="A692" s="436" t="s">
        <v>2714</v>
      </c>
      <c r="B692" s="436" t="s">
        <v>2092</v>
      </c>
      <c r="C692" s="436" t="s">
        <v>2715</v>
      </c>
      <c r="D692" s="436" t="s">
        <v>2092</v>
      </c>
      <c r="E692" s="436" t="s">
        <v>2716</v>
      </c>
      <c r="F692" s="436" t="s">
        <v>2094</v>
      </c>
    </row>
    <row r="693" spans="1:6" x14ac:dyDescent="0.25">
      <c r="A693" s="436" t="s">
        <v>2717</v>
      </c>
      <c r="B693" s="436" t="s">
        <v>2092</v>
      </c>
      <c r="C693" s="436" t="s">
        <v>2718</v>
      </c>
      <c r="D693" s="436" t="s">
        <v>2092</v>
      </c>
      <c r="E693" s="436" t="s">
        <v>2719</v>
      </c>
      <c r="F693" s="436" t="s">
        <v>2094</v>
      </c>
    </row>
    <row r="694" spans="1:6" ht="45" x14ac:dyDescent="0.25">
      <c r="A694" s="436" t="s">
        <v>2720</v>
      </c>
      <c r="B694" s="436" t="s">
        <v>1799</v>
      </c>
      <c r="C694" s="436" t="s">
        <v>2721</v>
      </c>
      <c r="D694" s="436" t="s">
        <v>1799</v>
      </c>
      <c r="E694" s="436" t="s">
        <v>2722</v>
      </c>
      <c r="F694" s="436" t="s">
        <v>2723</v>
      </c>
    </row>
    <row r="695" spans="1:6" ht="45" x14ac:dyDescent="0.25">
      <c r="A695" s="436" t="s">
        <v>2724</v>
      </c>
      <c r="B695" s="436" t="s">
        <v>1799</v>
      </c>
      <c r="C695" s="436" t="s">
        <v>2721</v>
      </c>
      <c r="D695" s="436" t="s">
        <v>1799</v>
      </c>
      <c r="E695" s="436" t="s">
        <v>2722</v>
      </c>
      <c r="F695" s="436" t="s">
        <v>2723</v>
      </c>
    </row>
    <row r="696" spans="1:6" ht="45" x14ac:dyDescent="0.25">
      <c r="A696" s="436" t="s">
        <v>2725</v>
      </c>
      <c r="B696" s="436" t="s">
        <v>1799</v>
      </c>
      <c r="C696" s="436" t="s">
        <v>2721</v>
      </c>
      <c r="D696" s="436" t="s">
        <v>1799</v>
      </c>
      <c r="E696" s="436" t="s">
        <v>2722</v>
      </c>
      <c r="F696" s="436" t="s">
        <v>2723</v>
      </c>
    </row>
    <row r="697" spans="1:6" ht="45" x14ac:dyDescent="0.25">
      <c r="A697" s="436" t="s">
        <v>2726</v>
      </c>
      <c r="B697" s="436" t="s">
        <v>1799</v>
      </c>
      <c r="C697" s="436" t="s">
        <v>2721</v>
      </c>
      <c r="D697" s="436" t="s">
        <v>1799</v>
      </c>
      <c r="E697" s="436" t="s">
        <v>2722</v>
      </c>
      <c r="F697" s="436" t="s">
        <v>2723</v>
      </c>
    </row>
    <row r="698" spans="1:6" ht="45" x14ac:dyDescent="0.25">
      <c r="A698" s="436" t="s">
        <v>2727</v>
      </c>
      <c r="B698" s="436" t="s">
        <v>1799</v>
      </c>
      <c r="C698" s="436" t="s">
        <v>2721</v>
      </c>
      <c r="D698" s="436" t="s">
        <v>1799</v>
      </c>
      <c r="E698" s="436" t="s">
        <v>2722</v>
      </c>
      <c r="F698" s="436" t="s">
        <v>2723</v>
      </c>
    </row>
    <row r="699" spans="1:6" ht="45" x14ac:dyDescent="0.25">
      <c r="A699" s="436" t="s">
        <v>2728</v>
      </c>
      <c r="B699" s="436" t="s">
        <v>1799</v>
      </c>
      <c r="C699" s="436" t="s">
        <v>2721</v>
      </c>
      <c r="D699" s="436" t="s">
        <v>1799</v>
      </c>
      <c r="E699" s="436" t="s">
        <v>2722</v>
      </c>
      <c r="F699" s="436" t="s">
        <v>2723</v>
      </c>
    </row>
    <row r="700" spans="1:6" ht="60" x14ac:dyDescent="0.25">
      <c r="A700" s="436" t="s">
        <v>2728</v>
      </c>
      <c r="B700" s="436" t="s">
        <v>1799</v>
      </c>
      <c r="C700" s="436" t="s">
        <v>2616</v>
      </c>
      <c r="D700" s="436" t="s">
        <v>2596</v>
      </c>
      <c r="E700" s="436" t="s">
        <v>2729</v>
      </c>
      <c r="F700" s="436" t="s">
        <v>2599</v>
      </c>
    </row>
    <row r="701" spans="1:6" ht="45" x14ac:dyDescent="0.25">
      <c r="A701" s="436" t="s">
        <v>2730</v>
      </c>
      <c r="B701" s="436" t="s">
        <v>1799</v>
      </c>
      <c r="C701" s="436" t="s">
        <v>2721</v>
      </c>
      <c r="D701" s="436" t="s">
        <v>1799</v>
      </c>
      <c r="E701" s="436" t="s">
        <v>2722</v>
      </c>
      <c r="F701" s="436" t="s">
        <v>2723</v>
      </c>
    </row>
    <row r="702" spans="1:6" ht="60" x14ac:dyDescent="0.25">
      <c r="A702" s="436" t="s">
        <v>2731</v>
      </c>
      <c r="B702" s="436" t="s">
        <v>1799</v>
      </c>
      <c r="C702" s="436" t="s">
        <v>2732</v>
      </c>
      <c r="D702" s="436" t="s">
        <v>1799</v>
      </c>
      <c r="E702" s="436" t="s">
        <v>2733</v>
      </c>
      <c r="F702" s="436" t="s">
        <v>2723</v>
      </c>
    </row>
    <row r="703" spans="1:6" ht="45" x14ac:dyDescent="0.25">
      <c r="A703" s="436" t="s">
        <v>2734</v>
      </c>
      <c r="B703" s="436" t="s">
        <v>1799</v>
      </c>
      <c r="C703" s="436" t="s">
        <v>2732</v>
      </c>
      <c r="D703" s="436" t="s">
        <v>1799</v>
      </c>
      <c r="E703" s="436" t="s">
        <v>2733</v>
      </c>
      <c r="F703" s="436" t="s">
        <v>2723</v>
      </c>
    </row>
    <row r="704" spans="1:6" ht="45" x14ac:dyDescent="0.25">
      <c r="A704" s="436" t="s">
        <v>2735</v>
      </c>
      <c r="B704" s="436" t="s">
        <v>1799</v>
      </c>
      <c r="C704" s="436" t="s">
        <v>2732</v>
      </c>
      <c r="D704" s="436" t="s">
        <v>1799</v>
      </c>
      <c r="E704" s="436" t="s">
        <v>2733</v>
      </c>
      <c r="F704" s="436" t="s">
        <v>2723</v>
      </c>
    </row>
    <row r="705" spans="1:6" ht="45" x14ac:dyDescent="0.25">
      <c r="A705" s="436" t="s">
        <v>2736</v>
      </c>
      <c r="B705" s="436" t="s">
        <v>1799</v>
      </c>
      <c r="C705" s="436" t="s">
        <v>2732</v>
      </c>
      <c r="D705" s="436" t="s">
        <v>1799</v>
      </c>
      <c r="E705" s="436" t="s">
        <v>2733</v>
      </c>
      <c r="F705" s="436" t="s">
        <v>2723</v>
      </c>
    </row>
    <row r="706" spans="1:6" ht="45" x14ac:dyDescent="0.25">
      <c r="A706" s="436" t="s">
        <v>2737</v>
      </c>
      <c r="B706" s="436" t="s">
        <v>1799</v>
      </c>
      <c r="C706" s="436" t="s">
        <v>2732</v>
      </c>
      <c r="D706" s="436" t="s">
        <v>1799</v>
      </c>
      <c r="E706" s="436" t="s">
        <v>2733</v>
      </c>
      <c r="F706" s="436" t="s">
        <v>2723</v>
      </c>
    </row>
    <row r="707" spans="1:6" x14ac:dyDescent="0.25">
      <c r="A707" s="436" t="s">
        <v>1716</v>
      </c>
      <c r="B707" s="436" t="s">
        <v>1713</v>
      </c>
      <c r="C707" s="436" t="s">
        <v>1712</v>
      </c>
      <c r="D707" s="436" t="s">
        <v>1713</v>
      </c>
      <c r="E707" s="436" t="s">
        <v>1714</v>
      </c>
      <c r="F707" s="436" t="s">
        <v>1715</v>
      </c>
    </row>
    <row r="708" spans="1:6" ht="30" x14ac:dyDescent="0.25">
      <c r="A708" s="436" t="s">
        <v>1716</v>
      </c>
      <c r="B708" s="436" t="s">
        <v>1713</v>
      </c>
      <c r="C708" s="436" t="s">
        <v>2744</v>
      </c>
      <c r="D708" s="436" t="s">
        <v>1713</v>
      </c>
      <c r="E708" s="436" t="s">
        <v>2745</v>
      </c>
      <c r="F708" s="436" t="s">
        <v>1715</v>
      </c>
    </row>
    <row r="709" spans="1:6" ht="30" x14ac:dyDescent="0.25">
      <c r="A709" s="436" t="s">
        <v>1728</v>
      </c>
      <c r="B709" s="436" t="s">
        <v>1713</v>
      </c>
      <c r="C709" s="436" t="s">
        <v>1726</v>
      </c>
      <c r="D709" s="436" t="s">
        <v>1713</v>
      </c>
      <c r="E709" s="436" t="s">
        <v>1727</v>
      </c>
      <c r="F709" s="436" t="s">
        <v>1715</v>
      </c>
    </row>
    <row r="710" spans="1:6" ht="45" x14ac:dyDescent="0.25">
      <c r="A710" s="436" t="s">
        <v>1729</v>
      </c>
      <c r="B710" s="436" t="s">
        <v>1713</v>
      </c>
      <c r="C710" s="436" t="s">
        <v>1730</v>
      </c>
      <c r="D710" s="436" t="s">
        <v>1713</v>
      </c>
      <c r="E710" s="436" t="s">
        <v>1731</v>
      </c>
      <c r="F710" s="436" t="s">
        <v>1720</v>
      </c>
    </row>
    <row r="711" spans="1:6" x14ac:dyDescent="0.25">
      <c r="A711" s="436" t="s">
        <v>1739</v>
      </c>
      <c r="B711" s="436" t="s">
        <v>1713</v>
      </c>
      <c r="C711" s="436" t="s">
        <v>1737</v>
      </c>
      <c r="D711" s="436" t="s">
        <v>1713</v>
      </c>
      <c r="E711" s="436" t="s">
        <v>1738</v>
      </c>
      <c r="F711" s="436" t="s">
        <v>1735</v>
      </c>
    </row>
    <row r="712" spans="1:6" x14ac:dyDescent="0.25">
      <c r="A712" s="436" t="s">
        <v>2746</v>
      </c>
      <c r="B712" s="436" t="s">
        <v>1713</v>
      </c>
      <c r="C712" s="436" t="s">
        <v>2747</v>
      </c>
      <c r="D712" s="436" t="s">
        <v>1713</v>
      </c>
      <c r="E712" s="436" t="s">
        <v>2748</v>
      </c>
      <c r="F712" s="436" t="s">
        <v>1735</v>
      </c>
    </row>
    <row r="713" spans="1:6" ht="30" x14ac:dyDescent="0.25">
      <c r="A713" s="436" t="s">
        <v>1740</v>
      </c>
      <c r="B713" s="436" t="s">
        <v>1713</v>
      </c>
      <c r="C713" s="436" t="s">
        <v>1737</v>
      </c>
      <c r="D713" s="436" t="s">
        <v>1713</v>
      </c>
      <c r="E713" s="436" t="s">
        <v>1738</v>
      </c>
      <c r="F713" s="436" t="s">
        <v>1735</v>
      </c>
    </row>
    <row r="714" spans="1:6" ht="30" x14ac:dyDescent="0.25">
      <c r="A714" s="436" t="s">
        <v>1741</v>
      </c>
      <c r="B714" s="436" t="s">
        <v>1713</v>
      </c>
      <c r="C714" s="436" t="s">
        <v>1737</v>
      </c>
      <c r="D714" s="436" t="s">
        <v>1713</v>
      </c>
      <c r="E714" s="436" t="s">
        <v>1738</v>
      </c>
      <c r="F714" s="436" t="s">
        <v>1735</v>
      </c>
    </row>
    <row r="715" spans="1:6" ht="30" x14ac:dyDescent="0.25">
      <c r="A715" s="436" t="s">
        <v>1742</v>
      </c>
      <c r="B715" s="436" t="s">
        <v>1713</v>
      </c>
      <c r="C715" s="436" t="s">
        <v>1737</v>
      </c>
      <c r="D715" s="436" t="s">
        <v>1713</v>
      </c>
      <c r="E715" s="436" t="s">
        <v>1738</v>
      </c>
      <c r="F715" s="436" t="s">
        <v>1735</v>
      </c>
    </row>
    <row r="716" spans="1:6" ht="30" x14ac:dyDescent="0.25">
      <c r="A716" s="436" t="s">
        <v>1743</v>
      </c>
      <c r="B716" s="436" t="s">
        <v>1713</v>
      </c>
      <c r="C716" s="436" t="s">
        <v>1737</v>
      </c>
      <c r="D716" s="436" t="s">
        <v>1713</v>
      </c>
      <c r="E716" s="436" t="s">
        <v>1738</v>
      </c>
      <c r="F716" s="436" t="s">
        <v>1735</v>
      </c>
    </row>
    <row r="717" spans="1:6" x14ac:dyDescent="0.25">
      <c r="A717" s="436" t="s">
        <v>1744</v>
      </c>
      <c r="B717" s="436" t="s">
        <v>1713</v>
      </c>
      <c r="C717" s="436" t="s">
        <v>1737</v>
      </c>
      <c r="D717" s="436" t="s">
        <v>1713</v>
      </c>
      <c r="E717" s="436" t="s">
        <v>1738</v>
      </c>
      <c r="F717" s="436" t="s">
        <v>1735</v>
      </c>
    </row>
    <row r="718" spans="1:6" ht="30" x14ac:dyDescent="0.25">
      <c r="A718" s="436" t="s">
        <v>1745</v>
      </c>
      <c r="B718" s="436" t="s">
        <v>1713</v>
      </c>
      <c r="C718" s="436" t="s">
        <v>1737</v>
      </c>
      <c r="D718" s="436" t="s">
        <v>1713</v>
      </c>
      <c r="E718" s="436" t="s">
        <v>1738</v>
      </c>
      <c r="F718" s="436" t="s">
        <v>1735</v>
      </c>
    </row>
    <row r="719" spans="1:6" ht="30" x14ac:dyDescent="0.25">
      <c r="A719" s="436" t="s">
        <v>1746</v>
      </c>
      <c r="B719" s="436" t="s">
        <v>1713</v>
      </c>
      <c r="C719" s="436" t="s">
        <v>1737</v>
      </c>
      <c r="D719" s="436" t="s">
        <v>1713</v>
      </c>
      <c r="E719" s="436" t="s">
        <v>1738</v>
      </c>
      <c r="F719" s="436" t="s">
        <v>1735</v>
      </c>
    </row>
    <row r="720" spans="1:6" ht="30" x14ac:dyDescent="0.25">
      <c r="A720" s="436" t="s">
        <v>1750</v>
      </c>
      <c r="B720" s="436" t="s">
        <v>1713</v>
      </c>
      <c r="C720" s="436" t="s">
        <v>1748</v>
      </c>
      <c r="D720" s="436" t="s">
        <v>1713</v>
      </c>
      <c r="E720" s="436" t="s">
        <v>1749</v>
      </c>
      <c r="F720" s="436" t="s">
        <v>1735</v>
      </c>
    </row>
    <row r="721" spans="1:6" ht="30" x14ac:dyDescent="0.25">
      <c r="A721" s="436" t="s">
        <v>1751</v>
      </c>
      <c r="B721" s="436" t="s">
        <v>1713</v>
      </c>
      <c r="C721" s="436" t="s">
        <v>1748</v>
      </c>
      <c r="D721" s="436" t="s">
        <v>1713</v>
      </c>
      <c r="E721" s="436" t="s">
        <v>1749</v>
      </c>
      <c r="F721" s="436" t="s">
        <v>1735</v>
      </c>
    </row>
    <row r="722" spans="1:6" ht="45" x14ac:dyDescent="0.25">
      <c r="A722" s="436" t="s">
        <v>1752</v>
      </c>
      <c r="B722" s="436" t="s">
        <v>1713</v>
      </c>
      <c r="C722" s="436" t="s">
        <v>1748</v>
      </c>
      <c r="D722" s="436" t="s">
        <v>1713</v>
      </c>
      <c r="E722" s="436" t="s">
        <v>1749</v>
      </c>
      <c r="F722" s="436" t="s">
        <v>1735</v>
      </c>
    </row>
    <row r="723" spans="1:6" ht="30" x14ac:dyDescent="0.25">
      <c r="A723" s="436" t="s">
        <v>1756</v>
      </c>
      <c r="B723" s="436" t="s">
        <v>1713</v>
      </c>
      <c r="C723" s="436" t="s">
        <v>1754</v>
      </c>
      <c r="D723" s="436" t="s">
        <v>1713</v>
      </c>
      <c r="E723" s="436" t="s">
        <v>1755</v>
      </c>
      <c r="F723" s="436" t="s">
        <v>1715</v>
      </c>
    </row>
    <row r="724" spans="1:6" ht="30" x14ac:dyDescent="0.25">
      <c r="A724" s="436" t="s">
        <v>1756</v>
      </c>
      <c r="B724" s="436" t="s">
        <v>1713</v>
      </c>
      <c r="C724" s="436" t="s">
        <v>2744</v>
      </c>
      <c r="D724" s="436" t="s">
        <v>1713</v>
      </c>
      <c r="E724" s="436" t="s">
        <v>2749</v>
      </c>
      <c r="F724" s="436" t="s">
        <v>1715</v>
      </c>
    </row>
    <row r="725" spans="1:6" x14ac:dyDescent="0.25">
      <c r="A725" s="436" t="s">
        <v>1762</v>
      </c>
      <c r="B725" s="436" t="s">
        <v>1759</v>
      </c>
      <c r="C725" s="436" t="s">
        <v>1758</v>
      </c>
      <c r="D725" s="436" t="s">
        <v>1759</v>
      </c>
      <c r="E725" s="436" t="s">
        <v>1760</v>
      </c>
      <c r="F725" s="436" t="s">
        <v>1761</v>
      </c>
    </row>
    <row r="726" spans="1:6" ht="30" x14ac:dyDescent="0.25">
      <c r="A726" s="436" t="s">
        <v>1762</v>
      </c>
      <c r="B726" s="436" t="s">
        <v>1759</v>
      </c>
      <c r="C726" s="436" t="s">
        <v>2750</v>
      </c>
      <c r="D726" s="436" t="s">
        <v>1759</v>
      </c>
      <c r="E726" s="436" t="s">
        <v>2751</v>
      </c>
      <c r="F726" s="436" t="s">
        <v>1761</v>
      </c>
    </row>
    <row r="727" spans="1:6" x14ac:dyDescent="0.25">
      <c r="A727" s="436" t="s">
        <v>1767</v>
      </c>
      <c r="B727" s="436" t="s">
        <v>1759</v>
      </c>
      <c r="C727" s="436" t="s">
        <v>1764</v>
      </c>
      <c r="D727" s="436" t="s">
        <v>1759</v>
      </c>
      <c r="E727" s="436" t="s">
        <v>1765</v>
      </c>
      <c r="F727" s="436" t="s">
        <v>1766</v>
      </c>
    </row>
    <row r="728" spans="1:6" x14ac:dyDescent="0.25">
      <c r="A728" s="436" t="s">
        <v>1768</v>
      </c>
      <c r="B728" s="436" t="s">
        <v>1759</v>
      </c>
      <c r="C728" s="436" t="s">
        <v>1764</v>
      </c>
      <c r="D728" s="436" t="s">
        <v>1759</v>
      </c>
      <c r="E728" s="436" t="s">
        <v>1765</v>
      </c>
      <c r="F728" s="436" t="s">
        <v>1766</v>
      </c>
    </row>
    <row r="729" spans="1:6" x14ac:dyDescent="0.25">
      <c r="A729" s="436" t="s">
        <v>1769</v>
      </c>
      <c r="B729" s="436" t="s">
        <v>1759</v>
      </c>
      <c r="C729" s="436" t="s">
        <v>1764</v>
      </c>
      <c r="D729" s="436" t="s">
        <v>1759</v>
      </c>
      <c r="E729" s="436" t="s">
        <v>1765</v>
      </c>
      <c r="F729" s="436" t="s">
        <v>1766</v>
      </c>
    </row>
    <row r="730" spans="1:6" x14ac:dyDescent="0.25">
      <c r="A730" s="436" t="s">
        <v>1770</v>
      </c>
      <c r="B730" s="436" t="s">
        <v>1759</v>
      </c>
      <c r="C730" s="436" t="s">
        <v>1764</v>
      </c>
      <c r="D730" s="436" t="s">
        <v>1759</v>
      </c>
      <c r="E730" s="436" t="s">
        <v>1765</v>
      </c>
      <c r="F730" s="436" t="s">
        <v>1766</v>
      </c>
    </row>
    <row r="731" spans="1:6" x14ac:dyDescent="0.25">
      <c r="A731" s="436" t="s">
        <v>1771</v>
      </c>
      <c r="B731" s="436" t="s">
        <v>1759</v>
      </c>
      <c r="C731" s="436" t="s">
        <v>1764</v>
      </c>
      <c r="D731" s="436" t="s">
        <v>1759</v>
      </c>
      <c r="E731" s="436" t="s">
        <v>1765</v>
      </c>
      <c r="F731" s="436" t="s">
        <v>1766</v>
      </c>
    </row>
    <row r="732" spans="1:6" x14ac:dyDescent="0.25">
      <c r="A732" s="436" t="s">
        <v>1773</v>
      </c>
      <c r="B732" s="436" t="s">
        <v>1759</v>
      </c>
      <c r="C732" s="436" t="s">
        <v>1764</v>
      </c>
      <c r="D732" s="436" t="s">
        <v>1759</v>
      </c>
      <c r="E732" s="436" t="s">
        <v>1765</v>
      </c>
      <c r="F732" s="436" t="s">
        <v>1766</v>
      </c>
    </row>
    <row r="733" spans="1:6" x14ac:dyDescent="0.25">
      <c r="A733" s="436" t="s">
        <v>1774</v>
      </c>
      <c r="B733" s="436" t="s">
        <v>1759</v>
      </c>
      <c r="C733" s="436" t="s">
        <v>1764</v>
      </c>
      <c r="D733" s="436" t="s">
        <v>1759</v>
      </c>
      <c r="E733" s="436" t="s">
        <v>1765</v>
      </c>
      <c r="F733" s="436" t="s">
        <v>1766</v>
      </c>
    </row>
    <row r="734" spans="1:6" x14ac:dyDescent="0.25">
      <c r="A734" s="436" t="s">
        <v>1775</v>
      </c>
      <c r="B734" s="436" t="s">
        <v>1759</v>
      </c>
      <c r="C734" s="436" t="s">
        <v>1764</v>
      </c>
      <c r="D734" s="436" t="s">
        <v>1759</v>
      </c>
      <c r="E734" s="436" t="s">
        <v>1765</v>
      </c>
      <c r="F734" s="436" t="s">
        <v>1766</v>
      </c>
    </row>
    <row r="735" spans="1:6" x14ac:dyDescent="0.25">
      <c r="A735" s="436" t="s">
        <v>1776</v>
      </c>
      <c r="B735" s="436" t="s">
        <v>1759</v>
      </c>
      <c r="C735" s="436" t="s">
        <v>1764</v>
      </c>
      <c r="D735" s="436" t="s">
        <v>1759</v>
      </c>
      <c r="E735" s="436" t="s">
        <v>1765</v>
      </c>
      <c r="F735" s="436" t="s">
        <v>1766</v>
      </c>
    </row>
    <row r="736" spans="1:6" ht="30" x14ac:dyDescent="0.25">
      <c r="A736" s="436" t="s">
        <v>2752</v>
      </c>
      <c r="B736" s="436" t="s">
        <v>1759</v>
      </c>
      <c r="C736" s="436" t="s">
        <v>2753</v>
      </c>
      <c r="D736" s="436" t="s">
        <v>1759</v>
      </c>
      <c r="E736" s="436" t="s">
        <v>2754</v>
      </c>
      <c r="F736" s="436" t="s">
        <v>1766</v>
      </c>
    </row>
    <row r="737" spans="1:6" x14ac:dyDescent="0.25">
      <c r="A737" s="436" t="s">
        <v>1781</v>
      </c>
      <c r="B737" s="436" t="s">
        <v>1759</v>
      </c>
      <c r="C737" s="436" t="s">
        <v>1778</v>
      </c>
      <c r="D737" s="436" t="s">
        <v>1759</v>
      </c>
      <c r="E737" s="436" t="s">
        <v>1779</v>
      </c>
      <c r="F737" s="436" t="s">
        <v>1780</v>
      </c>
    </row>
    <row r="738" spans="1:6" x14ac:dyDescent="0.25">
      <c r="A738" s="436" t="s">
        <v>1782</v>
      </c>
      <c r="B738" s="436" t="s">
        <v>1759</v>
      </c>
      <c r="C738" s="436" t="s">
        <v>1778</v>
      </c>
      <c r="D738" s="436" t="s">
        <v>1759</v>
      </c>
      <c r="E738" s="436" t="s">
        <v>1779</v>
      </c>
      <c r="F738" s="436" t="s">
        <v>1780</v>
      </c>
    </row>
    <row r="739" spans="1:6" x14ac:dyDescent="0.25">
      <c r="A739" s="436" t="s">
        <v>1783</v>
      </c>
      <c r="B739" s="436" t="s">
        <v>1759</v>
      </c>
      <c r="C739" s="436" t="s">
        <v>1778</v>
      </c>
      <c r="D739" s="436" t="s">
        <v>1759</v>
      </c>
      <c r="E739" s="436" t="s">
        <v>1779</v>
      </c>
      <c r="F739" s="436" t="s">
        <v>1780</v>
      </c>
    </row>
    <row r="740" spans="1:6" ht="30" x14ac:dyDescent="0.25">
      <c r="A740" s="436" t="s">
        <v>1784</v>
      </c>
      <c r="B740" s="436" t="s">
        <v>1759</v>
      </c>
      <c r="C740" s="436" t="s">
        <v>1778</v>
      </c>
      <c r="D740" s="436" t="s">
        <v>1759</v>
      </c>
      <c r="E740" s="436" t="s">
        <v>1779</v>
      </c>
      <c r="F740" s="436" t="s">
        <v>1780</v>
      </c>
    </row>
    <row r="741" spans="1:6" ht="30" x14ac:dyDescent="0.25">
      <c r="A741" s="436" t="s">
        <v>1785</v>
      </c>
      <c r="B741" s="436" t="s">
        <v>1759</v>
      </c>
      <c r="C741" s="436" t="s">
        <v>1778</v>
      </c>
      <c r="D741" s="436" t="s">
        <v>1759</v>
      </c>
      <c r="E741" s="436" t="s">
        <v>1779</v>
      </c>
      <c r="F741" s="436" t="s">
        <v>1780</v>
      </c>
    </row>
    <row r="742" spans="1:6" ht="30" x14ac:dyDescent="0.25">
      <c r="A742" s="436" t="s">
        <v>1786</v>
      </c>
      <c r="B742" s="436" t="s">
        <v>1759</v>
      </c>
      <c r="C742" s="436" t="s">
        <v>1778</v>
      </c>
      <c r="D742" s="436" t="s">
        <v>1759</v>
      </c>
      <c r="E742" s="436" t="s">
        <v>1779</v>
      </c>
      <c r="F742" s="436" t="s">
        <v>1780</v>
      </c>
    </row>
    <row r="743" spans="1:6" x14ac:dyDescent="0.25">
      <c r="A743" s="436" t="s">
        <v>1790</v>
      </c>
      <c r="B743" s="436" t="s">
        <v>1759</v>
      </c>
      <c r="C743" s="436" t="s">
        <v>1788</v>
      </c>
      <c r="D743" s="436" t="s">
        <v>1759</v>
      </c>
      <c r="E743" s="436" t="s">
        <v>1789</v>
      </c>
      <c r="F743" s="436" t="s">
        <v>1780</v>
      </c>
    </row>
    <row r="744" spans="1:6" ht="30" x14ac:dyDescent="0.25">
      <c r="A744" s="436" t="s">
        <v>1794</v>
      </c>
      <c r="B744" s="436" t="s">
        <v>1759</v>
      </c>
      <c r="C744" s="436" t="s">
        <v>1792</v>
      </c>
      <c r="D744" s="436" t="s">
        <v>1759</v>
      </c>
      <c r="E744" s="436" t="s">
        <v>1793</v>
      </c>
      <c r="F744" s="436" t="s">
        <v>1780</v>
      </c>
    </row>
    <row r="745" spans="1:6" x14ac:dyDescent="0.25">
      <c r="A745" s="436" t="s">
        <v>1794</v>
      </c>
      <c r="B745" s="436" t="s">
        <v>1759</v>
      </c>
      <c r="C745" s="436" t="s">
        <v>2755</v>
      </c>
      <c r="D745" s="436" t="s">
        <v>1759</v>
      </c>
    </row>
    <row r="746" spans="1:6" x14ac:dyDescent="0.25">
      <c r="A746" s="436" t="s">
        <v>1801</v>
      </c>
      <c r="B746" s="436" t="s">
        <v>1759</v>
      </c>
      <c r="C746" s="436" t="s">
        <v>1796</v>
      </c>
      <c r="D746" s="436" t="s">
        <v>1759</v>
      </c>
      <c r="E746" s="436" t="s">
        <v>1797</v>
      </c>
      <c r="F746" s="436" t="s">
        <v>1780</v>
      </c>
    </row>
    <row r="747" spans="1:6" ht="45" x14ac:dyDescent="0.25">
      <c r="A747" s="436" t="s">
        <v>1801</v>
      </c>
      <c r="B747" s="436" t="s">
        <v>1759</v>
      </c>
      <c r="C747" s="436" t="s">
        <v>1798</v>
      </c>
      <c r="D747" s="436" t="s">
        <v>1799</v>
      </c>
      <c r="E747" s="436" t="s">
        <v>1800</v>
      </c>
      <c r="F747" s="436" t="s">
        <v>1780</v>
      </c>
    </row>
    <row r="748" spans="1:6" x14ac:dyDescent="0.25">
      <c r="A748" s="436" t="s">
        <v>1803</v>
      </c>
      <c r="B748" s="436" t="s">
        <v>1759</v>
      </c>
      <c r="C748" s="436" t="s">
        <v>1796</v>
      </c>
      <c r="D748" s="436" t="s">
        <v>1759</v>
      </c>
      <c r="E748" s="436" t="s">
        <v>1797</v>
      </c>
      <c r="F748" s="436" t="s">
        <v>1780</v>
      </c>
    </row>
    <row r="749" spans="1:6" ht="45" x14ac:dyDescent="0.25">
      <c r="A749" s="436" t="s">
        <v>1803</v>
      </c>
      <c r="B749" s="436" t="s">
        <v>1759</v>
      </c>
      <c r="C749" s="436" t="s">
        <v>1798</v>
      </c>
      <c r="D749" s="436" t="s">
        <v>1799</v>
      </c>
      <c r="E749" s="436" t="s">
        <v>1800</v>
      </c>
      <c r="F749" s="436" t="s">
        <v>1780</v>
      </c>
    </row>
    <row r="750" spans="1:6" ht="30" x14ac:dyDescent="0.25">
      <c r="A750" s="436" t="s">
        <v>1803</v>
      </c>
      <c r="B750" s="436" t="s">
        <v>1759</v>
      </c>
      <c r="C750" s="436" t="s">
        <v>2756</v>
      </c>
      <c r="D750" s="436" t="s">
        <v>1759</v>
      </c>
    </row>
    <row r="751" spans="1:6" x14ac:dyDescent="0.25">
      <c r="A751" s="436" t="s">
        <v>1804</v>
      </c>
      <c r="B751" s="436" t="s">
        <v>1759</v>
      </c>
      <c r="C751" s="436" t="s">
        <v>1796</v>
      </c>
      <c r="D751" s="436" t="s">
        <v>1759</v>
      </c>
      <c r="E751" s="436" t="s">
        <v>1797</v>
      </c>
      <c r="F751" s="436" t="s">
        <v>1780</v>
      </c>
    </row>
    <row r="752" spans="1:6" ht="45" x14ac:dyDescent="0.25">
      <c r="A752" s="436" t="s">
        <v>1804</v>
      </c>
      <c r="B752" s="436" t="s">
        <v>1759</v>
      </c>
      <c r="C752" s="436" t="s">
        <v>1798</v>
      </c>
      <c r="D752" s="436" t="s">
        <v>1799</v>
      </c>
      <c r="E752" s="436" t="s">
        <v>1800</v>
      </c>
      <c r="F752" s="436" t="s">
        <v>1780</v>
      </c>
    </row>
    <row r="753" spans="1:6" x14ac:dyDescent="0.25">
      <c r="A753" s="436" t="s">
        <v>1808</v>
      </c>
      <c r="B753" s="436" t="s">
        <v>1759</v>
      </c>
      <c r="C753" s="436" t="s">
        <v>1806</v>
      </c>
      <c r="D753" s="436" t="s">
        <v>1759</v>
      </c>
      <c r="E753" s="436" t="s">
        <v>1807</v>
      </c>
      <c r="F753" s="436" t="s">
        <v>1766</v>
      </c>
    </row>
    <row r="754" spans="1:6" x14ac:dyDescent="0.25">
      <c r="A754" s="436" t="s">
        <v>1812</v>
      </c>
      <c r="B754" s="436" t="s">
        <v>1759</v>
      </c>
      <c r="C754" s="436" t="s">
        <v>2757</v>
      </c>
      <c r="D754" s="436" t="s">
        <v>1759</v>
      </c>
      <c r="E754" s="436" t="s">
        <v>1765</v>
      </c>
      <c r="F754" s="436" t="s">
        <v>1766</v>
      </c>
    </row>
    <row r="755" spans="1:6" ht="30" x14ac:dyDescent="0.25">
      <c r="A755" s="436" t="s">
        <v>2758</v>
      </c>
      <c r="B755" s="436" t="s">
        <v>1759</v>
      </c>
      <c r="C755" s="436" t="s">
        <v>1810</v>
      </c>
      <c r="D755" s="436" t="s">
        <v>1759</v>
      </c>
      <c r="E755" s="436" t="s">
        <v>1811</v>
      </c>
      <c r="F755" s="436" t="s">
        <v>1780</v>
      </c>
    </row>
    <row r="756" spans="1:6" ht="30" x14ac:dyDescent="0.25">
      <c r="A756" s="436" t="s">
        <v>1813</v>
      </c>
      <c r="B756" s="436" t="s">
        <v>1759</v>
      </c>
      <c r="C756" s="436" t="s">
        <v>1810</v>
      </c>
      <c r="D756" s="436" t="s">
        <v>1759</v>
      </c>
      <c r="E756" s="436" t="s">
        <v>1811</v>
      </c>
      <c r="F756" s="436" t="s">
        <v>1780</v>
      </c>
    </row>
    <row r="757" spans="1:6" x14ac:dyDescent="0.25">
      <c r="A757" s="436" t="s">
        <v>2759</v>
      </c>
      <c r="B757" s="436" t="s">
        <v>1759</v>
      </c>
      <c r="C757" s="436" t="s">
        <v>1764</v>
      </c>
      <c r="D757" s="436" t="s">
        <v>1759</v>
      </c>
      <c r="E757" s="436" t="s">
        <v>1765</v>
      </c>
      <c r="F757" s="436" t="s">
        <v>1766</v>
      </c>
    </row>
    <row r="758" spans="1:6" ht="30" x14ac:dyDescent="0.25">
      <c r="A758" s="436" t="s">
        <v>1815</v>
      </c>
      <c r="B758" s="436" t="s">
        <v>1759</v>
      </c>
      <c r="C758" s="436" t="s">
        <v>1810</v>
      </c>
      <c r="D758" s="436" t="s">
        <v>1759</v>
      </c>
      <c r="E758" s="436" t="s">
        <v>1811</v>
      </c>
      <c r="F758" s="436" t="s">
        <v>1780</v>
      </c>
    </row>
    <row r="759" spans="1:6" ht="30" x14ac:dyDescent="0.25">
      <c r="A759" s="436" t="s">
        <v>1823</v>
      </c>
      <c r="B759" s="436" t="s">
        <v>1820</v>
      </c>
      <c r="C759" s="436" t="s">
        <v>1819</v>
      </c>
      <c r="D759" s="436" t="s">
        <v>1820</v>
      </c>
      <c r="E759" s="436" t="s">
        <v>1821</v>
      </c>
      <c r="F759" s="436" t="s">
        <v>1822</v>
      </c>
    </row>
    <row r="760" spans="1:6" ht="30" x14ac:dyDescent="0.25">
      <c r="A760" s="436" t="s">
        <v>1828</v>
      </c>
      <c r="B760" s="436" t="s">
        <v>1820</v>
      </c>
      <c r="C760" s="436" t="s">
        <v>1824</v>
      </c>
      <c r="D760" s="436" t="s">
        <v>1820</v>
      </c>
      <c r="E760" s="436" t="s">
        <v>1825</v>
      </c>
      <c r="F760" s="436" t="s">
        <v>1826</v>
      </c>
    </row>
    <row r="761" spans="1:6" ht="30" x14ac:dyDescent="0.25">
      <c r="C761" s="436" t="s">
        <v>1824</v>
      </c>
      <c r="D761" s="436" t="s">
        <v>1820</v>
      </c>
      <c r="E761" s="436" t="s">
        <v>1827</v>
      </c>
      <c r="F761" s="436" t="s">
        <v>1826</v>
      </c>
    </row>
    <row r="762" spans="1:6" x14ac:dyDescent="0.25">
      <c r="A762" s="436" t="s">
        <v>1832</v>
      </c>
      <c r="B762" s="436" t="s">
        <v>1820</v>
      </c>
      <c r="C762" s="436" t="s">
        <v>1829</v>
      </c>
      <c r="D762" s="436" t="s">
        <v>1820</v>
      </c>
      <c r="E762" s="436" t="s">
        <v>1830</v>
      </c>
      <c r="F762" s="436" t="s">
        <v>1831</v>
      </c>
    </row>
    <row r="763" spans="1:6" ht="30" x14ac:dyDescent="0.25">
      <c r="A763" s="436" t="s">
        <v>1832</v>
      </c>
      <c r="B763" s="436" t="s">
        <v>1820</v>
      </c>
      <c r="C763" s="436" t="s">
        <v>2760</v>
      </c>
      <c r="D763" s="436" t="s">
        <v>1820</v>
      </c>
      <c r="E763" s="436" t="s">
        <v>2761</v>
      </c>
      <c r="F763" s="436" t="s">
        <v>1831</v>
      </c>
    </row>
    <row r="764" spans="1:6" ht="30" x14ac:dyDescent="0.25">
      <c r="A764" s="436" t="s">
        <v>2762</v>
      </c>
      <c r="B764" s="436" t="s">
        <v>1820</v>
      </c>
      <c r="C764" s="436" t="s">
        <v>2763</v>
      </c>
      <c r="D764" s="436" t="s">
        <v>1820</v>
      </c>
      <c r="E764" s="436" t="s">
        <v>2764</v>
      </c>
      <c r="F764" s="436" t="s">
        <v>1831</v>
      </c>
    </row>
    <row r="765" spans="1:6" x14ac:dyDescent="0.25">
      <c r="A765" s="436" t="s">
        <v>1837</v>
      </c>
      <c r="B765" s="436" t="s">
        <v>1820</v>
      </c>
      <c r="C765" s="436" t="s">
        <v>1834</v>
      </c>
      <c r="D765" s="436" t="s">
        <v>1820</v>
      </c>
      <c r="E765" s="436" t="s">
        <v>1835</v>
      </c>
      <c r="F765" s="436" t="s">
        <v>1836</v>
      </c>
    </row>
    <row r="766" spans="1:6" ht="30" x14ac:dyDescent="0.25">
      <c r="A766" s="436" t="s">
        <v>1838</v>
      </c>
      <c r="B766" s="436" t="s">
        <v>1820</v>
      </c>
      <c r="C766" s="436" t="s">
        <v>1839</v>
      </c>
      <c r="D766" s="436" t="s">
        <v>1820</v>
      </c>
      <c r="E766" s="436" t="s">
        <v>1840</v>
      </c>
      <c r="F766" s="436" t="s">
        <v>1836</v>
      </c>
    </row>
    <row r="767" spans="1:6" x14ac:dyDescent="0.25">
      <c r="A767" s="436" t="s">
        <v>1845</v>
      </c>
      <c r="B767" s="436" t="s">
        <v>1820</v>
      </c>
      <c r="C767" s="436" t="s">
        <v>1842</v>
      </c>
      <c r="D767" s="436" t="s">
        <v>1820</v>
      </c>
      <c r="E767" s="436" t="s">
        <v>1843</v>
      </c>
      <c r="F767" s="436" t="s">
        <v>1844</v>
      </c>
    </row>
    <row r="768" spans="1:6" ht="30" x14ac:dyDescent="0.25">
      <c r="A768" s="436" t="s">
        <v>1845</v>
      </c>
      <c r="B768" s="436" t="s">
        <v>1820</v>
      </c>
      <c r="C768" s="436" t="s">
        <v>2765</v>
      </c>
      <c r="D768" s="436" t="s">
        <v>1820</v>
      </c>
      <c r="E768" s="436" t="s">
        <v>2766</v>
      </c>
      <c r="F768" s="436" t="s">
        <v>1844</v>
      </c>
    </row>
    <row r="769" spans="1:6" ht="30" x14ac:dyDescent="0.25">
      <c r="A769" s="436" t="s">
        <v>1845</v>
      </c>
      <c r="B769" s="436" t="s">
        <v>1820</v>
      </c>
      <c r="C769" s="436" t="s">
        <v>2767</v>
      </c>
      <c r="D769" s="436" t="s">
        <v>1820</v>
      </c>
      <c r="E769" s="436" t="s">
        <v>2768</v>
      </c>
      <c r="F769" s="436" t="s">
        <v>1844</v>
      </c>
    </row>
    <row r="770" spans="1:6" ht="30" x14ac:dyDescent="0.25">
      <c r="A770" s="436" t="s">
        <v>1845</v>
      </c>
      <c r="B770" s="436" t="s">
        <v>1820</v>
      </c>
      <c r="C770" s="436" t="s">
        <v>2769</v>
      </c>
      <c r="D770" s="436" t="s">
        <v>2770</v>
      </c>
    </row>
    <row r="771" spans="1:6" ht="30" x14ac:dyDescent="0.25">
      <c r="A771" s="436" t="s">
        <v>2771</v>
      </c>
      <c r="B771" s="436" t="s">
        <v>1820</v>
      </c>
      <c r="C771" s="436" t="s">
        <v>2772</v>
      </c>
      <c r="D771" s="436" t="s">
        <v>1820</v>
      </c>
      <c r="E771" s="436" t="s">
        <v>2773</v>
      </c>
      <c r="F771" s="436" t="s">
        <v>1844</v>
      </c>
    </row>
    <row r="772" spans="1:6" ht="30" x14ac:dyDescent="0.25">
      <c r="A772" s="436" t="s">
        <v>2774</v>
      </c>
      <c r="B772" s="436" t="s">
        <v>1820</v>
      </c>
      <c r="C772" s="436" t="s">
        <v>2767</v>
      </c>
      <c r="D772" s="436" t="s">
        <v>1820</v>
      </c>
      <c r="E772" s="436" t="s">
        <v>2768</v>
      </c>
      <c r="F772" s="436" t="s">
        <v>1844</v>
      </c>
    </row>
    <row r="773" spans="1:6" ht="30" x14ac:dyDescent="0.25">
      <c r="A773" s="436" t="s">
        <v>1850</v>
      </c>
      <c r="B773" s="436" t="s">
        <v>1820</v>
      </c>
      <c r="C773" s="436" t="s">
        <v>2775</v>
      </c>
      <c r="D773" s="436" t="s">
        <v>1820</v>
      </c>
    </row>
    <row r="774" spans="1:6" ht="30" x14ac:dyDescent="0.25">
      <c r="A774" s="436" t="s">
        <v>1850</v>
      </c>
      <c r="B774" s="436" t="s">
        <v>1820</v>
      </c>
      <c r="C774" s="436" t="s">
        <v>1847</v>
      </c>
      <c r="D774" s="436" t="s">
        <v>1820</v>
      </c>
      <c r="E774" s="436" t="s">
        <v>1848</v>
      </c>
      <c r="F774" s="436" t="s">
        <v>1849</v>
      </c>
    </row>
    <row r="775" spans="1:6" ht="30" x14ac:dyDescent="0.25">
      <c r="C775" s="436" t="s">
        <v>1847</v>
      </c>
      <c r="D775" s="436" t="s">
        <v>1820</v>
      </c>
      <c r="E775" s="436" t="s">
        <v>1827</v>
      </c>
      <c r="F775" s="436" t="s">
        <v>1826</v>
      </c>
    </row>
    <row r="776" spans="1:6" ht="30" x14ac:dyDescent="0.25">
      <c r="A776" s="436" t="s">
        <v>1852</v>
      </c>
      <c r="B776" s="436" t="s">
        <v>1820</v>
      </c>
      <c r="C776" s="436" t="s">
        <v>1853</v>
      </c>
      <c r="D776" s="436" t="s">
        <v>1820</v>
      </c>
      <c r="E776" s="436" t="s">
        <v>1854</v>
      </c>
      <c r="F776" s="436" t="s">
        <v>1849</v>
      </c>
    </row>
    <row r="777" spans="1:6" ht="30" x14ac:dyDescent="0.25">
      <c r="C777" s="436" t="s">
        <v>1853</v>
      </c>
      <c r="D777" s="436" t="s">
        <v>1820</v>
      </c>
      <c r="E777" s="436" t="s">
        <v>1827</v>
      </c>
      <c r="F777" s="436" t="s">
        <v>1826</v>
      </c>
    </row>
    <row r="778" spans="1:6" ht="30" x14ac:dyDescent="0.25">
      <c r="A778" s="436" t="s">
        <v>1858</v>
      </c>
      <c r="B778" s="436" t="s">
        <v>1820</v>
      </c>
      <c r="C778" s="436" t="s">
        <v>1856</v>
      </c>
      <c r="D778" s="436" t="s">
        <v>1820</v>
      </c>
      <c r="E778" s="436" t="s">
        <v>1857</v>
      </c>
      <c r="F778" s="436" t="s">
        <v>1826</v>
      </c>
    </row>
    <row r="779" spans="1:6" ht="30" x14ac:dyDescent="0.25">
      <c r="A779" s="436" t="s">
        <v>2776</v>
      </c>
      <c r="B779" s="436" t="s">
        <v>1820</v>
      </c>
      <c r="C779" s="436" t="s">
        <v>1860</v>
      </c>
      <c r="D779" s="436" t="s">
        <v>1820</v>
      </c>
      <c r="E779" s="436" t="s">
        <v>1861</v>
      </c>
      <c r="F779" s="436" t="s">
        <v>1826</v>
      </c>
    </row>
    <row r="780" spans="1:6" ht="30" x14ac:dyDescent="0.25">
      <c r="A780" s="436" t="s">
        <v>1867</v>
      </c>
      <c r="B780" s="436" t="s">
        <v>1820</v>
      </c>
      <c r="C780" s="436" t="s">
        <v>1865</v>
      </c>
      <c r="D780" s="436" t="s">
        <v>1820</v>
      </c>
      <c r="E780" s="436" t="s">
        <v>1866</v>
      </c>
      <c r="F780" s="436" t="s">
        <v>1849</v>
      </c>
    </row>
    <row r="781" spans="1:6" ht="30" x14ac:dyDescent="0.25">
      <c r="A781" s="436" t="s">
        <v>1868</v>
      </c>
      <c r="B781" s="436" t="s">
        <v>1820</v>
      </c>
      <c r="C781" s="436" t="s">
        <v>1865</v>
      </c>
      <c r="D781" s="436" t="s">
        <v>1820</v>
      </c>
      <c r="E781" s="436" t="s">
        <v>1866</v>
      </c>
      <c r="F781" s="436" t="s">
        <v>1849</v>
      </c>
    </row>
    <row r="782" spans="1:6" x14ac:dyDescent="0.25">
      <c r="A782" s="436" t="s">
        <v>1873</v>
      </c>
      <c r="B782" s="436" t="s">
        <v>1820</v>
      </c>
      <c r="C782" s="436" t="s">
        <v>1870</v>
      </c>
      <c r="D782" s="436" t="s">
        <v>1820</v>
      </c>
      <c r="E782" s="436" t="s">
        <v>1871</v>
      </c>
      <c r="F782" s="436" t="s">
        <v>1872</v>
      </c>
    </row>
    <row r="783" spans="1:6" ht="45" x14ac:dyDescent="0.25">
      <c r="A783" s="436" t="s">
        <v>1877</v>
      </c>
      <c r="B783" s="436" t="s">
        <v>1820</v>
      </c>
      <c r="C783" s="436" t="s">
        <v>1875</v>
      </c>
      <c r="D783" s="436" t="s">
        <v>1820</v>
      </c>
      <c r="E783" s="436" t="s">
        <v>1876</v>
      </c>
      <c r="F783" s="436" t="s">
        <v>1872</v>
      </c>
    </row>
    <row r="784" spans="1:6" ht="30" x14ac:dyDescent="0.25">
      <c r="A784" s="436" t="s">
        <v>1878</v>
      </c>
      <c r="B784" s="436" t="s">
        <v>1820</v>
      </c>
      <c r="C784" s="436" t="s">
        <v>1875</v>
      </c>
      <c r="D784" s="436" t="s">
        <v>1820</v>
      </c>
      <c r="E784" s="436" t="s">
        <v>1876</v>
      </c>
      <c r="F784" s="436" t="s">
        <v>1872</v>
      </c>
    </row>
    <row r="785" spans="1:6" ht="30" x14ac:dyDescent="0.25">
      <c r="A785" s="436" t="s">
        <v>1878</v>
      </c>
      <c r="B785" s="436" t="s">
        <v>1820</v>
      </c>
      <c r="C785" s="436" t="s">
        <v>2777</v>
      </c>
      <c r="D785" s="436" t="s">
        <v>1820</v>
      </c>
      <c r="E785" s="436" t="s">
        <v>2778</v>
      </c>
      <c r="F785" s="436" t="s">
        <v>1872</v>
      </c>
    </row>
    <row r="786" spans="1:6" ht="30" x14ac:dyDescent="0.25">
      <c r="A786" s="436" t="s">
        <v>1879</v>
      </c>
      <c r="B786" s="436" t="s">
        <v>1820</v>
      </c>
      <c r="C786" s="436" t="s">
        <v>1875</v>
      </c>
      <c r="D786" s="436" t="s">
        <v>1820</v>
      </c>
      <c r="E786" s="436" t="s">
        <v>1876</v>
      </c>
      <c r="F786" s="436" t="s">
        <v>1872</v>
      </c>
    </row>
    <row r="787" spans="1:6" ht="30" x14ac:dyDescent="0.25">
      <c r="A787" s="436" t="s">
        <v>1880</v>
      </c>
      <c r="B787" s="436" t="s">
        <v>1820</v>
      </c>
      <c r="C787" s="436" t="s">
        <v>1875</v>
      </c>
      <c r="D787" s="436" t="s">
        <v>1820</v>
      </c>
      <c r="E787" s="436" t="s">
        <v>1876</v>
      </c>
      <c r="F787" s="436" t="s">
        <v>1872</v>
      </c>
    </row>
    <row r="788" spans="1:6" ht="30" x14ac:dyDescent="0.25">
      <c r="A788" s="436" t="s">
        <v>1880</v>
      </c>
      <c r="B788" s="436" t="s">
        <v>1820</v>
      </c>
      <c r="C788" s="436" t="s">
        <v>1881</v>
      </c>
      <c r="D788" s="436" t="s">
        <v>1820</v>
      </c>
      <c r="E788" s="436" t="s">
        <v>1882</v>
      </c>
      <c r="F788" s="436" t="s">
        <v>1872</v>
      </c>
    </row>
    <row r="789" spans="1:6" ht="30" x14ac:dyDescent="0.25">
      <c r="A789" s="436" t="s">
        <v>1883</v>
      </c>
      <c r="B789" s="436" t="s">
        <v>1820</v>
      </c>
      <c r="C789" s="436" t="s">
        <v>1884</v>
      </c>
      <c r="D789" s="436" t="s">
        <v>1820</v>
      </c>
      <c r="E789" s="436" t="s">
        <v>1885</v>
      </c>
      <c r="F789" s="436" t="s">
        <v>1872</v>
      </c>
    </row>
    <row r="790" spans="1:6" ht="30" x14ac:dyDescent="0.25">
      <c r="A790" s="436" t="s">
        <v>1890</v>
      </c>
      <c r="B790" s="436" t="s">
        <v>1820</v>
      </c>
      <c r="C790" s="436" t="s">
        <v>1887</v>
      </c>
      <c r="D790" s="436" t="s">
        <v>1820</v>
      </c>
      <c r="E790" s="436" t="s">
        <v>1888</v>
      </c>
      <c r="F790" s="436" t="s">
        <v>1889</v>
      </c>
    </row>
    <row r="791" spans="1:6" ht="30" x14ac:dyDescent="0.25">
      <c r="A791" s="436" t="s">
        <v>1897</v>
      </c>
      <c r="B791" s="436" t="s">
        <v>1820</v>
      </c>
      <c r="C791" s="436" t="s">
        <v>1892</v>
      </c>
      <c r="D791" s="436" t="s">
        <v>1820</v>
      </c>
      <c r="E791" s="436" t="s">
        <v>1893</v>
      </c>
      <c r="F791" s="436" t="s">
        <v>1894</v>
      </c>
    </row>
    <row r="792" spans="1:6" x14ac:dyDescent="0.25">
      <c r="A792" s="436" t="s">
        <v>1897</v>
      </c>
      <c r="B792" s="436" t="s">
        <v>2779</v>
      </c>
      <c r="C792" s="436" t="s">
        <v>1895</v>
      </c>
      <c r="D792" s="436" t="s">
        <v>1820</v>
      </c>
      <c r="E792" s="436" t="s">
        <v>1896</v>
      </c>
      <c r="F792" s="436" t="s">
        <v>1894</v>
      </c>
    </row>
    <row r="793" spans="1:6" ht="45" x14ac:dyDescent="0.25">
      <c r="A793" s="436" t="s">
        <v>1898</v>
      </c>
      <c r="B793" s="436" t="s">
        <v>1820</v>
      </c>
      <c r="C793" s="436" t="s">
        <v>1899</v>
      </c>
      <c r="D793" s="436" t="s">
        <v>1900</v>
      </c>
      <c r="E793" s="436" t="s">
        <v>1901</v>
      </c>
      <c r="F793" s="436" t="s">
        <v>1889</v>
      </c>
    </row>
    <row r="794" spans="1:6" ht="30" x14ac:dyDescent="0.25">
      <c r="A794" s="436" t="s">
        <v>1915</v>
      </c>
      <c r="B794" s="436" t="s">
        <v>1820</v>
      </c>
      <c r="C794" s="436" t="s">
        <v>1912</v>
      </c>
      <c r="D794" s="436" t="s">
        <v>1820</v>
      </c>
      <c r="E794" s="436" t="s">
        <v>1913</v>
      </c>
      <c r="F794" s="436" t="s">
        <v>1822</v>
      </c>
    </row>
    <row r="795" spans="1:6" x14ac:dyDescent="0.25">
      <c r="A795" s="436" t="s">
        <v>1920</v>
      </c>
      <c r="B795" s="436" t="s">
        <v>1820</v>
      </c>
      <c r="C795" s="436" t="s">
        <v>1917</v>
      </c>
      <c r="D795" s="436" t="s">
        <v>1820</v>
      </c>
      <c r="E795" s="436" t="s">
        <v>1918</v>
      </c>
      <c r="F795" s="436" t="s">
        <v>1919</v>
      </c>
    </row>
    <row r="796" spans="1:6" ht="45" x14ac:dyDescent="0.25">
      <c r="A796" s="436" t="s">
        <v>1922</v>
      </c>
      <c r="B796" s="436" t="s">
        <v>1820</v>
      </c>
      <c r="C796" s="436" t="s">
        <v>1839</v>
      </c>
      <c r="D796" s="436" t="s">
        <v>1820</v>
      </c>
      <c r="E796" s="436" t="s">
        <v>1840</v>
      </c>
      <c r="F796" s="436" t="s">
        <v>1836</v>
      </c>
    </row>
    <row r="797" spans="1:6" ht="30" x14ac:dyDescent="0.25">
      <c r="A797" s="436" t="s">
        <v>1927</v>
      </c>
      <c r="B797" s="436" t="s">
        <v>1820</v>
      </c>
      <c r="C797" s="436" t="s">
        <v>1924</v>
      </c>
      <c r="D797" s="436" t="s">
        <v>1820</v>
      </c>
      <c r="E797" s="436" t="s">
        <v>1925</v>
      </c>
      <c r="F797" s="436" t="s">
        <v>1926</v>
      </c>
    </row>
    <row r="798" spans="1:6" ht="30" x14ac:dyDescent="0.25">
      <c r="A798" s="436" t="s">
        <v>1927</v>
      </c>
      <c r="B798" s="436" t="s">
        <v>1820</v>
      </c>
      <c r="C798" s="436" t="s">
        <v>2780</v>
      </c>
      <c r="D798" s="436" t="s">
        <v>1820</v>
      </c>
    </row>
    <row r="799" spans="1:6" ht="60" x14ac:dyDescent="0.25">
      <c r="A799" s="436" t="s">
        <v>1928</v>
      </c>
      <c r="B799" s="436" t="s">
        <v>1820</v>
      </c>
      <c r="C799" s="436" t="s">
        <v>1929</v>
      </c>
      <c r="D799" s="436" t="s">
        <v>1820</v>
      </c>
      <c r="E799" s="436" t="s">
        <v>1930</v>
      </c>
      <c r="F799" s="436" t="s">
        <v>1926</v>
      </c>
    </row>
    <row r="800" spans="1:6" ht="30" x14ac:dyDescent="0.25">
      <c r="A800" s="436" t="s">
        <v>1931</v>
      </c>
      <c r="B800" s="436" t="s">
        <v>1820</v>
      </c>
      <c r="C800" s="436" t="s">
        <v>1932</v>
      </c>
      <c r="D800" s="436" t="s">
        <v>1820</v>
      </c>
      <c r="E800" s="436" t="s">
        <v>1933</v>
      </c>
      <c r="F800" s="436" t="s">
        <v>1926</v>
      </c>
    </row>
    <row r="801" spans="1:6" ht="30" x14ac:dyDescent="0.25">
      <c r="A801" s="436" t="s">
        <v>1943</v>
      </c>
      <c r="B801" s="436" t="s">
        <v>1820</v>
      </c>
      <c r="C801" s="436" t="s">
        <v>1939</v>
      </c>
      <c r="D801" s="436" t="s">
        <v>1820</v>
      </c>
      <c r="E801" s="436" t="s">
        <v>1940</v>
      </c>
      <c r="F801" s="436" t="s">
        <v>1826</v>
      </c>
    </row>
    <row r="802" spans="1:6" ht="30" x14ac:dyDescent="0.25">
      <c r="C802" s="436" t="s">
        <v>1939</v>
      </c>
      <c r="D802" s="436" t="s">
        <v>1820</v>
      </c>
      <c r="E802" s="436" t="s">
        <v>1827</v>
      </c>
      <c r="F802" s="436" t="s">
        <v>1826</v>
      </c>
    </row>
    <row r="803" spans="1:6" ht="30" x14ac:dyDescent="0.25">
      <c r="A803" s="436" t="s">
        <v>1943</v>
      </c>
      <c r="B803" s="436" t="s">
        <v>1820</v>
      </c>
      <c r="C803" s="436" t="s">
        <v>1941</v>
      </c>
      <c r="D803" s="436" t="s">
        <v>1820</v>
      </c>
      <c r="E803" s="436" t="s">
        <v>1942</v>
      </c>
      <c r="F803" s="436" t="s">
        <v>1826</v>
      </c>
    </row>
    <row r="804" spans="1:6" ht="30" x14ac:dyDescent="0.25">
      <c r="C804" s="436" t="s">
        <v>1941</v>
      </c>
      <c r="D804" s="436" t="s">
        <v>1820</v>
      </c>
      <c r="E804" s="436" t="s">
        <v>1827</v>
      </c>
      <c r="F804" s="436" t="s">
        <v>1826</v>
      </c>
    </row>
    <row r="805" spans="1:6" x14ac:dyDescent="0.25">
      <c r="A805" s="436" t="s">
        <v>1944</v>
      </c>
      <c r="B805" s="436" t="s">
        <v>1820</v>
      </c>
      <c r="C805" s="436" t="s">
        <v>1945</v>
      </c>
      <c r="D805" s="436" t="s">
        <v>1946</v>
      </c>
      <c r="E805" s="436" t="s">
        <v>1947</v>
      </c>
      <c r="F805" s="436" t="s">
        <v>1948</v>
      </c>
    </row>
    <row r="806" spans="1:6" ht="30" x14ac:dyDescent="0.25">
      <c r="A806" s="436" t="s">
        <v>1944</v>
      </c>
      <c r="B806" s="436" t="s">
        <v>1820</v>
      </c>
      <c r="C806" s="436" t="s">
        <v>1853</v>
      </c>
      <c r="D806" s="436" t="s">
        <v>1820</v>
      </c>
      <c r="E806" s="436" t="s">
        <v>1854</v>
      </c>
      <c r="F806" s="436" t="s">
        <v>1849</v>
      </c>
    </row>
    <row r="807" spans="1:6" ht="30" x14ac:dyDescent="0.25">
      <c r="C807" s="436" t="s">
        <v>1853</v>
      </c>
      <c r="D807" s="436" t="s">
        <v>1820</v>
      </c>
      <c r="E807" s="436" t="s">
        <v>1827</v>
      </c>
      <c r="F807" s="436" t="s">
        <v>2781</v>
      </c>
    </row>
    <row r="808" spans="1:6" x14ac:dyDescent="0.25">
      <c r="A808" s="436" t="s">
        <v>1958</v>
      </c>
      <c r="B808" s="436" t="s">
        <v>1954</v>
      </c>
      <c r="C808" s="436" t="s">
        <v>1955</v>
      </c>
      <c r="D808" s="436" t="s">
        <v>1954</v>
      </c>
      <c r="E808" s="436" t="s">
        <v>1956</v>
      </c>
      <c r="F808" s="436" t="s">
        <v>1957</v>
      </c>
    </row>
    <row r="809" spans="1:6" ht="30" x14ac:dyDescent="0.25">
      <c r="A809" s="436" t="s">
        <v>2782</v>
      </c>
      <c r="B809" s="436" t="s">
        <v>1954</v>
      </c>
      <c r="C809" s="436" t="s">
        <v>1961</v>
      </c>
      <c r="D809" s="436" t="s">
        <v>2783</v>
      </c>
      <c r="E809" s="436" t="s">
        <v>1962</v>
      </c>
      <c r="F809" s="436" t="s">
        <v>1957</v>
      </c>
    </row>
    <row r="810" spans="1:6" x14ac:dyDescent="0.25">
      <c r="A810" s="436" t="s">
        <v>1966</v>
      </c>
      <c r="B810" s="436" t="s">
        <v>1954</v>
      </c>
      <c r="C810" s="436" t="s">
        <v>1964</v>
      </c>
      <c r="D810" s="436" t="s">
        <v>1954</v>
      </c>
      <c r="E810" s="436" t="s">
        <v>1965</v>
      </c>
      <c r="F810" s="436" t="s">
        <v>1957</v>
      </c>
    </row>
    <row r="811" spans="1:6" ht="30" x14ac:dyDescent="0.25">
      <c r="A811" s="436" t="s">
        <v>1977</v>
      </c>
      <c r="B811" s="436" t="s">
        <v>1971</v>
      </c>
      <c r="C811" s="436" t="s">
        <v>1972</v>
      </c>
      <c r="D811" s="436" t="s">
        <v>1971</v>
      </c>
      <c r="E811" s="436" t="s">
        <v>1973</v>
      </c>
      <c r="F811" s="436" t="s">
        <v>1974</v>
      </c>
    </row>
    <row r="812" spans="1:6" ht="45" x14ac:dyDescent="0.25">
      <c r="A812" s="436" t="s">
        <v>1977</v>
      </c>
      <c r="B812" s="436" t="s">
        <v>1971</v>
      </c>
      <c r="C812" s="436" t="s">
        <v>1975</v>
      </c>
      <c r="D812" s="436" t="s">
        <v>1971</v>
      </c>
      <c r="E812" s="436" t="s">
        <v>1978</v>
      </c>
      <c r="F812" s="436" t="s">
        <v>1974</v>
      </c>
    </row>
    <row r="813" spans="1:6" ht="30" x14ac:dyDescent="0.25">
      <c r="A813" s="436" t="s">
        <v>1979</v>
      </c>
      <c r="B813" s="436" t="s">
        <v>1971</v>
      </c>
      <c r="C813" s="436" t="s">
        <v>1972</v>
      </c>
      <c r="D813" s="436" t="s">
        <v>1971</v>
      </c>
      <c r="E813" s="436" t="s">
        <v>1973</v>
      </c>
      <c r="F813" s="436" t="s">
        <v>1974</v>
      </c>
    </row>
    <row r="814" spans="1:6" ht="45" x14ac:dyDescent="0.25">
      <c r="A814" s="436" t="s">
        <v>1979</v>
      </c>
      <c r="B814" s="436" t="s">
        <v>1971</v>
      </c>
      <c r="C814" s="436" t="s">
        <v>1975</v>
      </c>
      <c r="D814" s="436" t="s">
        <v>1971</v>
      </c>
      <c r="E814" s="436" t="s">
        <v>1978</v>
      </c>
      <c r="F814" s="436" t="s">
        <v>1974</v>
      </c>
    </row>
    <row r="815" spans="1:6" ht="30" x14ac:dyDescent="0.25">
      <c r="A815" s="436" t="s">
        <v>1981</v>
      </c>
      <c r="B815" s="436" t="s">
        <v>1971</v>
      </c>
      <c r="C815" s="436" t="s">
        <v>1972</v>
      </c>
      <c r="D815" s="436" t="s">
        <v>1971</v>
      </c>
      <c r="E815" s="436" t="s">
        <v>1973</v>
      </c>
      <c r="F815" s="436" t="s">
        <v>1974</v>
      </c>
    </row>
    <row r="816" spans="1:6" ht="45" x14ac:dyDescent="0.25">
      <c r="A816" s="436" t="s">
        <v>1981</v>
      </c>
      <c r="B816" s="436" t="s">
        <v>1971</v>
      </c>
      <c r="C816" s="436" t="s">
        <v>1975</v>
      </c>
      <c r="D816" s="436" t="s">
        <v>1971</v>
      </c>
      <c r="E816" s="436" t="s">
        <v>1978</v>
      </c>
      <c r="F816" s="436" t="s">
        <v>1974</v>
      </c>
    </row>
    <row r="817" spans="1:6" ht="30" x14ac:dyDescent="0.25">
      <c r="A817" s="436" t="s">
        <v>1982</v>
      </c>
      <c r="B817" s="436" t="s">
        <v>1971</v>
      </c>
      <c r="C817" s="436" t="s">
        <v>1972</v>
      </c>
      <c r="D817" s="436" t="s">
        <v>1971</v>
      </c>
      <c r="E817" s="436" t="s">
        <v>1973</v>
      </c>
      <c r="F817" s="436" t="s">
        <v>1974</v>
      </c>
    </row>
    <row r="818" spans="1:6" ht="45" x14ac:dyDescent="0.25">
      <c r="A818" s="436" t="s">
        <v>1982</v>
      </c>
      <c r="B818" s="436" t="s">
        <v>1971</v>
      </c>
      <c r="C818" s="436" t="s">
        <v>1975</v>
      </c>
      <c r="D818" s="436" t="s">
        <v>1971</v>
      </c>
      <c r="E818" s="436" t="s">
        <v>1978</v>
      </c>
      <c r="F818" s="436" t="s">
        <v>1974</v>
      </c>
    </row>
    <row r="819" spans="1:6" ht="30" x14ac:dyDescent="0.25">
      <c r="A819" s="436" t="s">
        <v>1984</v>
      </c>
      <c r="B819" s="436" t="s">
        <v>1971</v>
      </c>
      <c r="C819" s="436" t="s">
        <v>1972</v>
      </c>
      <c r="D819" s="436" t="s">
        <v>1971</v>
      </c>
      <c r="E819" s="436" t="s">
        <v>1973</v>
      </c>
      <c r="F819" s="436" t="s">
        <v>1974</v>
      </c>
    </row>
    <row r="820" spans="1:6" ht="45" x14ac:dyDescent="0.25">
      <c r="A820" s="436" t="s">
        <v>1984</v>
      </c>
      <c r="B820" s="436" t="s">
        <v>1971</v>
      </c>
      <c r="C820" s="436" t="s">
        <v>1975</v>
      </c>
      <c r="D820" s="436" t="s">
        <v>1971</v>
      </c>
      <c r="E820" s="436" t="s">
        <v>1978</v>
      </c>
      <c r="F820" s="436" t="s">
        <v>1974</v>
      </c>
    </row>
    <row r="821" spans="1:6" ht="30" x14ac:dyDescent="0.25">
      <c r="A821" s="436" t="s">
        <v>2784</v>
      </c>
      <c r="B821" s="436" t="s">
        <v>1971</v>
      </c>
      <c r="C821" s="436" t="s">
        <v>1972</v>
      </c>
      <c r="D821" s="436" t="s">
        <v>1971</v>
      </c>
      <c r="E821" s="436" t="s">
        <v>1973</v>
      </c>
      <c r="F821" s="436" t="s">
        <v>1974</v>
      </c>
    </row>
    <row r="822" spans="1:6" ht="45" x14ac:dyDescent="0.25">
      <c r="A822" s="436" t="s">
        <v>1985</v>
      </c>
      <c r="B822" s="436" t="s">
        <v>1971</v>
      </c>
      <c r="C822" s="436" t="s">
        <v>1975</v>
      </c>
      <c r="D822" s="436" t="s">
        <v>1971</v>
      </c>
      <c r="E822" s="436" t="s">
        <v>1978</v>
      </c>
      <c r="F822" s="436" t="s">
        <v>1974</v>
      </c>
    </row>
    <row r="823" spans="1:6" ht="30" x14ac:dyDescent="0.25">
      <c r="A823" s="436" t="s">
        <v>1988</v>
      </c>
      <c r="B823" s="436" t="s">
        <v>1971</v>
      </c>
      <c r="C823" s="436" t="s">
        <v>1972</v>
      </c>
      <c r="D823" s="436" t="s">
        <v>1971</v>
      </c>
      <c r="E823" s="436" t="s">
        <v>1973</v>
      </c>
      <c r="F823" s="436" t="s">
        <v>1974</v>
      </c>
    </row>
    <row r="824" spans="1:6" ht="45" x14ac:dyDescent="0.25">
      <c r="A824" s="436" t="s">
        <v>1988</v>
      </c>
      <c r="B824" s="436" t="s">
        <v>1971</v>
      </c>
      <c r="C824" s="436" t="s">
        <v>1975</v>
      </c>
      <c r="D824" s="436" t="s">
        <v>1971</v>
      </c>
      <c r="E824" s="436" t="s">
        <v>1978</v>
      </c>
      <c r="F824" s="436" t="s">
        <v>1974</v>
      </c>
    </row>
    <row r="825" spans="1:6" ht="30" x14ac:dyDescent="0.25">
      <c r="A825" s="436" t="s">
        <v>1990</v>
      </c>
      <c r="B825" s="436" t="s">
        <v>1971</v>
      </c>
      <c r="C825" s="436" t="s">
        <v>1972</v>
      </c>
      <c r="D825" s="436" t="s">
        <v>1971</v>
      </c>
      <c r="E825" s="436" t="s">
        <v>1973</v>
      </c>
      <c r="F825" s="436" t="s">
        <v>1974</v>
      </c>
    </row>
    <row r="826" spans="1:6" ht="45" x14ac:dyDescent="0.25">
      <c r="A826" s="436" t="s">
        <v>1990</v>
      </c>
      <c r="B826" s="436" t="s">
        <v>1971</v>
      </c>
      <c r="C826" s="436" t="s">
        <v>1975</v>
      </c>
      <c r="D826" s="436" t="s">
        <v>1971</v>
      </c>
      <c r="E826" s="436" t="s">
        <v>1978</v>
      </c>
      <c r="F826" s="436" t="s">
        <v>1974</v>
      </c>
    </row>
    <row r="827" spans="1:6" ht="30" x14ac:dyDescent="0.25">
      <c r="A827" s="436" t="s">
        <v>1991</v>
      </c>
      <c r="B827" s="436" t="s">
        <v>1971</v>
      </c>
      <c r="C827" s="436" t="s">
        <v>1972</v>
      </c>
      <c r="D827" s="436" t="s">
        <v>1971</v>
      </c>
      <c r="E827" s="436" t="s">
        <v>1973</v>
      </c>
      <c r="F827" s="436" t="s">
        <v>1974</v>
      </c>
    </row>
    <row r="828" spans="1:6" ht="45" x14ac:dyDescent="0.25">
      <c r="A828" s="436" t="s">
        <v>1991</v>
      </c>
      <c r="B828" s="436" t="s">
        <v>1971</v>
      </c>
      <c r="C828" s="436" t="s">
        <v>1975</v>
      </c>
      <c r="D828" s="436" t="s">
        <v>1971</v>
      </c>
      <c r="E828" s="436" t="s">
        <v>1978</v>
      </c>
      <c r="F828" s="436" t="s">
        <v>1974</v>
      </c>
    </row>
    <row r="829" spans="1:6" ht="30" x14ac:dyDescent="0.25">
      <c r="A829" s="436" t="s">
        <v>1992</v>
      </c>
      <c r="B829" s="436" t="s">
        <v>1971</v>
      </c>
      <c r="C829" s="436" t="s">
        <v>1972</v>
      </c>
      <c r="D829" s="436" t="s">
        <v>1971</v>
      </c>
      <c r="E829" s="436" t="s">
        <v>1973</v>
      </c>
      <c r="F829" s="436" t="s">
        <v>1974</v>
      </c>
    </row>
    <row r="830" spans="1:6" ht="45" x14ac:dyDescent="0.25">
      <c r="A830" s="436" t="s">
        <v>1992</v>
      </c>
      <c r="B830" s="436" t="s">
        <v>1971</v>
      </c>
      <c r="C830" s="436" t="s">
        <v>1975</v>
      </c>
      <c r="D830" s="436" t="s">
        <v>1971</v>
      </c>
      <c r="E830" s="436" t="s">
        <v>1978</v>
      </c>
      <c r="F830" s="436" t="s">
        <v>1974</v>
      </c>
    </row>
    <row r="831" spans="1:6" ht="30" x14ac:dyDescent="0.25">
      <c r="A831" s="436" t="s">
        <v>1994</v>
      </c>
      <c r="B831" s="436" t="s">
        <v>1971</v>
      </c>
      <c r="C831" s="436" t="s">
        <v>1972</v>
      </c>
      <c r="D831" s="436" t="s">
        <v>1971</v>
      </c>
      <c r="E831" s="436" t="s">
        <v>1973</v>
      </c>
      <c r="F831" s="436" t="s">
        <v>1974</v>
      </c>
    </row>
    <row r="832" spans="1:6" ht="45" x14ac:dyDescent="0.25">
      <c r="A832" s="436" t="s">
        <v>2785</v>
      </c>
      <c r="B832" s="436" t="s">
        <v>1971</v>
      </c>
      <c r="C832" s="436" t="s">
        <v>1975</v>
      </c>
      <c r="D832" s="436" t="s">
        <v>1971</v>
      </c>
      <c r="E832" s="436" t="s">
        <v>1978</v>
      </c>
      <c r="F832" s="436" t="s">
        <v>1974</v>
      </c>
    </row>
    <row r="833" spans="1:6" ht="30" x14ac:dyDescent="0.25">
      <c r="A833" s="436" t="s">
        <v>1995</v>
      </c>
      <c r="B833" s="436" t="s">
        <v>1971</v>
      </c>
      <c r="C833" s="436" t="s">
        <v>1972</v>
      </c>
      <c r="D833" s="436" t="s">
        <v>1971</v>
      </c>
      <c r="E833" s="436" t="s">
        <v>1973</v>
      </c>
      <c r="F833" s="436" t="s">
        <v>1974</v>
      </c>
    </row>
    <row r="834" spans="1:6" ht="45" x14ac:dyDescent="0.25">
      <c r="A834" s="436" t="s">
        <v>1995</v>
      </c>
      <c r="B834" s="436" t="s">
        <v>1971</v>
      </c>
      <c r="C834" s="436" t="s">
        <v>1975</v>
      </c>
      <c r="D834" s="436" t="s">
        <v>1971</v>
      </c>
      <c r="E834" s="436" t="s">
        <v>1978</v>
      </c>
      <c r="F834" s="436" t="s">
        <v>1974</v>
      </c>
    </row>
    <row r="835" spans="1:6" ht="30" x14ac:dyDescent="0.25">
      <c r="A835" s="436" t="s">
        <v>1997</v>
      </c>
      <c r="B835" s="436" t="s">
        <v>1971</v>
      </c>
      <c r="C835" s="436" t="s">
        <v>1972</v>
      </c>
      <c r="D835" s="436" t="s">
        <v>1971</v>
      </c>
      <c r="E835" s="436" t="s">
        <v>1973</v>
      </c>
      <c r="F835" s="436" t="s">
        <v>1974</v>
      </c>
    </row>
    <row r="836" spans="1:6" ht="45" x14ac:dyDescent="0.25">
      <c r="A836" s="436" t="s">
        <v>1997</v>
      </c>
      <c r="B836" s="436" t="s">
        <v>1971</v>
      </c>
      <c r="C836" s="436" t="s">
        <v>1975</v>
      </c>
      <c r="D836" s="436" t="s">
        <v>1971</v>
      </c>
      <c r="E836" s="436" t="s">
        <v>1978</v>
      </c>
      <c r="F836" s="436" t="s">
        <v>1974</v>
      </c>
    </row>
    <row r="837" spans="1:6" ht="30" x14ac:dyDescent="0.25">
      <c r="A837" s="436" t="s">
        <v>1999</v>
      </c>
      <c r="B837" s="436" t="s">
        <v>1971</v>
      </c>
      <c r="C837" s="436" t="s">
        <v>2000</v>
      </c>
      <c r="D837" s="436" t="s">
        <v>1971</v>
      </c>
      <c r="E837" s="436" t="s">
        <v>2001</v>
      </c>
      <c r="F837" s="436" t="s">
        <v>1974</v>
      </c>
    </row>
    <row r="838" spans="1:6" ht="30" x14ac:dyDescent="0.25">
      <c r="A838" s="436" t="s">
        <v>2002</v>
      </c>
      <c r="B838" s="436" t="s">
        <v>1971</v>
      </c>
      <c r="C838" s="436" t="s">
        <v>1972</v>
      </c>
      <c r="D838" s="436" t="s">
        <v>1971</v>
      </c>
      <c r="E838" s="436" t="s">
        <v>1973</v>
      </c>
      <c r="F838" s="436" t="s">
        <v>1974</v>
      </c>
    </row>
    <row r="839" spans="1:6" ht="45" x14ac:dyDescent="0.25">
      <c r="A839" s="436" t="s">
        <v>2002</v>
      </c>
      <c r="B839" s="436" t="s">
        <v>1971</v>
      </c>
      <c r="C839" s="436" t="s">
        <v>1975</v>
      </c>
      <c r="D839" s="436" t="s">
        <v>1971</v>
      </c>
      <c r="E839" s="436" t="s">
        <v>1978</v>
      </c>
      <c r="F839" s="436" t="s">
        <v>1974</v>
      </c>
    </row>
    <row r="840" spans="1:6" ht="30" x14ac:dyDescent="0.25">
      <c r="A840" s="436" t="s">
        <v>2005</v>
      </c>
      <c r="B840" s="436" t="s">
        <v>1971</v>
      </c>
      <c r="C840" s="436" t="s">
        <v>1972</v>
      </c>
      <c r="D840" s="436" t="s">
        <v>1971</v>
      </c>
      <c r="E840" s="436" t="s">
        <v>1973</v>
      </c>
      <c r="F840" s="436" t="s">
        <v>1974</v>
      </c>
    </row>
    <row r="841" spans="1:6" ht="45" x14ac:dyDescent="0.25">
      <c r="A841" s="436" t="s">
        <v>2005</v>
      </c>
      <c r="B841" s="436" t="s">
        <v>1971</v>
      </c>
      <c r="C841" s="436" t="s">
        <v>1975</v>
      </c>
      <c r="D841" s="436" t="s">
        <v>1971</v>
      </c>
      <c r="E841" s="436" t="s">
        <v>2786</v>
      </c>
      <c r="F841" s="436" t="s">
        <v>1974</v>
      </c>
    </row>
    <row r="842" spans="1:6" ht="30" x14ac:dyDescent="0.25">
      <c r="A842" s="436" t="s">
        <v>2006</v>
      </c>
      <c r="B842" s="436" t="s">
        <v>1971</v>
      </c>
      <c r="C842" s="436" t="s">
        <v>1972</v>
      </c>
      <c r="D842" s="436" t="s">
        <v>1971</v>
      </c>
      <c r="E842" s="436" t="s">
        <v>1973</v>
      </c>
      <c r="F842" s="436" t="s">
        <v>1974</v>
      </c>
    </row>
    <row r="843" spans="1:6" ht="45" x14ac:dyDescent="0.25">
      <c r="A843" s="436" t="s">
        <v>2006</v>
      </c>
      <c r="B843" s="436" t="s">
        <v>1971</v>
      </c>
      <c r="C843" s="436" t="s">
        <v>1975</v>
      </c>
      <c r="D843" s="436" t="s">
        <v>1971</v>
      </c>
      <c r="E843" s="436" t="s">
        <v>1978</v>
      </c>
      <c r="F843" s="436" t="s">
        <v>1974</v>
      </c>
    </row>
    <row r="844" spans="1:6" ht="30" x14ac:dyDescent="0.25">
      <c r="A844" s="436" t="s">
        <v>2012</v>
      </c>
      <c r="B844" s="436" t="s">
        <v>1971</v>
      </c>
      <c r="C844" s="436" t="s">
        <v>1972</v>
      </c>
      <c r="D844" s="436" t="s">
        <v>1971</v>
      </c>
      <c r="E844" s="436" t="s">
        <v>1973</v>
      </c>
      <c r="F844" s="436" t="s">
        <v>1974</v>
      </c>
    </row>
    <row r="845" spans="1:6" ht="45" x14ac:dyDescent="0.25">
      <c r="A845" s="436" t="s">
        <v>2012</v>
      </c>
      <c r="B845" s="436" t="s">
        <v>1971</v>
      </c>
      <c r="C845" s="436" t="s">
        <v>1975</v>
      </c>
      <c r="D845" s="436" t="s">
        <v>1971</v>
      </c>
      <c r="E845" s="436" t="s">
        <v>1978</v>
      </c>
      <c r="F845" s="436" t="s">
        <v>1974</v>
      </c>
    </row>
    <row r="846" spans="1:6" ht="30" x14ac:dyDescent="0.25">
      <c r="A846" s="436" t="s">
        <v>2012</v>
      </c>
      <c r="B846" s="436" t="s">
        <v>1971</v>
      </c>
      <c r="C846" s="436" t="s">
        <v>2787</v>
      </c>
      <c r="D846" s="436" t="s">
        <v>1971</v>
      </c>
      <c r="E846" s="436" t="s">
        <v>2788</v>
      </c>
      <c r="F846" s="436" t="s">
        <v>1974</v>
      </c>
    </row>
    <row r="847" spans="1:6" ht="30" x14ac:dyDescent="0.25">
      <c r="A847" s="436" t="s">
        <v>2014</v>
      </c>
      <c r="B847" s="436" t="s">
        <v>1971</v>
      </c>
      <c r="C847" s="436" t="s">
        <v>1972</v>
      </c>
      <c r="D847" s="436" t="s">
        <v>1971</v>
      </c>
      <c r="E847" s="436" t="s">
        <v>1973</v>
      </c>
      <c r="F847" s="436" t="s">
        <v>1974</v>
      </c>
    </row>
    <row r="848" spans="1:6" ht="45" x14ac:dyDescent="0.25">
      <c r="A848" s="436" t="s">
        <v>2014</v>
      </c>
      <c r="B848" s="436" t="s">
        <v>1971</v>
      </c>
      <c r="C848" s="436" t="s">
        <v>1975</v>
      </c>
      <c r="D848" s="436" t="s">
        <v>1971</v>
      </c>
      <c r="E848" s="436" t="s">
        <v>1978</v>
      </c>
      <c r="F848" s="436" t="s">
        <v>1974</v>
      </c>
    </row>
    <row r="849" spans="1:6" ht="30" x14ac:dyDescent="0.25">
      <c r="A849" s="436" t="s">
        <v>2014</v>
      </c>
      <c r="B849" s="436" t="s">
        <v>1971</v>
      </c>
      <c r="C849" s="436" t="s">
        <v>2008</v>
      </c>
      <c r="D849" s="436" t="s">
        <v>1971</v>
      </c>
      <c r="E849" s="436" t="s">
        <v>2009</v>
      </c>
      <c r="F849" s="436" t="s">
        <v>1974</v>
      </c>
    </row>
    <row r="850" spans="1:6" ht="30" x14ac:dyDescent="0.25">
      <c r="A850" s="436" t="s">
        <v>2015</v>
      </c>
      <c r="B850" s="436" t="s">
        <v>1971</v>
      </c>
      <c r="C850" s="436" t="s">
        <v>2008</v>
      </c>
      <c r="D850" s="436" t="s">
        <v>1971</v>
      </c>
      <c r="E850" s="436" t="s">
        <v>2009</v>
      </c>
      <c r="F850" s="436" t="s">
        <v>2789</v>
      </c>
    </row>
    <row r="851" spans="1:6" ht="30" x14ac:dyDescent="0.25">
      <c r="A851" s="436" t="s">
        <v>2015</v>
      </c>
      <c r="B851" s="436" t="s">
        <v>1971</v>
      </c>
      <c r="C851" s="436" t="s">
        <v>2787</v>
      </c>
      <c r="D851" s="436" t="s">
        <v>1971</v>
      </c>
      <c r="E851" s="436" t="s">
        <v>2788</v>
      </c>
      <c r="F851" s="436" t="s">
        <v>1974</v>
      </c>
    </row>
    <row r="852" spans="1:6" ht="30" x14ac:dyDescent="0.25">
      <c r="A852" s="436" t="s">
        <v>2017</v>
      </c>
      <c r="B852" s="436" t="s">
        <v>1971</v>
      </c>
      <c r="C852" s="436" t="s">
        <v>1972</v>
      </c>
      <c r="D852" s="436" t="s">
        <v>1971</v>
      </c>
      <c r="E852" s="436" t="s">
        <v>1973</v>
      </c>
      <c r="F852" s="436" t="s">
        <v>1974</v>
      </c>
    </row>
    <row r="853" spans="1:6" ht="45" x14ac:dyDescent="0.25">
      <c r="A853" s="436" t="s">
        <v>2017</v>
      </c>
      <c r="B853" s="436" t="s">
        <v>1971</v>
      </c>
      <c r="C853" s="436" t="s">
        <v>1975</v>
      </c>
      <c r="D853" s="436" t="s">
        <v>1971</v>
      </c>
      <c r="E853" s="436" t="s">
        <v>1978</v>
      </c>
      <c r="F853" s="436" t="s">
        <v>1974</v>
      </c>
    </row>
    <row r="854" spans="1:6" ht="30" x14ac:dyDescent="0.25">
      <c r="A854" s="436" t="s">
        <v>2017</v>
      </c>
      <c r="B854" s="436" t="s">
        <v>1971</v>
      </c>
      <c r="C854" s="436" t="s">
        <v>2008</v>
      </c>
      <c r="D854" s="436" t="s">
        <v>1971</v>
      </c>
      <c r="E854" s="436" t="s">
        <v>2009</v>
      </c>
      <c r="F854" s="436" t="s">
        <v>1974</v>
      </c>
    </row>
    <row r="855" spans="1:6" ht="30" x14ac:dyDescent="0.25">
      <c r="A855" s="436" t="s">
        <v>2018</v>
      </c>
      <c r="B855" s="436" t="s">
        <v>1971</v>
      </c>
      <c r="C855" s="436" t="s">
        <v>1972</v>
      </c>
      <c r="D855" s="436" t="s">
        <v>1971</v>
      </c>
      <c r="E855" s="436" t="s">
        <v>1973</v>
      </c>
      <c r="F855" s="436" t="s">
        <v>1974</v>
      </c>
    </row>
    <row r="856" spans="1:6" ht="45" x14ac:dyDescent="0.25">
      <c r="A856" s="436" t="s">
        <v>2018</v>
      </c>
      <c r="B856" s="436" t="s">
        <v>1971</v>
      </c>
      <c r="C856" s="436" t="s">
        <v>1975</v>
      </c>
      <c r="D856" s="436" t="s">
        <v>1971</v>
      </c>
      <c r="E856" s="436" t="s">
        <v>1978</v>
      </c>
      <c r="F856" s="436" t="s">
        <v>1974</v>
      </c>
    </row>
    <row r="857" spans="1:6" ht="30" x14ac:dyDescent="0.25">
      <c r="A857" s="436" t="s">
        <v>2018</v>
      </c>
      <c r="B857" s="436" t="s">
        <v>1971</v>
      </c>
      <c r="C857" s="436" t="s">
        <v>2008</v>
      </c>
      <c r="D857" s="436" t="s">
        <v>1971</v>
      </c>
      <c r="E857" s="436" t="s">
        <v>2009</v>
      </c>
      <c r="F857" s="436" t="s">
        <v>1974</v>
      </c>
    </row>
    <row r="858" spans="1:6" ht="30" x14ac:dyDescent="0.25">
      <c r="A858" s="436" t="s">
        <v>2019</v>
      </c>
      <c r="B858" s="436" t="s">
        <v>1971</v>
      </c>
      <c r="C858" s="436" t="s">
        <v>2008</v>
      </c>
      <c r="D858" s="436" t="s">
        <v>1971</v>
      </c>
      <c r="E858" s="436" t="s">
        <v>2009</v>
      </c>
      <c r="F858" s="436" t="s">
        <v>1974</v>
      </c>
    </row>
    <row r="859" spans="1:6" ht="30" x14ac:dyDescent="0.25">
      <c r="A859" s="436" t="s">
        <v>2019</v>
      </c>
      <c r="B859" s="436" t="s">
        <v>1971</v>
      </c>
      <c r="C859" s="436" t="s">
        <v>2787</v>
      </c>
      <c r="D859" s="436" t="s">
        <v>1971</v>
      </c>
      <c r="E859" s="436" t="s">
        <v>2788</v>
      </c>
      <c r="F859" s="436" t="s">
        <v>1974</v>
      </c>
    </row>
    <row r="860" spans="1:6" ht="30" x14ac:dyDescent="0.25">
      <c r="A860" s="436" t="s">
        <v>2020</v>
      </c>
      <c r="B860" s="436" t="s">
        <v>1971</v>
      </c>
      <c r="C860" s="436" t="s">
        <v>2010</v>
      </c>
      <c r="D860" s="436" t="s">
        <v>1971</v>
      </c>
      <c r="E860" s="436" t="s">
        <v>2011</v>
      </c>
      <c r="F860" s="436" t="s">
        <v>1974</v>
      </c>
    </row>
    <row r="861" spans="1:6" ht="30" x14ac:dyDescent="0.25">
      <c r="A861" s="436" t="s">
        <v>2021</v>
      </c>
      <c r="B861" s="436" t="s">
        <v>1971</v>
      </c>
      <c r="C861" s="436" t="s">
        <v>2010</v>
      </c>
      <c r="D861" s="436" t="s">
        <v>1971</v>
      </c>
      <c r="E861" s="436" t="s">
        <v>2011</v>
      </c>
      <c r="F861" s="436" t="s">
        <v>1974</v>
      </c>
    </row>
    <row r="862" spans="1:6" ht="30" x14ac:dyDescent="0.25">
      <c r="A862" s="436" t="s">
        <v>2022</v>
      </c>
      <c r="B862" s="436" t="s">
        <v>1971</v>
      </c>
      <c r="C862" s="436" t="s">
        <v>2010</v>
      </c>
      <c r="D862" s="436" t="s">
        <v>1971</v>
      </c>
      <c r="E862" s="436" t="s">
        <v>2011</v>
      </c>
      <c r="F862" s="436" t="s">
        <v>1974</v>
      </c>
    </row>
    <row r="863" spans="1:6" ht="30" x14ac:dyDescent="0.25">
      <c r="A863" s="436" t="s">
        <v>2023</v>
      </c>
      <c r="B863" s="436" t="s">
        <v>1971</v>
      </c>
      <c r="C863" s="436" t="s">
        <v>2010</v>
      </c>
      <c r="D863" s="436" t="s">
        <v>1971</v>
      </c>
      <c r="E863" s="436" t="s">
        <v>2011</v>
      </c>
      <c r="F863" s="436" t="s">
        <v>1974</v>
      </c>
    </row>
    <row r="864" spans="1:6" ht="30" x14ac:dyDescent="0.25">
      <c r="A864" s="436" t="s">
        <v>2024</v>
      </c>
      <c r="B864" s="436" t="s">
        <v>1971</v>
      </c>
      <c r="C864" s="436" t="s">
        <v>2008</v>
      </c>
      <c r="D864" s="436" t="s">
        <v>1971</v>
      </c>
      <c r="E864" s="436" t="s">
        <v>2009</v>
      </c>
      <c r="F864" s="436" t="s">
        <v>1974</v>
      </c>
    </row>
    <row r="865" spans="1:6" ht="30" x14ac:dyDescent="0.25">
      <c r="A865" s="436" t="s">
        <v>2024</v>
      </c>
      <c r="B865" s="436" t="s">
        <v>1971</v>
      </c>
      <c r="C865" s="436" t="s">
        <v>2010</v>
      </c>
      <c r="D865" s="436" t="s">
        <v>1971</v>
      </c>
      <c r="E865" s="436" t="s">
        <v>2011</v>
      </c>
      <c r="F865" s="436" t="s">
        <v>1974</v>
      </c>
    </row>
    <row r="866" spans="1:6" ht="30" x14ac:dyDescent="0.25">
      <c r="A866" s="436" t="s">
        <v>2025</v>
      </c>
      <c r="B866" s="436" t="s">
        <v>1971</v>
      </c>
      <c r="C866" s="436" t="s">
        <v>2008</v>
      </c>
      <c r="D866" s="436" t="s">
        <v>1971</v>
      </c>
      <c r="E866" s="436" t="s">
        <v>2009</v>
      </c>
      <c r="F866" s="436" t="s">
        <v>1974</v>
      </c>
    </row>
    <row r="867" spans="1:6" ht="30" x14ac:dyDescent="0.25">
      <c r="A867" s="436" t="s">
        <v>2025</v>
      </c>
      <c r="B867" s="436" t="s">
        <v>1971</v>
      </c>
      <c r="C867" s="436" t="s">
        <v>2010</v>
      </c>
      <c r="D867" s="436" t="s">
        <v>1971</v>
      </c>
      <c r="E867" s="436" t="s">
        <v>2011</v>
      </c>
      <c r="F867" s="436" t="s">
        <v>1974</v>
      </c>
    </row>
    <row r="868" spans="1:6" ht="30" x14ac:dyDescent="0.25">
      <c r="A868" s="436" t="s">
        <v>2026</v>
      </c>
      <c r="B868" s="436" t="s">
        <v>1971</v>
      </c>
      <c r="C868" s="436" t="s">
        <v>1972</v>
      </c>
      <c r="D868" s="436" t="s">
        <v>1971</v>
      </c>
      <c r="E868" s="436" t="s">
        <v>1973</v>
      </c>
      <c r="F868" s="436" t="s">
        <v>1974</v>
      </c>
    </row>
    <row r="869" spans="1:6" ht="45" x14ac:dyDescent="0.25">
      <c r="A869" s="436" t="s">
        <v>2026</v>
      </c>
      <c r="B869" s="436" t="s">
        <v>1971</v>
      </c>
      <c r="C869" s="436" t="s">
        <v>1975</v>
      </c>
      <c r="D869" s="436" t="s">
        <v>1971</v>
      </c>
      <c r="E869" s="436" t="s">
        <v>1978</v>
      </c>
      <c r="F869" s="436" t="s">
        <v>1974</v>
      </c>
    </row>
    <row r="870" spans="1:6" x14ac:dyDescent="0.25">
      <c r="A870" s="436" t="s">
        <v>2790</v>
      </c>
      <c r="B870" s="436" t="s">
        <v>2028</v>
      </c>
      <c r="C870" s="436" t="s">
        <v>2790</v>
      </c>
      <c r="D870" s="436" t="s">
        <v>2028</v>
      </c>
      <c r="E870" s="436" t="s">
        <v>2791</v>
      </c>
      <c r="F870" s="436" t="s">
        <v>2792</v>
      </c>
    </row>
    <row r="871" spans="1:6" x14ac:dyDescent="0.25">
      <c r="A871" s="436" t="s">
        <v>2793</v>
      </c>
      <c r="B871" s="436" t="s">
        <v>2028</v>
      </c>
      <c r="C871" s="436" t="s">
        <v>2793</v>
      </c>
      <c r="D871" s="436" t="s">
        <v>2028</v>
      </c>
      <c r="E871" s="436" t="s">
        <v>2794</v>
      </c>
      <c r="F871" s="436" t="s">
        <v>2792</v>
      </c>
    </row>
    <row r="872" spans="1:6" ht="30" x14ac:dyDescent="0.25">
      <c r="A872" s="436" t="s">
        <v>2795</v>
      </c>
      <c r="B872" s="436" t="s">
        <v>2028</v>
      </c>
      <c r="C872" s="436" t="s">
        <v>2796</v>
      </c>
      <c r="D872" s="436" t="s">
        <v>2028</v>
      </c>
      <c r="E872" s="436" t="s">
        <v>2797</v>
      </c>
      <c r="F872" s="436" t="s">
        <v>2798</v>
      </c>
    </row>
    <row r="873" spans="1:6" x14ac:dyDescent="0.25">
      <c r="A873" s="436" t="s">
        <v>3107</v>
      </c>
      <c r="B873" s="436" t="s">
        <v>2028</v>
      </c>
      <c r="C873" s="436" t="s">
        <v>2799</v>
      </c>
      <c r="D873" s="436" t="s">
        <v>2028</v>
      </c>
      <c r="E873" s="436" t="s">
        <v>2800</v>
      </c>
      <c r="F873" s="436" t="s">
        <v>2792</v>
      </c>
    </row>
    <row r="874" spans="1:6" x14ac:dyDescent="0.25">
      <c r="A874" s="436" t="s">
        <v>2801</v>
      </c>
      <c r="B874" s="436" t="s">
        <v>2028</v>
      </c>
      <c r="C874" s="436" t="s">
        <v>2802</v>
      </c>
      <c r="D874" s="436" t="s">
        <v>2028</v>
      </c>
      <c r="E874" s="436" t="s">
        <v>2803</v>
      </c>
      <c r="F874" s="436" t="s">
        <v>2804</v>
      </c>
    </row>
    <row r="875" spans="1:6" ht="30" x14ac:dyDescent="0.25">
      <c r="A875" s="436" t="s">
        <v>2805</v>
      </c>
      <c r="B875" s="436" t="s">
        <v>2028</v>
      </c>
      <c r="C875" s="436" t="s">
        <v>2806</v>
      </c>
      <c r="D875" s="436" t="s">
        <v>2028</v>
      </c>
      <c r="E875" s="436" t="s">
        <v>2807</v>
      </c>
      <c r="F875" s="436" t="s">
        <v>2808</v>
      </c>
    </row>
    <row r="876" spans="1:6" ht="30" x14ac:dyDescent="0.25">
      <c r="A876" s="436" t="s">
        <v>2809</v>
      </c>
      <c r="B876" s="436" t="s">
        <v>2028</v>
      </c>
      <c r="C876" s="436" t="s">
        <v>2810</v>
      </c>
      <c r="D876" s="436" t="s">
        <v>2028</v>
      </c>
      <c r="E876" s="436" t="s">
        <v>2811</v>
      </c>
      <c r="F876" s="436" t="s">
        <v>2808</v>
      </c>
    </row>
    <row r="877" spans="1:6" ht="30" x14ac:dyDescent="0.25">
      <c r="A877" s="436" t="s">
        <v>2812</v>
      </c>
      <c r="B877" s="436" t="s">
        <v>2028</v>
      </c>
      <c r="C877" s="436" t="s">
        <v>2813</v>
      </c>
      <c r="D877" s="436" t="s">
        <v>2028</v>
      </c>
      <c r="E877" s="436" t="s">
        <v>2814</v>
      </c>
      <c r="F877" s="436" t="s">
        <v>2808</v>
      </c>
    </row>
    <row r="878" spans="1:6" ht="90" x14ac:dyDescent="0.25">
      <c r="A878" s="436" t="s">
        <v>2048</v>
      </c>
      <c r="B878" s="436" t="s">
        <v>1900</v>
      </c>
      <c r="C878" s="436" t="s">
        <v>2815</v>
      </c>
      <c r="D878" s="436" t="s">
        <v>1900</v>
      </c>
      <c r="E878" s="436" t="s">
        <v>2816</v>
      </c>
      <c r="F878" s="436" t="s">
        <v>2035</v>
      </c>
    </row>
    <row r="879" spans="1:6" ht="90" x14ac:dyDescent="0.25">
      <c r="A879" s="436" t="s">
        <v>2048</v>
      </c>
      <c r="B879" s="436" t="s">
        <v>1900</v>
      </c>
      <c r="C879" s="436" t="s">
        <v>2044</v>
      </c>
      <c r="D879" s="436" t="s">
        <v>1900</v>
      </c>
      <c r="E879" s="436" t="s">
        <v>2045</v>
      </c>
      <c r="F879" s="436" t="s">
        <v>2035</v>
      </c>
    </row>
    <row r="880" spans="1:6" ht="45" x14ac:dyDescent="0.25">
      <c r="A880" s="436" t="s">
        <v>2740</v>
      </c>
      <c r="B880" s="436" t="s">
        <v>1900</v>
      </c>
      <c r="C880" s="436" t="s">
        <v>2038</v>
      </c>
      <c r="D880" s="436" t="s">
        <v>1900</v>
      </c>
      <c r="E880" s="436" t="s">
        <v>2039</v>
      </c>
      <c r="F880" s="436" t="s">
        <v>2035</v>
      </c>
    </row>
    <row r="881" spans="1:6" ht="45" x14ac:dyDescent="0.25">
      <c r="A881" s="436" t="s">
        <v>2740</v>
      </c>
      <c r="B881" s="436" t="s">
        <v>1900</v>
      </c>
      <c r="C881" s="436" t="s">
        <v>2817</v>
      </c>
      <c r="D881" s="436" t="s">
        <v>1900</v>
      </c>
      <c r="E881" s="436" t="s">
        <v>2818</v>
      </c>
      <c r="F881" s="436" t="s">
        <v>2035</v>
      </c>
    </row>
    <row r="882" spans="1:6" ht="90" x14ac:dyDescent="0.25">
      <c r="A882" s="436" t="s">
        <v>2819</v>
      </c>
      <c r="B882" s="436" t="s">
        <v>1900</v>
      </c>
      <c r="C882" s="436" t="s">
        <v>2820</v>
      </c>
      <c r="D882" s="436" t="s">
        <v>1900</v>
      </c>
      <c r="E882" s="436" t="s">
        <v>2821</v>
      </c>
      <c r="F882" s="436" t="s">
        <v>2035</v>
      </c>
    </row>
    <row r="883" spans="1:6" ht="90" x14ac:dyDescent="0.25">
      <c r="A883" s="436" t="s">
        <v>2739</v>
      </c>
      <c r="B883" s="436" t="s">
        <v>1900</v>
      </c>
      <c r="C883" s="436" t="s">
        <v>2822</v>
      </c>
      <c r="D883" s="436" t="s">
        <v>1900</v>
      </c>
      <c r="E883" s="436" t="s">
        <v>2823</v>
      </c>
      <c r="F883" s="436" t="s">
        <v>2035</v>
      </c>
    </row>
    <row r="884" spans="1:6" ht="90" x14ac:dyDescent="0.25">
      <c r="A884" s="436" t="s">
        <v>2739</v>
      </c>
      <c r="B884" s="436" t="s">
        <v>1900</v>
      </c>
      <c r="C884" s="436" t="s">
        <v>2040</v>
      </c>
      <c r="D884" s="436" t="s">
        <v>1900</v>
      </c>
      <c r="E884" s="436" t="s">
        <v>2041</v>
      </c>
      <c r="F884" s="436" t="s">
        <v>2035</v>
      </c>
    </row>
    <row r="885" spans="1:6" ht="45" x14ac:dyDescent="0.25">
      <c r="A885" s="436" t="s">
        <v>2740</v>
      </c>
      <c r="B885" s="436" t="s">
        <v>1900</v>
      </c>
      <c r="C885" s="436" t="s">
        <v>2042</v>
      </c>
      <c r="D885" s="436" t="s">
        <v>1900</v>
      </c>
      <c r="E885" s="436" t="s">
        <v>2043</v>
      </c>
      <c r="F885" s="436" t="s">
        <v>2035</v>
      </c>
    </row>
    <row r="886" spans="1:6" ht="90" x14ac:dyDescent="0.25">
      <c r="A886" s="436" t="s">
        <v>2739</v>
      </c>
      <c r="B886" s="436" t="s">
        <v>1900</v>
      </c>
      <c r="C886" s="436" t="s">
        <v>2042</v>
      </c>
      <c r="D886" s="436" t="s">
        <v>1900</v>
      </c>
      <c r="E886" s="436" t="s">
        <v>2043</v>
      </c>
      <c r="F886" s="436" t="s">
        <v>2035</v>
      </c>
    </row>
    <row r="887" spans="1:6" x14ac:dyDescent="0.25">
      <c r="A887" s="436" t="s">
        <v>2824</v>
      </c>
      <c r="B887" s="436" t="s">
        <v>1900</v>
      </c>
      <c r="C887" s="436" t="s">
        <v>2825</v>
      </c>
      <c r="D887" s="436" t="s">
        <v>1900</v>
      </c>
      <c r="E887" s="436" t="s">
        <v>2826</v>
      </c>
      <c r="F887" s="436" t="s">
        <v>2035</v>
      </c>
    </row>
    <row r="888" spans="1:6" ht="60" x14ac:dyDescent="0.25">
      <c r="A888" s="436" t="s">
        <v>2741</v>
      </c>
      <c r="B888" s="436" t="s">
        <v>1900</v>
      </c>
      <c r="C888" s="436" t="s">
        <v>2033</v>
      </c>
      <c r="D888" s="436" t="s">
        <v>1900</v>
      </c>
      <c r="E888" s="436" t="s">
        <v>2034</v>
      </c>
      <c r="F888" s="436" t="s">
        <v>2035</v>
      </c>
    </row>
    <row r="889" spans="1:6" ht="30" x14ac:dyDescent="0.25">
      <c r="A889" s="436" t="s">
        <v>2827</v>
      </c>
      <c r="B889" s="436" t="s">
        <v>1900</v>
      </c>
      <c r="C889" s="436" t="s">
        <v>2828</v>
      </c>
      <c r="D889" s="436" t="s">
        <v>1900</v>
      </c>
      <c r="E889" s="436" t="s">
        <v>2829</v>
      </c>
      <c r="F889" s="436" t="s">
        <v>2035</v>
      </c>
    </row>
    <row r="890" spans="1:6" x14ac:dyDescent="0.25">
      <c r="A890" s="436" t="s">
        <v>2051</v>
      </c>
      <c r="B890" s="436" t="s">
        <v>1900</v>
      </c>
      <c r="C890" s="436" t="s">
        <v>2830</v>
      </c>
      <c r="D890" s="436" t="s">
        <v>1900</v>
      </c>
      <c r="E890" s="436" t="s">
        <v>2831</v>
      </c>
      <c r="F890" s="436" t="s">
        <v>2035</v>
      </c>
    </row>
    <row r="891" spans="1:6" ht="30" x14ac:dyDescent="0.25">
      <c r="A891" s="436" t="s">
        <v>2051</v>
      </c>
      <c r="B891" s="436" t="s">
        <v>1900</v>
      </c>
      <c r="C891" s="436" t="s">
        <v>2046</v>
      </c>
      <c r="D891" s="436" t="s">
        <v>1900</v>
      </c>
      <c r="E891" s="436" t="s">
        <v>2047</v>
      </c>
      <c r="F891" s="436" t="s">
        <v>2035</v>
      </c>
    </row>
    <row r="892" spans="1:6" ht="30" x14ac:dyDescent="0.25">
      <c r="A892" s="436" t="s">
        <v>2832</v>
      </c>
      <c r="B892" s="436" t="s">
        <v>1900</v>
      </c>
      <c r="C892" s="436" t="s">
        <v>2046</v>
      </c>
      <c r="D892" s="436" t="s">
        <v>1900</v>
      </c>
      <c r="E892" s="436" t="s">
        <v>2047</v>
      </c>
      <c r="F892" s="436" t="s">
        <v>2035</v>
      </c>
    </row>
    <row r="893" spans="1:6" ht="30" x14ac:dyDescent="0.25">
      <c r="A893" s="436" t="s">
        <v>2053</v>
      </c>
      <c r="B893" s="436" t="s">
        <v>1900</v>
      </c>
      <c r="C893" s="436" t="s">
        <v>2054</v>
      </c>
      <c r="D893" s="436" t="s">
        <v>1900</v>
      </c>
      <c r="E893" s="436" t="s">
        <v>2055</v>
      </c>
      <c r="F893" s="436" t="s">
        <v>1907</v>
      </c>
    </row>
    <row r="894" spans="1:6" ht="30" x14ac:dyDescent="0.25">
      <c r="A894" s="436" t="s">
        <v>2833</v>
      </c>
      <c r="B894" s="436" t="s">
        <v>1900</v>
      </c>
      <c r="C894" s="436" t="s">
        <v>2817</v>
      </c>
      <c r="D894" s="436" t="s">
        <v>1900</v>
      </c>
      <c r="E894" s="436" t="s">
        <v>2818</v>
      </c>
      <c r="F894" s="436" t="s">
        <v>2035</v>
      </c>
    </row>
    <row r="895" spans="1:6" ht="30" x14ac:dyDescent="0.25">
      <c r="A895" s="436" t="s">
        <v>2833</v>
      </c>
      <c r="B895" s="436" t="s">
        <v>1900</v>
      </c>
      <c r="C895" s="436" t="s">
        <v>2834</v>
      </c>
      <c r="D895" s="436" t="s">
        <v>1900</v>
      </c>
      <c r="E895" s="436" t="s">
        <v>2835</v>
      </c>
      <c r="F895" s="436" t="s">
        <v>1907</v>
      </c>
    </row>
    <row r="896" spans="1:6" ht="30" x14ac:dyDescent="0.25">
      <c r="A896" s="436" t="s">
        <v>2836</v>
      </c>
      <c r="B896" s="436" t="s">
        <v>1900</v>
      </c>
      <c r="C896" s="436" t="s">
        <v>2837</v>
      </c>
      <c r="D896" s="436" t="s">
        <v>1900</v>
      </c>
      <c r="E896" s="436" t="s">
        <v>2838</v>
      </c>
      <c r="F896" s="436" t="s">
        <v>1907</v>
      </c>
    </row>
    <row r="897" spans="1:6" ht="30" x14ac:dyDescent="0.25">
      <c r="A897" s="436" t="s">
        <v>2056</v>
      </c>
      <c r="B897" s="436" t="s">
        <v>1900</v>
      </c>
      <c r="C897" s="436" t="s">
        <v>2057</v>
      </c>
      <c r="D897" s="436" t="s">
        <v>1900</v>
      </c>
      <c r="E897" s="436" t="s">
        <v>2839</v>
      </c>
      <c r="F897" s="436" t="s">
        <v>1907</v>
      </c>
    </row>
    <row r="898" spans="1:6" ht="30" x14ac:dyDescent="0.25">
      <c r="A898" s="436" t="s">
        <v>2840</v>
      </c>
      <c r="B898" s="436" t="s">
        <v>1900</v>
      </c>
      <c r="C898" s="436" t="s">
        <v>2841</v>
      </c>
      <c r="D898" s="436" t="s">
        <v>1900</v>
      </c>
      <c r="E898" s="436" t="s">
        <v>2842</v>
      </c>
      <c r="F898" s="436" t="s">
        <v>1907</v>
      </c>
    </row>
    <row r="899" spans="1:6" ht="45" x14ac:dyDescent="0.25">
      <c r="A899" s="436" t="s">
        <v>2843</v>
      </c>
      <c r="B899" s="436" t="s">
        <v>1900</v>
      </c>
      <c r="C899" s="436" t="s">
        <v>2844</v>
      </c>
      <c r="D899" s="436" t="s">
        <v>1900</v>
      </c>
      <c r="E899" s="436" t="s">
        <v>2845</v>
      </c>
      <c r="F899" s="436" t="s">
        <v>1889</v>
      </c>
    </row>
    <row r="900" spans="1:6" ht="30" x14ac:dyDescent="0.25">
      <c r="A900" s="436" t="s">
        <v>2059</v>
      </c>
      <c r="B900" s="436" t="s">
        <v>1900</v>
      </c>
      <c r="C900" s="436" t="s">
        <v>2060</v>
      </c>
      <c r="D900" s="436" t="s">
        <v>1900</v>
      </c>
      <c r="E900" s="436" t="s">
        <v>2061</v>
      </c>
      <c r="F900" s="436" t="s">
        <v>1889</v>
      </c>
    </row>
    <row r="901" spans="1:6" ht="30" x14ac:dyDescent="0.25">
      <c r="A901" s="436" t="s">
        <v>2062</v>
      </c>
      <c r="B901" s="436" t="s">
        <v>1900</v>
      </c>
      <c r="C901" s="436" t="s">
        <v>2063</v>
      </c>
      <c r="D901" s="436" t="s">
        <v>1900</v>
      </c>
      <c r="E901" s="436" t="s">
        <v>2064</v>
      </c>
      <c r="F901" s="436" t="s">
        <v>1907</v>
      </c>
    </row>
    <row r="902" spans="1:6" x14ac:dyDescent="0.25">
      <c r="A902" s="436" t="s">
        <v>2065</v>
      </c>
      <c r="B902" s="436" t="s">
        <v>1900</v>
      </c>
      <c r="C902" s="436" t="s">
        <v>2846</v>
      </c>
      <c r="D902" s="436" t="s">
        <v>1900</v>
      </c>
      <c r="E902" s="436" t="s">
        <v>2847</v>
      </c>
      <c r="F902" s="436" t="s">
        <v>2848</v>
      </c>
    </row>
    <row r="903" spans="1:6" ht="30" x14ac:dyDescent="0.25">
      <c r="A903" s="436" t="s">
        <v>2065</v>
      </c>
      <c r="B903" s="436" t="s">
        <v>1900</v>
      </c>
      <c r="C903" s="436" t="s">
        <v>2054</v>
      </c>
      <c r="D903" s="436" t="s">
        <v>1900</v>
      </c>
      <c r="E903" s="436" t="s">
        <v>2055</v>
      </c>
      <c r="F903" s="436" t="s">
        <v>1907</v>
      </c>
    </row>
    <row r="904" spans="1:6" ht="30" x14ac:dyDescent="0.25">
      <c r="A904" s="436" t="s">
        <v>2069</v>
      </c>
      <c r="B904" s="436" t="s">
        <v>1900</v>
      </c>
      <c r="C904" s="436" t="s">
        <v>1905</v>
      </c>
      <c r="D904" s="436" t="s">
        <v>1900</v>
      </c>
      <c r="E904" s="436" t="s">
        <v>1906</v>
      </c>
      <c r="F904" s="436" t="s">
        <v>1907</v>
      </c>
    </row>
    <row r="905" spans="1:6" ht="30" x14ac:dyDescent="0.25">
      <c r="A905" s="436" t="s">
        <v>2069</v>
      </c>
      <c r="B905" s="436" t="s">
        <v>1900</v>
      </c>
      <c r="C905" s="436" t="s">
        <v>2067</v>
      </c>
      <c r="D905" s="436" t="s">
        <v>1900</v>
      </c>
      <c r="E905" s="436" t="s">
        <v>2068</v>
      </c>
      <c r="F905" s="436" t="s">
        <v>1907</v>
      </c>
    </row>
    <row r="906" spans="1:6" ht="30" x14ac:dyDescent="0.25">
      <c r="A906" s="436" t="s">
        <v>2071</v>
      </c>
      <c r="B906" s="436" t="s">
        <v>1900</v>
      </c>
      <c r="C906" s="436" t="s">
        <v>1905</v>
      </c>
      <c r="D906" s="436" t="s">
        <v>1900</v>
      </c>
      <c r="E906" s="436" t="s">
        <v>1906</v>
      </c>
      <c r="F906" s="436" t="s">
        <v>1907</v>
      </c>
    </row>
    <row r="907" spans="1:6" ht="30" x14ac:dyDescent="0.25">
      <c r="A907" s="436" t="s">
        <v>2072</v>
      </c>
      <c r="B907" s="436" t="s">
        <v>1900</v>
      </c>
      <c r="C907" s="436" t="s">
        <v>1905</v>
      </c>
      <c r="D907" s="436" t="s">
        <v>1900</v>
      </c>
      <c r="E907" s="436" t="s">
        <v>1906</v>
      </c>
      <c r="F907" s="436" t="s">
        <v>1907</v>
      </c>
    </row>
    <row r="908" spans="1:6" ht="45" x14ac:dyDescent="0.25">
      <c r="A908" s="436" t="s">
        <v>2073</v>
      </c>
      <c r="B908" s="436" t="s">
        <v>1900</v>
      </c>
      <c r="C908" s="436" t="s">
        <v>1903</v>
      </c>
      <c r="D908" s="436" t="s">
        <v>1900</v>
      </c>
      <c r="E908" s="436" t="s">
        <v>1904</v>
      </c>
      <c r="F908" s="436" t="s">
        <v>1894</v>
      </c>
    </row>
    <row r="909" spans="1:6" ht="45" x14ac:dyDescent="0.25">
      <c r="A909" s="436" t="s">
        <v>2073</v>
      </c>
      <c r="B909" s="436" t="s">
        <v>1900</v>
      </c>
      <c r="C909" s="436" t="s">
        <v>1905</v>
      </c>
      <c r="D909" s="436" t="s">
        <v>1900</v>
      </c>
      <c r="E909" s="436" t="s">
        <v>1906</v>
      </c>
      <c r="F909" s="436" t="s">
        <v>1907</v>
      </c>
    </row>
    <row r="910" spans="1:6" ht="30" x14ac:dyDescent="0.25">
      <c r="A910" s="436" t="s">
        <v>2849</v>
      </c>
      <c r="B910" s="436" t="s">
        <v>1900</v>
      </c>
      <c r="C910" s="436" t="s">
        <v>2075</v>
      </c>
      <c r="D910" s="436" t="s">
        <v>1900</v>
      </c>
      <c r="E910" s="436" t="s">
        <v>2076</v>
      </c>
      <c r="F910" s="436" t="s">
        <v>2077</v>
      </c>
    </row>
    <row r="911" spans="1:6" ht="45" x14ac:dyDescent="0.25">
      <c r="A911" s="436" t="s">
        <v>2079</v>
      </c>
      <c r="B911" s="436" t="s">
        <v>1900</v>
      </c>
      <c r="C911" s="436" t="s">
        <v>1899</v>
      </c>
      <c r="D911" s="436" t="s">
        <v>1900</v>
      </c>
      <c r="E911" s="436" t="s">
        <v>1901</v>
      </c>
      <c r="F911" s="436" t="s">
        <v>1889</v>
      </c>
    </row>
    <row r="912" spans="1:6" ht="30" x14ac:dyDescent="0.25">
      <c r="A912" s="436" t="s">
        <v>2083</v>
      </c>
      <c r="B912" s="436" t="s">
        <v>1900</v>
      </c>
      <c r="C912" s="436" t="s">
        <v>2081</v>
      </c>
      <c r="D912" s="436" t="s">
        <v>1900</v>
      </c>
      <c r="E912" s="436" t="s">
        <v>2082</v>
      </c>
      <c r="F912" s="436" t="s">
        <v>2077</v>
      </c>
    </row>
    <row r="913" spans="1:6" ht="30" x14ac:dyDescent="0.25">
      <c r="A913" s="436" t="s">
        <v>2084</v>
      </c>
      <c r="B913" s="436" t="s">
        <v>1900</v>
      </c>
      <c r="C913" s="436" t="s">
        <v>2081</v>
      </c>
      <c r="D913" s="436" t="s">
        <v>1900</v>
      </c>
      <c r="E913" s="436" t="s">
        <v>2082</v>
      </c>
      <c r="F913" s="436" t="s">
        <v>2077</v>
      </c>
    </row>
    <row r="914" spans="1:6" ht="30" x14ac:dyDescent="0.25">
      <c r="A914" s="436" t="s">
        <v>2084</v>
      </c>
      <c r="B914" s="436" t="s">
        <v>1900</v>
      </c>
      <c r="C914" s="436" t="s">
        <v>2850</v>
      </c>
      <c r="D914" s="436" t="s">
        <v>1900</v>
      </c>
      <c r="E914" s="436" t="s">
        <v>2851</v>
      </c>
      <c r="F914" s="436" t="s">
        <v>2077</v>
      </c>
    </row>
    <row r="915" spans="1:6" ht="45" x14ac:dyDescent="0.25">
      <c r="A915" s="436" t="s">
        <v>2088</v>
      </c>
      <c r="B915" s="436" t="s">
        <v>1900</v>
      </c>
      <c r="C915" s="436" t="s">
        <v>2086</v>
      </c>
      <c r="D915" s="436" t="s">
        <v>1900</v>
      </c>
      <c r="E915" s="436" t="s">
        <v>2087</v>
      </c>
      <c r="F915" s="436" t="s">
        <v>2077</v>
      </c>
    </row>
    <row r="916" spans="1:6" ht="30" x14ac:dyDescent="0.25">
      <c r="A916" s="436" t="s">
        <v>2852</v>
      </c>
      <c r="B916" s="436" t="s">
        <v>1900</v>
      </c>
      <c r="C916" s="436" t="s">
        <v>2853</v>
      </c>
      <c r="D916" s="436" t="s">
        <v>1900</v>
      </c>
      <c r="E916" s="436" t="s">
        <v>2854</v>
      </c>
      <c r="F916" s="436" t="s">
        <v>2077</v>
      </c>
    </row>
    <row r="917" spans="1:6" ht="30" x14ac:dyDescent="0.25">
      <c r="A917" s="436" t="s">
        <v>2852</v>
      </c>
      <c r="B917" s="436" t="s">
        <v>1900</v>
      </c>
      <c r="C917" s="436" t="s">
        <v>2855</v>
      </c>
      <c r="D917" s="436" t="s">
        <v>1900</v>
      </c>
      <c r="E917" s="436" t="s">
        <v>2856</v>
      </c>
      <c r="F917" s="436" t="s">
        <v>2077</v>
      </c>
    </row>
    <row r="918" spans="1:6" ht="30" x14ac:dyDescent="0.25">
      <c r="A918" s="436" t="s">
        <v>2857</v>
      </c>
      <c r="B918" s="436" t="s">
        <v>1900</v>
      </c>
      <c r="C918" s="436" t="s">
        <v>2858</v>
      </c>
      <c r="D918" s="436" t="s">
        <v>1900</v>
      </c>
      <c r="E918" s="436" t="s">
        <v>2859</v>
      </c>
      <c r="F918" s="436" t="s">
        <v>2077</v>
      </c>
    </row>
    <row r="919" spans="1:6" ht="30" x14ac:dyDescent="0.25">
      <c r="A919" s="436" t="s">
        <v>2857</v>
      </c>
      <c r="B919" s="436" t="s">
        <v>1900</v>
      </c>
      <c r="C919" s="436" t="s">
        <v>2855</v>
      </c>
      <c r="D919" s="436" t="s">
        <v>1900</v>
      </c>
      <c r="E919" s="436" t="s">
        <v>2856</v>
      </c>
      <c r="F919" s="436" t="s">
        <v>2077</v>
      </c>
    </row>
    <row r="920" spans="1:6" ht="30" x14ac:dyDescent="0.25">
      <c r="A920" s="436" t="s">
        <v>2860</v>
      </c>
      <c r="B920" s="436" t="s">
        <v>1900</v>
      </c>
      <c r="C920" s="436" t="s">
        <v>2861</v>
      </c>
      <c r="D920" s="436" t="s">
        <v>1900</v>
      </c>
      <c r="E920" s="436" t="s">
        <v>2862</v>
      </c>
      <c r="F920" s="436" t="s">
        <v>2077</v>
      </c>
    </row>
    <row r="921" spans="1:6" ht="30" x14ac:dyDescent="0.25">
      <c r="A921" s="436" t="s">
        <v>2860</v>
      </c>
      <c r="B921" s="436" t="s">
        <v>1900</v>
      </c>
      <c r="C921" s="436" t="s">
        <v>2855</v>
      </c>
      <c r="D921" s="436" t="s">
        <v>1900</v>
      </c>
      <c r="E921" s="436" t="s">
        <v>2856</v>
      </c>
      <c r="F921" s="436" t="s">
        <v>2077</v>
      </c>
    </row>
    <row r="922" spans="1:6" ht="30" x14ac:dyDescent="0.25">
      <c r="A922" s="436" t="s">
        <v>2863</v>
      </c>
      <c r="B922" s="436" t="s">
        <v>1900</v>
      </c>
      <c r="C922" s="436" t="s">
        <v>2850</v>
      </c>
      <c r="D922" s="436" t="s">
        <v>1900</v>
      </c>
      <c r="E922" s="436" t="s">
        <v>2851</v>
      </c>
      <c r="F922" s="436" t="s">
        <v>2077</v>
      </c>
    </row>
    <row r="923" spans="1:6" x14ac:dyDescent="0.25">
      <c r="A923" s="436" t="s">
        <v>2090</v>
      </c>
      <c r="B923" s="436" t="s">
        <v>1900</v>
      </c>
      <c r="C923" s="436" t="s">
        <v>2091</v>
      </c>
      <c r="D923" s="436" t="s">
        <v>2092</v>
      </c>
      <c r="E923" s="436" t="s">
        <v>2093</v>
      </c>
      <c r="F923" s="436" t="s">
        <v>2094</v>
      </c>
    </row>
    <row r="924" spans="1:6" ht="30" x14ac:dyDescent="0.25">
      <c r="A924" s="436" t="s">
        <v>2095</v>
      </c>
      <c r="B924" s="436" t="s">
        <v>1900</v>
      </c>
      <c r="C924" s="436" t="s">
        <v>1903</v>
      </c>
      <c r="D924" s="436" t="s">
        <v>1900</v>
      </c>
      <c r="E924" s="436" t="s">
        <v>1904</v>
      </c>
      <c r="F924" s="436" t="s">
        <v>1894</v>
      </c>
    </row>
    <row r="925" spans="1:6" ht="30" x14ac:dyDescent="0.25">
      <c r="A925" s="436" t="s">
        <v>2864</v>
      </c>
      <c r="B925" s="436" t="s">
        <v>1900</v>
      </c>
      <c r="C925" s="436" t="s">
        <v>2865</v>
      </c>
      <c r="D925" s="436" t="s">
        <v>1900</v>
      </c>
      <c r="E925" s="436" t="s">
        <v>2866</v>
      </c>
      <c r="F925" s="436" t="s">
        <v>1907</v>
      </c>
    </row>
    <row r="926" spans="1:6" ht="30" x14ac:dyDescent="0.25">
      <c r="A926" s="436" t="s">
        <v>2867</v>
      </c>
      <c r="B926" s="436" t="s">
        <v>1900</v>
      </c>
      <c r="C926" s="436" t="s">
        <v>2868</v>
      </c>
      <c r="D926" s="436" t="s">
        <v>1900</v>
      </c>
      <c r="E926" s="436" t="s">
        <v>2869</v>
      </c>
      <c r="F926" s="436" t="s">
        <v>2848</v>
      </c>
    </row>
    <row r="927" spans="1:6" ht="30" x14ac:dyDescent="0.25">
      <c r="A927" s="436" t="s">
        <v>2870</v>
      </c>
      <c r="B927" s="436" t="s">
        <v>1900</v>
      </c>
      <c r="C927" s="436" t="s">
        <v>2868</v>
      </c>
      <c r="D927" s="436" t="s">
        <v>1900</v>
      </c>
      <c r="E927" s="436" t="s">
        <v>2869</v>
      </c>
      <c r="F927" s="436" t="s">
        <v>2848</v>
      </c>
    </row>
    <row r="928" spans="1:6" ht="30" x14ac:dyDescent="0.25">
      <c r="A928" s="436" t="s">
        <v>2871</v>
      </c>
      <c r="B928" s="436" t="s">
        <v>1900</v>
      </c>
      <c r="C928" s="436" t="s">
        <v>2846</v>
      </c>
      <c r="D928" s="436" t="s">
        <v>1900</v>
      </c>
      <c r="E928" s="436" t="s">
        <v>2847</v>
      </c>
      <c r="F928" s="436" t="s">
        <v>2848</v>
      </c>
    </row>
    <row r="929" spans="1:6" ht="30" x14ac:dyDescent="0.25">
      <c r="A929" s="436" t="s">
        <v>2872</v>
      </c>
      <c r="B929" s="436" t="s">
        <v>1900</v>
      </c>
      <c r="C929" s="436" t="s">
        <v>2873</v>
      </c>
      <c r="D929" s="436" t="s">
        <v>1900</v>
      </c>
      <c r="E929" s="436" t="s">
        <v>2874</v>
      </c>
      <c r="F929" s="436" t="s">
        <v>2848</v>
      </c>
    </row>
    <row r="930" spans="1:6" x14ac:dyDescent="0.25">
      <c r="A930" s="436" t="s">
        <v>2875</v>
      </c>
      <c r="B930" s="436" t="s">
        <v>1900</v>
      </c>
      <c r="C930" s="436" t="s">
        <v>2876</v>
      </c>
      <c r="D930" s="436" t="s">
        <v>1900</v>
      </c>
      <c r="E930" s="436" t="s">
        <v>2877</v>
      </c>
      <c r="F930" s="436" t="s">
        <v>2848</v>
      </c>
    </row>
    <row r="931" spans="1:6" x14ac:dyDescent="0.25">
      <c r="A931" s="436" t="s">
        <v>2878</v>
      </c>
      <c r="B931" s="436" t="s">
        <v>1900</v>
      </c>
      <c r="C931" s="436" t="s">
        <v>2879</v>
      </c>
      <c r="D931" s="436" t="s">
        <v>1900</v>
      </c>
      <c r="E931" s="436" t="s">
        <v>2880</v>
      </c>
      <c r="F931" s="436" t="s">
        <v>2848</v>
      </c>
    </row>
    <row r="932" spans="1:6" ht="30" x14ac:dyDescent="0.25">
      <c r="A932" s="436" t="s">
        <v>2101</v>
      </c>
      <c r="B932" s="436" t="s">
        <v>1900</v>
      </c>
      <c r="C932" s="436" t="s">
        <v>2099</v>
      </c>
      <c r="D932" s="436" t="s">
        <v>1900</v>
      </c>
      <c r="E932" s="436" t="s">
        <v>2100</v>
      </c>
      <c r="F932" s="436" t="s">
        <v>1889</v>
      </c>
    </row>
    <row r="933" spans="1:6" ht="30" x14ac:dyDescent="0.25">
      <c r="A933" s="436" t="s">
        <v>2106</v>
      </c>
      <c r="B933" s="436" t="s">
        <v>1900</v>
      </c>
      <c r="C933" s="436" t="s">
        <v>2104</v>
      </c>
      <c r="D933" s="436" t="s">
        <v>1900</v>
      </c>
      <c r="E933" s="436" t="s">
        <v>2105</v>
      </c>
      <c r="F933" s="436" t="s">
        <v>1889</v>
      </c>
    </row>
    <row r="934" spans="1:6" ht="30" x14ac:dyDescent="0.25">
      <c r="A934" s="436" t="s">
        <v>2106</v>
      </c>
      <c r="B934" s="436" t="s">
        <v>1900</v>
      </c>
      <c r="C934" s="436" t="s">
        <v>2042</v>
      </c>
      <c r="D934" s="436" t="s">
        <v>1900</v>
      </c>
      <c r="E934" s="436" t="s">
        <v>2043</v>
      </c>
      <c r="F934" s="436" t="s">
        <v>2035</v>
      </c>
    </row>
    <row r="935" spans="1:6" ht="30" x14ac:dyDescent="0.25">
      <c r="A935" s="436" t="s">
        <v>2106</v>
      </c>
      <c r="B935" s="436" t="s">
        <v>1900</v>
      </c>
      <c r="C935" s="436" t="s">
        <v>2067</v>
      </c>
      <c r="D935" s="436" t="s">
        <v>1900</v>
      </c>
      <c r="E935" s="436" t="s">
        <v>2068</v>
      </c>
      <c r="F935" s="436" t="s">
        <v>1907</v>
      </c>
    </row>
    <row r="936" spans="1:6" ht="30" x14ac:dyDescent="0.25">
      <c r="A936" s="436" t="s">
        <v>2106</v>
      </c>
      <c r="B936" s="436" t="s">
        <v>1900</v>
      </c>
      <c r="C936" s="436" t="s">
        <v>1905</v>
      </c>
      <c r="D936" s="436" t="s">
        <v>1900</v>
      </c>
      <c r="E936" s="436" t="s">
        <v>1906</v>
      </c>
      <c r="F936" s="436" t="s">
        <v>1907</v>
      </c>
    </row>
    <row r="937" spans="1:6" ht="30" x14ac:dyDescent="0.25">
      <c r="A937" s="436" t="s">
        <v>2111</v>
      </c>
      <c r="B937" s="436" t="s">
        <v>1900</v>
      </c>
      <c r="C937" s="436" t="s">
        <v>2109</v>
      </c>
      <c r="D937" s="436" t="s">
        <v>1900</v>
      </c>
      <c r="E937" s="436" t="s">
        <v>2110</v>
      </c>
      <c r="F937" s="436" t="s">
        <v>1889</v>
      </c>
    </row>
    <row r="938" spans="1:6" ht="30" x14ac:dyDescent="0.25">
      <c r="A938" s="436" t="s">
        <v>2112</v>
      </c>
      <c r="B938" s="436" t="s">
        <v>1900</v>
      </c>
      <c r="C938" s="436" t="s">
        <v>2113</v>
      </c>
      <c r="D938" s="436" t="s">
        <v>1900</v>
      </c>
      <c r="E938" s="436" t="s">
        <v>2114</v>
      </c>
      <c r="F938" s="436" t="s">
        <v>2077</v>
      </c>
    </row>
    <row r="939" spans="1:6" ht="30" x14ac:dyDescent="0.25">
      <c r="A939" s="436" t="s">
        <v>2116</v>
      </c>
      <c r="B939" s="436" t="s">
        <v>1900</v>
      </c>
      <c r="C939" s="436" t="s">
        <v>2113</v>
      </c>
      <c r="D939" s="436" t="s">
        <v>1900</v>
      </c>
      <c r="E939" s="436" t="s">
        <v>2881</v>
      </c>
      <c r="F939" s="436" t="s">
        <v>2077</v>
      </c>
    </row>
    <row r="940" spans="1:6" ht="30" x14ac:dyDescent="0.25">
      <c r="A940" s="436" t="s">
        <v>2117</v>
      </c>
      <c r="B940" s="436" t="s">
        <v>1900</v>
      </c>
      <c r="C940" s="436" t="s">
        <v>2113</v>
      </c>
      <c r="D940" s="436" t="s">
        <v>1900</v>
      </c>
      <c r="E940" s="436" t="s">
        <v>2114</v>
      </c>
      <c r="F940" s="436" t="s">
        <v>2077</v>
      </c>
    </row>
    <row r="941" spans="1:6" ht="30" x14ac:dyDescent="0.25">
      <c r="A941" s="436" t="s">
        <v>2118</v>
      </c>
      <c r="B941" s="436" t="s">
        <v>1900</v>
      </c>
      <c r="C941" s="436" t="s">
        <v>2113</v>
      </c>
      <c r="D941" s="436" t="s">
        <v>1900</v>
      </c>
      <c r="E941" s="436" t="s">
        <v>2114</v>
      </c>
      <c r="F941" s="436" t="s">
        <v>2077</v>
      </c>
    </row>
    <row r="942" spans="1:6" ht="30" x14ac:dyDescent="0.25">
      <c r="A942" s="436" t="s">
        <v>2122</v>
      </c>
      <c r="B942" s="436" t="s">
        <v>2120</v>
      </c>
      <c r="C942" s="436" t="s">
        <v>2119</v>
      </c>
      <c r="D942" s="436" t="s">
        <v>2120</v>
      </c>
      <c r="E942" s="436" t="s">
        <v>2121</v>
      </c>
      <c r="F942" s="436" t="s">
        <v>1948</v>
      </c>
    </row>
    <row r="943" spans="1:6" x14ac:dyDescent="0.25">
      <c r="A943" s="436" t="s">
        <v>2123</v>
      </c>
      <c r="B943" s="436" t="s">
        <v>2120</v>
      </c>
      <c r="C943" s="436" t="s">
        <v>2119</v>
      </c>
      <c r="D943" s="436" t="s">
        <v>2120</v>
      </c>
      <c r="E943" s="436" t="s">
        <v>2121</v>
      </c>
      <c r="F943" s="436" t="s">
        <v>1948</v>
      </c>
    </row>
    <row r="944" spans="1:6" ht="30" x14ac:dyDescent="0.25">
      <c r="A944" s="436" t="s">
        <v>2125</v>
      </c>
      <c r="B944" s="436" t="s">
        <v>2120</v>
      </c>
      <c r="C944" s="436" t="s">
        <v>2119</v>
      </c>
      <c r="D944" s="436" t="s">
        <v>2120</v>
      </c>
      <c r="E944" s="436" t="s">
        <v>2121</v>
      </c>
      <c r="F944" s="436" t="s">
        <v>1948</v>
      </c>
    </row>
    <row r="945" spans="1:6" ht="30" x14ac:dyDescent="0.25">
      <c r="A945" s="436" t="s">
        <v>2125</v>
      </c>
      <c r="B945" s="436" t="s">
        <v>2120</v>
      </c>
      <c r="C945" s="436" t="s">
        <v>2882</v>
      </c>
      <c r="D945" s="436" t="s">
        <v>2120</v>
      </c>
      <c r="E945" s="436" t="s">
        <v>2883</v>
      </c>
      <c r="F945" s="436" t="s">
        <v>1948</v>
      </c>
    </row>
    <row r="946" spans="1:6" x14ac:dyDescent="0.25">
      <c r="A946" s="436" t="s">
        <v>2126</v>
      </c>
      <c r="B946" s="436" t="s">
        <v>2120</v>
      </c>
      <c r="C946" s="436" t="s">
        <v>2119</v>
      </c>
      <c r="D946" s="436" t="s">
        <v>2120</v>
      </c>
      <c r="E946" s="436" t="s">
        <v>2121</v>
      </c>
      <c r="F946" s="436" t="s">
        <v>1948</v>
      </c>
    </row>
    <row r="947" spans="1:6" ht="30" x14ac:dyDescent="0.25">
      <c r="A947" s="436" t="s">
        <v>2126</v>
      </c>
      <c r="B947" s="436" t="s">
        <v>2120</v>
      </c>
      <c r="C947" s="436" t="s">
        <v>2127</v>
      </c>
      <c r="D947" s="436" t="s">
        <v>2120</v>
      </c>
      <c r="E947" s="436" t="s">
        <v>2153</v>
      </c>
      <c r="F947" s="436" t="s">
        <v>1948</v>
      </c>
    </row>
    <row r="948" spans="1:6" ht="30" x14ac:dyDescent="0.25">
      <c r="C948" s="436" t="s">
        <v>2127</v>
      </c>
      <c r="D948" s="436" t="s">
        <v>2120</v>
      </c>
      <c r="E948" s="436" t="s">
        <v>1827</v>
      </c>
      <c r="F948" s="436" t="s">
        <v>1826</v>
      </c>
    </row>
    <row r="949" spans="1:6" x14ac:dyDescent="0.25">
      <c r="A949" s="436" t="s">
        <v>2128</v>
      </c>
      <c r="B949" s="436" t="s">
        <v>2120</v>
      </c>
      <c r="C949" s="436" t="s">
        <v>2119</v>
      </c>
      <c r="D949" s="436" t="s">
        <v>2120</v>
      </c>
      <c r="E949" s="436" t="s">
        <v>2121</v>
      </c>
      <c r="F949" s="436" t="s">
        <v>1948</v>
      </c>
    </row>
    <row r="950" spans="1:6" ht="30" x14ac:dyDescent="0.25">
      <c r="A950" s="436" t="s">
        <v>2128</v>
      </c>
      <c r="B950" s="436" t="s">
        <v>2120</v>
      </c>
      <c r="C950" s="436" t="s">
        <v>2882</v>
      </c>
      <c r="D950" s="436" t="s">
        <v>2120</v>
      </c>
      <c r="E950" s="436" t="s">
        <v>2883</v>
      </c>
      <c r="F950" s="436" t="s">
        <v>1948</v>
      </c>
    </row>
    <row r="951" spans="1:6" ht="30" x14ac:dyDescent="0.25">
      <c r="A951" s="436" t="s">
        <v>2129</v>
      </c>
      <c r="B951" s="436" t="s">
        <v>2120</v>
      </c>
      <c r="C951" s="436" t="s">
        <v>2119</v>
      </c>
      <c r="D951" s="436" t="s">
        <v>2120</v>
      </c>
      <c r="E951" s="436" t="s">
        <v>2121</v>
      </c>
      <c r="F951" s="436" t="s">
        <v>1948</v>
      </c>
    </row>
    <row r="952" spans="1:6" ht="30" x14ac:dyDescent="0.25">
      <c r="A952" s="436" t="s">
        <v>2884</v>
      </c>
      <c r="B952" s="436" t="s">
        <v>2120</v>
      </c>
      <c r="C952" s="436" t="s">
        <v>2882</v>
      </c>
      <c r="D952" s="436" t="s">
        <v>2120</v>
      </c>
      <c r="E952" s="436" t="s">
        <v>2883</v>
      </c>
      <c r="F952" s="436" t="s">
        <v>1948</v>
      </c>
    </row>
    <row r="953" spans="1:6" ht="30" x14ac:dyDescent="0.25">
      <c r="A953" s="436" t="s">
        <v>2130</v>
      </c>
      <c r="B953" s="436" t="s">
        <v>2120</v>
      </c>
      <c r="C953" s="436" t="s">
        <v>2119</v>
      </c>
      <c r="D953" s="436" t="s">
        <v>2120</v>
      </c>
      <c r="E953" s="436" t="s">
        <v>2121</v>
      </c>
      <c r="F953" s="436" t="s">
        <v>1948</v>
      </c>
    </row>
    <row r="954" spans="1:6" ht="30" x14ac:dyDescent="0.25">
      <c r="A954" s="436" t="s">
        <v>2130</v>
      </c>
      <c r="B954" s="436" t="s">
        <v>2120</v>
      </c>
      <c r="C954" s="436" t="s">
        <v>2882</v>
      </c>
      <c r="D954" s="436" t="s">
        <v>2120</v>
      </c>
      <c r="E954" s="436" t="s">
        <v>2883</v>
      </c>
      <c r="F954" s="436" t="s">
        <v>1948</v>
      </c>
    </row>
    <row r="955" spans="1:6" x14ac:dyDescent="0.25">
      <c r="A955" s="436" t="s">
        <v>2131</v>
      </c>
      <c r="B955" s="436" t="s">
        <v>2120</v>
      </c>
      <c r="C955" s="436" t="s">
        <v>2132</v>
      </c>
      <c r="D955" s="436" t="s">
        <v>2120</v>
      </c>
      <c r="E955" s="436" t="s">
        <v>2133</v>
      </c>
      <c r="F955" s="436" t="s">
        <v>1948</v>
      </c>
    </row>
    <row r="956" spans="1:6" x14ac:dyDescent="0.25">
      <c r="A956" s="436" t="s">
        <v>2885</v>
      </c>
      <c r="B956" s="436" t="s">
        <v>2120</v>
      </c>
      <c r="C956" s="436" t="s">
        <v>2886</v>
      </c>
      <c r="D956" s="436" t="s">
        <v>1820</v>
      </c>
      <c r="E956" s="436" t="s">
        <v>2887</v>
      </c>
      <c r="F956" s="436" t="s">
        <v>1948</v>
      </c>
    </row>
    <row r="957" spans="1:6" ht="30" x14ac:dyDescent="0.25">
      <c r="A957" s="436" t="s">
        <v>2134</v>
      </c>
      <c r="B957" s="436" t="s">
        <v>2120</v>
      </c>
      <c r="C957" s="436" t="s">
        <v>2119</v>
      </c>
      <c r="D957" s="436" t="s">
        <v>2120</v>
      </c>
      <c r="E957" s="436" t="s">
        <v>2121</v>
      </c>
      <c r="F957" s="436" t="s">
        <v>1948</v>
      </c>
    </row>
    <row r="958" spans="1:6" ht="30" x14ac:dyDescent="0.25">
      <c r="A958" s="436" t="s">
        <v>2134</v>
      </c>
      <c r="B958" s="436" t="s">
        <v>2120</v>
      </c>
      <c r="C958" s="436" t="s">
        <v>2135</v>
      </c>
      <c r="D958" s="436" t="s">
        <v>2120</v>
      </c>
      <c r="E958" s="436" t="s">
        <v>2136</v>
      </c>
      <c r="F958" s="436" t="s">
        <v>1948</v>
      </c>
    </row>
    <row r="959" spans="1:6" ht="30" x14ac:dyDescent="0.25">
      <c r="A959" s="436" t="s">
        <v>2134</v>
      </c>
      <c r="B959" s="436" t="s">
        <v>2120</v>
      </c>
      <c r="C959" s="436" t="s">
        <v>2137</v>
      </c>
      <c r="D959" s="436" t="s">
        <v>2138</v>
      </c>
      <c r="E959" s="436" t="s">
        <v>2139</v>
      </c>
      <c r="F959" s="436" t="s">
        <v>2140</v>
      </c>
    </row>
    <row r="960" spans="1:6" ht="30" x14ac:dyDescent="0.25">
      <c r="A960" s="436" t="s">
        <v>2142</v>
      </c>
      <c r="B960" s="436" t="s">
        <v>2120</v>
      </c>
      <c r="C960" s="436" t="s">
        <v>1945</v>
      </c>
      <c r="D960" s="436" t="s">
        <v>1946</v>
      </c>
      <c r="E960" s="436" t="s">
        <v>1947</v>
      </c>
      <c r="F960" s="436" t="s">
        <v>1948</v>
      </c>
    </row>
    <row r="961" spans="1:6" ht="45" x14ac:dyDescent="0.25">
      <c r="A961" s="436" t="s">
        <v>2143</v>
      </c>
      <c r="B961" s="436" t="s">
        <v>2120</v>
      </c>
      <c r="C961" s="436" t="s">
        <v>2144</v>
      </c>
      <c r="D961" s="436" t="s">
        <v>1946</v>
      </c>
      <c r="E961" s="436" t="s">
        <v>2145</v>
      </c>
      <c r="F961" s="436" t="s">
        <v>1948</v>
      </c>
    </row>
    <row r="962" spans="1:6" ht="30" x14ac:dyDescent="0.25">
      <c r="A962" s="436" t="s">
        <v>2147</v>
      </c>
      <c r="B962" s="436" t="s">
        <v>2120</v>
      </c>
      <c r="C962" s="436" t="s">
        <v>2119</v>
      </c>
      <c r="D962" s="436" t="s">
        <v>2120</v>
      </c>
      <c r="E962" s="436" t="s">
        <v>2121</v>
      </c>
      <c r="F962" s="436" t="s">
        <v>1948</v>
      </c>
    </row>
    <row r="963" spans="1:6" ht="30" x14ac:dyDescent="0.25">
      <c r="A963" s="436" t="s">
        <v>2147</v>
      </c>
      <c r="B963" s="436" t="s">
        <v>2120</v>
      </c>
      <c r="C963" s="436" t="s">
        <v>2132</v>
      </c>
      <c r="D963" s="436" t="s">
        <v>2120</v>
      </c>
      <c r="E963" s="436" t="s">
        <v>2133</v>
      </c>
      <c r="F963" s="436" t="s">
        <v>1948</v>
      </c>
    </row>
    <row r="964" spans="1:6" ht="30" x14ac:dyDescent="0.25">
      <c r="A964" s="436" t="s">
        <v>2148</v>
      </c>
      <c r="B964" s="436" t="s">
        <v>2120</v>
      </c>
      <c r="C964" s="436" t="s">
        <v>2132</v>
      </c>
      <c r="D964" s="436" t="s">
        <v>2120</v>
      </c>
      <c r="E964" s="436" t="s">
        <v>2133</v>
      </c>
      <c r="F964" s="436" t="s">
        <v>1948</v>
      </c>
    </row>
    <row r="965" spans="1:6" ht="30" x14ac:dyDescent="0.25">
      <c r="A965" s="436" t="s">
        <v>2149</v>
      </c>
      <c r="B965" s="436" t="s">
        <v>2120</v>
      </c>
      <c r="C965" s="436" t="s">
        <v>2150</v>
      </c>
      <c r="D965" s="436" t="s">
        <v>2120</v>
      </c>
      <c r="E965" s="436" t="s">
        <v>2151</v>
      </c>
      <c r="F965" s="436" t="s">
        <v>1948</v>
      </c>
    </row>
    <row r="966" spans="1:6" ht="75" x14ac:dyDescent="0.25">
      <c r="A966" s="436" t="s">
        <v>2152</v>
      </c>
      <c r="B966" s="436" t="s">
        <v>2120</v>
      </c>
      <c r="C966" s="436" t="s">
        <v>2888</v>
      </c>
      <c r="D966" s="436" t="s">
        <v>2770</v>
      </c>
    </row>
    <row r="967" spans="1:6" ht="30" x14ac:dyDescent="0.25">
      <c r="A967" s="436" t="s">
        <v>2152</v>
      </c>
      <c r="B967" s="436" t="s">
        <v>2120</v>
      </c>
      <c r="C967" s="436" t="s">
        <v>2127</v>
      </c>
      <c r="D967" s="436" t="s">
        <v>2120</v>
      </c>
      <c r="E967" s="436" t="s">
        <v>2153</v>
      </c>
      <c r="F967" s="436" t="s">
        <v>1948</v>
      </c>
    </row>
    <row r="968" spans="1:6" ht="30" x14ac:dyDescent="0.25">
      <c r="C968" s="436" t="s">
        <v>2127</v>
      </c>
      <c r="D968" s="436" t="s">
        <v>2120</v>
      </c>
      <c r="E968" s="436" t="s">
        <v>1827</v>
      </c>
      <c r="F968" s="436" t="s">
        <v>1826</v>
      </c>
    </row>
    <row r="969" spans="1:6" ht="30" x14ac:dyDescent="0.25">
      <c r="A969" s="436" t="s">
        <v>2154</v>
      </c>
      <c r="B969" s="436" t="s">
        <v>2120</v>
      </c>
      <c r="C969" s="436" t="s">
        <v>2132</v>
      </c>
      <c r="D969" s="436" t="s">
        <v>2120</v>
      </c>
      <c r="E969" s="436" t="s">
        <v>2133</v>
      </c>
      <c r="F969" s="436" t="s">
        <v>1948</v>
      </c>
    </row>
    <row r="970" spans="1:6" ht="30" x14ac:dyDescent="0.25">
      <c r="A970" s="436" t="s">
        <v>2155</v>
      </c>
      <c r="B970" s="436" t="s">
        <v>2120</v>
      </c>
      <c r="C970" s="436" t="s">
        <v>2132</v>
      </c>
      <c r="D970" s="436" t="s">
        <v>2120</v>
      </c>
      <c r="E970" s="436" t="s">
        <v>2133</v>
      </c>
      <c r="F970" s="436" t="s">
        <v>1948</v>
      </c>
    </row>
    <row r="971" spans="1:6" ht="30" x14ac:dyDescent="0.25">
      <c r="A971" s="436" t="s">
        <v>2155</v>
      </c>
      <c r="B971" s="436" t="s">
        <v>2120</v>
      </c>
      <c r="C971" s="436" t="s">
        <v>2889</v>
      </c>
      <c r="D971" s="436" t="s">
        <v>2120</v>
      </c>
    </row>
    <row r="972" spans="1:6" ht="30" x14ac:dyDescent="0.25">
      <c r="A972" s="436" t="s">
        <v>2156</v>
      </c>
      <c r="B972" s="436" t="s">
        <v>2120</v>
      </c>
      <c r="C972" s="436" t="s">
        <v>2132</v>
      </c>
      <c r="D972" s="436" t="s">
        <v>2120</v>
      </c>
      <c r="E972" s="436" t="s">
        <v>2133</v>
      </c>
      <c r="F972" s="436" t="s">
        <v>1948</v>
      </c>
    </row>
    <row r="973" spans="1:6" x14ac:dyDescent="0.25">
      <c r="A973" s="436" t="s">
        <v>2158</v>
      </c>
      <c r="B973" s="436" t="s">
        <v>2120</v>
      </c>
      <c r="C973" s="436" t="s">
        <v>2119</v>
      </c>
      <c r="D973" s="436" t="s">
        <v>2120</v>
      </c>
      <c r="E973" s="436" t="s">
        <v>2121</v>
      </c>
      <c r="F973" s="436" t="s">
        <v>1948</v>
      </c>
    </row>
    <row r="974" spans="1:6" ht="30" x14ac:dyDescent="0.25">
      <c r="A974" s="436" t="s">
        <v>2161</v>
      </c>
      <c r="B974" s="436" t="s">
        <v>2120</v>
      </c>
      <c r="C974" s="436" t="s">
        <v>2137</v>
      </c>
      <c r="D974" s="436" t="s">
        <v>2138</v>
      </c>
      <c r="E974" s="436" t="s">
        <v>2139</v>
      </c>
      <c r="F974" s="436" t="s">
        <v>2140</v>
      </c>
    </row>
    <row r="975" spans="1:6" x14ac:dyDescent="0.25">
      <c r="A975" s="436" t="s">
        <v>2890</v>
      </c>
      <c r="B975" s="436" t="s">
        <v>2163</v>
      </c>
      <c r="C975" s="436" t="s">
        <v>2890</v>
      </c>
      <c r="D975" s="436" t="s">
        <v>2163</v>
      </c>
    </row>
    <row r="976" spans="1:6" ht="30" x14ac:dyDescent="0.25">
      <c r="A976" s="436" t="s">
        <v>2891</v>
      </c>
      <c r="B976" s="436" t="s">
        <v>2163</v>
      </c>
      <c r="C976" s="436" t="s">
        <v>2164</v>
      </c>
      <c r="D976" s="436" t="s">
        <v>2163</v>
      </c>
      <c r="E976" s="436" t="s">
        <v>2165</v>
      </c>
      <c r="F976" s="436" t="s">
        <v>2166</v>
      </c>
    </row>
    <row r="977" spans="1:6" ht="30" x14ac:dyDescent="0.25">
      <c r="A977" s="436" t="s">
        <v>2891</v>
      </c>
      <c r="B977" s="436" t="s">
        <v>2163</v>
      </c>
      <c r="C977" s="436" t="s">
        <v>2892</v>
      </c>
      <c r="D977" s="436" t="s">
        <v>2163</v>
      </c>
      <c r="E977" s="436" t="s">
        <v>2893</v>
      </c>
      <c r="F977" s="436" t="s">
        <v>2166</v>
      </c>
    </row>
    <row r="978" spans="1:6" ht="30" x14ac:dyDescent="0.25">
      <c r="A978" s="436" t="s">
        <v>2891</v>
      </c>
      <c r="B978" s="436" t="s">
        <v>2163</v>
      </c>
      <c r="C978" s="436" t="s">
        <v>2894</v>
      </c>
      <c r="D978" s="436" t="s">
        <v>2163</v>
      </c>
      <c r="E978" s="436" t="s">
        <v>2895</v>
      </c>
      <c r="F978" s="436" t="s">
        <v>2166</v>
      </c>
    </row>
    <row r="979" spans="1:6" ht="30" x14ac:dyDescent="0.25">
      <c r="C979" s="436" t="s">
        <v>2896</v>
      </c>
      <c r="D979" s="436" t="s">
        <v>2163</v>
      </c>
      <c r="E979" s="436" t="s">
        <v>2897</v>
      </c>
      <c r="F979" s="436" t="s">
        <v>2166</v>
      </c>
    </row>
    <row r="980" spans="1:6" ht="30" x14ac:dyDescent="0.25">
      <c r="A980" s="436" t="s">
        <v>2167</v>
      </c>
      <c r="B980" s="436" t="s">
        <v>2163</v>
      </c>
      <c r="C980" s="436" t="s">
        <v>2164</v>
      </c>
      <c r="D980" s="436" t="s">
        <v>2163</v>
      </c>
      <c r="E980" s="436" t="s">
        <v>2165</v>
      </c>
      <c r="F980" s="436" t="s">
        <v>2166</v>
      </c>
    </row>
    <row r="981" spans="1:6" ht="45" x14ac:dyDescent="0.25">
      <c r="A981" s="436" t="s">
        <v>2167</v>
      </c>
      <c r="B981" s="436" t="s">
        <v>2163</v>
      </c>
      <c r="C981" s="436" t="s">
        <v>2898</v>
      </c>
      <c r="D981" s="436" t="s">
        <v>2163</v>
      </c>
      <c r="E981" s="436" t="s">
        <v>2899</v>
      </c>
      <c r="F981" s="436" t="s">
        <v>2166</v>
      </c>
    </row>
    <row r="982" spans="1:6" ht="30" x14ac:dyDescent="0.25">
      <c r="A982" s="436" t="s">
        <v>2168</v>
      </c>
      <c r="B982" s="436" t="s">
        <v>2163</v>
      </c>
      <c r="C982" s="436" t="s">
        <v>2164</v>
      </c>
      <c r="D982" s="436" t="s">
        <v>2163</v>
      </c>
      <c r="E982" s="436" t="s">
        <v>2165</v>
      </c>
      <c r="F982" s="436" t="s">
        <v>2166</v>
      </c>
    </row>
    <row r="983" spans="1:6" ht="45" x14ac:dyDescent="0.25">
      <c r="A983" s="436" t="s">
        <v>2168</v>
      </c>
      <c r="B983" s="436" t="s">
        <v>2163</v>
      </c>
      <c r="C983" s="436" t="s">
        <v>2898</v>
      </c>
      <c r="D983" s="436" t="s">
        <v>2163</v>
      </c>
      <c r="E983" s="436" t="s">
        <v>2899</v>
      </c>
      <c r="F983" s="436" t="s">
        <v>2166</v>
      </c>
    </row>
    <row r="984" spans="1:6" ht="45" x14ac:dyDescent="0.25">
      <c r="A984" s="436" t="s">
        <v>2169</v>
      </c>
      <c r="B984" s="436" t="s">
        <v>2163</v>
      </c>
      <c r="C984" s="436" t="s">
        <v>2894</v>
      </c>
      <c r="D984" s="436" t="s">
        <v>2163</v>
      </c>
      <c r="E984" s="436" t="s">
        <v>2895</v>
      </c>
      <c r="F984" s="436" t="s">
        <v>2166</v>
      </c>
    </row>
    <row r="985" spans="1:6" ht="45" x14ac:dyDescent="0.25">
      <c r="A985" s="436" t="s">
        <v>2169</v>
      </c>
      <c r="B985" s="436" t="s">
        <v>2163</v>
      </c>
      <c r="C985" s="436" t="s">
        <v>2164</v>
      </c>
      <c r="D985" s="436" t="s">
        <v>2163</v>
      </c>
      <c r="E985" s="436" t="s">
        <v>2165</v>
      </c>
      <c r="F985" s="436" t="s">
        <v>2166</v>
      </c>
    </row>
    <row r="986" spans="1:6" ht="45" x14ac:dyDescent="0.25">
      <c r="A986" s="436" t="s">
        <v>2170</v>
      </c>
      <c r="B986" s="436" t="s">
        <v>2163</v>
      </c>
      <c r="C986" s="436" t="s">
        <v>2164</v>
      </c>
      <c r="D986" s="436" t="s">
        <v>2163</v>
      </c>
      <c r="E986" s="436" t="s">
        <v>2165</v>
      </c>
      <c r="F986" s="436" t="s">
        <v>2166</v>
      </c>
    </row>
    <row r="987" spans="1:6" ht="45" x14ac:dyDescent="0.25">
      <c r="A987" s="436" t="s">
        <v>2170</v>
      </c>
      <c r="B987" s="436" t="s">
        <v>2163</v>
      </c>
      <c r="C987" s="436" t="s">
        <v>2900</v>
      </c>
      <c r="D987" s="436" t="s">
        <v>2163</v>
      </c>
      <c r="E987" s="436" t="s">
        <v>2901</v>
      </c>
      <c r="F987" s="436" t="s">
        <v>2166</v>
      </c>
    </row>
    <row r="988" spans="1:6" ht="30" x14ac:dyDescent="0.25">
      <c r="A988" s="436" t="s">
        <v>2902</v>
      </c>
      <c r="B988" s="436" t="s">
        <v>2163</v>
      </c>
      <c r="C988" s="436" t="s">
        <v>2903</v>
      </c>
      <c r="D988" s="436" t="s">
        <v>2163</v>
      </c>
    </row>
    <row r="989" spans="1:6" x14ac:dyDescent="0.25">
      <c r="A989" s="436" t="s">
        <v>2174</v>
      </c>
      <c r="B989" s="436" t="s">
        <v>1946</v>
      </c>
      <c r="C989" s="436" t="s">
        <v>2171</v>
      </c>
      <c r="D989" s="436" t="s">
        <v>1946</v>
      </c>
      <c r="E989" s="436" t="s">
        <v>2172</v>
      </c>
      <c r="F989" s="436" t="s">
        <v>2173</v>
      </c>
    </row>
    <row r="990" spans="1:6" ht="30" x14ac:dyDescent="0.25">
      <c r="A990" s="436" t="s">
        <v>2175</v>
      </c>
      <c r="B990" s="436" t="s">
        <v>1946</v>
      </c>
      <c r="C990" s="436" t="s">
        <v>2171</v>
      </c>
      <c r="D990" s="436" t="s">
        <v>1946</v>
      </c>
      <c r="E990" s="436" t="s">
        <v>2172</v>
      </c>
      <c r="F990" s="436" t="s">
        <v>2173</v>
      </c>
    </row>
    <row r="991" spans="1:6" ht="30" x14ac:dyDescent="0.25">
      <c r="A991" s="436" t="s">
        <v>2175</v>
      </c>
      <c r="B991" s="436" t="s">
        <v>1946</v>
      </c>
      <c r="C991" s="436" t="s">
        <v>2176</v>
      </c>
      <c r="D991" s="436" t="s">
        <v>1946</v>
      </c>
      <c r="E991" s="436" t="s">
        <v>2177</v>
      </c>
      <c r="F991" s="436" t="s">
        <v>2173</v>
      </c>
    </row>
    <row r="992" spans="1:6" ht="30" x14ac:dyDescent="0.25">
      <c r="A992" s="436" t="s">
        <v>2175</v>
      </c>
      <c r="B992" s="436" t="s">
        <v>1946</v>
      </c>
      <c r="C992" s="436" t="s">
        <v>2178</v>
      </c>
      <c r="D992" s="436" t="s">
        <v>1946</v>
      </c>
      <c r="E992" s="436" t="s">
        <v>2179</v>
      </c>
      <c r="F992" s="436" t="s">
        <v>2173</v>
      </c>
    </row>
    <row r="993" spans="1:6" x14ac:dyDescent="0.25">
      <c r="A993" s="436" t="s">
        <v>2180</v>
      </c>
      <c r="B993" s="436" t="s">
        <v>1946</v>
      </c>
      <c r="C993" s="436" t="s">
        <v>2171</v>
      </c>
      <c r="D993" s="436" t="s">
        <v>1946</v>
      </c>
      <c r="E993" s="436" t="s">
        <v>2172</v>
      </c>
      <c r="F993" s="436" t="s">
        <v>2173</v>
      </c>
    </row>
    <row r="994" spans="1:6" x14ac:dyDescent="0.25">
      <c r="A994" s="436" t="s">
        <v>2182</v>
      </c>
      <c r="B994" s="436" t="s">
        <v>1946</v>
      </c>
      <c r="C994" s="436" t="s">
        <v>2178</v>
      </c>
      <c r="D994" s="436" t="s">
        <v>1946</v>
      </c>
      <c r="E994" s="436" t="s">
        <v>2179</v>
      </c>
      <c r="F994" s="436" t="s">
        <v>2173</v>
      </c>
    </row>
    <row r="995" spans="1:6" x14ac:dyDescent="0.25">
      <c r="A995" s="436" t="s">
        <v>2182</v>
      </c>
      <c r="B995" s="436" t="s">
        <v>1946</v>
      </c>
      <c r="C995" s="436" t="s">
        <v>2176</v>
      </c>
      <c r="D995" s="436" t="s">
        <v>1946</v>
      </c>
      <c r="E995" s="436" t="s">
        <v>2177</v>
      </c>
      <c r="F995" s="436" t="s">
        <v>2173</v>
      </c>
    </row>
    <row r="996" spans="1:6" ht="30" x14ac:dyDescent="0.25">
      <c r="A996" s="436" t="s">
        <v>2188</v>
      </c>
      <c r="B996" s="436" t="s">
        <v>2184</v>
      </c>
      <c r="C996" s="436" t="s">
        <v>2183</v>
      </c>
      <c r="D996" s="436" t="s">
        <v>2185</v>
      </c>
      <c r="E996" s="436" t="s">
        <v>2186</v>
      </c>
      <c r="F996" s="436" t="s">
        <v>2187</v>
      </c>
    </row>
    <row r="997" spans="1:6" ht="30" x14ac:dyDescent="0.25">
      <c r="A997" s="436" t="s">
        <v>2189</v>
      </c>
      <c r="B997" s="436" t="s">
        <v>2184</v>
      </c>
      <c r="C997" s="436" t="s">
        <v>2183</v>
      </c>
      <c r="D997" s="436" t="s">
        <v>2185</v>
      </c>
      <c r="E997" s="436" t="s">
        <v>2186</v>
      </c>
      <c r="F997" s="436" t="s">
        <v>2187</v>
      </c>
    </row>
    <row r="998" spans="1:6" ht="30" x14ac:dyDescent="0.25">
      <c r="A998" s="436" t="s">
        <v>2195</v>
      </c>
      <c r="B998" s="436" t="s">
        <v>2184</v>
      </c>
      <c r="C998" s="436" t="s">
        <v>2191</v>
      </c>
      <c r="D998" s="436" t="s">
        <v>2185</v>
      </c>
      <c r="E998" s="436" t="s">
        <v>2192</v>
      </c>
      <c r="F998" s="436" t="s">
        <v>2187</v>
      </c>
    </row>
    <row r="999" spans="1:6" ht="30" x14ac:dyDescent="0.25">
      <c r="A999" s="436" t="s">
        <v>2196</v>
      </c>
      <c r="B999" s="436" t="s">
        <v>2184</v>
      </c>
      <c r="C999" s="436" t="s">
        <v>2193</v>
      </c>
      <c r="D999" s="436" t="s">
        <v>2184</v>
      </c>
      <c r="E999" s="436" t="s">
        <v>2194</v>
      </c>
      <c r="F999" s="436" t="s">
        <v>2187</v>
      </c>
    </row>
    <row r="1000" spans="1:6" ht="30" x14ac:dyDescent="0.25">
      <c r="A1000" s="436" t="s">
        <v>2197</v>
      </c>
      <c r="B1000" s="436" t="s">
        <v>2184</v>
      </c>
      <c r="C1000" s="436" t="s">
        <v>2191</v>
      </c>
      <c r="D1000" s="436" t="s">
        <v>2185</v>
      </c>
      <c r="E1000" s="436" t="s">
        <v>2192</v>
      </c>
      <c r="F1000" s="436" t="s">
        <v>2187</v>
      </c>
    </row>
    <row r="1001" spans="1:6" ht="45" x14ac:dyDescent="0.25">
      <c r="A1001" s="436" t="s">
        <v>2198</v>
      </c>
      <c r="B1001" s="436" t="s">
        <v>2184</v>
      </c>
      <c r="C1001" s="436" t="s">
        <v>2191</v>
      </c>
      <c r="D1001" s="436" t="s">
        <v>2185</v>
      </c>
      <c r="E1001" s="436" t="s">
        <v>2192</v>
      </c>
      <c r="F1001" s="436" t="s">
        <v>2187</v>
      </c>
    </row>
    <row r="1002" spans="1:6" ht="30" x14ac:dyDescent="0.25">
      <c r="A1002" s="436" t="s">
        <v>2202</v>
      </c>
      <c r="B1002" s="436" t="s">
        <v>2184</v>
      </c>
      <c r="C1002" s="436" t="s">
        <v>2200</v>
      </c>
      <c r="D1002" s="436" t="s">
        <v>2185</v>
      </c>
      <c r="E1002" s="436" t="s">
        <v>2201</v>
      </c>
      <c r="F1002" s="436" t="s">
        <v>2187</v>
      </c>
    </row>
    <row r="1003" spans="1:6" ht="30" x14ac:dyDescent="0.25">
      <c r="A1003" s="436" t="s">
        <v>2203</v>
      </c>
      <c r="B1003" s="436" t="s">
        <v>2184</v>
      </c>
      <c r="C1003" s="436" t="s">
        <v>2200</v>
      </c>
      <c r="D1003" s="436" t="s">
        <v>2185</v>
      </c>
      <c r="E1003" s="436" t="s">
        <v>2201</v>
      </c>
      <c r="F1003" s="436" t="s">
        <v>2187</v>
      </c>
    </row>
    <row r="1004" spans="1:6" ht="45" x14ac:dyDescent="0.25">
      <c r="A1004" s="436" t="s">
        <v>2204</v>
      </c>
      <c r="B1004" s="436" t="s">
        <v>2184</v>
      </c>
      <c r="C1004" s="436" t="s">
        <v>2200</v>
      </c>
      <c r="D1004" s="436" t="s">
        <v>2185</v>
      </c>
      <c r="E1004" s="436" t="s">
        <v>2201</v>
      </c>
      <c r="F1004" s="436" t="s">
        <v>2187</v>
      </c>
    </row>
    <row r="1005" spans="1:6" ht="45" x14ac:dyDescent="0.25">
      <c r="A1005" s="436" t="s">
        <v>2205</v>
      </c>
      <c r="B1005" s="436" t="s">
        <v>2184</v>
      </c>
      <c r="C1005" s="436" t="s">
        <v>2200</v>
      </c>
      <c r="D1005" s="436" t="s">
        <v>2185</v>
      </c>
      <c r="E1005" s="436" t="s">
        <v>2201</v>
      </c>
      <c r="F1005" s="436" t="s">
        <v>2187</v>
      </c>
    </row>
    <row r="1006" spans="1:6" ht="30" x14ac:dyDescent="0.25">
      <c r="A1006" s="436" t="s">
        <v>2904</v>
      </c>
      <c r="B1006" s="436" t="s">
        <v>2184</v>
      </c>
      <c r="C1006" s="436" t="s">
        <v>2906</v>
      </c>
      <c r="D1006" s="436" t="s">
        <v>2185</v>
      </c>
      <c r="E1006" s="436" t="s">
        <v>2908</v>
      </c>
      <c r="F1006" s="436" t="s">
        <v>2187</v>
      </c>
    </row>
    <row r="1007" spans="1:6" ht="30" x14ac:dyDescent="0.25">
      <c r="A1007" s="436" t="s">
        <v>2905</v>
      </c>
      <c r="C1007" s="436" t="s">
        <v>2907</v>
      </c>
      <c r="E1007" s="436" t="s">
        <v>2907</v>
      </c>
    </row>
    <row r="1008" spans="1:6" x14ac:dyDescent="0.25">
      <c r="A1008" s="436" t="s">
        <v>2213</v>
      </c>
      <c r="B1008" s="436" t="s">
        <v>2184</v>
      </c>
      <c r="C1008" s="436" t="s">
        <v>2210</v>
      </c>
      <c r="D1008" s="436" t="s">
        <v>2185</v>
      </c>
      <c r="E1008" s="436" t="s">
        <v>2211</v>
      </c>
      <c r="F1008" s="436" t="s">
        <v>2909</v>
      </c>
    </row>
    <row r="1009" spans="1:6" ht="30" x14ac:dyDescent="0.25">
      <c r="A1009" s="436" t="s">
        <v>2217</v>
      </c>
      <c r="B1009" s="436" t="s">
        <v>2184</v>
      </c>
      <c r="C1009" s="436" t="s">
        <v>2215</v>
      </c>
      <c r="D1009" s="436" t="s">
        <v>2185</v>
      </c>
      <c r="E1009" s="436" t="s">
        <v>2216</v>
      </c>
      <c r="F1009" s="436" t="s">
        <v>2212</v>
      </c>
    </row>
    <row r="1010" spans="1:6" ht="30" x14ac:dyDescent="0.25">
      <c r="A1010" s="436" t="s">
        <v>2221</v>
      </c>
      <c r="B1010" s="436" t="s">
        <v>2184</v>
      </c>
      <c r="C1010" s="436" t="s">
        <v>2219</v>
      </c>
      <c r="D1010" s="436" t="s">
        <v>2185</v>
      </c>
      <c r="E1010" s="436" t="s">
        <v>2220</v>
      </c>
      <c r="F1010" s="436" t="s">
        <v>2187</v>
      </c>
    </row>
    <row r="1011" spans="1:6" ht="30" x14ac:dyDescent="0.25">
      <c r="A1011" s="436" t="s">
        <v>2225</v>
      </c>
      <c r="B1011" s="436" t="s">
        <v>2184</v>
      </c>
      <c r="C1011" s="436" t="s">
        <v>2223</v>
      </c>
      <c r="D1011" s="436" t="s">
        <v>2185</v>
      </c>
      <c r="E1011" s="436" t="s">
        <v>2224</v>
      </c>
      <c r="F1011" s="436" t="s">
        <v>2187</v>
      </c>
    </row>
    <row r="1012" spans="1:6" x14ac:dyDescent="0.25">
      <c r="A1012" s="436" t="s">
        <v>2910</v>
      </c>
      <c r="B1012" s="436" t="s">
        <v>2184</v>
      </c>
      <c r="C1012" s="436" t="s">
        <v>2911</v>
      </c>
      <c r="D1012" s="436" t="s">
        <v>2184</v>
      </c>
      <c r="E1012" s="436" t="s">
        <v>2912</v>
      </c>
      <c r="F1012" s="436" t="s">
        <v>2913</v>
      </c>
    </row>
    <row r="1013" spans="1:6" ht="30" x14ac:dyDescent="0.25">
      <c r="A1013" s="436" t="s">
        <v>2914</v>
      </c>
      <c r="B1013" s="436" t="s">
        <v>2228</v>
      </c>
      <c r="C1013" s="436" t="s">
        <v>2915</v>
      </c>
      <c r="D1013" s="436" t="s">
        <v>2228</v>
      </c>
      <c r="E1013" s="436" t="s">
        <v>2916</v>
      </c>
      <c r="F1013" s="436" t="s">
        <v>2917</v>
      </c>
    </row>
    <row r="1014" spans="1:6" ht="30" x14ac:dyDescent="0.25">
      <c r="A1014" s="436" t="s">
        <v>2232</v>
      </c>
      <c r="B1014" s="436" t="s">
        <v>2228</v>
      </c>
      <c r="C1014" s="436" t="s">
        <v>2229</v>
      </c>
      <c r="D1014" s="436" t="s">
        <v>2228</v>
      </c>
      <c r="E1014" s="436" t="s">
        <v>2230</v>
      </c>
      <c r="F1014" s="436" t="s">
        <v>2231</v>
      </c>
    </row>
    <row r="1015" spans="1:6" ht="30" x14ac:dyDescent="0.25">
      <c r="A1015" s="436" t="s">
        <v>2233</v>
      </c>
      <c r="B1015" s="436" t="s">
        <v>2228</v>
      </c>
      <c r="C1015" s="436" t="s">
        <v>2229</v>
      </c>
      <c r="D1015" s="436" t="s">
        <v>2228</v>
      </c>
      <c r="E1015" s="436" t="s">
        <v>2230</v>
      </c>
      <c r="F1015" s="436" t="s">
        <v>2231</v>
      </c>
    </row>
    <row r="1016" spans="1:6" ht="45" x14ac:dyDescent="0.25">
      <c r="A1016" s="436" t="s">
        <v>2918</v>
      </c>
      <c r="B1016" s="436" t="s">
        <v>2228</v>
      </c>
      <c r="C1016" s="436" t="s">
        <v>2229</v>
      </c>
      <c r="D1016" s="436" t="s">
        <v>2228</v>
      </c>
      <c r="E1016" s="436" t="s">
        <v>2230</v>
      </c>
      <c r="F1016" s="436" t="s">
        <v>2231</v>
      </c>
    </row>
    <row r="1017" spans="1:6" ht="30" x14ac:dyDescent="0.25">
      <c r="A1017" s="436" t="s">
        <v>2235</v>
      </c>
      <c r="B1017" s="436" t="s">
        <v>2228</v>
      </c>
      <c r="C1017" s="436" t="s">
        <v>2229</v>
      </c>
      <c r="D1017" s="436" t="s">
        <v>2228</v>
      </c>
      <c r="E1017" s="436" t="s">
        <v>2230</v>
      </c>
      <c r="F1017" s="436" t="s">
        <v>2231</v>
      </c>
    </row>
    <row r="1018" spans="1:6" ht="30" x14ac:dyDescent="0.25">
      <c r="A1018" s="436" t="s">
        <v>2919</v>
      </c>
      <c r="B1018" s="436" t="s">
        <v>2228</v>
      </c>
      <c r="C1018" s="436" t="s">
        <v>2237</v>
      </c>
      <c r="D1018" s="436" t="s">
        <v>2228</v>
      </c>
      <c r="E1018" s="436" t="s">
        <v>2238</v>
      </c>
      <c r="F1018" s="436" t="s">
        <v>2231</v>
      </c>
    </row>
    <row r="1019" spans="1:6" ht="30" x14ac:dyDescent="0.25">
      <c r="A1019" s="436" t="s">
        <v>2240</v>
      </c>
      <c r="B1019" s="436" t="s">
        <v>2228</v>
      </c>
      <c r="C1019" s="436" t="s">
        <v>2237</v>
      </c>
      <c r="D1019" s="436" t="s">
        <v>2228</v>
      </c>
      <c r="E1019" s="436" t="s">
        <v>2238</v>
      </c>
      <c r="F1019" s="436" t="s">
        <v>2231</v>
      </c>
    </row>
    <row r="1020" spans="1:6" ht="30" x14ac:dyDescent="0.25">
      <c r="A1020" s="436" t="s">
        <v>2241</v>
      </c>
      <c r="B1020" s="436" t="s">
        <v>2228</v>
      </c>
      <c r="C1020" s="436" t="s">
        <v>2237</v>
      </c>
      <c r="D1020" s="436" t="s">
        <v>2228</v>
      </c>
      <c r="E1020" s="436" t="s">
        <v>2238</v>
      </c>
      <c r="F1020" s="436" t="s">
        <v>2231</v>
      </c>
    </row>
    <row r="1021" spans="1:6" ht="45" x14ac:dyDescent="0.25">
      <c r="A1021" s="436" t="s">
        <v>2920</v>
      </c>
      <c r="B1021" s="436" t="s">
        <v>2243</v>
      </c>
      <c r="C1021" s="436" t="s">
        <v>2921</v>
      </c>
      <c r="D1021" s="436" t="s">
        <v>2243</v>
      </c>
      <c r="E1021" s="436" t="s">
        <v>2922</v>
      </c>
      <c r="F1021" s="436" t="s">
        <v>2917</v>
      </c>
    </row>
    <row r="1022" spans="1:6" ht="30" x14ac:dyDescent="0.25">
      <c r="A1022" s="436" t="s">
        <v>2923</v>
      </c>
      <c r="B1022" s="436" t="s">
        <v>2243</v>
      </c>
      <c r="C1022" s="436" t="s">
        <v>2921</v>
      </c>
      <c r="D1022" s="436" t="s">
        <v>2243</v>
      </c>
      <c r="E1022" s="436" t="s">
        <v>2922</v>
      </c>
      <c r="F1022" s="436" t="s">
        <v>2917</v>
      </c>
    </row>
    <row r="1023" spans="1:6" ht="45" x14ac:dyDescent="0.25">
      <c r="A1023" s="436" t="s">
        <v>2924</v>
      </c>
      <c r="B1023" s="436" t="s">
        <v>2243</v>
      </c>
      <c r="C1023" s="436" t="s">
        <v>2921</v>
      </c>
      <c r="D1023" s="436" t="s">
        <v>2243</v>
      </c>
      <c r="E1023" s="436" t="s">
        <v>2922</v>
      </c>
      <c r="F1023" s="436" t="s">
        <v>2917</v>
      </c>
    </row>
    <row r="1024" spans="1:6" ht="45" x14ac:dyDescent="0.25">
      <c r="A1024" s="436" t="s">
        <v>2925</v>
      </c>
      <c r="B1024" s="436" t="s">
        <v>2243</v>
      </c>
      <c r="C1024" s="436" t="s">
        <v>2926</v>
      </c>
      <c r="D1024" s="436" t="s">
        <v>2243</v>
      </c>
      <c r="E1024" s="436" t="s">
        <v>2927</v>
      </c>
      <c r="F1024" s="436" t="s">
        <v>2231</v>
      </c>
    </row>
    <row r="1025" spans="1:6" ht="45" x14ac:dyDescent="0.25">
      <c r="A1025" s="436" t="s">
        <v>2928</v>
      </c>
      <c r="B1025" s="436" t="s">
        <v>2243</v>
      </c>
      <c r="C1025" s="436" t="s">
        <v>2926</v>
      </c>
      <c r="D1025" s="436" t="s">
        <v>2243</v>
      </c>
      <c r="E1025" s="436" t="s">
        <v>2927</v>
      </c>
      <c r="F1025" s="436" t="s">
        <v>2231</v>
      </c>
    </row>
    <row r="1026" spans="1:6" ht="30" x14ac:dyDescent="0.25">
      <c r="A1026" s="436" t="s">
        <v>2929</v>
      </c>
      <c r="B1026" s="436" t="s">
        <v>2243</v>
      </c>
      <c r="C1026" s="436" t="s">
        <v>2926</v>
      </c>
      <c r="D1026" s="436" t="s">
        <v>2243</v>
      </c>
      <c r="E1026" s="436" t="s">
        <v>2927</v>
      </c>
      <c r="F1026" s="436" t="s">
        <v>2231</v>
      </c>
    </row>
    <row r="1027" spans="1:6" ht="30" x14ac:dyDescent="0.25">
      <c r="A1027" s="436" t="s">
        <v>2930</v>
      </c>
      <c r="B1027" s="436" t="s">
        <v>2243</v>
      </c>
      <c r="C1027" s="436" t="s">
        <v>2926</v>
      </c>
      <c r="D1027" s="436" t="s">
        <v>2243</v>
      </c>
      <c r="E1027" s="436" t="s">
        <v>2931</v>
      </c>
      <c r="F1027" s="436" t="s">
        <v>2231</v>
      </c>
    </row>
    <row r="1028" spans="1:6" ht="30" x14ac:dyDescent="0.25">
      <c r="A1028" s="436" t="s">
        <v>2932</v>
      </c>
      <c r="B1028" s="436" t="s">
        <v>2243</v>
      </c>
      <c r="C1028" s="436" t="s">
        <v>2933</v>
      </c>
      <c r="D1028" s="436" t="s">
        <v>2243</v>
      </c>
      <c r="E1028" s="436" t="s">
        <v>2934</v>
      </c>
      <c r="F1028" s="436" t="s">
        <v>2231</v>
      </c>
    </row>
    <row r="1029" spans="1:6" ht="30" x14ac:dyDescent="0.25">
      <c r="A1029" s="436" t="s">
        <v>2935</v>
      </c>
      <c r="B1029" s="436" t="s">
        <v>2243</v>
      </c>
      <c r="C1029" s="436" t="s">
        <v>2936</v>
      </c>
      <c r="D1029" s="436" t="s">
        <v>2243</v>
      </c>
      <c r="E1029" s="436" t="s">
        <v>2937</v>
      </c>
      <c r="F1029" s="436" t="s">
        <v>2231</v>
      </c>
    </row>
    <row r="1030" spans="1:6" ht="30" x14ac:dyDescent="0.25">
      <c r="A1030" s="436" t="s">
        <v>2938</v>
      </c>
      <c r="B1030" s="436" t="s">
        <v>2243</v>
      </c>
      <c r="C1030" s="436" t="s">
        <v>2936</v>
      </c>
      <c r="D1030" s="436" t="s">
        <v>2243</v>
      </c>
      <c r="E1030" s="436" t="s">
        <v>2937</v>
      </c>
      <c r="F1030" s="436" t="s">
        <v>2231</v>
      </c>
    </row>
    <row r="1031" spans="1:6" ht="45" x14ac:dyDescent="0.25">
      <c r="A1031" s="436" t="s">
        <v>2939</v>
      </c>
      <c r="B1031" s="436" t="s">
        <v>2243</v>
      </c>
      <c r="C1031" s="436" t="s">
        <v>2936</v>
      </c>
      <c r="D1031" s="436" t="s">
        <v>2243</v>
      </c>
      <c r="E1031" s="436" t="s">
        <v>2937</v>
      </c>
      <c r="F1031" s="436" t="s">
        <v>2231</v>
      </c>
    </row>
    <row r="1032" spans="1:6" ht="30" x14ac:dyDescent="0.25">
      <c r="A1032" s="436" t="s">
        <v>2940</v>
      </c>
      <c r="B1032" s="436" t="s">
        <v>2243</v>
      </c>
      <c r="C1032" s="436" t="s">
        <v>2936</v>
      </c>
      <c r="D1032" s="436" t="s">
        <v>2243</v>
      </c>
      <c r="E1032" s="436" t="s">
        <v>2937</v>
      </c>
      <c r="F1032" s="436" t="s">
        <v>2231</v>
      </c>
    </row>
    <row r="1033" spans="1:6" ht="30" x14ac:dyDescent="0.25">
      <c r="A1033" s="436" t="s">
        <v>2941</v>
      </c>
      <c r="B1033" s="436" t="s">
        <v>2243</v>
      </c>
      <c r="C1033" s="436" t="s">
        <v>2936</v>
      </c>
      <c r="D1033" s="436" t="s">
        <v>2243</v>
      </c>
      <c r="E1033" s="436" t="s">
        <v>2937</v>
      </c>
      <c r="F1033" s="436" t="s">
        <v>2231</v>
      </c>
    </row>
    <row r="1034" spans="1:6" ht="30" x14ac:dyDescent="0.25">
      <c r="A1034" s="436" t="s">
        <v>2942</v>
      </c>
      <c r="B1034" s="436" t="s">
        <v>2243</v>
      </c>
      <c r="C1034" s="436" t="s">
        <v>2936</v>
      </c>
      <c r="D1034" s="436" t="s">
        <v>2243</v>
      </c>
      <c r="E1034" s="436" t="s">
        <v>2937</v>
      </c>
      <c r="F1034" s="436" t="s">
        <v>2231</v>
      </c>
    </row>
    <row r="1035" spans="1:6" ht="45" x14ac:dyDescent="0.25">
      <c r="A1035" s="436" t="s">
        <v>2248</v>
      </c>
      <c r="B1035" s="436" t="s">
        <v>2243</v>
      </c>
      <c r="C1035" s="436" t="s">
        <v>2246</v>
      </c>
      <c r="D1035" s="436" t="s">
        <v>2243</v>
      </c>
      <c r="E1035" s="436" t="s">
        <v>2247</v>
      </c>
      <c r="F1035" s="436" t="s">
        <v>2231</v>
      </c>
    </row>
    <row r="1036" spans="1:6" ht="45" x14ac:dyDescent="0.25">
      <c r="A1036" s="436" t="s">
        <v>2248</v>
      </c>
      <c r="B1036" s="436" t="s">
        <v>2943</v>
      </c>
      <c r="C1036" s="436" t="s">
        <v>2889</v>
      </c>
      <c r="D1036" s="436" t="s">
        <v>2120</v>
      </c>
    </row>
    <row r="1037" spans="1:6" ht="45" x14ac:dyDescent="0.25">
      <c r="A1037" s="436" t="s">
        <v>2249</v>
      </c>
      <c r="B1037" s="436" t="s">
        <v>2243</v>
      </c>
      <c r="C1037" s="436" t="s">
        <v>2246</v>
      </c>
      <c r="D1037" s="436" t="s">
        <v>2243</v>
      </c>
      <c r="E1037" s="436" t="s">
        <v>2247</v>
      </c>
      <c r="F1037" s="436" t="s">
        <v>2231</v>
      </c>
    </row>
    <row r="1038" spans="1:6" ht="30" x14ac:dyDescent="0.25">
      <c r="A1038" s="436" t="s">
        <v>2250</v>
      </c>
      <c r="B1038" s="436" t="s">
        <v>2243</v>
      </c>
      <c r="C1038" s="436" t="s">
        <v>2246</v>
      </c>
      <c r="D1038" s="436" t="s">
        <v>2243</v>
      </c>
      <c r="E1038" s="436" t="s">
        <v>2247</v>
      </c>
      <c r="F1038" s="436" t="s">
        <v>2231</v>
      </c>
    </row>
    <row r="1039" spans="1:6" ht="30" x14ac:dyDescent="0.25">
      <c r="A1039" s="436" t="s">
        <v>2251</v>
      </c>
      <c r="B1039" s="436" t="s">
        <v>2243</v>
      </c>
      <c r="C1039" s="436" t="s">
        <v>2252</v>
      </c>
      <c r="D1039" s="436" t="s">
        <v>2253</v>
      </c>
      <c r="E1039" s="436" t="s">
        <v>2254</v>
      </c>
      <c r="F1039" s="436" t="s">
        <v>2255</v>
      </c>
    </row>
    <row r="1040" spans="1:6" ht="30" x14ac:dyDescent="0.25">
      <c r="A1040" s="436" t="s">
        <v>2256</v>
      </c>
      <c r="B1040" s="436" t="s">
        <v>2243</v>
      </c>
      <c r="C1040" s="436" t="s">
        <v>2252</v>
      </c>
      <c r="D1040" s="436" t="s">
        <v>2253</v>
      </c>
      <c r="E1040" s="436" t="s">
        <v>2944</v>
      </c>
      <c r="F1040" s="436" t="s">
        <v>2255</v>
      </c>
    </row>
    <row r="1041" spans="1:6" ht="30" x14ac:dyDescent="0.25">
      <c r="A1041" s="436" t="s">
        <v>2257</v>
      </c>
      <c r="B1041" s="436" t="s">
        <v>2243</v>
      </c>
      <c r="C1041" s="436" t="s">
        <v>2252</v>
      </c>
      <c r="D1041" s="436" t="s">
        <v>2253</v>
      </c>
      <c r="E1041" s="436" t="s">
        <v>2254</v>
      </c>
      <c r="F1041" s="436" t="s">
        <v>2255</v>
      </c>
    </row>
    <row r="1042" spans="1:6" ht="30" x14ac:dyDescent="0.25">
      <c r="A1042" s="436" t="s">
        <v>2263</v>
      </c>
      <c r="B1042" s="436" t="s">
        <v>2259</v>
      </c>
      <c r="C1042" s="436" t="s">
        <v>2260</v>
      </c>
      <c r="D1042" s="436" t="s">
        <v>2259</v>
      </c>
      <c r="E1042" s="436" t="s">
        <v>2261</v>
      </c>
      <c r="F1042" s="436" t="s">
        <v>2262</v>
      </c>
    </row>
    <row r="1043" spans="1:6" ht="45" x14ac:dyDescent="0.25">
      <c r="A1043" s="436" t="s">
        <v>2264</v>
      </c>
      <c r="B1043" s="436" t="s">
        <v>2259</v>
      </c>
      <c r="C1043" s="436" t="s">
        <v>2260</v>
      </c>
      <c r="D1043" s="436" t="s">
        <v>2259</v>
      </c>
      <c r="E1043" s="436" t="s">
        <v>2261</v>
      </c>
      <c r="F1043" s="436" t="s">
        <v>2262</v>
      </c>
    </row>
    <row r="1044" spans="1:6" ht="30" x14ac:dyDescent="0.25">
      <c r="A1044" s="436" t="s">
        <v>2265</v>
      </c>
      <c r="B1044" s="436" t="s">
        <v>2259</v>
      </c>
      <c r="C1044" s="436" t="s">
        <v>2260</v>
      </c>
      <c r="D1044" s="436" t="s">
        <v>2259</v>
      </c>
      <c r="E1044" s="436" t="s">
        <v>2261</v>
      </c>
      <c r="F1044" s="436" t="s">
        <v>2262</v>
      </c>
    </row>
    <row r="1045" spans="1:6" ht="45" x14ac:dyDescent="0.25">
      <c r="A1045" s="436" t="s">
        <v>2265</v>
      </c>
      <c r="B1045" s="436" t="s">
        <v>2259</v>
      </c>
      <c r="C1045" s="436" t="s">
        <v>2945</v>
      </c>
      <c r="D1045" s="436" t="s">
        <v>2259</v>
      </c>
    </row>
    <row r="1046" spans="1:6" ht="30" x14ac:dyDescent="0.25">
      <c r="A1046" s="436" t="s">
        <v>2266</v>
      </c>
      <c r="B1046" s="436" t="s">
        <v>2259</v>
      </c>
      <c r="C1046" s="436" t="s">
        <v>2260</v>
      </c>
      <c r="D1046" s="436" t="s">
        <v>2259</v>
      </c>
      <c r="E1046" s="436" t="s">
        <v>2261</v>
      </c>
      <c r="F1046" s="436" t="s">
        <v>2262</v>
      </c>
    </row>
    <row r="1047" spans="1:6" ht="30" x14ac:dyDescent="0.25">
      <c r="A1047" s="436" t="s">
        <v>2267</v>
      </c>
      <c r="B1047" s="436" t="s">
        <v>2259</v>
      </c>
      <c r="C1047" s="436" t="s">
        <v>2260</v>
      </c>
      <c r="D1047" s="436" t="s">
        <v>2259</v>
      </c>
      <c r="E1047" s="436" t="s">
        <v>2261</v>
      </c>
      <c r="F1047" s="436" t="s">
        <v>2262</v>
      </c>
    </row>
    <row r="1048" spans="1:6" ht="45" x14ac:dyDescent="0.25">
      <c r="A1048" s="436" t="s">
        <v>2267</v>
      </c>
      <c r="B1048" s="436" t="s">
        <v>2259</v>
      </c>
      <c r="C1048" s="436" t="s">
        <v>2945</v>
      </c>
      <c r="D1048" s="436" t="s">
        <v>2259</v>
      </c>
    </row>
    <row r="1049" spans="1:6" ht="30" x14ac:dyDescent="0.25">
      <c r="A1049" s="436" t="s">
        <v>2271</v>
      </c>
      <c r="B1049" s="436" t="s">
        <v>2259</v>
      </c>
      <c r="C1049" s="436" t="s">
        <v>2269</v>
      </c>
      <c r="D1049" s="436" t="s">
        <v>2259</v>
      </c>
      <c r="E1049" s="436" t="s">
        <v>2270</v>
      </c>
      <c r="F1049" s="436" t="s">
        <v>2262</v>
      </c>
    </row>
    <row r="1050" spans="1:6" ht="45" x14ac:dyDescent="0.25">
      <c r="A1050" s="436" t="s">
        <v>2272</v>
      </c>
      <c r="B1050" s="436" t="s">
        <v>2259</v>
      </c>
      <c r="C1050" s="436" t="s">
        <v>2269</v>
      </c>
      <c r="D1050" s="436" t="s">
        <v>2259</v>
      </c>
      <c r="E1050" s="436" t="s">
        <v>2270</v>
      </c>
      <c r="F1050" s="436" t="s">
        <v>2262</v>
      </c>
    </row>
    <row r="1051" spans="1:6" ht="45" x14ac:dyDescent="0.25">
      <c r="A1051" s="436" t="s">
        <v>2273</v>
      </c>
      <c r="B1051" s="436" t="s">
        <v>2259</v>
      </c>
      <c r="C1051" s="436" t="s">
        <v>2269</v>
      </c>
      <c r="D1051" s="436" t="s">
        <v>2259</v>
      </c>
      <c r="E1051" s="436" t="s">
        <v>2270</v>
      </c>
      <c r="F1051" s="436" t="s">
        <v>2262</v>
      </c>
    </row>
    <row r="1052" spans="1:6" ht="30" x14ac:dyDescent="0.25">
      <c r="A1052" s="436" t="s">
        <v>2274</v>
      </c>
      <c r="B1052" s="436" t="s">
        <v>2259</v>
      </c>
      <c r="C1052" s="436" t="s">
        <v>2269</v>
      </c>
      <c r="D1052" s="436" t="s">
        <v>2259</v>
      </c>
      <c r="E1052" s="436" t="s">
        <v>2270</v>
      </c>
      <c r="F1052" s="436" t="s">
        <v>2262</v>
      </c>
    </row>
    <row r="1053" spans="1:6" ht="30" x14ac:dyDescent="0.25">
      <c r="A1053" s="436" t="s">
        <v>2946</v>
      </c>
      <c r="B1053" s="436" t="s">
        <v>2259</v>
      </c>
      <c r="C1053" s="436" t="s">
        <v>2269</v>
      </c>
      <c r="D1053" s="436" t="s">
        <v>2259</v>
      </c>
      <c r="E1053" s="436" t="s">
        <v>2270</v>
      </c>
      <c r="F1053" s="436" t="s">
        <v>2262</v>
      </c>
    </row>
    <row r="1054" spans="1:6" ht="30" x14ac:dyDescent="0.25">
      <c r="A1054" s="436" t="s">
        <v>2276</v>
      </c>
      <c r="B1054" s="436" t="s">
        <v>2259</v>
      </c>
      <c r="C1054" s="436" t="s">
        <v>2269</v>
      </c>
      <c r="D1054" s="436" t="s">
        <v>2259</v>
      </c>
      <c r="E1054" s="436" t="s">
        <v>2270</v>
      </c>
      <c r="F1054" s="436" t="s">
        <v>2262</v>
      </c>
    </row>
    <row r="1055" spans="1:6" ht="45" x14ac:dyDescent="0.25">
      <c r="A1055" s="436" t="s">
        <v>2277</v>
      </c>
      <c r="B1055" s="436" t="s">
        <v>2259</v>
      </c>
      <c r="C1055" s="436" t="s">
        <v>2945</v>
      </c>
      <c r="D1055" s="436" t="s">
        <v>2259</v>
      </c>
    </row>
    <row r="1056" spans="1:6" ht="30" x14ac:dyDescent="0.25">
      <c r="A1056" s="436" t="s">
        <v>2277</v>
      </c>
      <c r="B1056" s="436" t="s">
        <v>2259</v>
      </c>
      <c r="C1056" s="436" t="s">
        <v>2269</v>
      </c>
      <c r="D1056" s="436" t="s">
        <v>2259</v>
      </c>
      <c r="E1056" s="436" t="s">
        <v>2270</v>
      </c>
      <c r="F1056" s="436" t="s">
        <v>2262</v>
      </c>
    </row>
    <row r="1057" spans="1:6" ht="30" x14ac:dyDescent="0.25">
      <c r="A1057" s="436" t="s">
        <v>2278</v>
      </c>
      <c r="B1057" s="436" t="s">
        <v>2259</v>
      </c>
      <c r="C1057" s="436" t="s">
        <v>2279</v>
      </c>
      <c r="D1057" s="436" t="s">
        <v>2259</v>
      </c>
      <c r="E1057" s="436" t="s">
        <v>2280</v>
      </c>
      <c r="F1057" s="436" t="s">
        <v>2281</v>
      </c>
    </row>
    <row r="1058" spans="1:6" ht="30" x14ac:dyDescent="0.25">
      <c r="A1058" s="436" t="s">
        <v>2282</v>
      </c>
      <c r="B1058" s="436" t="s">
        <v>2259</v>
      </c>
      <c r="C1058" s="436" t="s">
        <v>2279</v>
      </c>
      <c r="D1058" s="436" t="s">
        <v>2259</v>
      </c>
      <c r="E1058" s="436" t="s">
        <v>2280</v>
      </c>
      <c r="F1058" s="436" t="s">
        <v>2281</v>
      </c>
    </row>
    <row r="1059" spans="1:6" ht="30" x14ac:dyDescent="0.25">
      <c r="A1059" s="436" t="s">
        <v>2283</v>
      </c>
      <c r="B1059" s="436" t="s">
        <v>2259</v>
      </c>
      <c r="C1059" s="436" t="s">
        <v>2279</v>
      </c>
      <c r="D1059" s="436" t="s">
        <v>2259</v>
      </c>
      <c r="E1059" s="436" t="s">
        <v>2280</v>
      </c>
      <c r="F1059" s="436" t="s">
        <v>2281</v>
      </c>
    </row>
    <row r="1060" spans="1:6" ht="30" x14ac:dyDescent="0.25">
      <c r="A1060" s="436" t="s">
        <v>2284</v>
      </c>
      <c r="B1060" s="436" t="s">
        <v>2259</v>
      </c>
      <c r="C1060" s="436" t="s">
        <v>2279</v>
      </c>
      <c r="D1060" s="436" t="s">
        <v>2259</v>
      </c>
      <c r="E1060" s="436" t="s">
        <v>2280</v>
      </c>
      <c r="F1060" s="436" t="s">
        <v>2281</v>
      </c>
    </row>
    <row r="1061" spans="1:6" ht="30" x14ac:dyDescent="0.25">
      <c r="A1061" s="436" t="s">
        <v>2285</v>
      </c>
      <c r="B1061" s="436" t="s">
        <v>2947</v>
      </c>
      <c r="C1061" s="436" t="s">
        <v>2279</v>
      </c>
      <c r="D1061" s="436" t="s">
        <v>2259</v>
      </c>
      <c r="E1061" s="436" t="s">
        <v>2280</v>
      </c>
      <c r="F1061" s="436" t="s">
        <v>2281</v>
      </c>
    </row>
    <row r="1062" spans="1:6" ht="30" x14ac:dyDescent="0.25">
      <c r="A1062" s="436" t="s">
        <v>2285</v>
      </c>
      <c r="B1062" s="436" t="s">
        <v>2259</v>
      </c>
      <c r="C1062" s="436" t="s">
        <v>2948</v>
      </c>
      <c r="D1062" s="436" t="s">
        <v>2259</v>
      </c>
      <c r="E1062" s="436" t="s">
        <v>2949</v>
      </c>
      <c r="F1062" s="436" t="s">
        <v>2281</v>
      </c>
    </row>
    <row r="1063" spans="1:6" ht="30" x14ac:dyDescent="0.25">
      <c r="A1063" s="436" t="s">
        <v>2285</v>
      </c>
      <c r="B1063" s="436" t="s">
        <v>2259</v>
      </c>
      <c r="C1063" s="436" t="s">
        <v>2950</v>
      </c>
      <c r="D1063" s="436" t="s">
        <v>2259</v>
      </c>
      <c r="E1063" s="436" t="s">
        <v>2951</v>
      </c>
      <c r="F1063" s="436" t="s">
        <v>2281</v>
      </c>
    </row>
    <row r="1064" spans="1:6" ht="30" x14ac:dyDescent="0.25">
      <c r="A1064" s="436" t="s">
        <v>2286</v>
      </c>
      <c r="B1064" s="436" t="s">
        <v>2259</v>
      </c>
      <c r="C1064" s="436" t="s">
        <v>2279</v>
      </c>
      <c r="D1064" s="436" t="s">
        <v>2259</v>
      </c>
      <c r="E1064" s="436" t="s">
        <v>2280</v>
      </c>
      <c r="F1064" s="436" t="s">
        <v>2281</v>
      </c>
    </row>
    <row r="1065" spans="1:6" ht="30" x14ac:dyDescent="0.25">
      <c r="A1065" s="436" t="s">
        <v>2286</v>
      </c>
      <c r="B1065" s="436" t="s">
        <v>2259</v>
      </c>
      <c r="C1065" s="436" t="s">
        <v>2952</v>
      </c>
      <c r="D1065" s="436" t="s">
        <v>2259</v>
      </c>
    </row>
    <row r="1066" spans="1:6" ht="45" x14ac:dyDescent="0.25">
      <c r="A1066" s="436" t="s">
        <v>2287</v>
      </c>
      <c r="B1066" s="436" t="s">
        <v>2259</v>
      </c>
      <c r="C1066" s="436" t="s">
        <v>2279</v>
      </c>
      <c r="D1066" s="436" t="s">
        <v>2259</v>
      </c>
      <c r="E1066" s="436" t="s">
        <v>2280</v>
      </c>
      <c r="F1066" s="436" t="s">
        <v>2281</v>
      </c>
    </row>
    <row r="1067" spans="1:6" ht="30" x14ac:dyDescent="0.25">
      <c r="A1067" s="436" t="s">
        <v>2288</v>
      </c>
      <c r="B1067" s="436" t="s">
        <v>2259</v>
      </c>
      <c r="C1067" s="436" t="s">
        <v>2279</v>
      </c>
      <c r="D1067" s="436" t="s">
        <v>2259</v>
      </c>
      <c r="E1067" s="436" t="s">
        <v>2280</v>
      </c>
      <c r="F1067" s="436" t="s">
        <v>2281</v>
      </c>
    </row>
    <row r="1068" spans="1:6" ht="30" x14ac:dyDescent="0.25">
      <c r="A1068" s="436" t="s">
        <v>2296</v>
      </c>
      <c r="B1068" s="436" t="s">
        <v>2259</v>
      </c>
      <c r="C1068" s="436" t="s">
        <v>2290</v>
      </c>
      <c r="D1068" s="436" t="s">
        <v>2259</v>
      </c>
      <c r="E1068" s="436" t="s">
        <v>2291</v>
      </c>
      <c r="F1068" s="436" t="s">
        <v>2281</v>
      </c>
    </row>
    <row r="1069" spans="1:6" ht="30" x14ac:dyDescent="0.25">
      <c r="A1069" s="436" t="s">
        <v>2296</v>
      </c>
      <c r="B1069" s="436" t="s">
        <v>2259</v>
      </c>
      <c r="C1069" s="436" t="s">
        <v>2292</v>
      </c>
      <c r="D1069" s="436" t="s">
        <v>2293</v>
      </c>
      <c r="E1069" s="436" t="s">
        <v>2297</v>
      </c>
      <c r="F1069" s="436" t="s">
        <v>2295</v>
      </c>
    </row>
    <row r="1070" spans="1:6" ht="30" x14ac:dyDescent="0.25">
      <c r="A1070" s="436" t="s">
        <v>2298</v>
      </c>
      <c r="B1070" s="436" t="s">
        <v>2259</v>
      </c>
      <c r="C1070" s="436" t="s">
        <v>2290</v>
      </c>
      <c r="D1070" s="436" t="s">
        <v>2259</v>
      </c>
      <c r="E1070" s="436" t="s">
        <v>2291</v>
      </c>
      <c r="F1070" s="436" t="s">
        <v>2281</v>
      </c>
    </row>
    <row r="1071" spans="1:6" ht="30" x14ac:dyDescent="0.25">
      <c r="A1071" s="436" t="s">
        <v>2298</v>
      </c>
      <c r="B1071" s="436" t="s">
        <v>2259</v>
      </c>
      <c r="C1071" s="436" t="s">
        <v>2292</v>
      </c>
      <c r="D1071" s="436" t="s">
        <v>2293</v>
      </c>
      <c r="E1071" s="436" t="s">
        <v>2297</v>
      </c>
      <c r="F1071" s="436" t="s">
        <v>2295</v>
      </c>
    </row>
    <row r="1072" spans="1:6" ht="45" x14ac:dyDescent="0.25">
      <c r="A1072" s="436" t="s">
        <v>2299</v>
      </c>
      <c r="B1072" s="436" t="s">
        <v>2259</v>
      </c>
      <c r="C1072" s="436" t="s">
        <v>2290</v>
      </c>
      <c r="D1072" s="436" t="s">
        <v>2259</v>
      </c>
      <c r="E1072" s="436" t="s">
        <v>2291</v>
      </c>
      <c r="F1072" s="436" t="s">
        <v>2281</v>
      </c>
    </row>
    <row r="1073" spans="1:6" ht="45" x14ac:dyDescent="0.25">
      <c r="A1073" s="436" t="s">
        <v>2299</v>
      </c>
      <c r="B1073" s="436" t="s">
        <v>2259</v>
      </c>
      <c r="C1073" s="436" t="s">
        <v>2292</v>
      </c>
      <c r="D1073" s="436" t="s">
        <v>2293</v>
      </c>
      <c r="E1073" s="436" t="s">
        <v>2297</v>
      </c>
      <c r="F1073" s="436" t="s">
        <v>2295</v>
      </c>
    </row>
    <row r="1074" spans="1:6" ht="30" x14ac:dyDescent="0.25">
      <c r="A1074" s="436" t="s">
        <v>2300</v>
      </c>
      <c r="B1074" s="436" t="s">
        <v>2259</v>
      </c>
      <c r="C1074" s="436" t="s">
        <v>2290</v>
      </c>
      <c r="D1074" s="436" t="s">
        <v>2259</v>
      </c>
      <c r="E1074" s="436" t="s">
        <v>2291</v>
      </c>
      <c r="F1074" s="436" t="s">
        <v>2281</v>
      </c>
    </row>
    <row r="1075" spans="1:6" ht="30" x14ac:dyDescent="0.25">
      <c r="A1075" s="436" t="s">
        <v>2300</v>
      </c>
      <c r="B1075" s="436" t="s">
        <v>2259</v>
      </c>
      <c r="C1075" s="436" t="s">
        <v>2292</v>
      </c>
      <c r="D1075" s="436" t="s">
        <v>2293</v>
      </c>
      <c r="E1075" s="436" t="s">
        <v>2297</v>
      </c>
      <c r="F1075" s="436" t="s">
        <v>2295</v>
      </c>
    </row>
    <row r="1076" spans="1:6" ht="45" x14ac:dyDescent="0.25">
      <c r="A1076" s="436" t="s">
        <v>2300</v>
      </c>
      <c r="B1076" s="436" t="s">
        <v>2259</v>
      </c>
      <c r="C1076" s="436" t="s">
        <v>2953</v>
      </c>
      <c r="D1076" s="436" t="s">
        <v>2954</v>
      </c>
      <c r="E1076" s="436" t="s">
        <v>2955</v>
      </c>
      <c r="F1076" s="436" t="s">
        <v>2281</v>
      </c>
    </row>
    <row r="1077" spans="1:6" ht="30" x14ac:dyDescent="0.25">
      <c r="A1077" s="436" t="s">
        <v>2309</v>
      </c>
      <c r="B1077" s="436" t="s">
        <v>2259</v>
      </c>
      <c r="C1077" s="436" t="s">
        <v>2305</v>
      </c>
      <c r="D1077" s="436" t="s">
        <v>2259</v>
      </c>
      <c r="E1077" s="436" t="s">
        <v>2306</v>
      </c>
      <c r="F1077" s="436" t="s">
        <v>2262</v>
      </c>
    </row>
    <row r="1078" spans="1:6" ht="30" x14ac:dyDescent="0.25">
      <c r="A1078" s="436" t="s">
        <v>2956</v>
      </c>
      <c r="B1078" s="436" t="s">
        <v>2259</v>
      </c>
      <c r="C1078" s="436" t="s">
        <v>2305</v>
      </c>
      <c r="D1078" s="436" t="s">
        <v>2259</v>
      </c>
      <c r="E1078" s="436" t="s">
        <v>2306</v>
      </c>
      <c r="F1078" s="436" t="s">
        <v>2262</v>
      </c>
    </row>
    <row r="1079" spans="1:6" ht="30" x14ac:dyDescent="0.25">
      <c r="A1079" s="436" t="s">
        <v>2311</v>
      </c>
      <c r="B1079" s="436" t="s">
        <v>2259</v>
      </c>
      <c r="C1079" s="436" t="s">
        <v>2305</v>
      </c>
      <c r="D1079" s="436" t="s">
        <v>2259</v>
      </c>
      <c r="E1079" s="436" t="s">
        <v>2306</v>
      </c>
      <c r="F1079" s="436" t="s">
        <v>2262</v>
      </c>
    </row>
    <row r="1080" spans="1:6" ht="45" x14ac:dyDescent="0.25">
      <c r="A1080" s="436" t="s">
        <v>2312</v>
      </c>
      <c r="B1080" s="436" t="s">
        <v>2259</v>
      </c>
      <c r="C1080" s="436" t="s">
        <v>2307</v>
      </c>
      <c r="D1080" s="436" t="s">
        <v>2259</v>
      </c>
      <c r="E1080" s="436" t="s">
        <v>2308</v>
      </c>
      <c r="F1080" s="436" t="s">
        <v>2295</v>
      </c>
    </row>
    <row r="1081" spans="1:6" ht="30" x14ac:dyDescent="0.25">
      <c r="A1081" s="436" t="s">
        <v>2312</v>
      </c>
      <c r="B1081" s="436" t="s">
        <v>2259</v>
      </c>
      <c r="C1081" s="436" t="s">
        <v>2957</v>
      </c>
      <c r="D1081" s="436" t="s">
        <v>2259</v>
      </c>
      <c r="E1081" s="436" t="s">
        <v>2958</v>
      </c>
      <c r="F1081" s="436" t="s">
        <v>2295</v>
      </c>
    </row>
    <row r="1082" spans="1:6" ht="45" x14ac:dyDescent="0.25">
      <c r="A1082" s="436" t="s">
        <v>2959</v>
      </c>
      <c r="B1082" s="436" t="s">
        <v>2259</v>
      </c>
      <c r="C1082" s="436" t="s">
        <v>2303</v>
      </c>
      <c r="D1082" s="436" t="s">
        <v>2259</v>
      </c>
      <c r="E1082" s="436" t="s">
        <v>2960</v>
      </c>
      <c r="F1082" s="436" t="s">
        <v>2295</v>
      </c>
    </row>
    <row r="1083" spans="1:6" ht="30" x14ac:dyDescent="0.25">
      <c r="A1083" s="436" t="s">
        <v>2315</v>
      </c>
      <c r="B1083" s="436" t="s">
        <v>2259</v>
      </c>
      <c r="C1083" s="436" t="s">
        <v>2961</v>
      </c>
      <c r="D1083" s="436" t="s">
        <v>2259</v>
      </c>
    </row>
    <row r="1084" spans="1:6" ht="30" x14ac:dyDescent="0.25">
      <c r="A1084" s="436" t="s">
        <v>2315</v>
      </c>
      <c r="B1084" s="436" t="s">
        <v>2259</v>
      </c>
      <c r="C1084" s="436" t="s">
        <v>2269</v>
      </c>
      <c r="D1084" s="436" t="s">
        <v>2259</v>
      </c>
      <c r="E1084" s="436" t="s">
        <v>2270</v>
      </c>
      <c r="F1084" s="436" t="s">
        <v>2262</v>
      </c>
    </row>
    <row r="1085" spans="1:6" ht="30" x14ac:dyDescent="0.25">
      <c r="A1085" s="436" t="s">
        <v>2316</v>
      </c>
      <c r="B1085" s="436" t="s">
        <v>2259</v>
      </c>
      <c r="C1085" s="436" t="s">
        <v>2269</v>
      </c>
      <c r="D1085" s="436" t="s">
        <v>2259</v>
      </c>
      <c r="E1085" s="436" t="s">
        <v>2270</v>
      </c>
      <c r="F1085" s="436" t="s">
        <v>2262</v>
      </c>
    </row>
    <row r="1086" spans="1:6" ht="60" x14ac:dyDescent="0.25">
      <c r="A1086" s="436" t="s">
        <v>2317</v>
      </c>
      <c r="B1086" s="436" t="s">
        <v>2259</v>
      </c>
      <c r="C1086" s="436" t="s">
        <v>2269</v>
      </c>
      <c r="D1086" s="436" t="s">
        <v>2259</v>
      </c>
      <c r="E1086" s="436" t="s">
        <v>2270</v>
      </c>
      <c r="F1086" s="436" t="s">
        <v>2262</v>
      </c>
    </row>
    <row r="1087" spans="1:6" ht="30" x14ac:dyDescent="0.25">
      <c r="A1087" s="436" t="s">
        <v>2318</v>
      </c>
      <c r="B1087" s="436" t="s">
        <v>2259</v>
      </c>
      <c r="C1087" s="436" t="s">
        <v>2269</v>
      </c>
      <c r="D1087" s="436" t="s">
        <v>2259</v>
      </c>
      <c r="E1087" s="436" t="s">
        <v>2270</v>
      </c>
      <c r="F1087" s="436" t="s">
        <v>2262</v>
      </c>
    </row>
    <row r="1088" spans="1:6" ht="30" x14ac:dyDescent="0.25">
      <c r="A1088" s="436" t="s">
        <v>2319</v>
      </c>
      <c r="B1088" s="436" t="s">
        <v>2259</v>
      </c>
      <c r="C1088" s="436" t="s">
        <v>2269</v>
      </c>
      <c r="D1088" s="436" t="s">
        <v>2259</v>
      </c>
      <c r="E1088" s="436" t="s">
        <v>2270</v>
      </c>
      <c r="F1088" s="436" t="s">
        <v>2262</v>
      </c>
    </row>
    <row r="1089" spans="1:6" ht="30" x14ac:dyDescent="0.25">
      <c r="A1089" s="436" t="s">
        <v>2320</v>
      </c>
      <c r="B1089" s="436" t="s">
        <v>2259</v>
      </c>
      <c r="C1089" s="436" t="s">
        <v>2269</v>
      </c>
      <c r="D1089" s="436" t="s">
        <v>2259</v>
      </c>
      <c r="E1089" s="436" t="s">
        <v>2270</v>
      </c>
      <c r="F1089" s="436" t="s">
        <v>2262</v>
      </c>
    </row>
    <row r="1090" spans="1:6" ht="30" x14ac:dyDescent="0.25">
      <c r="A1090" s="436" t="s">
        <v>2321</v>
      </c>
      <c r="B1090" s="436" t="s">
        <v>2259</v>
      </c>
      <c r="C1090" s="436" t="s">
        <v>2961</v>
      </c>
      <c r="D1090" s="436" t="s">
        <v>2259</v>
      </c>
    </row>
    <row r="1091" spans="1:6" ht="30" x14ac:dyDescent="0.25">
      <c r="A1091" s="436" t="s">
        <v>2321</v>
      </c>
      <c r="B1091" s="436" t="s">
        <v>2259</v>
      </c>
      <c r="C1091" s="436" t="s">
        <v>2269</v>
      </c>
      <c r="D1091" s="436" t="s">
        <v>2259</v>
      </c>
      <c r="E1091" s="436" t="s">
        <v>2270</v>
      </c>
      <c r="F1091" s="436" t="s">
        <v>2262</v>
      </c>
    </row>
    <row r="1092" spans="1:6" ht="30" x14ac:dyDescent="0.25">
      <c r="A1092" s="436" t="s">
        <v>2322</v>
      </c>
      <c r="B1092" s="436" t="s">
        <v>2259</v>
      </c>
      <c r="C1092" s="436" t="s">
        <v>2961</v>
      </c>
      <c r="D1092" s="436" t="s">
        <v>2259</v>
      </c>
    </row>
    <row r="1093" spans="1:6" ht="30" x14ac:dyDescent="0.25">
      <c r="A1093" s="436" t="s">
        <v>2322</v>
      </c>
      <c r="B1093" s="436" t="s">
        <v>2259</v>
      </c>
      <c r="C1093" s="436" t="s">
        <v>2269</v>
      </c>
      <c r="D1093" s="436" t="s">
        <v>2259</v>
      </c>
      <c r="E1093" s="436" t="s">
        <v>2270</v>
      </c>
      <c r="F1093" s="436" t="s">
        <v>2262</v>
      </c>
    </row>
    <row r="1094" spans="1:6" ht="45" x14ac:dyDescent="0.25">
      <c r="A1094" s="436" t="s">
        <v>2323</v>
      </c>
      <c r="B1094" s="436" t="s">
        <v>2259</v>
      </c>
      <c r="C1094" s="436" t="s">
        <v>2269</v>
      </c>
      <c r="D1094" s="436" t="s">
        <v>2259</v>
      </c>
      <c r="E1094" s="436" t="s">
        <v>2270</v>
      </c>
      <c r="F1094" s="436" t="s">
        <v>2262</v>
      </c>
    </row>
    <row r="1095" spans="1:6" ht="30" x14ac:dyDescent="0.25">
      <c r="A1095" s="436" t="s">
        <v>2324</v>
      </c>
      <c r="B1095" s="436" t="s">
        <v>2259</v>
      </c>
      <c r="C1095" s="436" t="s">
        <v>2269</v>
      </c>
      <c r="D1095" s="436" t="s">
        <v>2259</v>
      </c>
      <c r="E1095" s="436" t="s">
        <v>2270</v>
      </c>
      <c r="F1095" s="436" t="s">
        <v>2262</v>
      </c>
    </row>
    <row r="1096" spans="1:6" ht="30" x14ac:dyDescent="0.25">
      <c r="A1096" s="436" t="s">
        <v>2329</v>
      </c>
      <c r="B1096" s="436" t="s">
        <v>2253</v>
      </c>
      <c r="C1096" s="436" t="s">
        <v>2326</v>
      </c>
      <c r="D1096" s="436" t="s">
        <v>2253</v>
      </c>
      <c r="E1096" s="436" t="s">
        <v>2327</v>
      </c>
      <c r="F1096" s="436" t="s">
        <v>2328</v>
      </c>
    </row>
    <row r="1097" spans="1:6" ht="30" x14ac:dyDescent="0.25">
      <c r="A1097" s="436" t="s">
        <v>2330</v>
      </c>
      <c r="B1097" s="436" t="s">
        <v>2253</v>
      </c>
      <c r="C1097" s="436" t="s">
        <v>2326</v>
      </c>
      <c r="D1097" s="436" t="s">
        <v>2253</v>
      </c>
      <c r="E1097" s="436" t="s">
        <v>2327</v>
      </c>
      <c r="F1097" s="436" t="s">
        <v>2328</v>
      </c>
    </row>
    <row r="1098" spans="1:6" ht="45" x14ac:dyDescent="0.25">
      <c r="A1098" s="436" t="s">
        <v>2331</v>
      </c>
      <c r="B1098" s="436" t="s">
        <v>2253</v>
      </c>
      <c r="C1098" s="436" t="s">
        <v>2326</v>
      </c>
      <c r="D1098" s="436" t="s">
        <v>2253</v>
      </c>
      <c r="E1098" s="436" t="s">
        <v>2327</v>
      </c>
      <c r="F1098" s="436" t="s">
        <v>2328</v>
      </c>
    </row>
    <row r="1099" spans="1:6" ht="30" x14ac:dyDescent="0.25">
      <c r="A1099" s="436" t="s">
        <v>2332</v>
      </c>
      <c r="B1099" s="436" t="s">
        <v>2253</v>
      </c>
      <c r="C1099" s="436" t="s">
        <v>2326</v>
      </c>
      <c r="D1099" s="436" t="s">
        <v>2253</v>
      </c>
      <c r="E1099" s="436" t="s">
        <v>2327</v>
      </c>
      <c r="F1099" s="436" t="s">
        <v>2328</v>
      </c>
    </row>
    <row r="1100" spans="1:6" ht="30" x14ac:dyDescent="0.25">
      <c r="A1100" s="436" t="s">
        <v>2333</v>
      </c>
      <c r="B1100" s="436" t="s">
        <v>2253</v>
      </c>
      <c r="C1100" s="436" t="s">
        <v>2326</v>
      </c>
      <c r="D1100" s="436" t="s">
        <v>2253</v>
      </c>
      <c r="E1100" s="436" t="s">
        <v>2327</v>
      </c>
      <c r="F1100" s="436" t="s">
        <v>2328</v>
      </c>
    </row>
    <row r="1101" spans="1:6" ht="30" x14ac:dyDescent="0.25">
      <c r="A1101" s="436" t="s">
        <v>2334</v>
      </c>
      <c r="B1101" s="436" t="s">
        <v>2253</v>
      </c>
      <c r="C1101" s="436" t="s">
        <v>2326</v>
      </c>
      <c r="D1101" s="436" t="s">
        <v>2253</v>
      </c>
      <c r="E1101" s="436" t="s">
        <v>2327</v>
      </c>
      <c r="F1101" s="436" t="s">
        <v>2328</v>
      </c>
    </row>
    <row r="1102" spans="1:6" ht="30" x14ac:dyDescent="0.25">
      <c r="A1102" s="436" t="s">
        <v>2335</v>
      </c>
      <c r="B1102" s="436" t="s">
        <v>2253</v>
      </c>
      <c r="C1102" s="436" t="s">
        <v>2326</v>
      </c>
      <c r="D1102" s="436" t="s">
        <v>2253</v>
      </c>
      <c r="E1102" s="436" t="s">
        <v>2327</v>
      </c>
      <c r="F1102" s="436" t="s">
        <v>2328</v>
      </c>
    </row>
    <row r="1103" spans="1:6" ht="45" x14ac:dyDescent="0.25">
      <c r="A1103" s="436" t="s">
        <v>2336</v>
      </c>
      <c r="B1103" s="436" t="s">
        <v>2253</v>
      </c>
      <c r="C1103" s="436" t="s">
        <v>2326</v>
      </c>
      <c r="D1103" s="436" t="s">
        <v>2253</v>
      </c>
      <c r="E1103" s="436" t="s">
        <v>2327</v>
      </c>
      <c r="F1103" s="436" t="s">
        <v>2328</v>
      </c>
    </row>
    <row r="1104" spans="1:6" ht="30" x14ac:dyDescent="0.25">
      <c r="A1104" s="436" t="s">
        <v>2337</v>
      </c>
      <c r="B1104" s="436" t="s">
        <v>2253</v>
      </c>
      <c r="C1104" s="436" t="s">
        <v>2326</v>
      </c>
      <c r="D1104" s="436" t="s">
        <v>2253</v>
      </c>
      <c r="E1104" s="436" t="s">
        <v>2327</v>
      </c>
      <c r="F1104" s="436" t="s">
        <v>2328</v>
      </c>
    </row>
    <row r="1105" spans="1:6" ht="30" x14ac:dyDescent="0.25">
      <c r="A1105" s="436" t="s">
        <v>2338</v>
      </c>
      <c r="B1105" s="436" t="s">
        <v>2253</v>
      </c>
      <c r="C1105" s="436" t="s">
        <v>2339</v>
      </c>
      <c r="D1105" s="436" t="s">
        <v>2253</v>
      </c>
      <c r="E1105" s="436" t="s">
        <v>2340</v>
      </c>
      <c r="F1105" s="436" t="s">
        <v>2255</v>
      </c>
    </row>
    <row r="1106" spans="1:6" ht="30" x14ac:dyDescent="0.25">
      <c r="A1106" s="436" t="s">
        <v>2962</v>
      </c>
      <c r="B1106" s="436" t="s">
        <v>2253</v>
      </c>
      <c r="C1106" s="436" t="s">
        <v>2339</v>
      </c>
      <c r="D1106" s="436" t="s">
        <v>2253</v>
      </c>
      <c r="E1106" s="436" t="s">
        <v>2340</v>
      </c>
      <c r="F1106" s="436" t="s">
        <v>2255</v>
      </c>
    </row>
    <row r="1107" spans="1:6" ht="30" x14ac:dyDescent="0.25">
      <c r="A1107" s="436" t="s">
        <v>2342</v>
      </c>
      <c r="B1107" s="436" t="s">
        <v>2253</v>
      </c>
      <c r="C1107" s="436" t="s">
        <v>2339</v>
      </c>
      <c r="D1107" s="436" t="s">
        <v>2253</v>
      </c>
      <c r="E1107" s="436" t="s">
        <v>2340</v>
      </c>
      <c r="F1107" s="436" t="s">
        <v>2255</v>
      </c>
    </row>
    <row r="1108" spans="1:6" ht="60" x14ac:dyDescent="0.25">
      <c r="A1108" s="436" t="s">
        <v>2343</v>
      </c>
      <c r="B1108" s="436" t="s">
        <v>2253</v>
      </c>
      <c r="C1108" s="436" t="s">
        <v>2339</v>
      </c>
      <c r="D1108" s="436" t="s">
        <v>2253</v>
      </c>
      <c r="E1108" s="436" t="s">
        <v>2340</v>
      </c>
      <c r="F1108" s="436" t="s">
        <v>2255</v>
      </c>
    </row>
    <row r="1109" spans="1:6" ht="45" x14ac:dyDescent="0.25">
      <c r="A1109" s="436" t="s">
        <v>2344</v>
      </c>
      <c r="B1109" s="436" t="s">
        <v>2253</v>
      </c>
      <c r="C1109" s="436" t="s">
        <v>2339</v>
      </c>
      <c r="D1109" s="436" t="s">
        <v>2253</v>
      </c>
      <c r="E1109" s="436" t="s">
        <v>2340</v>
      </c>
      <c r="F1109" s="436" t="s">
        <v>2255</v>
      </c>
    </row>
    <row r="1110" spans="1:6" ht="45" x14ac:dyDescent="0.25">
      <c r="A1110" s="436" t="s">
        <v>2344</v>
      </c>
      <c r="B1110" s="436" t="s">
        <v>2253</v>
      </c>
      <c r="C1110" s="436" t="s">
        <v>2305</v>
      </c>
      <c r="D1110" s="436" t="s">
        <v>2259</v>
      </c>
      <c r="E1110" s="436" t="s">
        <v>2306</v>
      </c>
      <c r="F1110" s="436" t="s">
        <v>2262</v>
      </c>
    </row>
    <row r="1111" spans="1:6" ht="45" x14ac:dyDescent="0.25">
      <c r="A1111" s="436" t="s">
        <v>2345</v>
      </c>
      <c r="B1111" s="436" t="s">
        <v>2253</v>
      </c>
      <c r="C1111" s="436" t="s">
        <v>2339</v>
      </c>
      <c r="D1111" s="436" t="s">
        <v>2253</v>
      </c>
      <c r="E1111" s="436" t="s">
        <v>2340</v>
      </c>
      <c r="F1111" s="436" t="s">
        <v>2255</v>
      </c>
    </row>
    <row r="1112" spans="1:6" ht="30" x14ac:dyDescent="0.25">
      <c r="A1112" s="436" t="s">
        <v>2349</v>
      </c>
      <c r="B1112" s="436" t="s">
        <v>2253</v>
      </c>
      <c r="C1112" s="436" t="s">
        <v>2347</v>
      </c>
      <c r="D1112" s="436" t="s">
        <v>2253</v>
      </c>
      <c r="E1112" s="436" t="s">
        <v>2348</v>
      </c>
      <c r="F1112" s="436" t="s">
        <v>2255</v>
      </c>
    </row>
    <row r="1113" spans="1:6" ht="30" x14ac:dyDescent="0.25">
      <c r="A1113" s="436" t="s">
        <v>2350</v>
      </c>
      <c r="B1113" s="436" t="s">
        <v>2253</v>
      </c>
      <c r="C1113" s="436" t="s">
        <v>2347</v>
      </c>
      <c r="D1113" s="436" t="s">
        <v>2253</v>
      </c>
      <c r="E1113" s="436" t="s">
        <v>2348</v>
      </c>
      <c r="F1113" s="436" t="s">
        <v>2255</v>
      </c>
    </row>
    <row r="1114" spans="1:6" ht="30" x14ac:dyDescent="0.25">
      <c r="A1114" s="436" t="s">
        <v>2351</v>
      </c>
      <c r="B1114" s="436" t="s">
        <v>2253</v>
      </c>
      <c r="C1114" s="436" t="s">
        <v>2339</v>
      </c>
      <c r="D1114" s="436" t="s">
        <v>2253</v>
      </c>
      <c r="E1114" s="436" t="s">
        <v>2340</v>
      </c>
      <c r="F1114" s="436" t="s">
        <v>2255</v>
      </c>
    </row>
    <row r="1115" spans="1:6" ht="30" x14ac:dyDescent="0.25">
      <c r="A1115" s="436" t="s">
        <v>2351</v>
      </c>
      <c r="B1115" s="436" t="s">
        <v>2253</v>
      </c>
      <c r="C1115" s="436" t="s">
        <v>2252</v>
      </c>
      <c r="D1115" s="436" t="s">
        <v>2253</v>
      </c>
      <c r="E1115" s="436" t="s">
        <v>2254</v>
      </c>
      <c r="F1115" s="436" t="s">
        <v>2255</v>
      </c>
    </row>
    <row r="1116" spans="1:6" ht="45" x14ac:dyDescent="0.25">
      <c r="A1116" s="436" t="s">
        <v>2352</v>
      </c>
      <c r="B1116" s="436" t="s">
        <v>2253</v>
      </c>
      <c r="C1116" s="436" t="s">
        <v>2252</v>
      </c>
      <c r="D1116" s="436" t="s">
        <v>2253</v>
      </c>
      <c r="E1116" s="436" t="s">
        <v>2254</v>
      </c>
      <c r="F1116" s="436" t="s">
        <v>2255</v>
      </c>
    </row>
    <row r="1117" spans="1:6" ht="45" x14ac:dyDescent="0.25">
      <c r="A1117" s="436" t="s">
        <v>2352</v>
      </c>
      <c r="B1117" s="436" t="s">
        <v>2253</v>
      </c>
      <c r="C1117" s="436" t="s">
        <v>2963</v>
      </c>
      <c r="D1117" s="436" t="s">
        <v>2253</v>
      </c>
      <c r="E1117" s="436" t="s">
        <v>2964</v>
      </c>
      <c r="F1117" s="436" t="s">
        <v>2255</v>
      </c>
    </row>
    <row r="1118" spans="1:6" ht="30" x14ac:dyDescent="0.25">
      <c r="A1118" s="436" t="s">
        <v>2965</v>
      </c>
      <c r="B1118" s="436" t="s">
        <v>2253</v>
      </c>
      <c r="C1118" s="436" t="s">
        <v>2936</v>
      </c>
      <c r="D1118" s="436" t="s">
        <v>2243</v>
      </c>
      <c r="E1118" s="436" t="s">
        <v>2937</v>
      </c>
      <c r="F1118" s="436" t="s">
        <v>2231</v>
      </c>
    </row>
    <row r="1119" spans="1:6" ht="45" x14ac:dyDescent="0.25">
      <c r="A1119" s="436" t="s">
        <v>2353</v>
      </c>
      <c r="B1119" s="436" t="s">
        <v>2253</v>
      </c>
      <c r="C1119" s="436" t="s">
        <v>2252</v>
      </c>
      <c r="D1119" s="436" t="s">
        <v>2253</v>
      </c>
      <c r="E1119" s="436" t="s">
        <v>2254</v>
      </c>
      <c r="F1119" s="436" t="s">
        <v>2255</v>
      </c>
    </row>
    <row r="1120" spans="1:6" ht="30" x14ac:dyDescent="0.25">
      <c r="A1120" s="436" t="s">
        <v>2354</v>
      </c>
      <c r="B1120" s="436" t="s">
        <v>2253</v>
      </c>
      <c r="C1120" s="436" t="s">
        <v>2252</v>
      </c>
      <c r="D1120" s="436" t="s">
        <v>2253</v>
      </c>
      <c r="E1120" s="436" t="s">
        <v>2254</v>
      </c>
      <c r="F1120" s="436" t="s">
        <v>2255</v>
      </c>
    </row>
    <row r="1121" spans="1:6" ht="30" x14ac:dyDescent="0.25">
      <c r="A1121" s="436" t="s">
        <v>2355</v>
      </c>
      <c r="B1121" s="436" t="s">
        <v>2253</v>
      </c>
      <c r="C1121" s="436" t="s">
        <v>2252</v>
      </c>
      <c r="D1121" s="436" t="s">
        <v>2253</v>
      </c>
      <c r="E1121" s="436" t="s">
        <v>2254</v>
      </c>
      <c r="F1121" s="436" t="s">
        <v>2255</v>
      </c>
    </row>
    <row r="1122" spans="1:6" ht="30" x14ac:dyDescent="0.25">
      <c r="A1122" s="436" t="s">
        <v>2356</v>
      </c>
      <c r="B1122" s="436" t="s">
        <v>2253</v>
      </c>
      <c r="C1122" s="436" t="s">
        <v>2252</v>
      </c>
      <c r="D1122" s="436" t="s">
        <v>2253</v>
      </c>
      <c r="E1122" s="436" t="s">
        <v>2254</v>
      </c>
      <c r="F1122" s="436" t="s">
        <v>2255</v>
      </c>
    </row>
    <row r="1123" spans="1:6" ht="45" x14ac:dyDescent="0.25">
      <c r="A1123" s="436" t="s">
        <v>2357</v>
      </c>
      <c r="B1123" s="436" t="s">
        <v>2253</v>
      </c>
      <c r="C1123" s="436" t="s">
        <v>2252</v>
      </c>
      <c r="D1123" s="436" t="s">
        <v>2253</v>
      </c>
      <c r="E1123" s="436" t="s">
        <v>2254</v>
      </c>
      <c r="F1123" s="436" t="s">
        <v>2255</v>
      </c>
    </row>
    <row r="1124" spans="1:6" ht="30" x14ac:dyDescent="0.25">
      <c r="A1124" s="436" t="s">
        <v>2358</v>
      </c>
      <c r="B1124" s="436" t="s">
        <v>2253</v>
      </c>
      <c r="C1124" s="436" t="s">
        <v>2252</v>
      </c>
      <c r="D1124" s="436" t="s">
        <v>2253</v>
      </c>
      <c r="E1124" s="436" t="s">
        <v>2254</v>
      </c>
      <c r="F1124" s="436" t="s">
        <v>2255</v>
      </c>
    </row>
    <row r="1125" spans="1:6" ht="30" x14ac:dyDescent="0.25">
      <c r="A1125" s="436" t="s">
        <v>2359</v>
      </c>
      <c r="B1125" s="436" t="s">
        <v>2253</v>
      </c>
      <c r="C1125" s="436" t="s">
        <v>2360</v>
      </c>
      <c r="D1125" s="436" t="s">
        <v>2253</v>
      </c>
      <c r="E1125" s="436" t="s">
        <v>2361</v>
      </c>
      <c r="F1125" s="436" t="s">
        <v>2328</v>
      </c>
    </row>
    <row r="1126" spans="1:6" ht="45" x14ac:dyDescent="0.25">
      <c r="A1126" s="436" t="s">
        <v>2362</v>
      </c>
      <c r="B1126" s="436" t="s">
        <v>2253</v>
      </c>
      <c r="C1126" s="436" t="s">
        <v>2360</v>
      </c>
      <c r="D1126" s="436" t="s">
        <v>2253</v>
      </c>
      <c r="E1126" s="436" t="s">
        <v>2361</v>
      </c>
      <c r="F1126" s="436" t="s">
        <v>2328</v>
      </c>
    </row>
    <row r="1127" spans="1:6" ht="30" x14ac:dyDescent="0.25">
      <c r="A1127" s="436" t="s">
        <v>2364</v>
      </c>
      <c r="B1127" s="436" t="s">
        <v>2253</v>
      </c>
      <c r="C1127" s="436" t="s">
        <v>2360</v>
      </c>
      <c r="D1127" s="436" t="s">
        <v>2253</v>
      </c>
      <c r="E1127" s="436" t="s">
        <v>2361</v>
      </c>
      <c r="F1127" s="436" t="s">
        <v>2328</v>
      </c>
    </row>
    <row r="1128" spans="1:6" ht="45" x14ac:dyDescent="0.25">
      <c r="A1128" s="436" t="s">
        <v>2364</v>
      </c>
      <c r="B1128" s="436" t="s">
        <v>2253</v>
      </c>
      <c r="C1128" s="436" t="s">
        <v>2966</v>
      </c>
      <c r="D1128" s="436" t="s">
        <v>2253</v>
      </c>
    </row>
    <row r="1129" spans="1:6" ht="30" x14ac:dyDescent="0.25">
      <c r="A1129" s="436" t="s">
        <v>2365</v>
      </c>
      <c r="B1129" s="436" t="s">
        <v>2253</v>
      </c>
      <c r="C1129" s="436" t="s">
        <v>2360</v>
      </c>
      <c r="D1129" s="436" t="s">
        <v>2253</v>
      </c>
      <c r="E1129" s="436" t="s">
        <v>2361</v>
      </c>
      <c r="F1129" s="436" t="s">
        <v>2328</v>
      </c>
    </row>
    <row r="1130" spans="1:6" ht="30" x14ac:dyDescent="0.25">
      <c r="A1130" s="436" t="s">
        <v>2366</v>
      </c>
      <c r="B1130" s="436" t="s">
        <v>2253</v>
      </c>
      <c r="C1130" s="436" t="s">
        <v>2360</v>
      </c>
      <c r="D1130" s="436" t="s">
        <v>2253</v>
      </c>
      <c r="E1130" s="436" t="s">
        <v>2361</v>
      </c>
      <c r="F1130" s="436" t="s">
        <v>2328</v>
      </c>
    </row>
    <row r="1131" spans="1:6" ht="30" x14ac:dyDescent="0.25">
      <c r="A1131" s="436" t="s">
        <v>2368</v>
      </c>
      <c r="B1131" s="436" t="s">
        <v>2253</v>
      </c>
      <c r="C1131" s="436" t="s">
        <v>2252</v>
      </c>
      <c r="D1131" s="436" t="s">
        <v>2253</v>
      </c>
      <c r="E1131" s="436" t="s">
        <v>2254</v>
      </c>
      <c r="F1131" s="436" t="s">
        <v>2255</v>
      </c>
    </row>
    <row r="1132" spans="1:6" ht="45" x14ac:dyDescent="0.25">
      <c r="A1132" s="436" t="s">
        <v>2369</v>
      </c>
      <c r="B1132" s="436" t="s">
        <v>2253</v>
      </c>
      <c r="C1132" s="436" t="s">
        <v>2252</v>
      </c>
      <c r="D1132" s="436" t="s">
        <v>2253</v>
      </c>
      <c r="E1132" s="436" t="s">
        <v>2254</v>
      </c>
      <c r="F1132" s="436" t="s">
        <v>2255</v>
      </c>
    </row>
    <row r="1133" spans="1:6" ht="45" x14ac:dyDescent="0.25">
      <c r="A1133" s="436" t="s">
        <v>2374</v>
      </c>
      <c r="B1133" s="436" t="s">
        <v>2253</v>
      </c>
      <c r="C1133" s="436" t="s">
        <v>2371</v>
      </c>
      <c r="D1133" s="436" t="s">
        <v>2253</v>
      </c>
      <c r="E1133" s="436" t="s">
        <v>2372</v>
      </c>
      <c r="F1133" s="436" t="s">
        <v>2255</v>
      </c>
    </row>
    <row r="1134" spans="1:6" ht="45" x14ac:dyDescent="0.25">
      <c r="A1134" s="436" t="s">
        <v>2375</v>
      </c>
      <c r="B1134" s="436" t="s">
        <v>2253</v>
      </c>
      <c r="C1134" s="436" t="s">
        <v>2371</v>
      </c>
      <c r="D1134" s="436" t="s">
        <v>2253</v>
      </c>
      <c r="E1134" s="436" t="s">
        <v>2372</v>
      </c>
      <c r="F1134" s="436" t="s">
        <v>2255</v>
      </c>
    </row>
    <row r="1135" spans="1:6" ht="45" x14ac:dyDescent="0.25">
      <c r="A1135" s="436" t="s">
        <v>2376</v>
      </c>
      <c r="B1135" s="436" t="s">
        <v>2253</v>
      </c>
      <c r="C1135" s="436" t="s">
        <v>2371</v>
      </c>
      <c r="D1135" s="436" t="s">
        <v>2253</v>
      </c>
      <c r="E1135" s="436" t="s">
        <v>2372</v>
      </c>
      <c r="F1135" s="436" t="s">
        <v>2255</v>
      </c>
    </row>
    <row r="1136" spans="1:6" ht="30" x14ac:dyDescent="0.25">
      <c r="A1136" s="436" t="s">
        <v>2390</v>
      </c>
      <c r="B1136" s="436" t="s">
        <v>2378</v>
      </c>
      <c r="C1136" s="436" t="s">
        <v>2379</v>
      </c>
      <c r="D1136" s="436" t="s">
        <v>2378</v>
      </c>
      <c r="E1136" s="436" t="s">
        <v>2380</v>
      </c>
      <c r="F1136" s="436" t="s">
        <v>2381</v>
      </c>
    </row>
    <row r="1137" spans="1:6" ht="30" x14ac:dyDescent="0.25">
      <c r="A1137" s="436" t="s">
        <v>2390</v>
      </c>
      <c r="B1137" s="436" t="s">
        <v>2378</v>
      </c>
      <c r="C1137" s="436" t="s">
        <v>2967</v>
      </c>
      <c r="D1137" s="436" t="s">
        <v>2378</v>
      </c>
      <c r="E1137" s="436" t="s">
        <v>2968</v>
      </c>
      <c r="F1137" s="436" t="s">
        <v>2381</v>
      </c>
    </row>
    <row r="1138" spans="1:6" ht="45" x14ac:dyDescent="0.25">
      <c r="A1138" s="436" t="s">
        <v>2391</v>
      </c>
      <c r="B1138" s="436" t="s">
        <v>2378</v>
      </c>
      <c r="C1138" s="436" t="s">
        <v>2379</v>
      </c>
      <c r="D1138" s="436" t="s">
        <v>2378</v>
      </c>
      <c r="E1138" s="436" t="s">
        <v>2380</v>
      </c>
      <c r="F1138" s="436" t="s">
        <v>2381</v>
      </c>
    </row>
    <row r="1139" spans="1:6" ht="45" x14ac:dyDescent="0.25">
      <c r="A1139" s="436" t="s">
        <v>2391</v>
      </c>
      <c r="B1139" s="436" t="s">
        <v>2378</v>
      </c>
      <c r="C1139" s="436" t="s">
        <v>2957</v>
      </c>
      <c r="D1139" s="436" t="s">
        <v>2259</v>
      </c>
      <c r="E1139" s="436" t="s">
        <v>2958</v>
      </c>
      <c r="F1139" s="436" t="s">
        <v>2295</v>
      </c>
    </row>
    <row r="1140" spans="1:6" ht="45" x14ac:dyDescent="0.25">
      <c r="A1140" s="436" t="s">
        <v>2391</v>
      </c>
      <c r="B1140" s="436" t="s">
        <v>2378</v>
      </c>
      <c r="C1140" s="436" t="s">
        <v>2967</v>
      </c>
      <c r="D1140" s="436" t="s">
        <v>2378</v>
      </c>
      <c r="E1140" s="436" t="s">
        <v>2968</v>
      </c>
      <c r="F1140" s="436" t="s">
        <v>2381</v>
      </c>
    </row>
    <row r="1141" spans="1:6" ht="30" x14ac:dyDescent="0.25">
      <c r="A1141" s="436" t="s">
        <v>2392</v>
      </c>
      <c r="B1141" s="436" t="s">
        <v>2378</v>
      </c>
      <c r="C1141" s="436" t="s">
        <v>2384</v>
      </c>
      <c r="D1141" s="436" t="s">
        <v>2378</v>
      </c>
      <c r="E1141" s="436" t="s">
        <v>2385</v>
      </c>
      <c r="F1141" s="436" t="s">
        <v>2969</v>
      </c>
    </row>
    <row r="1142" spans="1:6" ht="30" x14ac:dyDescent="0.25">
      <c r="A1142" s="436" t="s">
        <v>2392</v>
      </c>
      <c r="B1142" s="436" t="s">
        <v>2378</v>
      </c>
      <c r="C1142" s="436" t="s">
        <v>2970</v>
      </c>
      <c r="D1142" s="436" t="s">
        <v>2378</v>
      </c>
      <c r="E1142" s="436" t="s">
        <v>2971</v>
      </c>
      <c r="F1142" s="436" t="s">
        <v>2381</v>
      </c>
    </row>
    <row r="1143" spans="1:6" ht="30" x14ac:dyDescent="0.25">
      <c r="A1143" s="436" t="s">
        <v>2393</v>
      </c>
      <c r="B1143" s="436" t="s">
        <v>2378</v>
      </c>
      <c r="C1143" s="436" t="s">
        <v>2384</v>
      </c>
      <c r="D1143" s="436" t="s">
        <v>2378</v>
      </c>
      <c r="E1143" s="436" t="s">
        <v>2385</v>
      </c>
      <c r="F1143" s="436" t="s">
        <v>2381</v>
      </c>
    </row>
    <row r="1144" spans="1:6" ht="30" x14ac:dyDescent="0.25">
      <c r="A1144" s="436" t="s">
        <v>2393</v>
      </c>
      <c r="B1144" s="436" t="s">
        <v>2378</v>
      </c>
      <c r="C1144" s="436" t="s">
        <v>2970</v>
      </c>
      <c r="D1144" s="436" t="s">
        <v>2378</v>
      </c>
      <c r="E1144" s="436" t="s">
        <v>2971</v>
      </c>
      <c r="F1144" s="436" t="s">
        <v>2381</v>
      </c>
    </row>
    <row r="1145" spans="1:6" ht="30" x14ac:dyDescent="0.25">
      <c r="A1145" s="436" t="s">
        <v>2394</v>
      </c>
      <c r="B1145" s="436" t="s">
        <v>2378</v>
      </c>
      <c r="C1145" s="436" t="s">
        <v>2384</v>
      </c>
      <c r="D1145" s="436" t="s">
        <v>2378</v>
      </c>
      <c r="E1145" s="436" t="s">
        <v>2385</v>
      </c>
      <c r="F1145" s="436" t="s">
        <v>2381</v>
      </c>
    </row>
    <row r="1146" spans="1:6" ht="30" x14ac:dyDescent="0.25">
      <c r="A1146" s="436" t="s">
        <v>2394</v>
      </c>
      <c r="B1146" s="436" t="s">
        <v>2378</v>
      </c>
      <c r="C1146" s="436" t="s">
        <v>2970</v>
      </c>
      <c r="D1146" s="436" t="s">
        <v>2378</v>
      </c>
      <c r="E1146" s="436" t="s">
        <v>2971</v>
      </c>
      <c r="F1146" s="436" t="s">
        <v>2381</v>
      </c>
    </row>
    <row r="1147" spans="1:6" ht="30" x14ac:dyDescent="0.25">
      <c r="A1147" s="436" t="s">
        <v>2395</v>
      </c>
      <c r="B1147" s="436" t="s">
        <v>2378</v>
      </c>
      <c r="C1147" s="436" t="s">
        <v>2384</v>
      </c>
      <c r="D1147" s="436" t="s">
        <v>2378</v>
      </c>
      <c r="E1147" s="436" t="s">
        <v>2385</v>
      </c>
      <c r="F1147" s="436" t="s">
        <v>2381</v>
      </c>
    </row>
    <row r="1148" spans="1:6" ht="30" x14ac:dyDescent="0.25">
      <c r="A1148" s="436" t="s">
        <v>2395</v>
      </c>
      <c r="B1148" s="436" t="s">
        <v>2378</v>
      </c>
      <c r="C1148" s="436" t="s">
        <v>2970</v>
      </c>
      <c r="D1148" s="436" t="s">
        <v>2378</v>
      </c>
      <c r="E1148" s="436" t="s">
        <v>2971</v>
      </c>
      <c r="F1148" s="436" t="s">
        <v>2381</v>
      </c>
    </row>
    <row r="1149" spans="1:6" ht="60" x14ac:dyDescent="0.25">
      <c r="A1149" s="436" t="s">
        <v>2972</v>
      </c>
      <c r="B1149" s="436" t="s">
        <v>2378</v>
      </c>
      <c r="C1149" s="436" t="s">
        <v>2386</v>
      </c>
      <c r="D1149" s="436" t="s">
        <v>2378</v>
      </c>
      <c r="E1149" s="436" t="s">
        <v>2387</v>
      </c>
      <c r="F1149" s="436" t="s">
        <v>2381</v>
      </c>
    </row>
    <row r="1150" spans="1:6" ht="60" x14ac:dyDescent="0.25">
      <c r="A1150" s="436" t="s">
        <v>2972</v>
      </c>
      <c r="B1150" s="436" t="s">
        <v>2378</v>
      </c>
      <c r="C1150" s="436" t="s">
        <v>2973</v>
      </c>
      <c r="D1150" s="436" t="s">
        <v>2378</v>
      </c>
      <c r="E1150" s="436" t="s">
        <v>2974</v>
      </c>
      <c r="F1150" s="436" t="s">
        <v>2381</v>
      </c>
    </row>
    <row r="1151" spans="1:6" ht="30" x14ac:dyDescent="0.25">
      <c r="A1151" s="436" t="s">
        <v>2397</v>
      </c>
      <c r="B1151" s="436" t="s">
        <v>2378</v>
      </c>
      <c r="C1151" s="436" t="s">
        <v>2386</v>
      </c>
      <c r="D1151" s="436" t="s">
        <v>2378</v>
      </c>
      <c r="E1151" s="436" t="s">
        <v>2387</v>
      </c>
      <c r="F1151" s="436" t="s">
        <v>2381</v>
      </c>
    </row>
    <row r="1152" spans="1:6" ht="30" x14ac:dyDescent="0.25">
      <c r="A1152" s="436" t="s">
        <v>2397</v>
      </c>
      <c r="B1152" s="436" t="s">
        <v>2378</v>
      </c>
      <c r="C1152" s="436" t="s">
        <v>2973</v>
      </c>
      <c r="D1152" s="436" t="s">
        <v>2378</v>
      </c>
      <c r="E1152" s="436" t="s">
        <v>2974</v>
      </c>
      <c r="F1152" s="436" t="s">
        <v>2381</v>
      </c>
    </row>
    <row r="1153" spans="1:6" ht="30" x14ac:dyDescent="0.25">
      <c r="A1153" s="436" t="s">
        <v>2398</v>
      </c>
      <c r="B1153" s="436" t="s">
        <v>2378</v>
      </c>
      <c r="C1153" s="436" t="s">
        <v>2386</v>
      </c>
      <c r="D1153" s="436" t="s">
        <v>2378</v>
      </c>
      <c r="E1153" s="436" t="s">
        <v>2387</v>
      </c>
      <c r="F1153" s="436" t="s">
        <v>2381</v>
      </c>
    </row>
    <row r="1154" spans="1:6" ht="30" x14ac:dyDescent="0.25">
      <c r="A1154" s="436" t="s">
        <v>2398</v>
      </c>
      <c r="B1154" s="436" t="s">
        <v>2378</v>
      </c>
      <c r="C1154" s="436" t="s">
        <v>2973</v>
      </c>
      <c r="D1154" s="436" t="s">
        <v>2378</v>
      </c>
      <c r="E1154" s="436" t="s">
        <v>2974</v>
      </c>
      <c r="F1154" s="436" t="s">
        <v>2381</v>
      </c>
    </row>
    <row r="1155" spans="1:6" ht="45" x14ac:dyDescent="0.25">
      <c r="A1155" s="436" t="s">
        <v>2399</v>
      </c>
      <c r="B1155" s="436" t="s">
        <v>2378</v>
      </c>
      <c r="C1155" s="436" t="s">
        <v>2400</v>
      </c>
      <c r="D1155" s="436" t="s">
        <v>2378</v>
      </c>
      <c r="E1155" s="436" t="s">
        <v>2401</v>
      </c>
      <c r="F1155" s="436" t="s">
        <v>2402</v>
      </c>
    </row>
    <row r="1156" spans="1:6" ht="45" x14ac:dyDescent="0.25">
      <c r="A1156" s="436" t="s">
        <v>2399</v>
      </c>
      <c r="B1156" s="436" t="s">
        <v>2378</v>
      </c>
      <c r="C1156" s="436" t="s">
        <v>2403</v>
      </c>
      <c r="D1156" s="436" t="s">
        <v>2378</v>
      </c>
      <c r="E1156" s="436" t="s">
        <v>2404</v>
      </c>
      <c r="F1156" s="436" t="s">
        <v>2402</v>
      </c>
    </row>
    <row r="1157" spans="1:6" ht="45" x14ac:dyDescent="0.25">
      <c r="A1157" s="436" t="s">
        <v>2399</v>
      </c>
      <c r="B1157" s="436" t="s">
        <v>2378</v>
      </c>
      <c r="C1157" s="436" t="s">
        <v>2975</v>
      </c>
      <c r="D1157" s="436" t="s">
        <v>2378</v>
      </c>
      <c r="E1157" s="436" t="s">
        <v>2976</v>
      </c>
      <c r="F1157" s="436" t="s">
        <v>2402</v>
      </c>
    </row>
    <row r="1158" spans="1:6" ht="45" x14ac:dyDescent="0.25">
      <c r="A1158" s="436" t="s">
        <v>2406</v>
      </c>
      <c r="B1158" s="436" t="s">
        <v>2378</v>
      </c>
      <c r="C1158" s="436" t="s">
        <v>2400</v>
      </c>
      <c r="D1158" s="436" t="s">
        <v>2378</v>
      </c>
      <c r="E1158" s="436" t="s">
        <v>2401</v>
      </c>
      <c r="F1158" s="436" t="s">
        <v>2402</v>
      </c>
    </row>
    <row r="1159" spans="1:6" ht="45" x14ac:dyDescent="0.25">
      <c r="A1159" s="436" t="s">
        <v>2406</v>
      </c>
      <c r="B1159" s="436" t="s">
        <v>2378</v>
      </c>
      <c r="C1159" s="436" t="s">
        <v>2977</v>
      </c>
      <c r="D1159" s="436" t="s">
        <v>2378</v>
      </c>
      <c r="E1159" s="436" t="s">
        <v>2978</v>
      </c>
      <c r="F1159" s="436" t="s">
        <v>2402</v>
      </c>
    </row>
    <row r="1160" spans="1:6" ht="45" x14ac:dyDescent="0.25">
      <c r="A1160" s="436" t="s">
        <v>2406</v>
      </c>
      <c r="B1160" s="436" t="s">
        <v>2378</v>
      </c>
      <c r="C1160" s="436" t="s">
        <v>2975</v>
      </c>
      <c r="D1160" s="436" t="s">
        <v>2378</v>
      </c>
      <c r="E1160" s="436" t="s">
        <v>2976</v>
      </c>
      <c r="F1160" s="436" t="s">
        <v>2402</v>
      </c>
    </row>
    <row r="1161" spans="1:6" ht="45" x14ac:dyDescent="0.25">
      <c r="A1161" s="436" t="s">
        <v>2407</v>
      </c>
      <c r="B1161" s="436" t="s">
        <v>2378</v>
      </c>
      <c r="C1161" s="436" t="s">
        <v>2400</v>
      </c>
      <c r="D1161" s="436" t="s">
        <v>2378</v>
      </c>
      <c r="E1161" s="436" t="s">
        <v>2401</v>
      </c>
      <c r="F1161" s="436" t="s">
        <v>2402</v>
      </c>
    </row>
    <row r="1162" spans="1:6" ht="45" x14ac:dyDescent="0.25">
      <c r="A1162" s="436" t="s">
        <v>2407</v>
      </c>
      <c r="B1162" s="436" t="s">
        <v>2378</v>
      </c>
      <c r="C1162" s="436" t="s">
        <v>2403</v>
      </c>
      <c r="D1162" s="436" t="s">
        <v>2378</v>
      </c>
      <c r="E1162" s="436" t="s">
        <v>2404</v>
      </c>
      <c r="F1162" s="436" t="s">
        <v>2402</v>
      </c>
    </row>
    <row r="1163" spans="1:6" ht="45" x14ac:dyDescent="0.25">
      <c r="A1163" s="436" t="s">
        <v>2407</v>
      </c>
      <c r="B1163" s="436" t="s">
        <v>2378</v>
      </c>
      <c r="C1163" s="436" t="s">
        <v>2975</v>
      </c>
      <c r="D1163" s="436" t="s">
        <v>2378</v>
      </c>
      <c r="E1163" s="436" t="s">
        <v>2976</v>
      </c>
      <c r="F1163" s="436" t="s">
        <v>2402</v>
      </c>
    </row>
    <row r="1164" spans="1:6" ht="30" x14ac:dyDescent="0.25">
      <c r="A1164" s="436" t="s">
        <v>2979</v>
      </c>
      <c r="B1164" s="436" t="s">
        <v>2378</v>
      </c>
      <c r="C1164" s="436" t="s">
        <v>2980</v>
      </c>
      <c r="D1164" s="436" t="s">
        <v>2378</v>
      </c>
      <c r="E1164" s="436" t="s">
        <v>2981</v>
      </c>
      <c r="F1164" s="436" t="s">
        <v>2381</v>
      </c>
    </row>
    <row r="1165" spans="1:6" ht="45" x14ac:dyDescent="0.25">
      <c r="A1165" s="436" t="s">
        <v>2982</v>
      </c>
      <c r="B1165" s="436" t="s">
        <v>2378</v>
      </c>
      <c r="C1165" s="436" t="s">
        <v>2980</v>
      </c>
      <c r="D1165" s="436" t="s">
        <v>2378</v>
      </c>
      <c r="E1165" s="436" t="s">
        <v>2981</v>
      </c>
      <c r="F1165" s="436" t="s">
        <v>2381</v>
      </c>
    </row>
    <row r="1166" spans="1:6" ht="30" x14ac:dyDescent="0.25">
      <c r="A1166" s="436" t="s">
        <v>2983</v>
      </c>
      <c r="B1166" s="436" t="s">
        <v>2378</v>
      </c>
      <c r="C1166" s="436" t="s">
        <v>2980</v>
      </c>
      <c r="D1166" s="436" t="s">
        <v>2378</v>
      </c>
      <c r="E1166" s="436" t="s">
        <v>2981</v>
      </c>
      <c r="F1166" s="436" t="s">
        <v>2381</v>
      </c>
    </row>
    <row r="1167" spans="1:6" ht="30" x14ac:dyDescent="0.25">
      <c r="A1167" s="436" t="s">
        <v>2984</v>
      </c>
      <c r="B1167" s="436" t="s">
        <v>2378</v>
      </c>
      <c r="C1167" s="436" t="s">
        <v>2980</v>
      </c>
      <c r="D1167" s="436" t="s">
        <v>2378</v>
      </c>
      <c r="E1167" s="436" t="s">
        <v>2981</v>
      </c>
      <c r="F1167" s="436" t="s">
        <v>2381</v>
      </c>
    </row>
    <row r="1168" spans="1:6" ht="30" x14ac:dyDescent="0.25">
      <c r="A1168" s="436" t="s">
        <v>2408</v>
      </c>
      <c r="B1168" s="436" t="s">
        <v>2378</v>
      </c>
      <c r="C1168" s="436" t="s">
        <v>2388</v>
      </c>
      <c r="D1168" s="436" t="s">
        <v>2378</v>
      </c>
      <c r="E1168" s="436" t="s">
        <v>2389</v>
      </c>
      <c r="F1168" s="436" t="s">
        <v>2381</v>
      </c>
    </row>
    <row r="1169" spans="1:6" ht="45" x14ac:dyDescent="0.25">
      <c r="A1169" s="436" t="s">
        <v>2408</v>
      </c>
      <c r="B1169" s="436" t="s">
        <v>2378</v>
      </c>
      <c r="C1169" s="436" t="s">
        <v>2985</v>
      </c>
      <c r="D1169" s="436" t="s">
        <v>2378</v>
      </c>
      <c r="E1169" s="436" t="s">
        <v>2986</v>
      </c>
      <c r="F1169" s="436" t="s">
        <v>2381</v>
      </c>
    </row>
    <row r="1170" spans="1:6" ht="30" x14ac:dyDescent="0.25">
      <c r="A1170" s="436" t="s">
        <v>2409</v>
      </c>
      <c r="B1170" s="436" t="s">
        <v>2378</v>
      </c>
      <c r="C1170" s="436" t="s">
        <v>2388</v>
      </c>
      <c r="D1170" s="436" t="s">
        <v>2378</v>
      </c>
      <c r="E1170" s="436" t="s">
        <v>2389</v>
      </c>
      <c r="F1170" s="436" t="s">
        <v>2381</v>
      </c>
    </row>
    <row r="1171" spans="1:6" ht="45" x14ac:dyDescent="0.25">
      <c r="A1171" s="436" t="s">
        <v>2410</v>
      </c>
      <c r="B1171" s="436" t="s">
        <v>2378</v>
      </c>
      <c r="C1171" s="436" t="s">
        <v>2388</v>
      </c>
      <c r="D1171" s="436" t="s">
        <v>2378</v>
      </c>
      <c r="E1171" s="436" t="s">
        <v>2389</v>
      </c>
      <c r="F1171" s="436" t="s">
        <v>2381</v>
      </c>
    </row>
    <row r="1172" spans="1:6" ht="45" x14ac:dyDescent="0.25">
      <c r="A1172" s="436" t="s">
        <v>2410</v>
      </c>
      <c r="B1172" s="436" t="s">
        <v>2378</v>
      </c>
      <c r="C1172" s="436" t="s">
        <v>2985</v>
      </c>
      <c r="D1172" s="436" t="s">
        <v>2378</v>
      </c>
      <c r="E1172" s="436" t="s">
        <v>2986</v>
      </c>
      <c r="F1172" s="436" t="s">
        <v>2381</v>
      </c>
    </row>
    <row r="1173" spans="1:6" ht="30" x14ac:dyDescent="0.25">
      <c r="A1173" s="436" t="s">
        <v>2411</v>
      </c>
      <c r="B1173" s="436" t="s">
        <v>2378</v>
      </c>
      <c r="C1173" s="436" t="s">
        <v>2382</v>
      </c>
      <c r="D1173" s="436" t="s">
        <v>2378</v>
      </c>
      <c r="E1173" s="436" t="s">
        <v>2383</v>
      </c>
      <c r="F1173" s="436" t="s">
        <v>2381</v>
      </c>
    </row>
    <row r="1174" spans="1:6" ht="45" x14ac:dyDescent="0.25">
      <c r="A1174" s="436" t="s">
        <v>2411</v>
      </c>
      <c r="B1174" s="436" t="s">
        <v>2378</v>
      </c>
      <c r="C1174" s="436" t="s">
        <v>2987</v>
      </c>
      <c r="D1174" s="436" t="s">
        <v>2378</v>
      </c>
      <c r="E1174" s="436" t="s">
        <v>2988</v>
      </c>
      <c r="F1174" s="436" t="s">
        <v>2381</v>
      </c>
    </row>
    <row r="1175" spans="1:6" ht="30" x14ac:dyDescent="0.25">
      <c r="A1175" s="436" t="s">
        <v>2412</v>
      </c>
      <c r="B1175" s="436" t="s">
        <v>2378</v>
      </c>
      <c r="C1175" s="436" t="s">
        <v>2382</v>
      </c>
      <c r="D1175" s="436" t="s">
        <v>2378</v>
      </c>
      <c r="E1175" s="436" t="s">
        <v>2383</v>
      </c>
      <c r="F1175" s="436" t="s">
        <v>2381</v>
      </c>
    </row>
    <row r="1176" spans="1:6" ht="45" x14ac:dyDescent="0.25">
      <c r="A1176" s="436" t="s">
        <v>2412</v>
      </c>
      <c r="B1176" s="436" t="s">
        <v>2378</v>
      </c>
      <c r="C1176" s="436" t="s">
        <v>2987</v>
      </c>
      <c r="D1176" s="436" t="s">
        <v>2378</v>
      </c>
      <c r="E1176" s="436" t="s">
        <v>2988</v>
      </c>
      <c r="F1176" s="436" t="s">
        <v>2381</v>
      </c>
    </row>
    <row r="1177" spans="1:6" ht="45" x14ac:dyDescent="0.25">
      <c r="A1177" s="436" t="s">
        <v>2413</v>
      </c>
      <c r="B1177" s="436" t="s">
        <v>2378</v>
      </c>
      <c r="C1177" s="436" t="s">
        <v>2382</v>
      </c>
      <c r="D1177" s="436" t="s">
        <v>2378</v>
      </c>
      <c r="E1177" s="436" t="s">
        <v>2383</v>
      </c>
      <c r="F1177" s="436" t="s">
        <v>2381</v>
      </c>
    </row>
    <row r="1178" spans="1:6" ht="45" x14ac:dyDescent="0.25">
      <c r="A1178" s="436" t="s">
        <v>2413</v>
      </c>
      <c r="B1178" s="436" t="s">
        <v>2378</v>
      </c>
      <c r="C1178" s="436" t="s">
        <v>2987</v>
      </c>
      <c r="D1178" s="436" t="s">
        <v>2378</v>
      </c>
      <c r="E1178" s="436" t="s">
        <v>2988</v>
      </c>
      <c r="F1178" s="436" t="s">
        <v>2381</v>
      </c>
    </row>
    <row r="1179" spans="1:6" ht="45" x14ac:dyDescent="0.25">
      <c r="A1179" s="436" t="s">
        <v>2414</v>
      </c>
      <c r="B1179" s="436" t="s">
        <v>2378</v>
      </c>
      <c r="C1179" s="436" t="s">
        <v>2382</v>
      </c>
      <c r="D1179" s="436" t="s">
        <v>2378</v>
      </c>
      <c r="E1179" s="436" t="s">
        <v>2383</v>
      </c>
      <c r="F1179" s="436" t="s">
        <v>2381</v>
      </c>
    </row>
    <row r="1180" spans="1:6" ht="45" x14ac:dyDescent="0.25">
      <c r="A1180" s="436" t="s">
        <v>2414</v>
      </c>
      <c r="B1180" s="436" t="s">
        <v>2378</v>
      </c>
      <c r="C1180" s="436" t="s">
        <v>2987</v>
      </c>
      <c r="D1180" s="436" t="s">
        <v>2378</v>
      </c>
      <c r="E1180" s="436" t="s">
        <v>2988</v>
      </c>
      <c r="F1180" s="436" t="s">
        <v>2989</v>
      </c>
    </row>
    <row r="1181" spans="1:6" ht="45" x14ac:dyDescent="0.25">
      <c r="A1181" s="436" t="s">
        <v>2414</v>
      </c>
      <c r="B1181" s="436" t="s">
        <v>2378</v>
      </c>
      <c r="C1181" s="436" t="s">
        <v>2957</v>
      </c>
      <c r="D1181" s="436" t="s">
        <v>2259</v>
      </c>
      <c r="E1181" s="436" t="s">
        <v>2958</v>
      </c>
      <c r="F1181" s="436" t="s">
        <v>2295</v>
      </c>
    </row>
    <row r="1182" spans="1:6" ht="45" x14ac:dyDescent="0.25">
      <c r="A1182" s="436" t="s">
        <v>2418</v>
      </c>
      <c r="B1182" s="436" t="s">
        <v>2378</v>
      </c>
      <c r="C1182" s="436" t="s">
        <v>2416</v>
      </c>
      <c r="D1182" s="436" t="s">
        <v>2378</v>
      </c>
      <c r="E1182" s="436" t="s">
        <v>2417</v>
      </c>
      <c r="F1182" s="436" t="s">
        <v>2402</v>
      </c>
    </row>
    <row r="1183" spans="1:6" ht="45" x14ac:dyDescent="0.25">
      <c r="A1183" s="436" t="s">
        <v>2418</v>
      </c>
      <c r="B1183" s="436" t="s">
        <v>2378</v>
      </c>
      <c r="C1183" s="436" t="s">
        <v>2990</v>
      </c>
      <c r="D1183" s="436" t="s">
        <v>2378</v>
      </c>
      <c r="E1183" s="436" t="s">
        <v>2991</v>
      </c>
      <c r="F1183" s="436" t="s">
        <v>2402</v>
      </c>
    </row>
    <row r="1184" spans="1:6" ht="45" x14ac:dyDescent="0.25">
      <c r="A1184" s="436" t="s">
        <v>2419</v>
      </c>
      <c r="B1184" s="436" t="s">
        <v>2378</v>
      </c>
      <c r="C1184" s="436" t="s">
        <v>2420</v>
      </c>
      <c r="D1184" s="436" t="s">
        <v>2378</v>
      </c>
      <c r="E1184" s="436" t="s">
        <v>2421</v>
      </c>
      <c r="F1184" s="436" t="s">
        <v>2402</v>
      </c>
    </row>
    <row r="1185" spans="1:6" ht="75" x14ac:dyDescent="0.25">
      <c r="A1185" s="436" t="s">
        <v>2419</v>
      </c>
      <c r="B1185" s="436" t="s">
        <v>2378</v>
      </c>
      <c r="C1185" s="436" t="s">
        <v>2992</v>
      </c>
      <c r="D1185" s="436" t="s">
        <v>2378</v>
      </c>
      <c r="E1185" s="436" t="s">
        <v>2993</v>
      </c>
      <c r="F1185" s="436" t="s">
        <v>2402</v>
      </c>
    </row>
    <row r="1186" spans="1:6" ht="45" x14ac:dyDescent="0.25">
      <c r="A1186" s="436" t="s">
        <v>2994</v>
      </c>
      <c r="B1186" s="436" t="s">
        <v>2378</v>
      </c>
      <c r="C1186" s="436" t="s">
        <v>2995</v>
      </c>
      <c r="D1186" s="436" t="s">
        <v>2378</v>
      </c>
      <c r="E1186" s="436" t="s">
        <v>2996</v>
      </c>
      <c r="F1186" s="436" t="s">
        <v>2402</v>
      </c>
    </row>
    <row r="1187" spans="1:6" ht="30" x14ac:dyDescent="0.25">
      <c r="A1187" s="436" t="s">
        <v>2997</v>
      </c>
      <c r="B1187" s="436" t="s">
        <v>2378</v>
      </c>
      <c r="C1187" s="436" t="s">
        <v>2998</v>
      </c>
      <c r="D1187" s="436" t="s">
        <v>2378</v>
      </c>
      <c r="E1187" s="436" t="s">
        <v>2999</v>
      </c>
      <c r="F1187" s="436" t="s">
        <v>2381</v>
      </c>
    </row>
    <row r="1188" spans="1:6" ht="30" x14ac:dyDescent="0.25">
      <c r="A1188" s="436" t="s">
        <v>3000</v>
      </c>
      <c r="B1188" s="436" t="s">
        <v>3001</v>
      </c>
      <c r="C1188" s="436" t="s">
        <v>3002</v>
      </c>
      <c r="D1188" s="436" t="s">
        <v>3001</v>
      </c>
      <c r="E1188" s="436" t="s">
        <v>3003</v>
      </c>
      <c r="F1188" s="436" t="s">
        <v>2429</v>
      </c>
    </row>
    <row r="1189" spans="1:6" ht="45" x14ac:dyDescent="0.25">
      <c r="A1189" s="436" t="s">
        <v>3004</v>
      </c>
      <c r="B1189" s="436" t="s">
        <v>3001</v>
      </c>
      <c r="C1189" s="436" t="s">
        <v>3005</v>
      </c>
      <c r="D1189" s="436" t="s">
        <v>3001</v>
      </c>
      <c r="E1189" s="436" t="s">
        <v>3006</v>
      </c>
      <c r="F1189" s="436" t="s">
        <v>2429</v>
      </c>
    </row>
    <row r="1190" spans="1:6" ht="30" x14ac:dyDescent="0.25">
      <c r="A1190" s="436" t="s">
        <v>3007</v>
      </c>
      <c r="B1190" s="436" t="s">
        <v>3001</v>
      </c>
      <c r="C1190" s="436" t="s">
        <v>3002</v>
      </c>
      <c r="D1190" s="436" t="s">
        <v>3001</v>
      </c>
      <c r="E1190" s="436" t="s">
        <v>3003</v>
      </c>
      <c r="F1190" s="436" t="s">
        <v>2429</v>
      </c>
    </row>
    <row r="1191" spans="1:6" ht="30" x14ac:dyDescent="0.25">
      <c r="A1191" s="436" t="s">
        <v>3008</v>
      </c>
      <c r="B1191" s="436" t="s">
        <v>3001</v>
      </c>
      <c r="C1191" s="436" t="s">
        <v>3002</v>
      </c>
      <c r="D1191" s="436" t="s">
        <v>3001</v>
      </c>
      <c r="E1191" s="436" t="s">
        <v>3003</v>
      </c>
      <c r="F1191" s="436" t="s">
        <v>2429</v>
      </c>
    </row>
    <row r="1192" spans="1:6" ht="30" x14ac:dyDescent="0.25">
      <c r="A1192" s="436" t="s">
        <v>3009</v>
      </c>
      <c r="B1192" s="436" t="s">
        <v>3001</v>
      </c>
      <c r="C1192" s="436" t="s">
        <v>3002</v>
      </c>
      <c r="D1192" s="436" t="s">
        <v>3001</v>
      </c>
      <c r="E1192" s="436" t="s">
        <v>3003</v>
      </c>
      <c r="F1192" s="436" t="s">
        <v>2429</v>
      </c>
    </row>
    <row r="1193" spans="1:6" ht="45" x14ac:dyDescent="0.25">
      <c r="A1193" s="436" t="s">
        <v>2430</v>
      </c>
      <c r="B1193" s="436" t="s">
        <v>2423</v>
      </c>
      <c r="C1193" s="436" t="s">
        <v>2424</v>
      </c>
      <c r="D1193" s="436" t="s">
        <v>2423</v>
      </c>
      <c r="E1193" s="436" t="s">
        <v>2425</v>
      </c>
      <c r="F1193" s="436" t="s">
        <v>2426</v>
      </c>
    </row>
    <row r="1194" spans="1:6" ht="45" x14ac:dyDescent="0.25">
      <c r="C1194" s="436" t="s">
        <v>3010</v>
      </c>
      <c r="D1194" s="436" t="s">
        <v>2423</v>
      </c>
      <c r="E1194" s="436" t="s">
        <v>3011</v>
      </c>
      <c r="F1194" s="436" t="s">
        <v>2426</v>
      </c>
    </row>
    <row r="1195" spans="1:6" ht="60" x14ac:dyDescent="0.25">
      <c r="C1195" s="436" t="s">
        <v>3012</v>
      </c>
      <c r="D1195" s="436" t="s">
        <v>2423</v>
      </c>
      <c r="E1195" s="436" t="s">
        <v>3013</v>
      </c>
      <c r="F1195" s="436" t="s">
        <v>2426</v>
      </c>
    </row>
    <row r="1196" spans="1:6" ht="60" x14ac:dyDescent="0.25">
      <c r="A1196" s="436" t="s">
        <v>2430</v>
      </c>
      <c r="B1196" s="436" t="s">
        <v>2423</v>
      </c>
      <c r="C1196" s="436" t="s">
        <v>3014</v>
      </c>
      <c r="D1196" s="436" t="s">
        <v>2423</v>
      </c>
      <c r="E1196" s="436" t="s">
        <v>3015</v>
      </c>
      <c r="F1196" s="436" t="s">
        <v>2426</v>
      </c>
    </row>
    <row r="1197" spans="1:6" ht="45" x14ac:dyDescent="0.25">
      <c r="A1197" s="436" t="s">
        <v>2431</v>
      </c>
      <c r="B1197" s="436" t="s">
        <v>2423</v>
      </c>
      <c r="C1197" s="436" t="s">
        <v>2424</v>
      </c>
      <c r="D1197" s="436" t="s">
        <v>2423</v>
      </c>
      <c r="E1197" s="436" t="s">
        <v>2425</v>
      </c>
      <c r="F1197" s="436" t="s">
        <v>2426</v>
      </c>
    </row>
    <row r="1198" spans="1:6" ht="60" x14ac:dyDescent="0.25">
      <c r="A1198" s="436" t="s">
        <v>2431</v>
      </c>
      <c r="B1198" s="436" t="s">
        <v>2423</v>
      </c>
      <c r="C1198" s="436" t="s">
        <v>3014</v>
      </c>
      <c r="D1198" s="436" t="s">
        <v>2423</v>
      </c>
      <c r="E1198" s="436" t="s">
        <v>3015</v>
      </c>
      <c r="F1198" s="436" t="s">
        <v>2426</v>
      </c>
    </row>
    <row r="1199" spans="1:6" ht="45" x14ac:dyDescent="0.25">
      <c r="A1199" s="436" t="s">
        <v>2432</v>
      </c>
      <c r="B1199" s="436" t="s">
        <v>2423</v>
      </c>
      <c r="C1199" s="436" t="s">
        <v>2424</v>
      </c>
      <c r="D1199" s="436" t="s">
        <v>2423</v>
      </c>
      <c r="E1199" s="436" t="s">
        <v>2425</v>
      </c>
      <c r="F1199" s="436" t="s">
        <v>2426</v>
      </c>
    </row>
    <row r="1200" spans="1:6" ht="60" x14ac:dyDescent="0.25">
      <c r="A1200" s="436" t="s">
        <v>2432</v>
      </c>
      <c r="B1200" s="436" t="s">
        <v>2423</v>
      </c>
      <c r="C1200" s="436" t="s">
        <v>3014</v>
      </c>
      <c r="D1200" s="436" t="s">
        <v>2423</v>
      </c>
      <c r="E1200" s="436" t="s">
        <v>3015</v>
      </c>
      <c r="F1200" s="436" t="s">
        <v>3016</v>
      </c>
    </row>
    <row r="1201" spans="1:6" ht="45" x14ac:dyDescent="0.25">
      <c r="A1201" s="436" t="s">
        <v>2433</v>
      </c>
      <c r="B1201" s="436" t="s">
        <v>2423</v>
      </c>
      <c r="C1201" s="436" t="s">
        <v>2424</v>
      </c>
      <c r="D1201" s="436" t="s">
        <v>3017</v>
      </c>
      <c r="E1201" s="436" t="s">
        <v>3018</v>
      </c>
      <c r="F1201" s="436" t="s">
        <v>2426</v>
      </c>
    </row>
    <row r="1202" spans="1:6" ht="60" x14ac:dyDescent="0.25">
      <c r="A1202" s="436" t="s">
        <v>2433</v>
      </c>
      <c r="B1202" s="436" t="s">
        <v>2423</v>
      </c>
      <c r="C1202" s="436" t="s">
        <v>3014</v>
      </c>
      <c r="D1202" s="436" t="s">
        <v>2423</v>
      </c>
      <c r="E1202" s="436" t="s">
        <v>3019</v>
      </c>
      <c r="F1202" s="436" t="s">
        <v>2426</v>
      </c>
    </row>
    <row r="1203" spans="1:6" ht="45" x14ac:dyDescent="0.25">
      <c r="A1203" s="436" t="s">
        <v>2434</v>
      </c>
      <c r="B1203" s="436" t="s">
        <v>2423</v>
      </c>
      <c r="C1203" s="436" t="s">
        <v>2424</v>
      </c>
      <c r="D1203" s="436" t="s">
        <v>2423</v>
      </c>
      <c r="E1203" s="436" t="s">
        <v>2425</v>
      </c>
      <c r="F1203" s="436" t="s">
        <v>2426</v>
      </c>
    </row>
    <row r="1204" spans="1:6" ht="60" x14ac:dyDescent="0.25">
      <c r="A1204" s="436" t="s">
        <v>2434</v>
      </c>
      <c r="B1204" s="436" t="s">
        <v>2423</v>
      </c>
      <c r="C1204" s="436" t="s">
        <v>3014</v>
      </c>
      <c r="D1204" s="436" t="s">
        <v>2423</v>
      </c>
      <c r="E1204" s="436" t="s">
        <v>3015</v>
      </c>
      <c r="F1204" s="436" t="s">
        <v>2426</v>
      </c>
    </row>
    <row r="1205" spans="1:6" ht="45" x14ac:dyDescent="0.25">
      <c r="A1205" s="436" t="s">
        <v>2435</v>
      </c>
      <c r="B1205" s="436" t="s">
        <v>2423</v>
      </c>
      <c r="C1205" s="436" t="s">
        <v>2424</v>
      </c>
      <c r="D1205" s="436" t="s">
        <v>2423</v>
      </c>
      <c r="E1205" s="436" t="s">
        <v>2425</v>
      </c>
      <c r="F1205" s="436" t="s">
        <v>2426</v>
      </c>
    </row>
    <row r="1206" spans="1:6" ht="45" x14ac:dyDescent="0.25">
      <c r="A1206" s="436" t="s">
        <v>2436</v>
      </c>
      <c r="B1206" s="436" t="s">
        <v>2423</v>
      </c>
      <c r="C1206" s="436" t="s">
        <v>2424</v>
      </c>
      <c r="D1206" s="436" t="s">
        <v>2423</v>
      </c>
      <c r="E1206" s="436" t="s">
        <v>2425</v>
      </c>
      <c r="F1206" s="436" t="s">
        <v>2426</v>
      </c>
    </row>
    <row r="1207" spans="1:6" ht="30" x14ac:dyDescent="0.25">
      <c r="A1207" s="436" t="s">
        <v>2437</v>
      </c>
      <c r="B1207" s="436" t="s">
        <v>2423</v>
      </c>
      <c r="C1207" s="436" t="s">
        <v>2427</v>
      </c>
      <c r="D1207" s="436" t="s">
        <v>2423</v>
      </c>
      <c r="E1207" s="436" t="s">
        <v>2428</v>
      </c>
      <c r="F1207" s="436" t="s">
        <v>2429</v>
      </c>
    </row>
    <row r="1208" spans="1:6" ht="45" x14ac:dyDescent="0.25">
      <c r="A1208" s="436" t="s">
        <v>2437</v>
      </c>
      <c r="B1208" s="436" t="s">
        <v>2423</v>
      </c>
      <c r="C1208" s="436" t="s">
        <v>3020</v>
      </c>
      <c r="D1208" s="436" t="s">
        <v>2423</v>
      </c>
      <c r="E1208" s="436" t="s">
        <v>3021</v>
      </c>
      <c r="F1208" s="436" t="s">
        <v>2426</v>
      </c>
    </row>
    <row r="1209" spans="1:6" ht="30" x14ac:dyDescent="0.25">
      <c r="A1209" s="436" t="s">
        <v>2438</v>
      </c>
      <c r="B1209" s="436" t="s">
        <v>2423</v>
      </c>
      <c r="C1209" s="436" t="s">
        <v>2427</v>
      </c>
      <c r="D1209" s="436" t="s">
        <v>2423</v>
      </c>
      <c r="E1209" s="436" t="s">
        <v>2428</v>
      </c>
      <c r="F1209" s="436" t="s">
        <v>2429</v>
      </c>
    </row>
    <row r="1210" spans="1:6" ht="45" x14ac:dyDescent="0.25">
      <c r="A1210" s="436" t="s">
        <v>2438</v>
      </c>
      <c r="B1210" s="436" t="s">
        <v>2423</v>
      </c>
      <c r="C1210" s="436" t="s">
        <v>3020</v>
      </c>
      <c r="D1210" s="436" t="s">
        <v>2423</v>
      </c>
      <c r="E1210" s="436" t="s">
        <v>3022</v>
      </c>
      <c r="F1210" s="436" t="s">
        <v>2426</v>
      </c>
    </row>
    <row r="1211" spans="1:6" ht="45" x14ac:dyDescent="0.25">
      <c r="A1211" s="436" t="s">
        <v>2439</v>
      </c>
      <c r="B1211" s="436" t="s">
        <v>2423</v>
      </c>
      <c r="C1211" s="436" t="s">
        <v>2427</v>
      </c>
      <c r="D1211" s="436" t="s">
        <v>2423</v>
      </c>
      <c r="E1211" s="436" t="s">
        <v>2428</v>
      </c>
      <c r="F1211" s="436" t="s">
        <v>2429</v>
      </c>
    </row>
    <row r="1212" spans="1:6" ht="45" x14ac:dyDescent="0.25">
      <c r="A1212" s="436" t="s">
        <v>2439</v>
      </c>
      <c r="B1212" s="436" t="s">
        <v>2423</v>
      </c>
      <c r="C1212" s="436" t="s">
        <v>3020</v>
      </c>
      <c r="D1212" s="436" t="s">
        <v>2423</v>
      </c>
      <c r="E1212" s="436" t="s">
        <v>3021</v>
      </c>
      <c r="F1212" s="436" t="s">
        <v>2426</v>
      </c>
    </row>
    <row r="1213" spans="1:6" ht="30" x14ac:dyDescent="0.25">
      <c r="A1213" s="436" t="s">
        <v>2440</v>
      </c>
      <c r="B1213" s="436" t="s">
        <v>2423</v>
      </c>
      <c r="C1213" s="436" t="s">
        <v>2427</v>
      </c>
      <c r="D1213" s="436" t="s">
        <v>2423</v>
      </c>
      <c r="E1213" s="436" t="s">
        <v>2428</v>
      </c>
      <c r="F1213" s="436" t="s">
        <v>2429</v>
      </c>
    </row>
    <row r="1214" spans="1:6" ht="45" x14ac:dyDescent="0.25">
      <c r="A1214" s="436" t="s">
        <v>2440</v>
      </c>
      <c r="B1214" s="436" t="s">
        <v>2423</v>
      </c>
      <c r="C1214" s="436" t="s">
        <v>3020</v>
      </c>
      <c r="D1214" s="436" t="s">
        <v>2423</v>
      </c>
      <c r="E1214" s="436" t="s">
        <v>3021</v>
      </c>
      <c r="F1214" s="436" t="s">
        <v>2426</v>
      </c>
    </row>
    <row r="1215" spans="1:6" ht="45" x14ac:dyDescent="0.25">
      <c r="A1215" s="436" t="s">
        <v>2441</v>
      </c>
      <c r="B1215" s="436" t="s">
        <v>2423</v>
      </c>
      <c r="C1215" s="436" t="s">
        <v>2427</v>
      </c>
      <c r="D1215" s="436" t="s">
        <v>2423</v>
      </c>
      <c r="E1215" s="436" t="s">
        <v>2428</v>
      </c>
      <c r="F1215" s="436" t="s">
        <v>2429</v>
      </c>
    </row>
    <row r="1216" spans="1:6" ht="45" x14ac:dyDescent="0.25">
      <c r="A1216" s="436" t="s">
        <v>2441</v>
      </c>
      <c r="B1216" s="436" t="s">
        <v>2423</v>
      </c>
      <c r="C1216" s="436" t="s">
        <v>3020</v>
      </c>
      <c r="D1216" s="436" t="s">
        <v>2423</v>
      </c>
      <c r="E1216" s="436" t="s">
        <v>3021</v>
      </c>
      <c r="F1216" s="436" t="s">
        <v>2426</v>
      </c>
    </row>
    <row r="1217" spans="1:6" ht="45" x14ac:dyDescent="0.25">
      <c r="A1217" s="436" t="s">
        <v>2442</v>
      </c>
      <c r="B1217" s="436" t="s">
        <v>2423</v>
      </c>
      <c r="C1217" s="436" t="s">
        <v>2443</v>
      </c>
      <c r="D1217" s="436" t="s">
        <v>2423</v>
      </c>
      <c r="E1217" s="436" t="s">
        <v>2444</v>
      </c>
      <c r="F1217" s="436" t="s">
        <v>2426</v>
      </c>
    </row>
    <row r="1218" spans="1:6" ht="45" x14ac:dyDescent="0.25">
      <c r="A1218" s="436" t="s">
        <v>2442</v>
      </c>
      <c r="B1218" s="436" t="s">
        <v>2423</v>
      </c>
      <c r="C1218" s="436" t="s">
        <v>3020</v>
      </c>
      <c r="D1218" s="436" t="s">
        <v>2423</v>
      </c>
      <c r="E1218" s="436" t="s">
        <v>3021</v>
      </c>
      <c r="F1218" s="436" t="s">
        <v>2426</v>
      </c>
    </row>
    <row r="1219" spans="1:6" ht="60" x14ac:dyDescent="0.25">
      <c r="C1219" s="436" t="s">
        <v>3023</v>
      </c>
      <c r="D1219" s="436" t="s">
        <v>2423</v>
      </c>
      <c r="E1219" s="436" t="s">
        <v>3024</v>
      </c>
      <c r="F1219" s="436" t="s">
        <v>2429</v>
      </c>
    </row>
    <row r="1220" spans="1:6" ht="30" x14ac:dyDescent="0.25">
      <c r="A1220" s="436" t="s">
        <v>3025</v>
      </c>
      <c r="B1220" s="436" t="s">
        <v>2423</v>
      </c>
      <c r="C1220" s="436" t="s">
        <v>3026</v>
      </c>
      <c r="D1220" s="436" t="s">
        <v>2423</v>
      </c>
      <c r="E1220" s="436" t="s">
        <v>3027</v>
      </c>
      <c r="F1220" s="436" t="s">
        <v>2426</v>
      </c>
    </row>
    <row r="1221" spans="1:6" ht="30" x14ac:dyDescent="0.25">
      <c r="A1221" s="436" t="s">
        <v>3028</v>
      </c>
      <c r="B1221" s="436" t="s">
        <v>2423</v>
      </c>
      <c r="C1221" s="436" t="s">
        <v>3029</v>
      </c>
      <c r="D1221" s="436" t="s">
        <v>2423</v>
      </c>
      <c r="E1221" s="436" t="s">
        <v>3030</v>
      </c>
      <c r="F1221" s="436" t="s">
        <v>2426</v>
      </c>
    </row>
    <row r="1222" spans="1:6" ht="45" x14ac:dyDescent="0.25">
      <c r="A1222" s="436" t="s">
        <v>3031</v>
      </c>
      <c r="B1222" s="436" t="s">
        <v>2423</v>
      </c>
      <c r="C1222" s="436" t="s">
        <v>3032</v>
      </c>
      <c r="D1222" s="436" t="s">
        <v>2423</v>
      </c>
      <c r="E1222" s="436" t="s">
        <v>3033</v>
      </c>
      <c r="F1222" s="436" t="s">
        <v>2426</v>
      </c>
    </row>
    <row r="1223" spans="1:6" ht="30" x14ac:dyDescent="0.25">
      <c r="A1223" s="436" t="s">
        <v>2450</v>
      </c>
      <c r="B1223" s="436" t="s">
        <v>2446</v>
      </c>
      <c r="C1223" s="436" t="s">
        <v>2447</v>
      </c>
      <c r="D1223" s="436" t="s">
        <v>2446</v>
      </c>
      <c r="E1223" s="436" t="s">
        <v>2448</v>
      </c>
      <c r="F1223" s="436" t="s">
        <v>2449</v>
      </c>
    </row>
    <row r="1224" spans="1:6" ht="30" x14ac:dyDescent="0.25">
      <c r="A1224" s="436" t="s">
        <v>2450</v>
      </c>
      <c r="B1224" s="436" t="s">
        <v>2446</v>
      </c>
      <c r="C1224" s="436" t="s">
        <v>3034</v>
      </c>
      <c r="D1224" s="436" t="s">
        <v>2446</v>
      </c>
      <c r="E1224" s="436" t="s">
        <v>3035</v>
      </c>
      <c r="F1224" s="436" t="s">
        <v>2449</v>
      </c>
    </row>
    <row r="1225" spans="1:6" ht="30" x14ac:dyDescent="0.25">
      <c r="A1225" s="436" t="s">
        <v>2451</v>
      </c>
      <c r="B1225" s="436" t="s">
        <v>2446</v>
      </c>
      <c r="C1225" s="436" t="s">
        <v>2447</v>
      </c>
      <c r="D1225" s="436" t="s">
        <v>2446</v>
      </c>
      <c r="E1225" s="436" t="s">
        <v>2448</v>
      </c>
      <c r="F1225" s="436" t="s">
        <v>2449</v>
      </c>
    </row>
    <row r="1226" spans="1:6" ht="30" x14ac:dyDescent="0.25">
      <c r="A1226" s="436" t="s">
        <v>2451</v>
      </c>
      <c r="B1226" s="436" t="s">
        <v>2446</v>
      </c>
      <c r="C1226" s="436" t="s">
        <v>3036</v>
      </c>
      <c r="D1226" s="436" t="s">
        <v>2446</v>
      </c>
      <c r="E1226" s="436" t="s">
        <v>3037</v>
      </c>
      <c r="F1226" s="436" t="s">
        <v>2449</v>
      </c>
    </row>
    <row r="1227" spans="1:6" ht="30" x14ac:dyDescent="0.25">
      <c r="A1227" s="436" t="s">
        <v>2452</v>
      </c>
      <c r="B1227" s="436" t="s">
        <v>2446</v>
      </c>
      <c r="C1227" s="436" t="s">
        <v>2447</v>
      </c>
      <c r="D1227" s="436" t="s">
        <v>2446</v>
      </c>
      <c r="E1227" s="436" t="s">
        <v>2448</v>
      </c>
      <c r="F1227" s="436" t="s">
        <v>2449</v>
      </c>
    </row>
    <row r="1228" spans="1:6" ht="30" x14ac:dyDescent="0.25">
      <c r="A1228" s="436" t="s">
        <v>2452</v>
      </c>
      <c r="B1228" s="436" t="s">
        <v>2446</v>
      </c>
      <c r="C1228" s="436" t="s">
        <v>3036</v>
      </c>
      <c r="D1228" s="436" t="s">
        <v>2446</v>
      </c>
      <c r="E1228" s="436" t="s">
        <v>3037</v>
      </c>
      <c r="F1228" s="436" t="s">
        <v>2449</v>
      </c>
    </row>
    <row r="1229" spans="1:6" ht="45" x14ac:dyDescent="0.25">
      <c r="A1229" s="436" t="s">
        <v>2453</v>
      </c>
      <c r="B1229" s="436" t="s">
        <v>2446</v>
      </c>
      <c r="C1229" s="436" t="s">
        <v>2447</v>
      </c>
      <c r="D1229" s="436" t="s">
        <v>2446</v>
      </c>
      <c r="E1229" s="436" t="s">
        <v>2448</v>
      </c>
      <c r="F1229" s="436" t="s">
        <v>2449</v>
      </c>
    </row>
    <row r="1230" spans="1:6" ht="45" x14ac:dyDescent="0.25">
      <c r="A1230" s="436" t="s">
        <v>2453</v>
      </c>
      <c r="B1230" s="436" t="s">
        <v>2446</v>
      </c>
      <c r="C1230" s="436" t="s">
        <v>3036</v>
      </c>
      <c r="D1230" s="436" t="s">
        <v>2446</v>
      </c>
      <c r="E1230" s="436" t="s">
        <v>3037</v>
      </c>
      <c r="F1230" s="436" t="s">
        <v>2449</v>
      </c>
    </row>
    <row r="1231" spans="1:6" ht="45" x14ac:dyDescent="0.25">
      <c r="A1231" s="436" t="s">
        <v>2454</v>
      </c>
      <c r="B1231" s="436" t="s">
        <v>2446</v>
      </c>
      <c r="C1231" s="436" t="s">
        <v>2447</v>
      </c>
      <c r="D1231" s="436" t="s">
        <v>2446</v>
      </c>
      <c r="E1231" s="436" t="s">
        <v>2448</v>
      </c>
      <c r="F1231" s="436" t="s">
        <v>2449</v>
      </c>
    </row>
    <row r="1232" spans="1:6" ht="45" x14ac:dyDescent="0.25">
      <c r="A1232" s="436" t="s">
        <v>2454</v>
      </c>
      <c r="B1232" s="436" t="s">
        <v>2446</v>
      </c>
      <c r="C1232" s="436" t="s">
        <v>3034</v>
      </c>
      <c r="D1232" s="436" t="s">
        <v>2446</v>
      </c>
      <c r="E1232" s="436" t="s">
        <v>3035</v>
      </c>
      <c r="F1232" s="436" t="s">
        <v>2449</v>
      </c>
    </row>
    <row r="1233" spans="1:6" ht="30" x14ac:dyDescent="0.25">
      <c r="A1233" s="436" t="s">
        <v>2455</v>
      </c>
      <c r="B1233" s="436" t="s">
        <v>2446</v>
      </c>
      <c r="C1233" s="436" t="s">
        <v>2447</v>
      </c>
      <c r="D1233" s="436" t="s">
        <v>2446</v>
      </c>
      <c r="E1233" s="436" t="s">
        <v>2448</v>
      </c>
      <c r="F1233" s="436" t="s">
        <v>2449</v>
      </c>
    </row>
    <row r="1234" spans="1:6" ht="30" x14ac:dyDescent="0.25">
      <c r="A1234" s="436" t="s">
        <v>2455</v>
      </c>
      <c r="B1234" s="436" t="s">
        <v>2446</v>
      </c>
      <c r="C1234" s="436" t="s">
        <v>3034</v>
      </c>
      <c r="D1234" s="436" t="s">
        <v>2446</v>
      </c>
      <c r="E1234" s="436" t="s">
        <v>3038</v>
      </c>
      <c r="F1234" s="436" t="s">
        <v>2449</v>
      </c>
    </row>
    <row r="1235" spans="1:6" ht="45" x14ac:dyDescent="0.25">
      <c r="A1235" s="436" t="s">
        <v>2456</v>
      </c>
      <c r="B1235" s="436" t="s">
        <v>2446</v>
      </c>
      <c r="C1235" s="436" t="s">
        <v>2447</v>
      </c>
      <c r="D1235" s="436" t="s">
        <v>2446</v>
      </c>
      <c r="E1235" s="436" t="s">
        <v>2448</v>
      </c>
      <c r="F1235" s="436" t="s">
        <v>2449</v>
      </c>
    </row>
    <row r="1236" spans="1:6" ht="45" x14ac:dyDescent="0.25">
      <c r="A1236" s="436" t="s">
        <v>2456</v>
      </c>
      <c r="B1236" s="436" t="s">
        <v>2446</v>
      </c>
      <c r="C1236" s="436" t="s">
        <v>3039</v>
      </c>
      <c r="D1236" s="436" t="s">
        <v>2446</v>
      </c>
      <c r="E1236" s="436" t="s">
        <v>3035</v>
      </c>
      <c r="F1236" s="436" t="s">
        <v>2449</v>
      </c>
    </row>
    <row r="1237" spans="1:6" ht="30" x14ac:dyDescent="0.25">
      <c r="A1237" s="436" t="s">
        <v>3040</v>
      </c>
      <c r="B1237" s="436" t="s">
        <v>2446</v>
      </c>
      <c r="C1237" s="436" t="s">
        <v>3041</v>
      </c>
      <c r="D1237" s="436" t="s">
        <v>2446</v>
      </c>
      <c r="E1237" s="436" t="s">
        <v>3042</v>
      </c>
      <c r="F1237" s="436" t="s">
        <v>2449</v>
      </c>
    </row>
    <row r="1238" spans="1:6" ht="30" x14ac:dyDescent="0.25">
      <c r="A1238" s="436" t="s">
        <v>3043</v>
      </c>
      <c r="B1238" s="436" t="s">
        <v>2446</v>
      </c>
      <c r="C1238" s="436" t="s">
        <v>3041</v>
      </c>
      <c r="D1238" s="436" t="s">
        <v>2446</v>
      </c>
      <c r="E1238" s="436" t="s">
        <v>3042</v>
      </c>
      <c r="F1238" s="436" t="s">
        <v>2449</v>
      </c>
    </row>
    <row r="1239" spans="1:6" ht="30" x14ac:dyDescent="0.25">
      <c r="A1239" s="436" t="s">
        <v>3044</v>
      </c>
      <c r="B1239" s="436" t="s">
        <v>2446</v>
      </c>
      <c r="C1239" s="436" t="s">
        <v>3041</v>
      </c>
      <c r="D1239" s="436" t="s">
        <v>2446</v>
      </c>
      <c r="E1239" s="436" t="s">
        <v>3042</v>
      </c>
      <c r="F1239" s="436" t="s">
        <v>2449</v>
      </c>
    </row>
    <row r="1240" spans="1:6" ht="30" x14ac:dyDescent="0.25">
      <c r="A1240" s="436" t="s">
        <v>3045</v>
      </c>
      <c r="B1240" s="436" t="s">
        <v>2446</v>
      </c>
      <c r="C1240" s="436" t="s">
        <v>3046</v>
      </c>
      <c r="D1240" s="436" t="s">
        <v>2446</v>
      </c>
      <c r="E1240" s="436" t="s">
        <v>3047</v>
      </c>
      <c r="F1240" s="436" t="s">
        <v>2449</v>
      </c>
    </row>
    <row r="1241" spans="1:6" ht="45" x14ac:dyDescent="0.25">
      <c r="A1241" s="436" t="s">
        <v>3048</v>
      </c>
      <c r="B1241" s="436" t="s">
        <v>2446</v>
      </c>
      <c r="C1241" s="436" t="s">
        <v>3046</v>
      </c>
      <c r="D1241" s="436" t="s">
        <v>2446</v>
      </c>
      <c r="E1241" s="436" t="s">
        <v>3047</v>
      </c>
      <c r="F1241" s="436" t="s">
        <v>2449</v>
      </c>
    </row>
    <row r="1242" spans="1:6" ht="30" x14ac:dyDescent="0.25">
      <c r="A1242" s="436" t="s">
        <v>2462</v>
      </c>
      <c r="B1242" s="436" t="s">
        <v>2446</v>
      </c>
      <c r="C1242" s="436" t="s">
        <v>2447</v>
      </c>
      <c r="D1242" s="436" t="s">
        <v>2446</v>
      </c>
      <c r="E1242" s="436" t="s">
        <v>2448</v>
      </c>
      <c r="F1242" s="436" t="s">
        <v>2449</v>
      </c>
    </row>
    <row r="1243" spans="1:6" ht="45" x14ac:dyDescent="0.25">
      <c r="A1243" s="436" t="s">
        <v>2462</v>
      </c>
      <c r="B1243" s="436" t="s">
        <v>2446</v>
      </c>
      <c r="C1243" s="436" t="s">
        <v>2458</v>
      </c>
      <c r="D1243" s="436" t="s">
        <v>2446</v>
      </c>
      <c r="E1243" s="436" t="s">
        <v>2459</v>
      </c>
      <c r="F1243" s="436" t="s">
        <v>2449</v>
      </c>
    </row>
    <row r="1244" spans="1:6" ht="30" x14ac:dyDescent="0.25">
      <c r="A1244" s="436" t="s">
        <v>2462</v>
      </c>
      <c r="B1244" s="436" t="s">
        <v>2446</v>
      </c>
      <c r="C1244" s="436" t="s">
        <v>3034</v>
      </c>
      <c r="D1244" s="436" t="s">
        <v>2446</v>
      </c>
      <c r="E1244" s="436" t="s">
        <v>3035</v>
      </c>
      <c r="F1244" s="436" t="s">
        <v>2449</v>
      </c>
    </row>
    <row r="1245" spans="1:6" ht="45" x14ac:dyDescent="0.25">
      <c r="A1245" s="436" t="s">
        <v>2463</v>
      </c>
      <c r="B1245" s="436" t="s">
        <v>2446</v>
      </c>
      <c r="C1245" s="436" t="s">
        <v>2458</v>
      </c>
      <c r="D1245" s="436" t="s">
        <v>2446</v>
      </c>
      <c r="E1245" s="436" t="s">
        <v>2459</v>
      </c>
      <c r="F1245" s="436" t="s">
        <v>3049</v>
      </c>
    </row>
    <row r="1246" spans="1:6" ht="45" x14ac:dyDescent="0.25">
      <c r="A1246" s="436" t="s">
        <v>2464</v>
      </c>
      <c r="B1246" s="436" t="s">
        <v>2446</v>
      </c>
      <c r="C1246" s="436" t="s">
        <v>2458</v>
      </c>
      <c r="D1246" s="436" t="s">
        <v>2446</v>
      </c>
      <c r="E1246" s="436" t="s">
        <v>2459</v>
      </c>
      <c r="F1246" s="436" t="s">
        <v>2449</v>
      </c>
    </row>
    <row r="1247" spans="1:6" ht="45" x14ac:dyDescent="0.25">
      <c r="A1247" s="436" t="s">
        <v>2465</v>
      </c>
      <c r="B1247" s="436" t="s">
        <v>2446</v>
      </c>
      <c r="C1247" s="436" t="s">
        <v>2460</v>
      </c>
      <c r="D1247" s="436" t="s">
        <v>2446</v>
      </c>
      <c r="E1247" s="436" t="s">
        <v>2461</v>
      </c>
      <c r="F1247" s="436" t="s">
        <v>2449</v>
      </c>
    </row>
    <row r="1248" spans="1:6" ht="45" x14ac:dyDescent="0.25">
      <c r="A1248" s="436" t="s">
        <v>2465</v>
      </c>
      <c r="B1248" s="436" t="s">
        <v>2446</v>
      </c>
      <c r="C1248" s="436" t="s">
        <v>3050</v>
      </c>
      <c r="D1248" s="436" t="s">
        <v>2446</v>
      </c>
      <c r="E1248" s="436" t="s">
        <v>3051</v>
      </c>
      <c r="F1248" s="436" t="s">
        <v>3052</v>
      </c>
    </row>
    <row r="1249" spans="1:6" ht="30" x14ac:dyDescent="0.25">
      <c r="A1249" s="436" t="s">
        <v>2466</v>
      </c>
      <c r="B1249" s="436" t="s">
        <v>2446</v>
      </c>
      <c r="C1249" s="436" t="s">
        <v>2460</v>
      </c>
      <c r="D1249" s="436" t="s">
        <v>2446</v>
      </c>
      <c r="E1249" s="436" t="s">
        <v>2461</v>
      </c>
      <c r="F1249" s="436" t="s">
        <v>2449</v>
      </c>
    </row>
    <row r="1250" spans="1:6" ht="30" x14ac:dyDescent="0.25">
      <c r="A1250" s="436" t="s">
        <v>2466</v>
      </c>
      <c r="B1250" s="436" t="s">
        <v>2446</v>
      </c>
      <c r="C1250" s="436" t="s">
        <v>3050</v>
      </c>
      <c r="D1250" s="436" t="s">
        <v>2446</v>
      </c>
      <c r="E1250" s="436" t="s">
        <v>3051</v>
      </c>
      <c r="F1250" s="436" t="s">
        <v>2449</v>
      </c>
    </row>
    <row r="1251" spans="1:6" ht="45" x14ac:dyDescent="0.25">
      <c r="A1251" s="436" t="s">
        <v>2471</v>
      </c>
      <c r="B1251" s="436" t="s">
        <v>2468</v>
      </c>
      <c r="C1251" s="436" t="s">
        <v>2467</v>
      </c>
      <c r="D1251" s="436" t="s">
        <v>2468</v>
      </c>
      <c r="E1251" s="436" t="s">
        <v>2469</v>
      </c>
      <c r="F1251" s="436" t="s">
        <v>2470</v>
      </c>
    </row>
    <row r="1252" spans="1:6" ht="45" x14ac:dyDescent="0.25">
      <c r="A1252" s="436" t="s">
        <v>2473</v>
      </c>
      <c r="B1252" s="436" t="s">
        <v>2468</v>
      </c>
      <c r="C1252" s="436" t="s">
        <v>2467</v>
      </c>
      <c r="D1252" s="436" t="s">
        <v>2468</v>
      </c>
      <c r="E1252" s="436" t="s">
        <v>2469</v>
      </c>
      <c r="F1252" s="436" t="s">
        <v>2470</v>
      </c>
    </row>
    <row r="1253" spans="1:6" ht="45" x14ac:dyDescent="0.25">
      <c r="A1253" s="436" t="s">
        <v>2474</v>
      </c>
      <c r="B1253" s="436" t="s">
        <v>2468</v>
      </c>
      <c r="C1253" s="436" t="s">
        <v>2467</v>
      </c>
      <c r="D1253" s="436" t="s">
        <v>2468</v>
      </c>
      <c r="E1253" s="436" t="s">
        <v>2469</v>
      </c>
      <c r="F1253" s="436" t="s">
        <v>2470</v>
      </c>
    </row>
    <row r="1254" spans="1:6" ht="45" x14ac:dyDescent="0.25">
      <c r="A1254" s="436" t="s">
        <v>2474</v>
      </c>
      <c r="B1254" s="436" t="s">
        <v>2468</v>
      </c>
      <c r="C1254" s="436" t="s">
        <v>2973</v>
      </c>
      <c r="D1254" s="436" t="s">
        <v>2378</v>
      </c>
      <c r="E1254" s="436" t="s">
        <v>2974</v>
      </c>
      <c r="F1254" s="436" t="s">
        <v>2381</v>
      </c>
    </row>
    <row r="1255" spans="1:6" ht="45" x14ac:dyDescent="0.25">
      <c r="A1255" s="436" t="s">
        <v>2475</v>
      </c>
      <c r="B1255" s="436" t="s">
        <v>2468</v>
      </c>
      <c r="C1255" s="436" t="s">
        <v>2467</v>
      </c>
      <c r="D1255" s="436" t="s">
        <v>2468</v>
      </c>
      <c r="E1255" s="436" t="s">
        <v>2469</v>
      </c>
      <c r="F1255" s="436" t="s">
        <v>2470</v>
      </c>
    </row>
    <row r="1256" spans="1:6" ht="45" x14ac:dyDescent="0.25">
      <c r="A1256" s="436" t="s">
        <v>2476</v>
      </c>
      <c r="B1256" s="436" t="s">
        <v>2468</v>
      </c>
      <c r="C1256" s="436" t="s">
        <v>2467</v>
      </c>
      <c r="D1256" s="436" t="s">
        <v>2468</v>
      </c>
      <c r="E1256" s="436" t="s">
        <v>2469</v>
      </c>
      <c r="F1256" s="436" t="s">
        <v>2470</v>
      </c>
    </row>
    <row r="1257" spans="1:6" ht="45" x14ac:dyDescent="0.25">
      <c r="A1257" s="436" t="s">
        <v>2476</v>
      </c>
      <c r="B1257" s="436" t="s">
        <v>2468</v>
      </c>
      <c r="C1257" s="436" t="s">
        <v>3053</v>
      </c>
      <c r="D1257" s="436" t="s">
        <v>2468</v>
      </c>
    </row>
    <row r="1258" spans="1:6" ht="45" x14ac:dyDescent="0.25">
      <c r="A1258" s="436" t="s">
        <v>2477</v>
      </c>
      <c r="B1258" s="436" t="s">
        <v>2468</v>
      </c>
      <c r="C1258" s="436" t="s">
        <v>2467</v>
      </c>
      <c r="D1258" s="436" t="s">
        <v>2468</v>
      </c>
      <c r="E1258" s="436" t="s">
        <v>2469</v>
      </c>
      <c r="F1258" s="436" t="s">
        <v>2470</v>
      </c>
    </row>
    <row r="1259" spans="1:6" ht="45" x14ac:dyDescent="0.25">
      <c r="A1259" s="436" t="s">
        <v>2483</v>
      </c>
      <c r="B1259" s="436" t="s">
        <v>2468</v>
      </c>
      <c r="C1259" s="436" t="s">
        <v>2481</v>
      </c>
      <c r="D1259" s="436" t="s">
        <v>2468</v>
      </c>
      <c r="E1259" s="436" t="s">
        <v>2482</v>
      </c>
      <c r="F1259" s="436" t="s">
        <v>2470</v>
      </c>
    </row>
    <row r="1260" spans="1:6" ht="45" x14ac:dyDescent="0.25">
      <c r="A1260" s="436" t="s">
        <v>2484</v>
      </c>
      <c r="B1260" s="436" t="s">
        <v>2468</v>
      </c>
      <c r="C1260" s="436" t="s">
        <v>2481</v>
      </c>
      <c r="D1260" s="436" t="s">
        <v>2468</v>
      </c>
      <c r="E1260" s="436" t="s">
        <v>2482</v>
      </c>
      <c r="F1260" s="436" t="s">
        <v>2470</v>
      </c>
    </row>
    <row r="1261" spans="1:6" ht="45" x14ac:dyDescent="0.25">
      <c r="A1261" s="436" t="s">
        <v>2485</v>
      </c>
      <c r="B1261" s="436" t="s">
        <v>2468</v>
      </c>
      <c r="C1261" s="436" t="s">
        <v>2479</v>
      </c>
      <c r="D1261" s="436" t="s">
        <v>2468</v>
      </c>
      <c r="E1261" s="436" t="s">
        <v>2480</v>
      </c>
      <c r="F1261" s="436" t="s">
        <v>2470</v>
      </c>
    </row>
    <row r="1262" spans="1:6" ht="45" x14ac:dyDescent="0.25">
      <c r="A1262" s="436" t="s">
        <v>2485</v>
      </c>
      <c r="B1262" s="436" t="s">
        <v>2468</v>
      </c>
      <c r="C1262" s="436" t="s">
        <v>3054</v>
      </c>
      <c r="D1262" s="436" t="s">
        <v>2468</v>
      </c>
      <c r="E1262" s="436" t="s">
        <v>3055</v>
      </c>
      <c r="F1262" s="436" t="s">
        <v>2470</v>
      </c>
    </row>
    <row r="1263" spans="1:6" ht="45" x14ac:dyDescent="0.25">
      <c r="A1263" s="436" t="s">
        <v>3056</v>
      </c>
      <c r="B1263" s="436" t="s">
        <v>2468</v>
      </c>
      <c r="C1263" s="436" t="s">
        <v>2479</v>
      </c>
      <c r="D1263" s="436" t="s">
        <v>2468</v>
      </c>
      <c r="E1263" s="436" t="s">
        <v>2480</v>
      </c>
      <c r="F1263" s="436" t="s">
        <v>2470</v>
      </c>
    </row>
    <row r="1264" spans="1:6" ht="45" x14ac:dyDescent="0.25">
      <c r="A1264" s="436" t="s">
        <v>2487</v>
      </c>
      <c r="B1264" s="436" t="s">
        <v>2468</v>
      </c>
      <c r="C1264" s="436" t="s">
        <v>2479</v>
      </c>
      <c r="D1264" s="436" t="s">
        <v>2468</v>
      </c>
      <c r="E1264" s="436" t="s">
        <v>2480</v>
      </c>
      <c r="F1264" s="436" t="s">
        <v>2470</v>
      </c>
    </row>
    <row r="1265" spans="1:6" ht="45" x14ac:dyDescent="0.25">
      <c r="A1265" s="436" t="s">
        <v>2487</v>
      </c>
      <c r="B1265" s="436" t="s">
        <v>2468</v>
      </c>
      <c r="C1265" s="436" t="s">
        <v>2488</v>
      </c>
      <c r="D1265" s="436" t="s">
        <v>2468</v>
      </c>
      <c r="E1265" s="436" t="s">
        <v>2489</v>
      </c>
      <c r="F1265" s="436" t="s">
        <v>2470</v>
      </c>
    </row>
    <row r="1266" spans="1:6" ht="45" x14ac:dyDescent="0.25">
      <c r="A1266" s="436" t="s">
        <v>2493</v>
      </c>
      <c r="B1266" s="436" t="s">
        <v>2468</v>
      </c>
      <c r="C1266" s="436" t="s">
        <v>2491</v>
      </c>
      <c r="D1266" s="436" t="s">
        <v>2468</v>
      </c>
      <c r="E1266" s="436" t="s">
        <v>2492</v>
      </c>
      <c r="F1266" s="436" t="s">
        <v>2470</v>
      </c>
    </row>
    <row r="1267" spans="1:6" ht="45" x14ac:dyDescent="0.25">
      <c r="A1267" s="436" t="s">
        <v>2494</v>
      </c>
      <c r="B1267" s="436" t="s">
        <v>2468</v>
      </c>
      <c r="C1267" s="436" t="s">
        <v>2491</v>
      </c>
      <c r="D1267" s="436" t="s">
        <v>2468</v>
      </c>
      <c r="E1267" s="436" t="s">
        <v>2492</v>
      </c>
      <c r="F1267" s="436" t="s">
        <v>2470</v>
      </c>
    </row>
    <row r="1268" spans="1:6" ht="30" x14ac:dyDescent="0.25">
      <c r="A1268" s="436" t="s">
        <v>2499</v>
      </c>
      <c r="B1268" s="436" t="s">
        <v>2468</v>
      </c>
      <c r="C1268" s="436" t="s">
        <v>2496</v>
      </c>
      <c r="D1268" s="436" t="s">
        <v>2293</v>
      </c>
      <c r="E1268" s="436" t="s">
        <v>2497</v>
      </c>
      <c r="F1268" s="436" t="s">
        <v>2498</v>
      </c>
    </row>
    <row r="1269" spans="1:6" ht="45" x14ac:dyDescent="0.25">
      <c r="A1269" s="436" t="s">
        <v>2499</v>
      </c>
      <c r="B1269" s="436" t="s">
        <v>2468</v>
      </c>
      <c r="C1269" s="436" t="s">
        <v>3057</v>
      </c>
      <c r="D1269" s="436" t="s">
        <v>2293</v>
      </c>
    </row>
    <row r="1270" spans="1:6" ht="30" x14ac:dyDescent="0.25">
      <c r="A1270" s="436" t="s">
        <v>2500</v>
      </c>
      <c r="B1270" s="436" t="s">
        <v>2468</v>
      </c>
      <c r="C1270" s="436" t="s">
        <v>2496</v>
      </c>
      <c r="D1270" s="436" t="s">
        <v>2293</v>
      </c>
      <c r="E1270" s="436" t="s">
        <v>2497</v>
      </c>
      <c r="F1270" s="436" t="s">
        <v>2498</v>
      </c>
    </row>
    <row r="1271" spans="1:6" ht="30" x14ac:dyDescent="0.25">
      <c r="A1271" s="436" t="s">
        <v>2507</v>
      </c>
      <c r="B1271" s="436" t="s">
        <v>2503</v>
      </c>
      <c r="C1271" s="436" t="s">
        <v>2504</v>
      </c>
      <c r="D1271" s="436" t="s">
        <v>2503</v>
      </c>
      <c r="E1271" s="436" t="s">
        <v>2505</v>
      </c>
      <c r="F1271" s="436" t="s">
        <v>2506</v>
      </c>
    </row>
    <row r="1272" spans="1:6" ht="30" x14ac:dyDescent="0.25">
      <c r="A1272" s="436" t="s">
        <v>2508</v>
      </c>
      <c r="B1272" s="436" t="s">
        <v>2503</v>
      </c>
      <c r="C1272" s="436" t="s">
        <v>2504</v>
      </c>
      <c r="D1272" s="436" t="s">
        <v>2503</v>
      </c>
      <c r="E1272" s="436" t="s">
        <v>2505</v>
      </c>
      <c r="F1272" s="436" t="s">
        <v>2506</v>
      </c>
    </row>
    <row r="1273" spans="1:6" ht="30" x14ac:dyDescent="0.25">
      <c r="A1273" s="436" t="s">
        <v>2509</v>
      </c>
      <c r="B1273" s="436" t="s">
        <v>2503</v>
      </c>
      <c r="C1273" s="436" t="s">
        <v>2504</v>
      </c>
      <c r="D1273" s="436" t="s">
        <v>2503</v>
      </c>
      <c r="E1273" s="436" t="s">
        <v>2505</v>
      </c>
      <c r="F1273" s="436" t="s">
        <v>2506</v>
      </c>
    </row>
    <row r="1274" spans="1:6" ht="30" x14ac:dyDescent="0.25">
      <c r="A1274" s="436" t="s">
        <v>2510</v>
      </c>
      <c r="B1274" s="436" t="s">
        <v>2503</v>
      </c>
      <c r="C1274" s="436" t="s">
        <v>2504</v>
      </c>
      <c r="D1274" s="436" t="s">
        <v>2503</v>
      </c>
      <c r="E1274" s="436" t="s">
        <v>2505</v>
      </c>
      <c r="F1274" s="436" t="s">
        <v>2506</v>
      </c>
    </row>
    <row r="1275" spans="1:6" ht="30" x14ac:dyDescent="0.25">
      <c r="A1275" s="436" t="s">
        <v>2511</v>
      </c>
      <c r="B1275" s="436" t="s">
        <v>2503</v>
      </c>
      <c r="C1275" s="436" t="s">
        <v>2504</v>
      </c>
      <c r="D1275" s="436" t="s">
        <v>2503</v>
      </c>
      <c r="E1275" s="436" t="s">
        <v>2505</v>
      </c>
      <c r="F1275" s="436" t="s">
        <v>2506</v>
      </c>
    </row>
    <row r="1276" spans="1:6" ht="45" x14ac:dyDescent="0.25">
      <c r="A1276" s="436" t="s">
        <v>2511</v>
      </c>
      <c r="B1276" s="436" t="s">
        <v>2503</v>
      </c>
      <c r="C1276" s="436" t="s">
        <v>3054</v>
      </c>
      <c r="D1276" s="436" t="s">
        <v>2468</v>
      </c>
      <c r="E1276" s="436" t="s">
        <v>3055</v>
      </c>
      <c r="F1276" s="436" t="s">
        <v>3058</v>
      </c>
    </row>
    <row r="1277" spans="1:6" ht="30" x14ac:dyDescent="0.25">
      <c r="A1277" s="436" t="s">
        <v>2512</v>
      </c>
      <c r="B1277" s="436" t="s">
        <v>2503</v>
      </c>
      <c r="C1277" s="436" t="s">
        <v>2504</v>
      </c>
      <c r="D1277" s="436" t="s">
        <v>3059</v>
      </c>
      <c r="E1277" s="436" t="s">
        <v>2505</v>
      </c>
      <c r="F1277" s="436" t="s">
        <v>2506</v>
      </c>
    </row>
    <row r="1278" spans="1:6" ht="30" x14ac:dyDescent="0.25">
      <c r="A1278" s="436" t="s">
        <v>2513</v>
      </c>
      <c r="B1278" s="436" t="s">
        <v>2503</v>
      </c>
      <c r="C1278" s="436" t="s">
        <v>2504</v>
      </c>
      <c r="D1278" s="436" t="s">
        <v>2503</v>
      </c>
      <c r="E1278" s="436" t="s">
        <v>2505</v>
      </c>
      <c r="F1278" s="436" t="s">
        <v>2506</v>
      </c>
    </row>
    <row r="1279" spans="1:6" ht="30" x14ac:dyDescent="0.25">
      <c r="A1279" s="436" t="s">
        <v>2514</v>
      </c>
      <c r="B1279" s="436" t="s">
        <v>2503</v>
      </c>
      <c r="C1279" s="436" t="s">
        <v>2504</v>
      </c>
      <c r="D1279" s="436" t="s">
        <v>2503</v>
      </c>
      <c r="E1279" s="436" t="s">
        <v>2505</v>
      </c>
      <c r="F1279" s="436" t="s">
        <v>2506</v>
      </c>
    </row>
    <row r="1280" spans="1:6" ht="30" x14ac:dyDescent="0.25">
      <c r="A1280" s="436" t="s">
        <v>2514</v>
      </c>
      <c r="B1280" s="436" t="s">
        <v>2503</v>
      </c>
      <c r="C1280" s="436" t="s">
        <v>2515</v>
      </c>
      <c r="D1280" s="436" t="s">
        <v>2293</v>
      </c>
      <c r="E1280" s="436" t="s">
        <v>2516</v>
      </c>
      <c r="F1280" s="436" t="s">
        <v>2517</v>
      </c>
    </row>
    <row r="1281" spans="1:6" ht="30" x14ac:dyDescent="0.25">
      <c r="A1281" s="436" t="s">
        <v>3060</v>
      </c>
      <c r="B1281" s="436" t="s">
        <v>2503</v>
      </c>
      <c r="C1281" s="436" t="s">
        <v>2519</v>
      </c>
      <c r="D1281" s="436" t="s">
        <v>2503</v>
      </c>
      <c r="E1281" s="436" t="s">
        <v>2520</v>
      </c>
      <c r="F1281" s="436" t="s">
        <v>2506</v>
      </c>
    </row>
    <row r="1282" spans="1:6" ht="45" x14ac:dyDescent="0.25">
      <c r="A1282" s="436" t="s">
        <v>2522</v>
      </c>
      <c r="B1282" s="436" t="s">
        <v>2503</v>
      </c>
      <c r="C1282" s="436" t="s">
        <v>2519</v>
      </c>
      <c r="D1282" s="436" t="s">
        <v>2503</v>
      </c>
      <c r="E1282" s="436" t="s">
        <v>2520</v>
      </c>
      <c r="F1282" s="436" t="s">
        <v>3061</v>
      </c>
    </row>
    <row r="1283" spans="1:6" ht="30" x14ac:dyDescent="0.25">
      <c r="A1283" s="436" t="s">
        <v>2526</v>
      </c>
      <c r="B1283" s="436" t="s">
        <v>2503</v>
      </c>
      <c r="C1283" s="436" t="s">
        <v>2524</v>
      </c>
      <c r="D1283" s="436" t="s">
        <v>2503</v>
      </c>
      <c r="E1283" s="436" t="s">
        <v>2525</v>
      </c>
      <c r="F1283" s="436" t="s">
        <v>2506</v>
      </c>
    </row>
    <row r="1284" spans="1:6" ht="30" x14ac:dyDescent="0.25">
      <c r="A1284" s="436" t="s">
        <v>2527</v>
      </c>
      <c r="B1284" s="436" t="s">
        <v>3062</v>
      </c>
      <c r="C1284" s="436" t="s">
        <v>2524</v>
      </c>
      <c r="D1284" s="436" t="s">
        <v>2503</v>
      </c>
      <c r="E1284" s="436" t="s">
        <v>2525</v>
      </c>
      <c r="F1284" s="436" t="s">
        <v>2506</v>
      </c>
    </row>
    <row r="1285" spans="1:6" ht="30" x14ac:dyDescent="0.25">
      <c r="A1285" s="436" t="s">
        <v>2527</v>
      </c>
      <c r="B1285" s="436" t="s">
        <v>2503</v>
      </c>
      <c r="C1285" s="436" t="s">
        <v>3063</v>
      </c>
      <c r="D1285" s="436" t="s">
        <v>2503</v>
      </c>
      <c r="E1285" s="436" t="s">
        <v>3064</v>
      </c>
      <c r="F1285" s="436" t="s">
        <v>2506</v>
      </c>
    </row>
    <row r="1286" spans="1:6" ht="30" x14ac:dyDescent="0.25">
      <c r="A1286" s="436" t="s">
        <v>2527</v>
      </c>
      <c r="B1286" s="436" t="s">
        <v>2503</v>
      </c>
      <c r="C1286" s="436" t="s">
        <v>3065</v>
      </c>
      <c r="D1286" s="436" t="s">
        <v>2503</v>
      </c>
      <c r="E1286" s="436" t="s">
        <v>3066</v>
      </c>
      <c r="F1286" s="436" t="s">
        <v>2506</v>
      </c>
    </row>
    <row r="1287" spans="1:6" ht="30" x14ac:dyDescent="0.25">
      <c r="A1287" s="436" t="s">
        <v>3067</v>
      </c>
      <c r="B1287" s="436" t="s">
        <v>2503</v>
      </c>
      <c r="C1287" s="436" t="s">
        <v>2524</v>
      </c>
      <c r="D1287" s="436" t="s">
        <v>2503</v>
      </c>
      <c r="E1287" s="436" t="s">
        <v>2525</v>
      </c>
      <c r="F1287" s="436" t="s">
        <v>2506</v>
      </c>
    </row>
    <row r="1288" spans="1:6" ht="30" x14ac:dyDescent="0.25">
      <c r="A1288" s="436" t="s">
        <v>2529</v>
      </c>
      <c r="B1288" s="436" t="s">
        <v>2503</v>
      </c>
      <c r="C1288" s="436" t="s">
        <v>2524</v>
      </c>
      <c r="D1288" s="436" t="s">
        <v>2503</v>
      </c>
      <c r="E1288" s="436" t="s">
        <v>2525</v>
      </c>
      <c r="F1288" s="436" t="s">
        <v>2506</v>
      </c>
    </row>
    <row r="1289" spans="1:6" ht="30" x14ac:dyDescent="0.25">
      <c r="A1289" s="436" t="s">
        <v>2529</v>
      </c>
      <c r="B1289" s="436" t="s">
        <v>2503</v>
      </c>
      <c r="C1289" s="436" t="s">
        <v>3063</v>
      </c>
      <c r="D1289" s="436" t="s">
        <v>2503</v>
      </c>
      <c r="E1289" s="436" t="s">
        <v>3068</v>
      </c>
      <c r="F1289" s="436" t="s">
        <v>2506</v>
      </c>
    </row>
    <row r="1290" spans="1:6" ht="30" x14ac:dyDescent="0.25">
      <c r="A1290" s="436" t="s">
        <v>2529</v>
      </c>
      <c r="B1290" s="436" t="s">
        <v>2503</v>
      </c>
      <c r="C1290" s="436" t="s">
        <v>3065</v>
      </c>
      <c r="D1290" s="436" t="s">
        <v>2503</v>
      </c>
      <c r="E1290" s="436" t="s">
        <v>3066</v>
      </c>
      <c r="F1290" s="436" t="s">
        <v>2506</v>
      </c>
    </row>
    <row r="1291" spans="1:6" ht="30" x14ac:dyDescent="0.25">
      <c r="A1291" s="436" t="s">
        <v>2530</v>
      </c>
      <c r="B1291" s="436" t="s">
        <v>2503</v>
      </c>
      <c r="C1291" s="436" t="s">
        <v>2524</v>
      </c>
      <c r="D1291" s="436" t="s">
        <v>2503</v>
      </c>
      <c r="E1291" s="436" t="s">
        <v>2525</v>
      </c>
      <c r="F1291" s="436" t="s">
        <v>2506</v>
      </c>
    </row>
    <row r="1292" spans="1:6" ht="30" x14ac:dyDescent="0.25">
      <c r="A1292" s="436" t="s">
        <v>2530</v>
      </c>
      <c r="B1292" s="436" t="s">
        <v>2503</v>
      </c>
      <c r="C1292" s="436" t="s">
        <v>3063</v>
      </c>
      <c r="D1292" s="436" t="s">
        <v>2503</v>
      </c>
      <c r="E1292" s="436" t="s">
        <v>3069</v>
      </c>
      <c r="F1292" s="436" t="s">
        <v>3070</v>
      </c>
    </row>
    <row r="1293" spans="1:6" ht="30" x14ac:dyDescent="0.25">
      <c r="A1293" s="436" t="s">
        <v>2530</v>
      </c>
      <c r="B1293" s="436" t="s">
        <v>2503</v>
      </c>
      <c r="C1293" s="436" t="s">
        <v>3065</v>
      </c>
      <c r="D1293" s="436" t="s">
        <v>2503</v>
      </c>
      <c r="E1293" s="436" t="s">
        <v>3066</v>
      </c>
      <c r="F1293" s="436" t="s">
        <v>2506</v>
      </c>
    </row>
    <row r="1294" spans="1:6" ht="30" x14ac:dyDescent="0.25">
      <c r="A1294" s="436" t="s">
        <v>2531</v>
      </c>
      <c r="B1294" s="436" t="s">
        <v>2503</v>
      </c>
      <c r="C1294" s="436" t="s">
        <v>2524</v>
      </c>
      <c r="D1294" s="436" t="s">
        <v>2503</v>
      </c>
      <c r="E1294" s="436" t="s">
        <v>2525</v>
      </c>
      <c r="F1294" s="436" t="s">
        <v>2506</v>
      </c>
    </row>
    <row r="1295" spans="1:6" ht="30" x14ac:dyDescent="0.25">
      <c r="A1295" s="436" t="s">
        <v>2535</v>
      </c>
      <c r="B1295" s="436" t="s">
        <v>2503</v>
      </c>
      <c r="C1295" s="436" t="s">
        <v>2533</v>
      </c>
      <c r="D1295" s="436" t="s">
        <v>2503</v>
      </c>
      <c r="E1295" s="436" t="s">
        <v>3071</v>
      </c>
      <c r="F1295" s="436" t="s">
        <v>2506</v>
      </c>
    </row>
    <row r="1296" spans="1:6" ht="45" x14ac:dyDescent="0.25">
      <c r="A1296" s="436" t="s">
        <v>2535</v>
      </c>
      <c r="B1296" s="436" t="s">
        <v>2503</v>
      </c>
      <c r="C1296" s="436" t="s">
        <v>3072</v>
      </c>
      <c r="D1296" s="436" t="s">
        <v>2503</v>
      </c>
    </row>
    <row r="1297" spans="1:6" ht="30" x14ac:dyDescent="0.25">
      <c r="A1297" s="436" t="s">
        <v>2536</v>
      </c>
      <c r="B1297" s="436" t="s">
        <v>2503</v>
      </c>
      <c r="C1297" s="436" t="s">
        <v>2533</v>
      </c>
      <c r="D1297" s="436" t="s">
        <v>2503</v>
      </c>
      <c r="E1297" s="436" t="s">
        <v>2534</v>
      </c>
      <c r="F1297" s="436" t="s">
        <v>2506</v>
      </c>
    </row>
    <row r="1298" spans="1:6" ht="45" x14ac:dyDescent="0.25">
      <c r="A1298" s="436" t="s">
        <v>2536</v>
      </c>
      <c r="B1298" s="436" t="s">
        <v>2503</v>
      </c>
      <c r="C1298" s="436" t="s">
        <v>3072</v>
      </c>
      <c r="D1298" s="436" t="s">
        <v>2503</v>
      </c>
    </row>
    <row r="1299" spans="1:6" ht="30" x14ac:dyDescent="0.25">
      <c r="A1299" s="436" t="s">
        <v>2537</v>
      </c>
      <c r="B1299" s="436" t="s">
        <v>2503</v>
      </c>
      <c r="C1299" s="436" t="s">
        <v>2533</v>
      </c>
      <c r="D1299" s="436" t="s">
        <v>2503</v>
      </c>
      <c r="E1299" s="436" t="s">
        <v>2534</v>
      </c>
      <c r="F1299" s="436" t="s">
        <v>2506</v>
      </c>
    </row>
    <row r="1300" spans="1:6" ht="45" x14ac:dyDescent="0.25">
      <c r="A1300" s="436" t="s">
        <v>2537</v>
      </c>
      <c r="B1300" s="436" t="s">
        <v>2503</v>
      </c>
      <c r="C1300" s="436" t="s">
        <v>3073</v>
      </c>
      <c r="D1300" s="436" t="s">
        <v>2503</v>
      </c>
    </row>
    <row r="1301" spans="1:6" ht="45" x14ac:dyDescent="0.25">
      <c r="A1301" s="436" t="s">
        <v>2538</v>
      </c>
      <c r="B1301" s="436" t="s">
        <v>2503</v>
      </c>
      <c r="C1301" s="436" t="s">
        <v>2533</v>
      </c>
      <c r="D1301" s="436" t="s">
        <v>2503</v>
      </c>
      <c r="E1301" s="436" t="s">
        <v>2534</v>
      </c>
      <c r="F1301" s="436" t="s">
        <v>2506</v>
      </c>
    </row>
    <row r="1302" spans="1:6" ht="45" x14ac:dyDescent="0.25">
      <c r="A1302" s="436" t="s">
        <v>2538</v>
      </c>
      <c r="B1302" s="436" t="s">
        <v>2503</v>
      </c>
      <c r="C1302" s="436" t="s">
        <v>3072</v>
      </c>
      <c r="D1302" s="436" t="s">
        <v>2503</v>
      </c>
    </row>
    <row r="1303" spans="1:6" ht="30" x14ac:dyDescent="0.25">
      <c r="A1303" s="436" t="s">
        <v>2539</v>
      </c>
      <c r="B1303" s="436" t="s">
        <v>2503</v>
      </c>
      <c r="C1303" s="436" t="s">
        <v>2533</v>
      </c>
      <c r="D1303" s="436" t="s">
        <v>2503</v>
      </c>
      <c r="E1303" s="436" t="s">
        <v>2534</v>
      </c>
      <c r="F1303" s="436" t="s">
        <v>2506</v>
      </c>
    </row>
    <row r="1304" spans="1:6" ht="45" x14ac:dyDescent="0.25">
      <c r="A1304" s="436" t="s">
        <v>2539</v>
      </c>
      <c r="B1304" s="436" t="s">
        <v>2503</v>
      </c>
      <c r="C1304" s="436" t="s">
        <v>3072</v>
      </c>
      <c r="D1304" s="436" t="s">
        <v>2503</v>
      </c>
    </row>
    <row r="1305" spans="1:6" ht="30" x14ac:dyDescent="0.25">
      <c r="A1305" s="436" t="s">
        <v>2540</v>
      </c>
      <c r="B1305" s="436" t="s">
        <v>2503</v>
      </c>
      <c r="C1305" s="436" t="s">
        <v>2533</v>
      </c>
      <c r="D1305" s="436" t="s">
        <v>2503</v>
      </c>
      <c r="E1305" s="436" t="s">
        <v>2534</v>
      </c>
      <c r="F1305" s="436" t="s">
        <v>2506</v>
      </c>
    </row>
    <row r="1306" spans="1:6" ht="45" x14ac:dyDescent="0.25">
      <c r="A1306" s="436" t="s">
        <v>2540</v>
      </c>
      <c r="B1306" s="436" t="s">
        <v>2503</v>
      </c>
      <c r="C1306" s="436" t="s">
        <v>3072</v>
      </c>
      <c r="D1306" s="436" t="s">
        <v>2503</v>
      </c>
    </row>
    <row r="1307" spans="1:6" ht="30" x14ac:dyDescent="0.25">
      <c r="A1307" s="436" t="s">
        <v>2545</v>
      </c>
      <c r="B1307" s="436" t="s">
        <v>2503</v>
      </c>
      <c r="C1307" s="436" t="s">
        <v>2504</v>
      </c>
      <c r="D1307" s="436" t="s">
        <v>2503</v>
      </c>
      <c r="E1307" s="436" t="s">
        <v>2505</v>
      </c>
      <c r="F1307" s="436" t="s">
        <v>2506</v>
      </c>
    </row>
    <row r="1308" spans="1:6" ht="30" x14ac:dyDescent="0.25">
      <c r="A1308" s="436" t="s">
        <v>2546</v>
      </c>
      <c r="B1308" s="436" t="s">
        <v>2503</v>
      </c>
      <c r="C1308" s="436" t="s">
        <v>2360</v>
      </c>
      <c r="D1308" s="436" t="s">
        <v>2253</v>
      </c>
      <c r="E1308" s="436" t="s">
        <v>2361</v>
      </c>
      <c r="F1308" s="436" t="s">
        <v>2328</v>
      </c>
    </row>
    <row r="1309" spans="1:6" ht="30" x14ac:dyDescent="0.25">
      <c r="A1309" s="436" t="s">
        <v>2551</v>
      </c>
      <c r="B1309" s="436" t="s">
        <v>2293</v>
      </c>
      <c r="C1309" s="436" t="s">
        <v>2549</v>
      </c>
      <c r="D1309" s="436" t="s">
        <v>2293</v>
      </c>
      <c r="E1309" s="436" t="s">
        <v>2550</v>
      </c>
      <c r="F1309" s="436" t="s">
        <v>2498</v>
      </c>
    </row>
    <row r="1310" spans="1:6" ht="30" x14ac:dyDescent="0.25">
      <c r="A1310" s="436" t="s">
        <v>2557</v>
      </c>
      <c r="B1310" s="436" t="s">
        <v>2293</v>
      </c>
      <c r="C1310" s="436" t="s">
        <v>2553</v>
      </c>
      <c r="D1310" s="436" t="s">
        <v>2293</v>
      </c>
      <c r="E1310" s="436" t="s">
        <v>2554</v>
      </c>
      <c r="F1310" s="436" t="s">
        <v>2498</v>
      </c>
    </row>
    <row r="1311" spans="1:6" ht="30" x14ac:dyDescent="0.25">
      <c r="A1311" s="436" t="s">
        <v>2558</v>
      </c>
      <c r="B1311" s="436" t="s">
        <v>2293</v>
      </c>
      <c r="C1311" s="436" t="s">
        <v>2553</v>
      </c>
      <c r="D1311" s="436" t="s">
        <v>2293</v>
      </c>
      <c r="E1311" s="436" t="s">
        <v>2554</v>
      </c>
      <c r="F1311" s="436" t="s">
        <v>2498</v>
      </c>
    </row>
    <row r="1312" spans="1:6" ht="30" x14ac:dyDescent="0.25">
      <c r="A1312" s="436" t="s">
        <v>2559</v>
      </c>
      <c r="B1312" s="436" t="s">
        <v>2293</v>
      </c>
      <c r="C1312" s="436" t="s">
        <v>2553</v>
      </c>
      <c r="D1312" s="436" t="s">
        <v>2293</v>
      </c>
      <c r="E1312" s="436" t="s">
        <v>2554</v>
      </c>
      <c r="F1312" s="436" t="s">
        <v>2498</v>
      </c>
    </row>
    <row r="1313" spans="1:6" ht="45" x14ac:dyDescent="0.25">
      <c r="A1313" s="436" t="s">
        <v>2560</v>
      </c>
      <c r="B1313" s="436" t="s">
        <v>2293</v>
      </c>
      <c r="C1313" s="436" t="s">
        <v>2561</v>
      </c>
      <c r="D1313" s="436" t="s">
        <v>2293</v>
      </c>
      <c r="E1313" s="436" t="s">
        <v>2562</v>
      </c>
      <c r="F1313" s="436" t="s">
        <v>2255</v>
      </c>
    </row>
    <row r="1314" spans="1:6" ht="45" x14ac:dyDescent="0.25">
      <c r="A1314" s="436" t="s">
        <v>2563</v>
      </c>
      <c r="B1314" s="436" t="s">
        <v>2293</v>
      </c>
      <c r="C1314" s="436" t="s">
        <v>2561</v>
      </c>
      <c r="D1314" s="436" t="s">
        <v>2293</v>
      </c>
      <c r="E1314" s="436" t="s">
        <v>2562</v>
      </c>
      <c r="F1314" s="436" t="s">
        <v>2255</v>
      </c>
    </row>
    <row r="1315" spans="1:6" ht="45" x14ac:dyDescent="0.25">
      <c r="A1315" s="436" t="s">
        <v>2564</v>
      </c>
      <c r="B1315" s="436" t="s">
        <v>2293</v>
      </c>
      <c r="C1315" s="436" t="s">
        <v>2561</v>
      </c>
      <c r="D1315" s="436" t="s">
        <v>2293</v>
      </c>
      <c r="E1315" s="436" t="s">
        <v>2562</v>
      </c>
      <c r="F1315" s="436" t="s">
        <v>2255</v>
      </c>
    </row>
    <row r="1316" spans="1:6" ht="30" x14ac:dyDescent="0.25">
      <c r="A1316" s="436" t="s">
        <v>2565</v>
      </c>
      <c r="B1316" s="436" t="s">
        <v>2293</v>
      </c>
      <c r="C1316" s="436" t="s">
        <v>2555</v>
      </c>
      <c r="D1316" s="436" t="s">
        <v>2293</v>
      </c>
      <c r="E1316" s="436" t="s">
        <v>2556</v>
      </c>
      <c r="F1316" s="436" t="s">
        <v>2255</v>
      </c>
    </row>
    <row r="1317" spans="1:6" ht="30" x14ac:dyDescent="0.25">
      <c r="A1317" s="436" t="s">
        <v>2566</v>
      </c>
      <c r="B1317" s="436" t="s">
        <v>2293</v>
      </c>
      <c r="C1317" s="436" t="s">
        <v>2555</v>
      </c>
      <c r="D1317" s="436" t="s">
        <v>2293</v>
      </c>
      <c r="E1317" s="436" t="s">
        <v>2556</v>
      </c>
      <c r="F1317" s="436" t="s">
        <v>2255</v>
      </c>
    </row>
    <row r="1318" spans="1:6" ht="30" x14ac:dyDescent="0.25">
      <c r="A1318" s="436" t="s">
        <v>2567</v>
      </c>
      <c r="B1318" s="436" t="s">
        <v>2293</v>
      </c>
      <c r="C1318" s="436" t="s">
        <v>2568</v>
      </c>
      <c r="D1318" s="436" t="s">
        <v>2293</v>
      </c>
      <c r="E1318" s="436" t="s">
        <v>2569</v>
      </c>
      <c r="F1318" s="436" t="s">
        <v>2498</v>
      </c>
    </row>
    <row r="1319" spans="1:6" ht="30" x14ac:dyDescent="0.25">
      <c r="A1319" s="436" t="s">
        <v>2573</v>
      </c>
      <c r="B1319" s="436" t="s">
        <v>2293</v>
      </c>
      <c r="C1319" s="436" t="s">
        <v>2571</v>
      </c>
      <c r="D1319" s="436" t="s">
        <v>2293</v>
      </c>
      <c r="E1319" s="436" t="s">
        <v>2572</v>
      </c>
      <c r="F1319" s="436" t="s">
        <v>2498</v>
      </c>
    </row>
    <row r="1320" spans="1:6" ht="30" x14ac:dyDescent="0.25">
      <c r="A1320" s="436" t="s">
        <v>2575</v>
      </c>
      <c r="B1320" s="436" t="s">
        <v>2293</v>
      </c>
    </row>
    <row r="1321" spans="1:6" ht="30" x14ac:dyDescent="0.25">
      <c r="A1321" s="436" t="s">
        <v>2580</v>
      </c>
      <c r="B1321" s="436" t="s">
        <v>2138</v>
      </c>
      <c r="C1321" s="436" t="s">
        <v>2576</v>
      </c>
      <c r="D1321" s="436" t="s">
        <v>2138</v>
      </c>
      <c r="E1321" s="436" t="s">
        <v>2577</v>
      </c>
      <c r="F1321" s="436" t="s">
        <v>2140</v>
      </c>
    </row>
    <row r="1322" spans="1:6" ht="45" x14ac:dyDescent="0.25">
      <c r="A1322" s="436" t="s">
        <v>2580</v>
      </c>
      <c r="B1322" s="436" t="s">
        <v>2138</v>
      </c>
      <c r="C1322" s="436" t="s">
        <v>3074</v>
      </c>
      <c r="D1322" s="436" t="s">
        <v>2138</v>
      </c>
    </row>
    <row r="1323" spans="1:6" ht="45" x14ac:dyDescent="0.25">
      <c r="A1323" s="436" t="s">
        <v>2581</v>
      </c>
      <c r="B1323" s="436" t="s">
        <v>2138</v>
      </c>
      <c r="C1323" s="436" t="s">
        <v>2576</v>
      </c>
      <c r="D1323" s="436" t="s">
        <v>2138</v>
      </c>
      <c r="E1323" s="436" t="s">
        <v>2577</v>
      </c>
      <c r="F1323" s="436" t="s">
        <v>2140</v>
      </c>
    </row>
    <row r="1324" spans="1:6" ht="45" x14ac:dyDescent="0.25">
      <c r="A1324" s="436" t="s">
        <v>2581</v>
      </c>
      <c r="B1324" s="436" t="s">
        <v>2138</v>
      </c>
      <c r="C1324" s="436" t="s">
        <v>3074</v>
      </c>
      <c r="D1324" s="436" t="s">
        <v>2138</v>
      </c>
    </row>
    <row r="1325" spans="1:6" ht="30" x14ac:dyDescent="0.25">
      <c r="A1325" s="436" t="s">
        <v>3075</v>
      </c>
      <c r="B1325" s="436" t="s">
        <v>2138</v>
      </c>
      <c r="C1325" s="436" t="s">
        <v>2576</v>
      </c>
      <c r="D1325" s="436" t="s">
        <v>2138</v>
      </c>
      <c r="E1325" s="436" t="s">
        <v>2577</v>
      </c>
      <c r="F1325" s="436" t="s">
        <v>2140</v>
      </c>
    </row>
    <row r="1326" spans="1:6" ht="45" x14ac:dyDescent="0.25">
      <c r="A1326" s="436" t="s">
        <v>2583</v>
      </c>
      <c r="B1326" s="436" t="s">
        <v>2138</v>
      </c>
      <c r="C1326" s="436" t="s">
        <v>2576</v>
      </c>
      <c r="D1326" s="436" t="s">
        <v>2138</v>
      </c>
      <c r="E1326" s="436" t="s">
        <v>2577</v>
      </c>
      <c r="F1326" s="436" t="s">
        <v>2140</v>
      </c>
    </row>
    <row r="1327" spans="1:6" ht="45" x14ac:dyDescent="0.25">
      <c r="A1327" s="436" t="s">
        <v>2583</v>
      </c>
      <c r="B1327" s="436" t="s">
        <v>2138</v>
      </c>
      <c r="C1327" s="436" t="s">
        <v>2578</v>
      </c>
      <c r="D1327" s="436" t="s">
        <v>2138</v>
      </c>
      <c r="E1327" s="436" t="s">
        <v>2579</v>
      </c>
      <c r="F1327" s="436" t="s">
        <v>2140</v>
      </c>
    </row>
    <row r="1328" spans="1:6" ht="45" x14ac:dyDescent="0.25">
      <c r="A1328" s="436" t="s">
        <v>2583</v>
      </c>
      <c r="B1328" s="436" t="s">
        <v>2138</v>
      </c>
      <c r="C1328" s="436" t="s">
        <v>3074</v>
      </c>
      <c r="D1328" s="436" t="s">
        <v>2138</v>
      </c>
    </row>
    <row r="1329" spans="1:6" ht="30" x14ac:dyDescent="0.25">
      <c r="A1329" s="436" t="s">
        <v>2587</v>
      </c>
      <c r="B1329" s="436" t="s">
        <v>2138</v>
      </c>
      <c r="C1329" s="436" t="s">
        <v>2585</v>
      </c>
      <c r="D1329" s="436" t="s">
        <v>2138</v>
      </c>
      <c r="E1329" s="436" t="s">
        <v>2586</v>
      </c>
      <c r="F1329" s="436" t="s">
        <v>2140</v>
      </c>
    </row>
    <row r="1330" spans="1:6" ht="30" x14ac:dyDescent="0.25">
      <c r="A1330" s="436" t="s">
        <v>2588</v>
      </c>
      <c r="B1330" s="436" t="s">
        <v>2138</v>
      </c>
      <c r="C1330" s="436" t="s">
        <v>2585</v>
      </c>
      <c r="D1330" s="436" t="s">
        <v>2138</v>
      </c>
      <c r="E1330" s="436" t="s">
        <v>2586</v>
      </c>
      <c r="F1330" s="436" t="s">
        <v>2140</v>
      </c>
    </row>
    <row r="1331" spans="1:6" ht="30" x14ac:dyDescent="0.25">
      <c r="A1331" s="436" t="s">
        <v>2589</v>
      </c>
      <c r="B1331" s="436" t="s">
        <v>2138</v>
      </c>
      <c r="C1331" s="436" t="s">
        <v>2585</v>
      </c>
      <c r="D1331" s="436" t="s">
        <v>2138</v>
      </c>
      <c r="E1331" s="436" t="s">
        <v>2586</v>
      </c>
      <c r="F1331" s="436" t="s">
        <v>2140</v>
      </c>
    </row>
    <row r="1332" spans="1:6" ht="30" x14ac:dyDescent="0.25">
      <c r="A1332" s="436" t="s">
        <v>2590</v>
      </c>
      <c r="B1332" s="436" t="s">
        <v>2138</v>
      </c>
      <c r="C1332" s="436" t="s">
        <v>2585</v>
      </c>
      <c r="D1332" s="436" t="s">
        <v>2138</v>
      </c>
      <c r="E1332" s="436" t="s">
        <v>2586</v>
      </c>
      <c r="F1332" s="436" t="s">
        <v>2140</v>
      </c>
    </row>
    <row r="1333" spans="1:6" ht="45" x14ac:dyDescent="0.25">
      <c r="A1333" s="436" t="s">
        <v>2591</v>
      </c>
      <c r="B1333" s="436" t="s">
        <v>2138</v>
      </c>
      <c r="C1333" s="436" t="s">
        <v>2379</v>
      </c>
      <c r="D1333" s="436" t="s">
        <v>2378</v>
      </c>
      <c r="E1333" s="436" t="s">
        <v>2380</v>
      </c>
      <c r="F1333" s="436" t="s">
        <v>2381</v>
      </c>
    </row>
    <row r="1334" spans="1:6" ht="45" x14ac:dyDescent="0.25">
      <c r="A1334" s="436" t="s">
        <v>2591</v>
      </c>
      <c r="B1334" s="436" t="s">
        <v>2138</v>
      </c>
      <c r="C1334" s="436" t="s">
        <v>2549</v>
      </c>
      <c r="D1334" s="436" t="s">
        <v>2293</v>
      </c>
      <c r="E1334" s="436" t="s">
        <v>2550</v>
      </c>
      <c r="F1334" s="436" t="s">
        <v>2498</v>
      </c>
    </row>
    <row r="1335" spans="1:6" ht="45" x14ac:dyDescent="0.25">
      <c r="A1335" s="436" t="s">
        <v>2591</v>
      </c>
      <c r="B1335" s="436" t="s">
        <v>2138</v>
      </c>
      <c r="C1335" s="436" t="s">
        <v>2967</v>
      </c>
      <c r="D1335" s="436" t="s">
        <v>2378</v>
      </c>
      <c r="E1335" s="436" t="s">
        <v>2968</v>
      </c>
      <c r="F1335" s="436" t="s">
        <v>2381</v>
      </c>
    </row>
    <row r="1336" spans="1:6" ht="45" x14ac:dyDescent="0.25">
      <c r="A1336" s="436" t="s">
        <v>2591</v>
      </c>
      <c r="B1336" s="436" t="s">
        <v>2138</v>
      </c>
      <c r="C1336" s="436" t="s">
        <v>3076</v>
      </c>
      <c r="D1336" s="436" t="s">
        <v>2293</v>
      </c>
      <c r="E1336" s="436" t="s">
        <v>3077</v>
      </c>
      <c r="F1336" s="436" t="s">
        <v>2498</v>
      </c>
    </row>
    <row r="1337" spans="1:6" ht="30" x14ac:dyDescent="0.25">
      <c r="A1337" s="436" t="s">
        <v>2592</v>
      </c>
      <c r="B1337" s="436" t="s">
        <v>2138</v>
      </c>
      <c r="C1337" s="436" t="s">
        <v>2593</v>
      </c>
      <c r="D1337" s="436" t="s">
        <v>2138</v>
      </c>
      <c r="E1337" s="436" t="s">
        <v>2594</v>
      </c>
      <c r="F1337" s="436" t="s">
        <v>1715</v>
      </c>
    </row>
    <row r="1338" spans="1:6" ht="60" x14ac:dyDescent="0.25">
      <c r="A1338" s="436" t="s">
        <v>3078</v>
      </c>
      <c r="B1338" s="436" t="s">
        <v>2596</v>
      </c>
      <c r="C1338" s="436" t="s">
        <v>2597</v>
      </c>
      <c r="D1338" s="436" t="s">
        <v>2596</v>
      </c>
      <c r="E1338" s="436" t="s">
        <v>2598</v>
      </c>
      <c r="F1338" s="436" t="s">
        <v>2599</v>
      </c>
    </row>
    <row r="1339" spans="1:6" ht="45" x14ac:dyDescent="0.25">
      <c r="A1339" s="436" t="s">
        <v>2601</v>
      </c>
      <c r="B1339" s="436" t="s">
        <v>2596</v>
      </c>
      <c r="C1339" s="436" t="s">
        <v>2597</v>
      </c>
      <c r="D1339" s="436" t="s">
        <v>2596</v>
      </c>
      <c r="E1339" s="436" t="s">
        <v>2598</v>
      </c>
      <c r="F1339" s="436" t="s">
        <v>2599</v>
      </c>
    </row>
    <row r="1340" spans="1:6" ht="30" x14ac:dyDescent="0.25">
      <c r="A1340" s="436" t="s">
        <v>2602</v>
      </c>
      <c r="B1340" s="436" t="s">
        <v>2596</v>
      </c>
      <c r="C1340" s="436" t="s">
        <v>2597</v>
      </c>
      <c r="D1340" s="436" t="s">
        <v>2596</v>
      </c>
      <c r="E1340" s="436" t="s">
        <v>2598</v>
      </c>
      <c r="F1340" s="436" t="s">
        <v>2599</v>
      </c>
    </row>
    <row r="1341" spans="1:6" ht="30" x14ac:dyDescent="0.25">
      <c r="A1341" s="436" t="s">
        <v>2603</v>
      </c>
      <c r="B1341" s="436" t="s">
        <v>2596</v>
      </c>
      <c r="C1341" s="436" t="s">
        <v>2597</v>
      </c>
      <c r="D1341" s="436" t="s">
        <v>2596</v>
      </c>
      <c r="E1341" s="436" t="s">
        <v>3079</v>
      </c>
      <c r="F1341" s="436" t="s">
        <v>2599</v>
      </c>
    </row>
    <row r="1342" spans="1:6" ht="45" x14ac:dyDescent="0.25">
      <c r="A1342" s="436" t="s">
        <v>2604</v>
      </c>
      <c r="B1342" s="436" t="s">
        <v>2596</v>
      </c>
      <c r="C1342" s="436" t="s">
        <v>2597</v>
      </c>
      <c r="D1342" s="436" t="s">
        <v>2596</v>
      </c>
      <c r="E1342" s="436" t="s">
        <v>2598</v>
      </c>
      <c r="F1342" s="436" t="s">
        <v>2599</v>
      </c>
    </row>
    <row r="1343" spans="1:6" ht="45" x14ac:dyDescent="0.25">
      <c r="A1343" s="436" t="s">
        <v>2605</v>
      </c>
      <c r="B1343" s="436" t="s">
        <v>2596</v>
      </c>
      <c r="C1343" s="436" t="s">
        <v>2597</v>
      </c>
      <c r="D1343" s="436" t="s">
        <v>2596</v>
      </c>
      <c r="E1343" s="436" t="s">
        <v>2598</v>
      </c>
      <c r="F1343" s="436" t="s">
        <v>2599</v>
      </c>
    </row>
    <row r="1344" spans="1:6" ht="30" x14ac:dyDescent="0.25">
      <c r="A1344" s="436" t="s">
        <v>3080</v>
      </c>
      <c r="B1344" s="436" t="s">
        <v>2596</v>
      </c>
      <c r="C1344" s="436" t="s">
        <v>2597</v>
      </c>
      <c r="D1344" s="436" t="s">
        <v>2596</v>
      </c>
      <c r="E1344" s="436" t="s">
        <v>2598</v>
      </c>
      <c r="F1344" s="436" t="s">
        <v>2599</v>
      </c>
    </row>
    <row r="1345" spans="1:6" ht="30" x14ac:dyDescent="0.25">
      <c r="A1345" s="436" t="s">
        <v>2607</v>
      </c>
      <c r="B1345" s="436" t="s">
        <v>2596</v>
      </c>
      <c r="C1345" s="436" t="s">
        <v>2597</v>
      </c>
      <c r="D1345" s="436" t="s">
        <v>2596</v>
      </c>
      <c r="E1345" s="436" t="s">
        <v>2598</v>
      </c>
      <c r="F1345" s="436" t="s">
        <v>2599</v>
      </c>
    </row>
    <row r="1346" spans="1:6" ht="45" x14ac:dyDescent="0.25">
      <c r="A1346" s="436" t="s">
        <v>2608</v>
      </c>
      <c r="B1346" s="436" t="s">
        <v>2596</v>
      </c>
      <c r="C1346" s="436" t="s">
        <v>2597</v>
      </c>
      <c r="D1346" s="436" t="s">
        <v>2596</v>
      </c>
      <c r="E1346" s="436" t="s">
        <v>2598</v>
      </c>
      <c r="F1346" s="436" t="s">
        <v>2599</v>
      </c>
    </row>
    <row r="1347" spans="1:6" ht="45" x14ac:dyDescent="0.25">
      <c r="A1347" s="436" t="s">
        <v>2609</v>
      </c>
      <c r="B1347" s="436" t="s">
        <v>2596</v>
      </c>
      <c r="C1347" s="436" t="s">
        <v>2597</v>
      </c>
      <c r="D1347" s="436" t="s">
        <v>2596</v>
      </c>
      <c r="E1347" s="436" t="s">
        <v>2598</v>
      </c>
      <c r="F1347" s="436" t="s">
        <v>2599</v>
      </c>
    </row>
    <row r="1348" spans="1:6" ht="30" x14ac:dyDescent="0.25">
      <c r="A1348" s="436" t="s">
        <v>2610</v>
      </c>
      <c r="B1348" s="436" t="s">
        <v>2596</v>
      </c>
      <c r="C1348" s="436" t="s">
        <v>2597</v>
      </c>
      <c r="D1348" s="436" t="s">
        <v>2596</v>
      </c>
      <c r="E1348" s="436" t="s">
        <v>2598</v>
      </c>
      <c r="F1348" s="436" t="s">
        <v>2599</v>
      </c>
    </row>
    <row r="1349" spans="1:6" ht="45" x14ac:dyDescent="0.25">
      <c r="A1349" s="436" t="s">
        <v>2611</v>
      </c>
      <c r="B1349" s="436" t="s">
        <v>2596</v>
      </c>
      <c r="C1349" s="436" t="s">
        <v>2597</v>
      </c>
      <c r="D1349" s="436" t="s">
        <v>2596</v>
      </c>
      <c r="E1349" s="436" t="s">
        <v>2598</v>
      </c>
      <c r="F1349" s="436" t="s">
        <v>2599</v>
      </c>
    </row>
    <row r="1350" spans="1:6" ht="45" x14ac:dyDescent="0.25">
      <c r="A1350" s="436" t="s">
        <v>2612</v>
      </c>
      <c r="B1350" s="436" t="s">
        <v>2596</v>
      </c>
      <c r="C1350" s="436" t="s">
        <v>2597</v>
      </c>
      <c r="D1350" s="436" t="s">
        <v>2596</v>
      </c>
      <c r="E1350" s="436" t="s">
        <v>2598</v>
      </c>
      <c r="F1350" s="436" t="s">
        <v>2599</v>
      </c>
    </row>
    <row r="1351" spans="1:6" ht="30" x14ac:dyDescent="0.25">
      <c r="A1351" s="436" t="s">
        <v>2613</v>
      </c>
      <c r="B1351" s="436" t="s">
        <v>2596</v>
      </c>
      <c r="C1351" s="436" t="s">
        <v>2597</v>
      </c>
      <c r="D1351" s="436" t="s">
        <v>2596</v>
      </c>
      <c r="E1351" s="436" t="s">
        <v>2598</v>
      </c>
      <c r="F1351" s="436" t="s">
        <v>2599</v>
      </c>
    </row>
    <row r="1352" spans="1:6" ht="45" x14ac:dyDescent="0.25">
      <c r="A1352" s="436" t="s">
        <v>3081</v>
      </c>
      <c r="B1352" s="436" t="s">
        <v>2596</v>
      </c>
      <c r="C1352" s="436" t="s">
        <v>3082</v>
      </c>
      <c r="D1352" s="436" t="s">
        <v>2596</v>
      </c>
      <c r="E1352" s="436" t="s">
        <v>3083</v>
      </c>
      <c r="F1352" s="436" t="s">
        <v>2599</v>
      </c>
    </row>
    <row r="1353" spans="1:6" ht="45" x14ac:dyDescent="0.25">
      <c r="A1353" s="436" t="s">
        <v>2614</v>
      </c>
      <c r="B1353" s="436" t="s">
        <v>2596</v>
      </c>
      <c r="C1353" s="436" t="s">
        <v>2597</v>
      </c>
      <c r="D1353" s="436" t="s">
        <v>2596</v>
      </c>
      <c r="E1353" s="436" t="s">
        <v>2598</v>
      </c>
      <c r="F1353" s="436" t="s">
        <v>2599</v>
      </c>
    </row>
    <row r="1354" spans="1:6" ht="45" x14ac:dyDescent="0.25">
      <c r="A1354" s="436" t="s">
        <v>3084</v>
      </c>
      <c r="B1354" s="436" t="s">
        <v>2596</v>
      </c>
      <c r="C1354" s="436" t="s">
        <v>3085</v>
      </c>
      <c r="D1354" s="436" t="s">
        <v>2596</v>
      </c>
      <c r="E1354" s="436" t="s">
        <v>3086</v>
      </c>
      <c r="F1354" s="436" t="s">
        <v>2599</v>
      </c>
    </row>
    <row r="1355" spans="1:6" ht="45" x14ac:dyDescent="0.25">
      <c r="A1355" s="436" t="s">
        <v>3087</v>
      </c>
      <c r="B1355" s="436" t="s">
        <v>2596</v>
      </c>
      <c r="C1355" s="436" t="s">
        <v>3085</v>
      </c>
      <c r="D1355" s="436" t="s">
        <v>3088</v>
      </c>
      <c r="E1355" s="436" t="s">
        <v>3086</v>
      </c>
      <c r="F1355" s="436" t="s">
        <v>2599</v>
      </c>
    </row>
    <row r="1356" spans="1:6" ht="45" x14ac:dyDescent="0.25">
      <c r="A1356" s="436" t="s">
        <v>3089</v>
      </c>
      <c r="B1356" s="436" t="s">
        <v>2596</v>
      </c>
      <c r="C1356" s="436" t="s">
        <v>3085</v>
      </c>
      <c r="D1356" s="436" t="s">
        <v>2596</v>
      </c>
      <c r="E1356" s="436" t="s">
        <v>3086</v>
      </c>
      <c r="F1356" s="436" t="s">
        <v>2599</v>
      </c>
    </row>
    <row r="1357" spans="1:6" ht="45" x14ac:dyDescent="0.25">
      <c r="A1357" s="436" t="s">
        <v>3090</v>
      </c>
      <c r="B1357" s="436" t="s">
        <v>2596</v>
      </c>
      <c r="C1357" s="436" t="s">
        <v>3085</v>
      </c>
      <c r="D1357" s="436" t="s">
        <v>2596</v>
      </c>
      <c r="E1357" s="436" t="s">
        <v>3086</v>
      </c>
      <c r="F1357" s="436" t="s">
        <v>2599</v>
      </c>
    </row>
    <row r="1358" spans="1:6" ht="45" x14ac:dyDescent="0.25">
      <c r="A1358" s="436" t="s">
        <v>3091</v>
      </c>
      <c r="B1358" s="436" t="s">
        <v>2596</v>
      </c>
      <c r="C1358" s="436" t="s">
        <v>3085</v>
      </c>
      <c r="D1358" s="436" t="s">
        <v>2596</v>
      </c>
      <c r="E1358" s="436" t="s">
        <v>3086</v>
      </c>
      <c r="F1358" s="436" t="s">
        <v>2599</v>
      </c>
    </row>
    <row r="1359" spans="1:6" ht="60" x14ac:dyDescent="0.25">
      <c r="A1359" s="436" t="s">
        <v>3092</v>
      </c>
      <c r="B1359" s="436" t="s">
        <v>2596</v>
      </c>
      <c r="C1359" s="436" t="s">
        <v>2616</v>
      </c>
      <c r="D1359" s="436" t="s">
        <v>2596</v>
      </c>
      <c r="E1359" s="436" t="s">
        <v>2729</v>
      </c>
      <c r="F1359" s="436" t="s">
        <v>2599</v>
      </c>
    </row>
    <row r="1360" spans="1:6" ht="60" x14ac:dyDescent="0.25">
      <c r="A1360" s="436" t="s">
        <v>2618</v>
      </c>
      <c r="B1360" s="436" t="s">
        <v>2596</v>
      </c>
      <c r="C1360" s="436" t="s">
        <v>2616</v>
      </c>
      <c r="D1360" s="436" t="s">
        <v>2596</v>
      </c>
      <c r="E1360" s="436" t="s">
        <v>2729</v>
      </c>
      <c r="F1360" s="436" t="s">
        <v>2599</v>
      </c>
    </row>
    <row r="1361" spans="1:6" ht="60" x14ac:dyDescent="0.25">
      <c r="A1361" s="436" t="s">
        <v>2619</v>
      </c>
      <c r="B1361" s="436" t="s">
        <v>2596</v>
      </c>
      <c r="C1361" s="436" t="s">
        <v>2616</v>
      </c>
      <c r="D1361" s="436" t="s">
        <v>2596</v>
      </c>
      <c r="E1361" s="436" t="s">
        <v>2729</v>
      </c>
      <c r="F1361" s="436" t="s">
        <v>2599</v>
      </c>
    </row>
    <row r="1362" spans="1:6" ht="30" x14ac:dyDescent="0.25">
      <c r="A1362" s="436" t="s">
        <v>2620</v>
      </c>
      <c r="B1362" s="436" t="s">
        <v>2596</v>
      </c>
      <c r="C1362" s="436" t="s">
        <v>2621</v>
      </c>
      <c r="D1362" s="436" t="s">
        <v>2596</v>
      </c>
      <c r="E1362" s="436" t="s">
        <v>2623</v>
      </c>
      <c r="F1362" s="436" t="s">
        <v>2624</v>
      </c>
    </row>
    <row r="1363" spans="1:6" ht="30" x14ac:dyDescent="0.25">
      <c r="A1363" s="436" t="s">
        <v>2620</v>
      </c>
      <c r="B1363" s="436" t="s">
        <v>2596</v>
      </c>
      <c r="C1363" s="436" t="s">
        <v>3093</v>
      </c>
      <c r="D1363" s="436" t="s">
        <v>2770</v>
      </c>
    </row>
    <row r="1364" spans="1:6" ht="30" x14ac:dyDescent="0.25">
      <c r="A1364" s="436" t="s">
        <v>2625</v>
      </c>
      <c r="B1364" s="436" t="s">
        <v>2596</v>
      </c>
      <c r="C1364" s="436" t="s">
        <v>2621</v>
      </c>
      <c r="D1364" s="436" t="s">
        <v>2596</v>
      </c>
      <c r="E1364" s="436" t="s">
        <v>3094</v>
      </c>
      <c r="F1364" s="436" t="s">
        <v>2624</v>
      </c>
    </row>
    <row r="1365" spans="1:6" ht="30" x14ac:dyDescent="0.25">
      <c r="A1365" s="436" t="s">
        <v>2630</v>
      </c>
      <c r="B1365" s="436" t="s">
        <v>2628</v>
      </c>
      <c r="C1365" s="436" t="s">
        <v>2627</v>
      </c>
      <c r="D1365" s="436" t="s">
        <v>2628</v>
      </c>
      <c r="E1365" s="436" t="s">
        <v>2629</v>
      </c>
      <c r="F1365" s="436" t="s">
        <v>2187</v>
      </c>
    </row>
    <row r="1366" spans="1:6" ht="30" x14ac:dyDescent="0.25">
      <c r="A1366" s="436" t="s">
        <v>3095</v>
      </c>
      <c r="B1366" s="436" t="s">
        <v>2628</v>
      </c>
      <c r="C1366" s="436" t="s">
        <v>2632</v>
      </c>
      <c r="D1366" s="436" t="s">
        <v>2628</v>
      </c>
      <c r="E1366" s="436" t="s">
        <v>2633</v>
      </c>
      <c r="F1366" s="436" t="s">
        <v>2187</v>
      </c>
    </row>
    <row r="1367" spans="1:6" ht="45" x14ac:dyDescent="0.25">
      <c r="A1367" s="436" t="s">
        <v>2637</v>
      </c>
      <c r="B1367" s="436" t="s">
        <v>2628</v>
      </c>
      <c r="C1367" s="436" t="s">
        <v>2635</v>
      </c>
      <c r="D1367" s="436" t="s">
        <v>2628</v>
      </c>
      <c r="E1367" s="436" t="s">
        <v>2636</v>
      </c>
      <c r="F1367" s="436" t="s">
        <v>2187</v>
      </c>
    </row>
    <row r="1368" spans="1:6" ht="45" x14ac:dyDescent="0.25">
      <c r="A1368" s="436" t="s">
        <v>2639</v>
      </c>
      <c r="B1368" s="436" t="s">
        <v>2628</v>
      </c>
      <c r="C1368" s="436" t="s">
        <v>2635</v>
      </c>
      <c r="D1368" s="436" t="s">
        <v>2628</v>
      </c>
      <c r="E1368" s="436" t="s">
        <v>2636</v>
      </c>
      <c r="F1368" s="436" t="s">
        <v>2187</v>
      </c>
    </row>
    <row r="1369" spans="1:6" ht="30" x14ac:dyDescent="0.25">
      <c r="A1369" s="436" t="s">
        <v>2646</v>
      </c>
      <c r="B1369" s="436" t="s">
        <v>2641</v>
      </c>
      <c r="C1369" s="436" t="s">
        <v>2642</v>
      </c>
      <c r="D1369" s="436" t="s">
        <v>2641</v>
      </c>
      <c r="E1369" s="436" t="s">
        <v>2643</v>
      </c>
      <c r="F1369" s="436" t="s">
        <v>2624</v>
      </c>
    </row>
    <row r="1370" spans="1:6" ht="30" x14ac:dyDescent="0.25">
      <c r="A1370" s="436" t="s">
        <v>2647</v>
      </c>
      <c r="B1370" s="436" t="s">
        <v>2641</v>
      </c>
      <c r="C1370" s="436" t="s">
        <v>2642</v>
      </c>
      <c r="D1370" s="436" t="s">
        <v>2641</v>
      </c>
      <c r="E1370" s="436" t="s">
        <v>2643</v>
      </c>
      <c r="F1370" s="436" t="s">
        <v>3096</v>
      </c>
    </row>
    <row r="1371" spans="1:6" ht="30" x14ac:dyDescent="0.25">
      <c r="A1371" s="436" t="s">
        <v>2648</v>
      </c>
      <c r="B1371" s="436" t="s">
        <v>2641</v>
      </c>
      <c r="C1371" s="436" t="s">
        <v>2642</v>
      </c>
      <c r="D1371" s="436" t="s">
        <v>2641</v>
      </c>
      <c r="E1371" s="436" t="s">
        <v>2643</v>
      </c>
      <c r="F1371" s="436" t="s">
        <v>2624</v>
      </c>
    </row>
    <row r="1372" spans="1:6" ht="30" x14ac:dyDescent="0.25">
      <c r="A1372" s="436" t="s">
        <v>2649</v>
      </c>
      <c r="B1372" s="436" t="s">
        <v>2641</v>
      </c>
      <c r="C1372" s="436" t="s">
        <v>2642</v>
      </c>
      <c r="D1372" s="436" t="s">
        <v>2641</v>
      </c>
      <c r="E1372" s="436" t="s">
        <v>2643</v>
      </c>
      <c r="F1372" s="436" t="s">
        <v>2624</v>
      </c>
    </row>
    <row r="1373" spans="1:6" ht="30" x14ac:dyDescent="0.25">
      <c r="A1373" s="436" t="s">
        <v>2650</v>
      </c>
      <c r="B1373" s="436" t="s">
        <v>2641</v>
      </c>
      <c r="C1373" s="436" t="s">
        <v>2644</v>
      </c>
      <c r="D1373" s="436" t="s">
        <v>2641</v>
      </c>
      <c r="E1373" s="436" t="s">
        <v>2645</v>
      </c>
      <c r="F1373" s="436" t="s">
        <v>2624</v>
      </c>
    </row>
    <row r="1374" spans="1:6" ht="30" x14ac:dyDescent="0.25">
      <c r="A1374" s="436" t="s">
        <v>2651</v>
      </c>
      <c r="B1374" s="436" t="s">
        <v>2641</v>
      </c>
      <c r="C1374" s="436" t="s">
        <v>2644</v>
      </c>
      <c r="D1374" s="436" t="s">
        <v>2641</v>
      </c>
      <c r="E1374" s="436" t="s">
        <v>2645</v>
      </c>
      <c r="F1374" s="436" t="s">
        <v>2624</v>
      </c>
    </row>
    <row r="1375" spans="1:6" ht="30" x14ac:dyDescent="0.25">
      <c r="A1375" s="436" t="s">
        <v>2652</v>
      </c>
      <c r="B1375" s="436" t="s">
        <v>2641</v>
      </c>
      <c r="C1375" s="436" t="s">
        <v>2644</v>
      </c>
      <c r="D1375" s="436" t="s">
        <v>2641</v>
      </c>
      <c r="E1375" s="436" t="s">
        <v>2645</v>
      </c>
      <c r="F1375" s="436" t="s">
        <v>2624</v>
      </c>
    </row>
    <row r="1376" spans="1:6" ht="45" x14ac:dyDescent="0.25">
      <c r="A1376" s="436" t="s">
        <v>2653</v>
      </c>
      <c r="B1376" s="436" t="s">
        <v>2641</v>
      </c>
      <c r="C1376" s="436" t="s">
        <v>2642</v>
      </c>
      <c r="D1376" s="436" t="s">
        <v>2641</v>
      </c>
      <c r="E1376" s="436" t="s">
        <v>2643</v>
      </c>
      <c r="F1376" s="436" t="s">
        <v>2624</v>
      </c>
    </row>
    <row r="1377" spans="1:6" ht="30" x14ac:dyDescent="0.25">
      <c r="A1377" s="436" t="s">
        <v>2654</v>
      </c>
      <c r="B1377" s="436" t="s">
        <v>2641</v>
      </c>
      <c r="C1377" s="436" t="s">
        <v>2642</v>
      </c>
      <c r="D1377" s="436" t="s">
        <v>2641</v>
      </c>
      <c r="E1377" s="436" t="s">
        <v>2643</v>
      </c>
      <c r="F1377" s="436" t="s">
        <v>2624</v>
      </c>
    </row>
    <row r="1378" spans="1:6" ht="45" x14ac:dyDescent="0.25">
      <c r="A1378" s="436" t="s">
        <v>2654</v>
      </c>
      <c r="B1378" s="436" t="s">
        <v>2641</v>
      </c>
      <c r="C1378" s="436" t="s">
        <v>2655</v>
      </c>
      <c r="D1378" s="436" t="s">
        <v>2641</v>
      </c>
      <c r="E1378" s="436" t="s">
        <v>2656</v>
      </c>
      <c r="F1378" s="436" t="s">
        <v>2624</v>
      </c>
    </row>
    <row r="1379" spans="1:6" ht="30" x14ac:dyDescent="0.25">
      <c r="A1379" s="436" t="s">
        <v>2657</v>
      </c>
      <c r="B1379" s="436" t="s">
        <v>2641</v>
      </c>
      <c r="C1379" s="436" t="s">
        <v>2642</v>
      </c>
      <c r="D1379" s="436" t="s">
        <v>2641</v>
      </c>
      <c r="E1379" s="436" t="s">
        <v>2643</v>
      </c>
      <c r="F1379" s="436" t="s">
        <v>2624</v>
      </c>
    </row>
    <row r="1380" spans="1:6" ht="30" x14ac:dyDescent="0.25">
      <c r="A1380" s="436" t="s">
        <v>2658</v>
      </c>
      <c r="B1380" s="436" t="s">
        <v>2641</v>
      </c>
      <c r="C1380" s="436" t="s">
        <v>2642</v>
      </c>
      <c r="D1380" s="436" t="s">
        <v>2641</v>
      </c>
      <c r="E1380" s="436" t="s">
        <v>2643</v>
      </c>
      <c r="F1380" s="436" t="s">
        <v>2624</v>
      </c>
    </row>
    <row r="1381" spans="1:6" ht="30" x14ac:dyDescent="0.25">
      <c r="A1381" s="436" t="s">
        <v>2659</v>
      </c>
      <c r="B1381" s="436" t="s">
        <v>2641</v>
      </c>
      <c r="C1381" s="436" t="s">
        <v>2642</v>
      </c>
      <c r="D1381" s="436" t="s">
        <v>2641</v>
      </c>
      <c r="E1381" s="436" t="s">
        <v>2643</v>
      </c>
      <c r="F1381" s="436" t="s">
        <v>2624</v>
      </c>
    </row>
    <row r="1382" spans="1:6" ht="30" x14ac:dyDescent="0.25">
      <c r="A1382" s="436" t="s">
        <v>2660</v>
      </c>
      <c r="B1382" s="436" t="s">
        <v>2641</v>
      </c>
      <c r="C1382" s="436" t="s">
        <v>2252</v>
      </c>
      <c r="D1382" s="436" t="s">
        <v>2253</v>
      </c>
      <c r="E1382" s="436" t="s">
        <v>2254</v>
      </c>
      <c r="F1382" s="436" t="s">
        <v>2255</v>
      </c>
    </row>
    <row r="1383" spans="1:6" ht="30" x14ac:dyDescent="0.25">
      <c r="A1383" s="436" t="s">
        <v>2661</v>
      </c>
      <c r="B1383" s="436" t="s">
        <v>2641</v>
      </c>
      <c r="C1383" s="436" t="s">
        <v>2252</v>
      </c>
      <c r="D1383" s="436" t="s">
        <v>2253</v>
      </c>
      <c r="E1383" s="436" t="s">
        <v>2254</v>
      </c>
      <c r="F1383" s="436" t="s">
        <v>2255</v>
      </c>
    </row>
    <row r="1384" spans="1:6" ht="45" x14ac:dyDescent="0.25">
      <c r="A1384" s="436" t="s">
        <v>2667</v>
      </c>
      <c r="B1384" s="436" t="s">
        <v>2641</v>
      </c>
      <c r="C1384" s="436" t="s">
        <v>2663</v>
      </c>
      <c r="D1384" s="436" t="s">
        <v>2641</v>
      </c>
      <c r="E1384" s="436" t="s">
        <v>2665</v>
      </c>
      <c r="F1384" s="436" t="s">
        <v>2666</v>
      </c>
    </row>
    <row r="1385" spans="1:6" ht="30" x14ac:dyDescent="0.25">
      <c r="A1385" s="436" t="s">
        <v>2668</v>
      </c>
      <c r="B1385" s="436" t="s">
        <v>2641</v>
      </c>
      <c r="C1385" s="436" t="s">
        <v>2663</v>
      </c>
      <c r="D1385" s="436" t="s">
        <v>2641</v>
      </c>
      <c r="E1385" s="436" t="s">
        <v>2665</v>
      </c>
      <c r="F1385" s="436" t="s">
        <v>2666</v>
      </c>
    </row>
    <row r="1386" spans="1:6" ht="30" x14ac:dyDescent="0.25">
      <c r="A1386" s="436" t="s">
        <v>2669</v>
      </c>
      <c r="B1386" s="436" t="s">
        <v>2641</v>
      </c>
      <c r="C1386" s="436" t="s">
        <v>2663</v>
      </c>
      <c r="D1386" s="436" t="s">
        <v>2641</v>
      </c>
      <c r="E1386" s="436" t="s">
        <v>2665</v>
      </c>
      <c r="F1386" s="436" t="s">
        <v>2666</v>
      </c>
    </row>
    <row r="1387" spans="1:6" ht="30" x14ac:dyDescent="0.25">
      <c r="A1387" s="436" t="s">
        <v>2675</v>
      </c>
      <c r="B1387" s="436" t="s">
        <v>2641</v>
      </c>
      <c r="C1387" s="436" t="s">
        <v>2671</v>
      </c>
      <c r="D1387" s="436" t="s">
        <v>2641</v>
      </c>
      <c r="E1387" s="436" t="s">
        <v>2673</v>
      </c>
      <c r="F1387" s="436" t="s">
        <v>2666</v>
      </c>
    </row>
    <row r="1388" spans="1:6" ht="30" x14ac:dyDescent="0.25">
      <c r="A1388" s="436" t="s">
        <v>2676</v>
      </c>
      <c r="B1388" s="436" t="s">
        <v>2641</v>
      </c>
      <c r="C1388" s="436" t="s">
        <v>2682</v>
      </c>
      <c r="D1388" s="436" t="s">
        <v>2641</v>
      </c>
      <c r="E1388" s="436" t="s">
        <v>2674</v>
      </c>
      <c r="F1388" s="436" t="s">
        <v>2666</v>
      </c>
    </row>
    <row r="1389" spans="1:6" ht="30" x14ac:dyDescent="0.25">
      <c r="A1389" s="436" t="s">
        <v>2679</v>
      </c>
      <c r="B1389" s="436" t="s">
        <v>2641</v>
      </c>
      <c r="C1389" s="436" t="s">
        <v>2671</v>
      </c>
      <c r="D1389" s="436" t="s">
        <v>2641</v>
      </c>
      <c r="E1389" s="436" t="s">
        <v>2673</v>
      </c>
      <c r="F1389" s="436" t="s">
        <v>2666</v>
      </c>
    </row>
    <row r="1390" spans="1:6" ht="30" x14ac:dyDescent="0.25">
      <c r="A1390" s="436" t="s">
        <v>2680</v>
      </c>
      <c r="B1390" s="436" t="s">
        <v>2641</v>
      </c>
      <c r="C1390" s="436" t="s">
        <v>2671</v>
      </c>
      <c r="D1390" s="436" t="s">
        <v>2641</v>
      </c>
      <c r="E1390" s="436" t="s">
        <v>2673</v>
      </c>
      <c r="F1390" s="436" t="s">
        <v>2666</v>
      </c>
    </row>
    <row r="1391" spans="1:6" ht="30" x14ac:dyDescent="0.25">
      <c r="A1391" s="436" t="s">
        <v>2681</v>
      </c>
      <c r="B1391" s="436" t="s">
        <v>2641</v>
      </c>
      <c r="C1391" s="436" t="s">
        <v>2682</v>
      </c>
      <c r="D1391" s="436" t="s">
        <v>2641</v>
      </c>
      <c r="E1391" s="436" t="s">
        <v>2674</v>
      </c>
      <c r="F1391" s="436" t="s">
        <v>2666</v>
      </c>
    </row>
    <row r="1392" spans="1:6" ht="30" x14ac:dyDescent="0.25">
      <c r="A1392" s="436" t="s">
        <v>2683</v>
      </c>
      <c r="B1392" s="436" t="s">
        <v>2641</v>
      </c>
      <c r="C1392" s="436" t="s">
        <v>2684</v>
      </c>
      <c r="D1392" s="436" t="s">
        <v>2641</v>
      </c>
      <c r="E1392" s="436" t="s">
        <v>2685</v>
      </c>
      <c r="F1392" s="436" t="s">
        <v>2666</v>
      </c>
    </row>
    <row r="1393" spans="1:6" ht="30" x14ac:dyDescent="0.25">
      <c r="A1393" s="436" t="s">
        <v>2686</v>
      </c>
      <c r="B1393" s="436" t="s">
        <v>2641</v>
      </c>
      <c r="C1393" s="436" t="s">
        <v>2684</v>
      </c>
      <c r="D1393" s="436" t="s">
        <v>2641</v>
      </c>
      <c r="E1393" s="436" t="s">
        <v>2685</v>
      </c>
      <c r="F1393" s="436" t="s">
        <v>2666</v>
      </c>
    </row>
    <row r="1394" spans="1:6" ht="30" x14ac:dyDescent="0.25">
      <c r="A1394" s="436" t="s">
        <v>2690</v>
      </c>
      <c r="B1394" s="436" t="s">
        <v>2641</v>
      </c>
      <c r="C1394" s="436" t="s">
        <v>2688</v>
      </c>
      <c r="D1394" s="436" t="s">
        <v>2641</v>
      </c>
      <c r="E1394" s="436" t="s">
        <v>2691</v>
      </c>
      <c r="F1394" s="436" t="s">
        <v>2666</v>
      </c>
    </row>
    <row r="1395" spans="1:6" ht="30" x14ac:dyDescent="0.25">
      <c r="A1395" s="436" t="s">
        <v>2692</v>
      </c>
      <c r="B1395" s="436" t="s">
        <v>2641</v>
      </c>
    </row>
    <row r="1396" spans="1:6" ht="60" x14ac:dyDescent="0.25">
      <c r="A1396" s="436" t="s">
        <v>2697</v>
      </c>
      <c r="B1396" s="436" t="s">
        <v>2092</v>
      </c>
      <c r="C1396" s="436" t="s">
        <v>2694</v>
      </c>
      <c r="D1396" s="436" t="s">
        <v>2092</v>
      </c>
      <c r="E1396" s="436" t="s">
        <v>2695</v>
      </c>
      <c r="F1396" s="436" t="s">
        <v>2696</v>
      </c>
    </row>
    <row r="1397" spans="1:6" ht="30" x14ac:dyDescent="0.25">
      <c r="A1397" s="436" t="s">
        <v>2698</v>
      </c>
      <c r="B1397" s="436" t="s">
        <v>2092</v>
      </c>
      <c r="C1397" s="436" t="s">
        <v>2694</v>
      </c>
      <c r="D1397" s="436" t="s">
        <v>2092</v>
      </c>
      <c r="E1397" s="436" t="s">
        <v>2695</v>
      </c>
      <c r="F1397" s="436" t="s">
        <v>2696</v>
      </c>
    </row>
    <row r="1398" spans="1:6" ht="30" x14ac:dyDescent="0.25">
      <c r="A1398" s="436" t="s">
        <v>2698</v>
      </c>
      <c r="B1398" s="436" t="s">
        <v>2092</v>
      </c>
      <c r="C1398" s="436" t="s">
        <v>3097</v>
      </c>
      <c r="D1398" s="436" t="s">
        <v>2092</v>
      </c>
      <c r="E1398" s="436" t="s">
        <v>3098</v>
      </c>
      <c r="F1398" s="436" t="s">
        <v>2696</v>
      </c>
    </row>
    <row r="1399" spans="1:6" ht="30" x14ac:dyDescent="0.25">
      <c r="A1399" s="436" t="s">
        <v>2699</v>
      </c>
      <c r="B1399" s="436" t="s">
        <v>2092</v>
      </c>
      <c r="C1399" s="436" t="s">
        <v>2694</v>
      </c>
      <c r="D1399" s="436" t="s">
        <v>2092</v>
      </c>
      <c r="E1399" s="436" t="s">
        <v>2695</v>
      </c>
      <c r="F1399" s="436" t="s">
        <v>2696</v>
      </c>
    </row>
    <row r="1400" spans="1:6" ht="30" x14ac:dyDescent="0.25">
      <c r="A1400" s="436" t="s">
        <v>2699</v>
      </c>
      <c r="B1400" s="436" t="s">
        <v>2092</v>
      </c>
      <c r="C1400" s="436" t="s">
        <v>3097</v>
      </c>
      <c r="D1400" s="436" t="s">
        <v>2092</v>
      </c>
      <c r="E1400" s="436" t="s">
        <v>3098</v>
      </c>
      <c r="F1400" s="436" t="s">
        <v>2696</v>
      </c>
    </row>
    <row r="1401" spans="1:6" ht="30" x14ac:dyDescent="0.25">
      <c r="A1401" s="436" t="s">
        <v>2700</v>
      </c>
      <c r="B1401" s="436" t="s">
        <v>2092</v>
      </c>
      <c r="C1401" s="436" t="s">
        <v>2694</v>
      </c>
      <c r="D1401" s="436" t="s">
        <v>2092</v>
      </c>
      <c r="E1401" s="436" t="s">
        <v>2695</v>
      </c>
      <c r="F1401" s="436" t="s">
        <v>2696</v>
      </c>
    </row>
    <row r="1402" spans="1:6" ht="45" x14ac:dyDescent="0.25">
      <c r="A1402" s="436" t="s">
        <v>2701</v>
      </c>
      <c r="B1402" s="436" t="s">
        <v>2092</v>
      </c>
      <c r="C1402" s="436" t="s">
        <v>2694</v>
      </c>
      <c r="D1402" s="436" t="s">
        <v>2092</v>
      </c>
      <c r="E1402" s="436" t="s">
        <v>2695</v>
      </c>
      <c r="F1402" s="436" t="s">
        <v>2696</v>
      </c>
    </row>
    <row r="1403" spans="1:6" ht="30" x14ac:dyDescent="0.25">
      <c r="A1403" s="436" t="s">
        <v>2702</v>
      </c>
      <c r="B1403" s="436" t="s">
        <v>2092</v>
      </c>
      <c r="C1403" s="436" t="s">
        <v>2694</v>
      </c>
      <c r="D1403" s="436" t="s">
        <v>2092</v>
      </c>
      <c r="E1403" s="436" t="s">
        <v>2695</v>
      </c>
      <c r="F1403" s="436" t="s">
        <v>2696</v>
      </c>
    </row>
    <row r="1404" spans="1:6" ht="30" x14ac:dyDescent="0.25">
      <c r="A1404" s="436" t="s">
        <v>2703</v>
      </c>
      <c r="B1404" s="436" t="s">
        <v>2092</v>
      </c>
      <c r="C1404" s="436" t="s">
        <v>2694</v>
      </c>
      <c r="D1404" s="436" t="s">
        <v>2092</v>
      </c>
      <c r="E1404" s="436" t="s">
        <v>2695</v>
      </c>
      <c r="F1404" s="436" t="s">
        <v>2696</v>
      </c>
    </row>
    <row r="1405" spans="1:6" ht="30" x14ac:dyDescent="0.25">
      <c r="A1405" s="436" t="s">
        <v>2704</v>
      </c>
      <c r="B1405" s="436" t="s">
        <v>2092</v>
      </c>
      <c r="C1405" s="436" t="s">
        <v>2694</v>
      </c>
      <c r="D1405" s="436" t="s">
        <v>2092</v>
      </c>
      <c r="E1405" s="436" t="s">
        <v>2695</v>
      </c>
      <c r="F1405" s="436" t="s">
        <v>2696</v>
      </c>
    </row>
    <row r="1406" spans="1:6" ht="30" x14ac:dyDescent="0.25">
      <c r="A1406" s="436" t="s">
        <v>2705</v>
      </c>
      <c r="B1406" s="436" t="s">
        <v>2092</v>
      </c>
      <c r="C1406" s="436" t="s">
        <v>2694</v>
      </c>
      <c r="D1406" s="436" t="s">
        <v>2092</v>
      </c>
      <c r="E1406" s="436" t="s">
        <v>2695</v>
      </c>
      <c r="F1406" s="436" t="s">
        <v>2696</v>
      </c>
    </row>
    <row r="1407" spans="1:6" ht="30" x14ac:dyDescent="0.25">
      <c r="A1407" s="436" t="s">
        <v>2706</v>
      </c>
      <c r="B1407" s="436" t="s">
        <v>2092</v>
      </c>
      <c r="C1407" s="436" t="s">
        <v>2694</v>
      </c>
      <c r="D1407" s="436" t="s">
        <v>2092</v>
      </c>
      <c r="E1407" s="436" t="s">
        <v>2695</v>
      </c>
      <c r="F1407" s="436" t="s">
        <v>2696</v>
      </c>
    </row>
    <row r="1408" spans="1:6" ht="30" x14ac:dyDescent="0.25">
      <c r="A1408" s="436" t="s">
        <v>2707</v>
      </c>
      <c r="B1408" s="436" t="s">
        <v>2092</v>
      </c>
      <c r="C1408" s="436" t="s">
        <v>2694</v>
      </c>
      <c r="D1408" s="436" t="s">
        <v>2092</v>
      </c>
      <c r="E1408" s="436" t="s">
        <v>2695</v>
      </c>
      <c r="F1408" s="436" t="s">
        <v>2696</v>
      </c>
    </row>
    <row r="1409" spans="1:6" ht="30" x14ac:dyDescent="0.25">
      <c r="A1409" s="436" t="s">
        <v>2707</v>
      </c>
      <c r="B1409" s="436" t="s">
        <v>2092</v>
      </c>
      <c r="C1409" s="436" t="s">
        <v>3097</v>
      </c>
      <c r="D1409" s="436" t="s">
        <v>2092</v>
      </c>
      <c r="E1409" s="436" t="s">
        <v>3098</v>
      </c>
      <c r="F1409" s="436" t="s">
        <v>2696</v>
      </c>
    </row>
    <row r="1410" spans="1:6" ht="45" x14ac:dyDescent="0.25">
      <c r="A1410" s="436" t="s">
        <v>2707</v>
      </c>
      <c r="B1410" s="436" t="s">
        <v>2092</v>
      </c>
      <c r="C1410" s="436" t="s">
        <v>3099</v>
      </c>
      <c r="D1410" s="436" t="s">
        <v>2092</v>
      </c>
      <c r="E1410" s="436" t="s">
        <v>3100</v>
      </c>
      <c r="F1410" s="436" t="s">
        <v>2696</v>
      </c>
    </row>
    <row r="1411" spans="1:6" ht="60" x14ac:dyDescent="0.25">
      <c r="A1411" s="436" t="s">
        <v>2707</v>
      </c>
      <c r="B1411" s="436" t="s">
        <v>2092</v>
      </c>
      <c r="C1411" s="436" t="s">
        <v>3101</v>
      </c>
      <c r="D1411" s="436" t="s">
        <v>2092</v>
      </c>
      <c r="E1411" s="436" t="s">
        <v>3102</v>
      </c>
      <c r="F1411" s="436" t="s">
        <v>2696</v>
      </c>
    </row>
    <row r="1412" spans="1:6" ht="45" x14ac:dyDescent="0.25">
      <c r="A1412" s="436" t="s">
        <v>3103</v>
      </c>
      <c r="B1412" s="436" t="s">
        <v>3104</v>
      </c>
      <c r="C1412" s="436" t="s">
        <v>3099</v>
      </c>
      <c r="D1412" s="436" t="s">
        <v>2092</v>
      </c>
      <c r="E1412" s="436" t="s">
        <v>3100</v>
      </c>
      <c r="F1412" s="436" t="s">
        <v>2696</v>
      </c>
    </row>
    <row r="1413" spans="1:6" ht="30" x14ac:dyDescent="0.25">
      <c r="A1413" s="436" t="s">
        <v>2708</v>
      </c>
      <c r="B1413" s="436" t="s">
        <v>2092</v>
      </c>
      <c r="C1413" s="436" t="s">
        <v>2694</v>
      </c>
      <c r="D1413" s="436" t="s">
        <v>2092</v>
      </c>
      <c r="E1413" s="436" t="s">
        <v>2695</v>
      </c>
      <c r="F1413" s="436" t="s">
        <v>2696</v>
      </c>
    </row>
    <row r="1414" spans="1:6" ht="60" x14ac:dyDescent="0.25">
      <c r="A1414" s="436" t="s">
        <v>2708</v>
      </c>
      <c r="B1414" s="436" t="s">
        <v>2092</v>
      </c>
      <c r="C1414" s="436" t="s">
        <v>3101</v>
      </c>
      <c r="D1414" s="436" t="s">
        <v>2092</v>
      </c>
      <c r="E1414" s="436" t="s">
        <v>3102</v>
      </c>
      <c r="F1414" s="436" t="s">
        <v>2696</v>
      </c>
    </row>
    <row r="1415" spans="1:6" x14ac:dyDescent="0.25">
      <c r="A1415" s="436" t="s">
        <v>2710</v>
      </c>
      <c r="B1415" s="436" t="s">
        <v>2092</v>
      </c>
      <c r="C1415" s="436" t="s">
        <v>2091</v>
      </c>
      <c r="D1415" s="436" t="s">
        <v>2092</v>
      </c>
      <c r="E1415" s="436" t="s">
        <v>2093</v>
      </c>
      <c r="F1415" s="436" t="s">
        <v>2094</v>
      </c>
    </row>
    <row r="1416" spans="1:6" ht="30" x14ac:dyDescent="0.25">
      <c r="A1416" s="436" t="s">
        <v>2711</v>
      </c>
      <c r="B1416" s="436" t="s">
        <v>2092</v>
      </c>
      <c r="C1416" s="436" t="s">
        <v>2712</v>
      </c>
      <c r="D1416" s="436" t="s">
        <v>2092</v>
      </c>
      <c r="E1416" s="436" t="s">
        <v>2713</v>
      </c>
      <c r="F1416" s="436" t="s">
        <v>2094</v>
      </c>
    </row>
    <row r="1417" spans="1:6" ht="30" x14ac:dyDescent="0.25">
      <c r="A1417" s="436" t="s">
        <v>2714</v>
      </c>
      <c r="B1417" s="436" t="s">
        <v>2092</v>
      </c>
      <c r="C1417" s="436" t="s">
        <v>2715</v>
      </c>
      <c r="D1417" s="436" t="s">
        <v>2092</v>
      </c>
      <c r="E1417" s="436" t="s">
        <v>2716</v>
      </c>
      <c r="F1417" s="436" t="s">
        <v>2094</v>
      </c>
    </row>
    <row r="1418" spans="1:6" ht="45" x14ac:dyDescent="0.25">
      <c r="A1418" s="436" t="s">
        <v>2720</v>
      </c>
      <c r="B1418" s="436" t="s">
        <v>1799</v>
      </c>
      <c r="C1418" s="436" t="s">
        <v>2721</v>
      </c>
      <c r="D1418" s="436" t="s">
        <v>1799</v>
      </c>
      <c r="E1418" s="436" t="s">
        <v>2722</v>
      </c>
      <c r="F1418" s="436" t="s">
        <v>2723</v>
      </c>
    </row>
    <row r="1419" spans="1:6" ht="45" x14ac:dyDescent="0.25">
      <c r="A1419" s="436" t="s">
        <v>2724</v>
      </c>
      <c r="B1419" s="436" t="s">
        <v>1799</v>
      </c>
      <c r="C1419" s="436" t="s">
        <v>2721</v>
      </c>
      <c r="D1419" s="436" t="s">
        <v>1799</v>
      </c>
      <c r="E1419" s="436" t="s">
        <v>2722</v>
      </c>
      <c r="F1419" s="436" t="s">
        <v>2723</v>
      </c>
    </row>
    <row r="1420" spans="1:6" ht="45" x14ac:dyDescent="0.25">
      <c r="A1420" s="436" t="s">
        <v>2725</v>
      </c>
      <c r="B1420" s="436" t="s">
        <v>1799</v>
      </c>
      <c r="C1420" s="436" t="s">
        <v>2721</v>
      </c>
      <c r="D1420" s="436" t="s">
        <v>1799</v>
      </c>
      <c r="E1420" s="436" t="s">
        <v>2722</v>
      </c>
      <c r="F1420" s="436" t="s">
        <v>2723</v>
      </c>
    </row>
    <row r="1421" spans="1:6" ht="45" x14ac:dyDescent="0.25">
      <c r="A1421" s="436" t="s">
        <v>2726</v>
      </c>
      <c r="B1421" s="436" t="s">
        <v>1799</v>
      </c>
      <c r="C1421" s="436" t="s">
        <v>2721</v>
      </c>
      <c r="D1421" s="436" t="s">
        <v>1799</v>
      </c>
      <c r="E1421" s="436" t="s">
        <v>2722</v>
      </c>
      <c r="F1421" s="436" t="s">
        <v>2723</v>
      </c>
    </row>
    <row r="1422" spans="1:6" ht="45" x14ac:dyDescent="0.25">
      <c r="A1422" s="436" t="s">
        <v>2726</v>
      </c>
      <c r="B1422" s="436" t="s">
        <v>1799</v>
      </c>
      <c r="C1422" s="436" t="s">
        <v>3105</v>
      </c>
      <c r="D1422" s="436" t="s">
        <v>1799</v>
      </c>
      <c r="E1422" s="436" t="s">
        <v>3106</v>
      </c>
      <c r="F1422" s="436" t="s">
        <v>2723</v>
      </c>
    </row>
    <row r="1423" spans="1:6" ht="45" x14ac:dyDescent="0.25">
      <c r="A1423" s="436" t="s">
        <v>2728</v>
      </c>
      <c r="B1423" s="436" t="s">
        <v>1799</v>
      </c>
      <c r="C1423" s="436" t="s">
        <v>2721</v>
      </c>
      <c r="D1423" s="436" t="s">
        <v>1799</v>
      </c>
      <c r="E1423" s="436" t="s">
        <v>2722</v>
      </c>
      <c r="F1423" s="436" t="s">
        <v>2723</v>
      </c>
    </row>
    <row r="1424" spans="1:6" ht="60" x14ac:dyDescent="0.25">
      <c r="A1424" s="436" t="s">
        <v>2728</v>
      </c>
      <c r="B1424" s="436" t="s">
        <v>1799</v>
      </c>
      <c r="C1424" s="436" t="s">
        <v>2616</v>
      </c>
      <c r="D1424" s="436" t="s">
        <v>2596</v>
      </c>
      <c r="E1424" s="436" t="s">
        <v>2729</v>
      </c>
      <c r="F1424" s="436" t="s">
        <v>2599</v>
      </c>
    </row>
    <row r="1425" spans="1:6" ht="45" x14ac:dyDescent="0.25">
      <c r="A1425" s="436" t="s">
        <v>2730</v>
      </c>
      <c r="B1425" s="436" t="s">
        <v>1799</v>
      </c>
      <c r="C1425" s="436" t="s">
        <v>2721</v>
      </c>
      <c r="D1425" s="436" t="s">
        <v>1799</v>
      </c>
      <c r="E1425" s="436" t="s">
        <v>2722</v>
      </c>
      <c r="F1425" s="436" t="s">
        <v>2723</v>
      </c>
    </row>
    <row r="1426" spans="1:6" ht="60" x14ac:dyDescent="0.25">
      <c r="A1426" s="436" t="s">
        <v>2731</v>
      </c>
      <c r="B1426" s="436" t="s">
        <v>1799</v>
      </c>
      <c r="C1426" s="436" t="s">
        <v>2732</v>
      </c>
      <c r="D1426" s="436" t="s">
        <v>1799</v>
      </c>
      <c r="E1426" s="436" t="s">
        <v>2733</v>
      </c>
      <c r="F1426" s="436" t="s">
        <v>2723</v>
      </c>
    </row>
    <row r="1427" spans="1:6" ht="45" x14ac:dyDescent="0.25">
      <c r="A1427" s="436" t="s">
        <v>2734</v>
      </c>
      <c r="B1427" s="436" t="s">
        <v>1799</v>
      </c>
      <c r="C1427" s="436" t="s">
        <v>2732</v>
      </c>
      <c r="D1427" s="436" t="s">
        <v>1799</v>
      </c>
      <c r="E1427" s="436" t="s">
        <v>2733</v>
      </c>
      <c r="F1427" s="436" t="s">
        <v>2723</v>
      </c>
    </row>
    <row r="1428" spans="1:6" ht="45" x14ac:dyDescent="0.25">
      <c r="A1428" s="436" t="s">
        <v>2736</v>
      </c>
      <c r="B1428" s="436" t="s">
        <v>1799</v>
      </c>
      <c r="C1428" s="436" t="s">
        <v>2732</v>
      </c>
      <c r="D1428" s="436" t="s">
        <v>1799</v>
      </c>
      <c r="E1428" s="436" t="s">
        <v>2733</v>
      </c>
      <c r="F1428" s="436" t="s">
        <v>2723</v>
      </c>
    </row>
    <row r="1429" spans="1:6" ht="45" x14ac:dyDescent="0.25">
      <c r="A1429" s="436" t="s">
        <v>2737</v>
      </c>
      <c r="B1429" s="436" t="s">
        <v>1799</v>
      </c>
      <c r="C1429" s="436" t="s">
        <v>2732</v>
      </c>
      <c r="D1429" s="436" t="s">
        <v>1799</v>
      </c>
      <c r="E1429" s="436" t="s">
        <v>2733</v>
      </c>
      <c r="F1429" s="436" t="s">
        <v>2723</v>
      </c>
    </row>
    <row r="1430" spans="1:6" x14ac:dyDescent="0.25">
      <c r="A1430" s="436" t="s">
        <v>3108</v>
      </c>
      <c r="B1430" s="436" t="s">
        <v>1713</v>
      </c>
      <c r="C1430" s="436" t="s">
        <v>3108</v>
      </c>
      <c r="D1430" s="436" t="s">
        <v>1713</v>
      </c>
      <c r="E1430" s="436" t="s">
        <v>3109</v>
      </c>
      <c r="F1430" s="436" t="s">
        <v>1715</v>
      </c>
    </row>
    <row r="1431" spans="1:6" ht="30" x14ac:dyDescent="0.25">
      <c r="A1431" s="436" t="s">
        <v>3110</v>
      </c>
      <c r="B1431" s="436" t="s">
        <v>1713</v>
      </c>
      <c r="C1431" s="436" t="s">
        <v>3108</v>
      </c>
      <c r="D1431" s="436" t="s">
        <v>1713</v>
      </c>
      <c r="E1431" s="436" t="s">
        <v>3109</v>
      </c>
      <c r="F1431" s="436" t="s">
        <v>1715</v>
      </c>
    </row>
    <row r="1432" spans="1:6" ht="30" x14ac:dyDescent="0.25">
      <c r="A1432" s="436" t="s">
        <v>3110</v>
      </c>
      <c r="B1432" s="436" t="s">
        <v>1713</v>
      </c>
      <c r="C1432" s="436" t="s">
        <v>3111</v>
      </c>
      <c r="D1432" s="436" t="s">
        <v>1713</v>
      </c>
      <c r="E1432" s="436" t="s">
        <v>3112</v>
      </c>
      <c r="F1432" s="436" t="s">
        <v>1720</v>
      </c>
    </row>
    <row r="1433" spans="1:6" ht="30" x14ac:dyDescent="0.25">
      <c r="A1433" s="436" t="s">
        <v>3113</v>
      </c>
      <c r="B1433" s="436" t="s">
        <v>1713</v>
      </c>
      <c r="C1433" s="436" t="s">
        <v>3111</v>
      </c>
      <c r="D1433" s="436" t="s">
        <v>1713</v>
      </c>
      <c r="E1433" s="436" t="s">
        <v>3112</v>
      </c>
      <c r="F1433" s="436" t="s">
        <v>1720</v>
      </c>
    </row>
    <row r="1434" spans="1:6" ht="45" x14ac:dyDescent="0.25">
      <c r="A1434" s="436" t="s">
        <v>3114</v>
      </c>
      <c r="B1434" s="436" t="s">
        <v>1713</v>
      </c>
      <c r="C1434" s="436" t="s">
        <v>3115</v>
      </c>
      <c r="D1434" s="436" t="s">
        <v>1713</v>
      </c>
      <c r="E1434" s="436" t="s">
        <v>3116</v>
      </c>
      <c r="F1434" s="436" t="s">
        <v>1720</v>
      </c>
    </row>
    <row r="1435" spans="1:6" ht="30" x14ac:dyDescent="0.25">
      <c r="A1435" s="436" t="s">
        <v>3117</v>
      </c>
      <c r="B1435" s="436" t="s">
        <v>1713</v>
      </c>
      <c r="C1435" s="436" t="s">
        <v>3118</v>
      </c>
      <c r="D1435" s="436" t="s">
        <v>1713</v>
      </c>
      <c r="E1435" s="436" t="s">
        <v>3119</v>
      </c>
      <c r="F1435" s="436" t="s">
        <v>1715</v>
      </c>
    </row>
    <row r="1436" spans="1:6" ht="45" x14ac:dyDescent="0.25">
      <c r="C1436" s="436" t="s">
        <v>3120</v>
      </c>
      <c r="D1436" s="436" t="s">
        <v>1713</v>
      </c>
      <c r="E1436" s="436" t="s">
        <v>3121</v>
      </c>
      <c r="F1436" s="436" t="s">
        <v>1720</v>
      </c>
    </row>
    <row r="1437" spans="1:6" ht="30" x14ac:dyDescent="0.25">
      <c r="A1437" s="436" t="s">
        <v>3122</v>
      </c>
      <c r="B1437" s="436" t="s">
        <v>1713</v>
      </c>
      <c r="C1437" s="436" t="s">
        <v>3123</v>
      </c>
      <c r="D1437" s="436" t="s">
        <v>1713</v>
      </c>
      <c r="E1437" s="436" t="s">
        <v>3124</v>
      </c>
      <c r="F1437" s="436" t="s">
        <v>1735</v>
      </c>
    </row>
    <row r="1438" spans="1:6" x14ac:dyDescent="0.25">
      <c r="A1438" s="436" t="s">
        <v>3125</v>
      </c>
      <c r="B1438" s="436" t="s">
        <v>1713</v>
      </c>
      <c r="C1438" s="436" t="s">
        <v>3126</v>
      </c>
      <c r="D1438" s="436" t="s">
        <v>1713</v>
      </c>
      <c r="E1438" s="436" t="s">
        <v>3127</v>
      </c>
      <c r="F1438" s="436" t="s">
        <v>1735</v>
      </c>
    </row>
    <row r="1439" spans="1:6" x14ac:dyDescent="0.25">
      <c r="A1439" s="436" t="s">
        <v>3128</v>
      </c>
      <c r="B1439" s="436" t="s">
        <v>1713</v>
      </c>
      <c r="C1439" s="436" t="s">
        <v>3129</v>
      </c>
      <c r="D1439" s="436" t="s">
        <v>1713</v>
      </c>
      <c r="E1439" s="436" t="s">
        <v>3130</v>
      </c>
      <c r="F1439" s="436" t="s">
        <v>1735</v>
      </c>
    </row>
    <row r="1440" spans="1:6" ht="30" x14ac:dyDescent="0.25">
      <c r="A1440" s="436" t="s">
        <v>3131</v>
      </c>
      <c r="B1440" s="436" t="s">
        <v>1713</v>
      </c>
      <c r="C1440" s="436" t="s">
        <v>3132</v>
      </c>
      <c r="D1440" s="436" t="s">
        <v>1713</v>
      </c>
      <c r="E1440" s="436" t="s">
        <v>3133</v>
      </c>
      <c r="F1440" s="436" t="s">
        <v>1715</v>
      </c>
    </row>
    <row r="1441" spans="1:6" ht="30" x14ac:dyDescent="0.25">
      <c r="A1441" s="436" t="s">
        <v>3134</v>
      </c>
      <c r="B1441" s="436" t="s">
        <v>1713</v>
      </c>
      <c r="C1441" s="436" t="s">
        <v>3132</v>
      </c>
      <c r="D1441" s="436" t="s">
        <v>1713</v>
      </c>
      <c r="E1441" s="436" t="s">
        <v>3133</v>
      </c>
      <c r="F1441" s="436" t="s">
        <v>1715</v>
      </c>
    </row>
    <row r="1442" spans="1:6" x14ac:dyDescent="0.25">
      <c r="A1442" s="436" t="s">
        <v>3135</v>
      </c>
      <c r="B1442" s="436" t="s">
        <v>1759</v>
      </c>
      <c r="C1442" s="436" t="s">
        <v>3135</v>
      </c>
      <c r="D1442" s="436" t="s">
        <v>1759</v>
      </c>
      <c r="E1442" s="436" t="s">
        <v>3136</v>
      </c>
      <c r="F1442" s="436" t="s">
        <v>1761</v>
      </c>
    </row>
    <row r="1443" spans="1:6" x14ac:dyDescent="0.25">
      <c r="A1443" s="436" t="s">
        <v>3137</v>
      </c>
      <c r="B1443" s="436" t="s">
        <v>1759</v>
      </c>
      <c r="C1443" s="436" t="s">
        <v>3138</v>
      </c>
      <c r="D1443" s="436" t="s">
        <v>1759</v>
      </c>
      <c r="E1443" s="436" t="s">
        <v>3139</v>
      </c>
      <c r="F1443" s="436" t="s">
        <v>1766</v>
      </c>
    </row>
    <row r="1444" spans="1:6" x14ac:dyDescent="0.25">
      <c r="A1444" s="436" t="s">
        <v>3140</v>
      </c>
      <c r="B1444" s="436" t="s">
        <v>1759</v>
      </c>
      <c r="C1444" s="436" t="s">
        <v>3141</v>
      </c>
      <c r="D1444" s="436" t="s">
        <v>1759</v>
      </c>
      <c r="E1444" s="436" t="s">
        <v>3142</v>
      </c>
      <c r="F1444" s="436" t="s">
        <v>1780</v>
      </c>
    </row>
    <row r="1445" spans="1:6" x14ac:dyDescent="0.25">
      <c r="A1445" s="436" t="s">
        <v>3143</v>
      </c>
      <c r="B1445" s="436" t="s">
        <v>1759</v>
      </c>
      <c r="C1445" s="436" t="s">
        <v>3144</v>
      </c>
      <c r="D1445" s="436" t="s">
        <v>1759</v>
      </c>
      <c r="E1445" s="436" t="s">
        <v>3145</v>
      </c>
      <c r="F1445" s="436" t="s">
        <v>1780</v>
      </c>
    </row>
    <row r="1446" spans="1:6" ht="30" x14ac:dyDescent="0.25">
      <c r="A1446" s="436" t="s">
        <v>3146</v>
      </c>
      <c r="B1446" s="436" t="s">
        <v>1759</v>
      </c>
      <c r="C1446" s="436" t="s">
        <v>3147</v>
      </c>
      <c r="D1446" s="436" t="s">
        <v>1759</v>
      </c>
      <c r="E1446" s="436" t="s">
        <v>3148</v>
      </c>
      <c r="F1446" s="436" t="s">
        <v>1780</v>
      </c>
    </row>
    <row r="1447" spans="1:6" x14ac:dyDescent="0.25">
      <c r="A1447" s="436" t="s">
        <v>3149</v>
      </c>
      <c r="B1447" s="436" t="s">
        <v>1759</v>
      </c>
      <c r="C1447" s="436" t="s">
        <v>3150</v>
      </c>
      <c r="D1447" s="436" t="s">
        <v>1759</v>
      </c>
      <c r="E1447" s="436" t="s">
        <v>3151</v>
      </c>
      <c r="F1447" s="436" t="s">
        <v>1780</v>
      </c>
    </row>
    <row r="1448" spans="1:6" ht="45" x14ac:dyDescent="0.25">
      <c r="A1448" s="436" t="s">
        <v>3149</v>
      </c>
      <c r="B1448" s="436" t="s">
        <v>1759</v>
      </c>
      <c r="C1448" s="436" t="s">
        <v>3152</v>
      </c>
      <c r="D1448" s="436" t="s">
        <v>1799</v>
      </c>
      <c r="E1448" s="436" t="s">
        <v>3153</v>
      </c>
      <c r="F1448" s="436" t="s">
        <v>1780</v>
      </c>
    </row>
    <row r="1449" spans="1:6" x14ac:dyDescent="0.25">
      <c r="A1449" s="436" t="s">
        <v>3154</v>
      </c>
      <c r="B1449" s="436" t="s">
        <v>1759</v>
      </c>
      <c r="C1449" s="436" t="s">
        <v>3155</v>
      </c>
      <c r="D1449" s="436" t="s">
        <v>1759</v>
      </c>
      <c r="E1449" s="436" t="s">
        <v>3156</v>
      </c>
      <c r="F1449" s="436" t="s">
        <v>1766</v>
      </c>
    </row>
    <row r="1450" spans="1:6" ht="30" x14ac:dyDescent="0.25">
      <c r="A1450" s="436" t="s">
        <v>3157</v>
      </c>
      <c r="B1450" s="436" t="s">
        <v>1759</v>
      </c>
      <c r="C1450" s="436" t="s">
        <v>3138</v>
      </c>
      <c r="D1450" s="436" t="s">
        <v>1759</v>
      </c>
      <c r="E1450" s="436" t="s">
        <v>3139</v>
      </c>
      <c r="F1450" s="436" t="s">
        <v>1766</v>
      </c>
    </row>
    <row r="1451" spans="1:6" ht="30" x14ac:dyDescent="0.25">
      <c r="A1451" s="436" t="s">
        <v>3157</v>
      </c>
      <c r="B1451" s="436" t="s">
        <v>1759</v>
      </c>
      <c r="C1451" s="436" t="s">
        <v>3158</v>
      </c>
      <c r="D1451" s="436" t="s">
        <v>1759</v>
      </c>
      <c r="E1451" s="436" t="s">
        <v>3159</v>
      </c>
      <c r="F1451" s="436" t="s">
        <v>1780</v>
      </c>
    </row>
    <row r="1452" spans="1:6" ht="30" x14ac:dyDescent="0.25">
      <c r="A1452" s="436" t="s">
        <v>3160</v>
      </c>
      <c r="B1452" s="436" t="s">
        <v>1759</v>
      </c>
      <c r="C1452" s="436" t="s">
        <v>3161</v>
      </c>
      <c r="D1452" s="436" t="s">
        <v>1759</v>
      </c>
      <c r="E1452" s="436" t="s">
        <v>3162</v>
      </c>
      <c r="F1452" s="436" t="s">
        <v>1761</v>
      </c>
    </row>
    <row r="1453" spans="1:6" ht="45" x14ac:dyDescent="0.25">
      <c r="A1453" s="436" t="s">
        <v>3163</v>
      </c>
      <c r="B1453" s="436" t="s">
        <v>1759</v>
      </c>
      <c r="C1453" s="436" t="s">
        <v>3164</v>
      </c>
      <c r="D1453" s="436" t="s">
        <v>1759</v>
      </c>
      <c r="E1453" s="436" t="s">
        <v>3165</v>
      </c>
      <c r="F1453" s="436" t="s">
        <v>2517</v>
      </c>
    </row>
    <row r="1454" spans="1:6" ht="30" x14ac:dyDescent="0.25">
      <c r="A1454" s="436" t="s">
        <v>3166</v>
      </c>
      <c r="B1454" s="436" t="s">
        <v>1820</v>
      </c>
      <c r="C1454" s="436" t="s">
        <v>3166</v>
      </c>
      <c r="D1454" s="436" t="s">
        <v>1820</v>
      </c>
      <c r="E1454" s="436" t="s">
        <v>3167</v>
      </c>
      <c r="F1454" s="436" t="s">
        <v>1822</v>
      </c>
    </row>
    <row r="1455" spans="1:6" ht="30" x14ac:dyDescent="0.25">
      <c r="A1455" s="436" t="s">
        <v>3168</v>
      </c>
      <c r="B1455" s="436" t="s">
        <v>1820</v>
      </c>
      <c r="C1455" s="436" t="s">
        <v>3168</v>
      </c>
      <c r="D1455" s="436" t="s">
        <v>1820</v>
      </c>
      <c r="E1455" s="436" t="s">
        <v>3169</v>
      </c>
      <c r="F1455" s="436" t="s">
        <v>1826</v>
      </c>
    </row>
    <row r="1456" spans="1:6" x14ac:dyDescent="0.25">
      <c r="A1456" s="436" t="s">
        <v>3170</v>
      </c>
      <c r="B1456" s="436" t="s">
        <v>1820</v>
      </c>
      <c r="C1456" s="436" t="s">
        <v>3170</v>
      </c>
      <c r="D1456" s="436" t="s">
        <v>1820</v>
      </c>
      <c r="E1456" s="436" t="s">
        <v>3171</v>
      </c>
      <c r="F1456" s="436" t="s">
        <v>1831</v>
      </c>
    </row>
    <row r="1457" spans="1:6" ht="30" x14ac:dyDescent="0.25">
      <c r="A1457" s="436" t="s">
        <v>3170</v>
      </c>
      <c r="B1457" s="436" t="s">
        <v>1820</v>
      </c>
      <c r="C1457" s="436" t="s">
        <v>3172</v>
      </c>
      <c r="D1457" s="436" t="s">
        <v>1971</v>
      </c>
      <c r="E1457" s="436" t="s">
        <v>3173</v>
      </c>
      <c r="F1457" s="436" t="s">
        <v>1974</v>
      </c>
    </row>
    <row r="1458" spans="1:6" x14ac:dyDescent="0.25">
      <c r="A1458" s="436" t="s">
        <v>3174</v>
      </c>
      <c r="B1458" s="436" t="s">
        <v>1820</v>
      </c>
      <c r="C1458" s="436" t="s">
        <v>3175</v>
      </c>
      <c r="D1458" s="436" t="s">
        <v>1820</v>
      </c>
      <c r="E1458" s="436" t="s">
        <v>3176</v>
      </c>
      <c r="F1458" s="436" t="s">
        <v>1836</v>
      </c>
    </row>
    <row r="1459" spans="1:6" x14ac:dyDescent="0.25">
      <c r="A1459" s="436" t="s">
        <v>3177</v>
      </c>
      <c r="B1459" s="436" t="s">
        <v>1820</v>
      </c>
      <c r="C1459" s="436" t="s">
        <v>3178</v>
      </c>
      <c r="D1459" s="436" t="s">
        <v>1820</v>
      </c>
      <c r="E1459" s="436" t="s">
        <v>3179</v>
      </c>
      <c r="F1459" s="436" t="s">
        <v>1844</v>
      </c>
    </row>
    <row r="1460" spans="1:6" ht="30" x14ac:dyDescent="0.25">
      <c r="A1460" s="436" t="s">
        <v>3180</v>
      </c>
      <c r="B1460" s="436" t="s">
        <v>1820</v>
      </c>
      <c r="C1460" s="436" t="s">
        <v>3181</v>
      </c>
      <c r="D1460" s="436" t="s">
        <v>1820</v>
      </c>
      <c r="E1460" s="436" t="s">
        <v>3182</v>
      </c>
      <c r="F1460" s="436" t="s">
        <v>1849</v>
      </c>
    </row>
    <row r="1461" spans="1:6" ht="30" x14ac:dyDescent="0.25">
      <c r="C1461" s="436" t="s">
        <v>3183</v>
      </c>
      <c r="D1461" s="436" t="s">
        <v>1820</v>
      </c>
      <c r="E1461" s="436" t="s">
        <v>3184</v>
      </c>
      <c r="F1461" s="436" t="s">
        <v>1849</v>
      </c>
    </row>
    <row r="1462" spans="1:6" ht="30" x14ac:dyDescent="0.25">
      <c r="A1462" s="436" t="s">
        <v>3185</v>
      </c>
      <c r="B1462" s="436" t="s">
        <v>1820</v>
      </c>
      <c r="C1462" s="436" t="s">
        <v>3186</v>
      </c>
      <c r="D1462" s="436" t="s">
        <v>1820</v>
      </c>
      <c r="E1462" s="436" t="s">
        <v>3187</v>
      </c>
      <c r="F1462" s="436" t="s">
        <v>1826</v>
      </c>
    </row>
    <row r="1463" spans="1:6" ht="30" x14ac:dyDescent="0.25">
      <c r="A1463" s="436" t="s">
        <v>3188</v>
      </c>
      <c r="B1463" s="436" t="s">
        <v>1820</v>
      </c>
      <c r="C1463" s="436" t="s">
        <v>3189</v>
      </c>
      <c r="D1463" s="436" t="s">
        <v>1820</v>
      </c>
      <c r="E1463" s="436" t="s">
        <v>3190</v>
      </c>
      <c r="F1463" s="436" t="s">
        <v>1826</v>
      </c>
    </row>
    <row r="1464" spans="1:6" ht="30" x14ac:dyDescent="0.25">
      <c r="A1464" s="436" t="s">
        <v>3191</v>
      </c>
      <c r="B1464" s="436" t="s">
        <v>1820</v>
      </c>
      <c r="C1464" s="436" t="s">
        <v>3192</v>
      </c>
      <c r="D1464" s="436" t="s">
        <v>1820</v>
      </c>
      <c r="E1464" s="436" t="s">
        <v>3193</v>
      </c>
      <c r="F1464" s="436" t="s">
        <v>1849</v>
      </c>
    </row>
    <row r="1465" spans="1:6" ht="30" x14ac:dyDescent="0.25">
      <c r="C1465" s="436" t="s">
        <v>3194</v>
      </c>
      <c r="D1465" s="436" t="s">
        <v>1820</v>
      </c>
      <c r="E1465" s="436" t="s">
        <v>3195</v>
      </c>
      <c r="F1465" s="436" t="s">
        <v>1849</v>
      </c>
    </row>
    <row r="1466" spans="1:6" x14ac:dyDescent="0.25">
      <c r="A1466" s="436" t="s">
        <v>3196</v>
      </c>
      <c r="B1466" s="436" t="s">
        <v>1820</v>
      </c>
      <c r="C1466" s="436" t="s">
        <v>3197</v>
      </c>
      <c r="D1466" s="436" t="s">
        <v>1820</v>
      </c>
      <c r="E1466" s="436" t="s">
        <v>3198</v>
      </c>
      <c r="F1466" s="436" t="s">
        <v>1872</v>
      </c>
    </row>
    <row r="1467" spans="1:6" ht="30" x14ac:dyDescent="0.25">
      <c r="C1467" s="436" t="s">
        <v>3199</v>
      </c>
      <c r="D1467" s="436" t="s">
        <v>1820</v>
      </c>
      <c r="E1467" s="436" t="s">
        <v>3200</v>
      </c>
      <c r="F1467" s="436" t="s">
        <v>1872</v>
      </c>
    </row>
    <row r="1468" spans="1:6" x14ac:dyDescent="0.25">
      <c r="A1468" s="436" t="s">
        <v>3201</v>
      </c>
      <c r="B1468" s="436" t="s">
        <v>1820</v>
      </c>
      <c r="C1468" s="436" t="s">
        <v>3202</v>
      </c>
      <c r="D1468" s="436" t="s">
        <v>1820</v>
      </c>
      <c r="E1468" s="436" t="s">
        <v>3203</v>
      </c>
      <c r="F1468" s="436" t="s">
        <v>1872</v>
      </c>
    </row>
    <row r="1469" spans="1:6" ht="30" x14ac:dyDescent="0.25">
      <c r="A1469" s="436" t="s">
        <v>3204</v>
      </c>
      <c r="B1469" s="436" t="s">
        <v>1820</v>
      </c>
      <c r="C1469" s="436" t="s">
        <v>3205</v>
      </c>
      <c r="D1469" s="436" t="s">
        <v>1820</v>
      </c>
      <c r="E1469" s="436" t="s">
        <v>3206</v>
      </c>
      <c r="F1469" s="436" t="s">
        <v>1872</v>
      </c>
    </row>
    <row r="1470" spans="1:6" ht="30" x14ac:dyDescent="0.25">
      <c r="A1470" s="436" t="s">
        <v>3207</v>
      </c>
      <c r="B1470" s="436" t="s">
        <v>1820</v>
      </c>
      <c r="C1470" s="436" t="s">
        <v>3208</v>
      </c>
      <c r="D1470" s="436" t="s">
        <v>1820</v>
      </c>
      <c r="E1470" s="436" t="s">
        <v>3209</v>
      </c>
      <c r="F1470" s="436" t="s">
        <v>1889</v>
      </c>
    </row>
    <row r="1471" spans="1:6" ht="30" x14ac:dyDescent="0.25">
      <c r="A1471" s="436" t="s">
        <v>3210</v>
      </c>
      <c r="B1471" s="436" t="s">
        <v>1820</v>
      </c>
      <c r="C1471" s="436" t="s">
        <v>3211</v>
      </c>
      <c r="D1471" s="436" t="s">
        <v>1820</v>
      </c>
      <c r="E1471" s="436" t="s">
        <v>3212</v>
      </c>
      <c r="F1471" s="436" t="s">
        <v>1894</v>
      </c>
    </row>
    <row r="1472" spans="1:6" ht="30" x14ac:dyDescent="0.25">
      <c r="A1472" s="436" t="s">
        <v>3213</v>
      </c>
      <c r="B1472" s="436" t="s">
        <v>1820</v>
      </c>
      <c r="C1472" s="436" t="s">
        <v>3214</v>
      </c>
      <c r="D1472" s="436" t="s">
        <v>1820</v>
      </c>
      <c r="E1472" s="436" t="s">
        <v>3215</v>
      </c>
      <c r="F1472" s="436" t="s">
        <v>1894</v>
      </c>
    </row>
    <row r="1473" spans="1:6" x14ac:dyDescent="0.25">
      <c r="A1473" s="436" t="s">
        <v>3216</v>
      </c>
      <c r="B1473" s="436" t="s">
        <v>1820</v>
      </c>
      <c r="C1473" s="436" t="s">
        <v>3217</v>
      </c>
      <c r="D1473" s="436" t="s">
        <v>1820</v>
      </c>
      <c r="E1473" s="436" t="s">
        <v>3218</v>
      </c>
      <c r="F1473" s="436" t="s">
        <v>1894</v>
      </c>
    </row>
    <row r="1474" spans="1:6" ht="30" x14ac:dyDescent="0.25">
      <c r="A1474" s="436" t="s">
        <v>3219</v>
      </c>
      <c r="B1474" s="436" t="s">
        <v>1820</v>
      </c>
      <c r="C1474" s="436" t="s">
        <v>3220</v>
      </c>
      <c r="D1474" s="436" t="s">
        <v>1820</v>
      </c>
      <c r="E1474" s="436" t="s">
        <v>3221</v>
      </c>
      <c r="F1474" s="436" t="s">
        <v>1822</v>
      </c>
    </row>
    <row r="1475" spans="1:6" x14ac:dyDescent="0.25">
      <c r="A1475" s="436" t="s">
        <v>3222</v>
      </c>
      <c r="B1475" s="436" t="s">
        <v>1820</v>
      </c>
      <c r="C1475" s="436" t="s">
        <v>3223</v>
      </c>
      <c r="D1475" s="436" t="s">
        <v>1820</v>
      </c>
      <c r="E1475" s="436" t="s">
        <v>3224</v>
      </c>
      <c r="F1475" s="436" t="s">
        <v>1919</v>
      </c>
    </row>
    <row r="1476" spans="1:6" ht="30" x14ac:dyDescent="0.25">
      <c r="A1476" s="436" t="s">
        <v>3225</v>
      </c>
      <c r="B1476" s="436" t="s">
        <v>1820</v>
      </c>
      <c r="C1476" s="436" t="s">
        <v>3226</v>
      </c>
      <c r="D1476" s="436" t="s">
        <v>1820</v>
      </c>
      <c r="E1476" s="436" t="s">
        <v>3227</v>
      </c>
      <c r="F1476" s="436" t="s">
        <v>1836</v>
      </c>
    </row>
    <row r="1477" spans="1:6" ht="30" x14ac:dyDescent="0.25">
      <c r="A1477" s="436" t="s">
        <v>3228</v>
      </c>
      <c r="B1477" s="436" t="s">
        <v>1820</v>
      </c>
      <c r="C1477" s="436" t="s">
        <v>3229</v>
      </c>
      <c r="D1477" s="436" t="s">
        <v>1820</v>
      </c>
      <c r="E1477" s="436" t="s">
        <v>3230</v>
      </c>
      <c r="F1477" s="436" t="s">
        <v>1926</v>
      </c>
    </row>
    <row r="1478" spans="1:6" x14ac:dyDescent="0.25">
      <c r="A1478" s="436" t="s">
        <v>3228</v>
      </c>
      <c r="B1478" s="436" t="s">
        <v>1820</v>
      </c>
      <c r="C1478" s="436" t="s">
        <v>3231</v>
      </c>
      <c r="D1478" s="436" t="s">
        <v>1820</v>
      </c>
      <c r="E1478" s="436" t="s">
        <v>3232</v>
      </c>
      <c r="F1478" s="436" t="s">
        <v>1926</v>
      </c>
    </row>
    <row r="1479" spans="1:6" ht="60" x14ac:dyDescent="0.25">
      <c r="A1479" s="436" t="s">
        <v>3228</v>
      </c>
      <c r="B1479" s="436" t="s">
        <v>1820</v>
      </c>
      <c r="C1479" s="436" t="s">
        <v>3233</v>
      </c>
      <c r="D1479" s="436" t="s">
        <v>1820</v>
      </c>
      <c r="E1479" s="436" t="s">
        <v>3234</v>
      </c>
      <c r="F1479" s="436" t="s">
        <v>1926</v>
      </c>
    </row>
    <row r="1480" spans="1:6" ht="30" x14ac:dyDescent="0.25">
      <c r="A1480" s="436" t="s">
        <v>3235</v>
      </c>
      <c r="B1480" s="436" t="s">
        <v>1820</v>
      </c>
      <c r="C1480" s="436" t="s">
        <v>3236</v>
      </c>
      <c r="D1480" s="436" t="s">
        <v>1820</v>
      </c>
      <c r="E1480" s="436" t="s">
        <v>3237</v>
      </c>
      <c r="F1480" s="436" t="s">
        <v>1822</v>
      </c>
    </row>
    <row r="1481" spans="1:6" ht="30" x14ac:dyDescent="0.25">
      <c r="A1481" s="436" t="s">
        <v>3238</v>
      </c>
      <c r="B1481" s="436" t="s">
        <v>1820</v>
      </c>
      <c r="C1481" s="436" t="s">
        <v>3239</v>
      </c>
      <c r="D1481" s="436" t="s">
        <v>1820</v>
      </c>
      <c r="E1481" s="436" t="s">
        <v>3240</v>
      </c>
      <c r="F1481" s="436" t="s">
        <v>1826</v>
      </c>
    </row>
    <row r="1482" spans="1:6" ht="30" x14ac:dyDescent="0.25">
      <c r="A1482" s="436" t="s">
        <v>3238</v>
      </c>
      <c r="B1482" s="436" t="s">
        <v>1820</v>
      </c>
      <c r="C1482" s="436" t="s">
        <v>3241</v>
      </c>
      <c r="D1482" s="436" t="s">
        <v>1820</v>
      </c>
      <c r="E1482" s="436" t="s">
        <v>3242</v>
      </c>
      <c r="F1482" s="436" t="s">
        <v>1826</v>
      </c>
    </row>
    <row r="1483" spans="1:6" ht="30" x14ac:dyDescent="0.25">
      <c r="C1483" s="436" t="s">
        <v>3243</v>
      </c>
      <c r="D1483" s="436" t="s">
        <v>1820</v>
      </c>
      <c r="E1483" s="436" t="s">
        <v>3244</v>
      </c>
      <c r="F1483" s="436" t="s">
        <v>1836</v>
      </c>
    </row>
    <row r="1484" spans="1:6" x14ac:dyDescent="0.25">
      <c r="A1484" s="436" t="s">
        <v>3245</v>
      </c>
      <c r="B1484" s="436" t="s">
        <v>1954</v>
      </c>
      <c r="C1484" s="436" t="s">
        <v>3246</v>
      </c>
      <c r="D1484" s="436" t="s">
        <v>1954</v>
      </c>
      <c r="E1484" s="436" t="s">
        <v>3247</v>
      </c>
      <c r="F1484" s="436" t="s">
        <v>1957</v>
      </c>
    </row>
    <row r="1485" spans="1:6" ht="30" x14ac:dyDescent="0.25">
      <c r="C1485" s="436" t="s">
        <v>3248</v>
      </c>
      <c r="D1485" s="436" t="s">
        <v>1954</v>
      </c>
      <c r="E1485" s="436" t="s">
        <v>3249</v>
      </c>
      <c r="F1485" s="436" t="s">
        <v>1957</v>
      </c>
    </row>
    <row r="1486" spans="1:6" x14ac:dyDescent="0.25">
      <c r="A1486" s="436" t="s">
        <v>3250</v>
      </c>
      <c r="B1486" s="436" t="s">
        <v>1954</v>
      </c>
      <c r="C1486" s="436" t="s">
        <v>3251</v>
      </c>
      <c r="D1486" s="436" t="s">
        <v>1954</v>
      </c>
      <c r="E1486" s="436" t="s">
        <v>3252</v>
      </c>
      <c r="F1486" s="436" t="s">
        <v>1957</v>
      </c>
    </row>
    <row r="1487" spans="1:6" x14ac:dyDescent="0.25">
      <c r="A1487" s="436" t="s">
        <v>3253</v>
      </c>
      <c r="B1487" s="436" t="s">
        <v>1954</v>
      </c>
      <c r="C1487" s="436" t="s">
        <v>3254</v>
      </c>
      <c r="D1487" s="436" t="s">
        <v>1820</v>
      </c>
      <c r="E1487" s="436" t="s">
        <v>3255</v>
      </c>
      <c r="F1487" s="436" t="s">
        <v>1831</v>
      </c>
    </row>
    <row r="1488" spans="1:6" ht="30" x14ac:dyDescent="0.25">
      <c r="A1488" s="436" t="s">
        <v>3256</v>
      </c>
      <c r="B1488" s="436" t="s">
        <v>1971</v>
      </c>
      <c r="C1488" s="436" t="s">
        <v>3257</v>
      </c>
      <c r="D1488" s="436" t="s">
        <v>1971</v>
      </c>
      <c r="E1488" s="436" t="s">
        <v>3258</v>
      </c>
      <c r="F1488" s="436" t="s">
        <v>1974</v>
      </c>
    </row>
    <row r="1489" spans="1:6" ht="30" x14ac:dyDescent="0.25">
      <c r="A1489" s="436" t="s">
        <v>3259</v>
      </c>
      <c r="B1489" s="436" t="s">
        <v>1971</v>
      </c>
      <c r="C1489" s="436" t="s">
        <v>3257</v>
      </c>
      <c r="D1489" s="436" t="s">
        <v>1971</v>
      </c>
      <c r="E1489" s="436" t="s">
        <v>3258</v>
      </c>
      <c r="F1489" s="436" t="s">
        <v>1974</v>
      </c>
    </row>
    <row r="1490" spans="1:6" ht="30" x14ac:dyDescent="0.25">
      <c r="A1490" s="436" t="s">
        <v>3260</v>
      </c>
      <c r="B1490" s="436" t="s">
        <v>1971</v>
      </c>
      <c r="C1490" s="436" t="s">
        <v>3257</v>
      </c>
      <c r="D1490" s="436" t="s">
        <v>1971</v>
      </c>
      <c r="E1490" s="436" t="s">
        <v>3258</v>
      </c>
      <c r="F1490" s="436" t="s">
        <v>1974</v>
      </c>
    </row>
    <row r="1491" spans="1:6" ht="30" x14ac:dyDescent="0.25">
      <c r="A1491" s="436" t="s">
        <v>3261</v>
      </c>
      <c r="B1491" s="436" t="s">
        <v>1971</v>
      </c>
      <c r="C1491" s="436" t="s">
        <v>3257</v>
      </c>
      <c r="D1491" s="436" t="s">
        <v>1971</v>
      </c>
      <c r="E1491" s="436" t="s">
        <v>3258</v>
      </c>
      <c r="F1491" s="436" t="s">
        <v>1974</v>
      </c>
    </row>
    <row r="1492" spans="1:6" ht="30" x14ac:dyDescent="0.25">
      <c r="A1492" s="436" t="s">
        <v>3262</v>
      </c>
      <c r="B1492" s="436" t="s">
        <v>1971</v>
      </c>
      <c r="C1492" s="436" t="s">
        <v>3257</v>
      </c>
      <c r="D1492" s="436" t="s">
        <v>1971</v>
      </c>
      <c r="E1492" s="436" t="s">
        <v>3258</v>
      </c>
      <c r="F1492" s="436" t="s">
        <v>1974</v>
      </c>
    </row>
    <row r="1493" spans="1:6" ht="30" x14ac:dyDescent="0.25">
      <c r="A1493" s="436" t="s">
        <v>3263</v>
      </c>
      <c r="B1493" s="436" t="s">
        <v>1971</v>
      </c>
      <c r="C1493" s="436" t="s">
        <v>3257</v>
      </c>
      <c r="D1493" s="436" t="s">
        <v>1971</v>
      </c>
      <c r="E1493" s="436" t="s">
        <v>3258</v>
      </c>
      <c r="F1493" s="436" t="s">
        <v>1974</v>
      </c>
    </row>
    <row r="1494" spans="1:6" ht="30" x14ac:dyDescent="0.25">
      <c r="A1494" s="436" t="s">
        <v>3264</v>
      </c>
      <c r="B1494" s="436" t="s">
        <v>1971</v>
      </c>
      <c r="C1494" s="436" t="s">
        <v>3257</v>
      </c>
      <c r="D1494" s="436" t="s">
        <v>1971</v>
      </c>
      <c r="E1494" s="436" t="s">
        <v>3258</v>
      </c>
      <c r="F1494" s="436" t="s">
        <v>1974</v>
      </c>
    </row>
    <row r="1495" spans="1:6" ht="30" x14ac:dyDescent="0.25">
      <c r="A1495" s="436" t="s">
        <v>3264</v>
      </c>
      <c r="B1495" s="436" t="s">
        <v>1971</v>
      </c>
      <c r="C1495" s="436" t="s">
        <v>3172</v>
      </c>
      <c r="D1495" s="436" t="s">
        <v>1971</v>
      </c>
      <c r="E1495" s="436" t="s">
        <v>3173</v>
      </c>
      <c r="F1495" s="436" t="s">
        <v>1974</v>
      </c>
    </row>
    <row r="1496" spans="1:6" ht="30" x14ac:dyDescent="0.25">
      <c r="A1496" s="436" t="s">
        <v>3264</v>
      </c>
      <c r="B1496" s="436" t="s">
        <v>1971</v>
      </c>
      <c r="C1496" s="436" t="s">
        <v>3265</v>
      </c>
      <c r="D1496" s="436" t="s">
        <v>1971</v>
      </c>
      <c r="E1496" s="436" t="s">
        <v>3266</v>
      </c>
      <c r="F1496" s="436" t="s">
        <v>1974</v>
      </c>
    </row>
    <row r="1497" spans="1:6" ht="30" x14ac:dyDescent="0.25">
      <c r="A1497" s="436" t="s">
        <v>3264</v>
      </c>
      <c r="B1497" s="436" t="s">
        <v>1971</v>
      </c>
      <c r="C1497" s="436" t="s">
        <v>3267</v>
      </c>
      <c r="D1497" s="436" t="s">
        <v>1971</v>
      </c>
      <c r="E1497" s="436" t="s">
        <v>3268</v>
      </c>
      <c r="F1497" s="436" t="s">
        <v>1974</v>
      </c>
    </row>
    <row r="1498" spans="1:6" ht="30" x14ac:dyDescent="0.25">
      <c r="C1498" s="436" t="s">
        <v>3269</v>
      </c>
      <c r="D1498" s="436" t="s">
        <v>2028</v>
      </c>
      <c r="E1498" s="436" t="s">
        <v>3270</v>
      </c>
      <c r="F1498" s="436" t="s">
        <v>2798</v>
      </c>
    </row>
    <row r="1499" spans="1:6" x14ac:dyDescent="0.25">
      <c r="C1499" s="436" t="s">
        <v>3271</v>
      </c>
      <c r="D1499" s="436" t="s">
        <v>1900</v>
      </c>
      <c r="E1499" s="436" t="s">
        <v>3272</v>
      </c>
      <c r="F1499" s="436" t="s">
        <v>2035</v>
      </c>
    </row>
    <row r="1500" spans="1:6" ht="30" x14ac:dyDescent="0.25">
      <c r="C1500" s="436" t="s">
        <v>3273</v>
      </c>
      <c r="D1500" s="436" t="s">
        <v>1900</v>
      </c>
      <c r="E1500" s="436" t="s">
        <v>3274</v>
      </c>
      <c r="F1500" s="436" t="s">
        <v>1907</v>
      </c>
    </row>
    <row r="1501" spans="1:6" ht="45" x14ac:dyDescent="0.25">
      <c r="C1501" s="436" t="s">
        <v>3275</v>
      </c>
      <c r="D1501" s="436" t="s">
        <v>1900</v>
      </c>
      <c r="E1501" s="436" t="s">
        <v>3276</v>
      </c>
      <c r="F1501" s="436" t="s">
        <v>1889</v>
      </c>
    </row>
    <row r="1502" spans="1:6" ht="45" x14ac:dyDescent="0.25">
      <c r="C1502" s="436" t="s">
        <v>3277</v>
      </c>
      <c r="D1502" s="436" t="s">
        <v>1900</v>
      </c>
      <c r="E1502" s="436" t="s">
        <v>3278</v>
      </c>
      <c r="F1502" s="436" t="s">
        <v>1889</v>
      </c>
    </row>
    <row r="1503" spans="1:6" ht="30" x14ac:dyDescent="0.25">
      <c r="C1503" s="436" t="s">
        <v>3279</v>
      </c>
      <c r="D1503" s="436" t="s">
        <v>1900</v>
      </c>
      <c r="E1503" s="436" t="s">
        <v>3280</v>
      </c>
      <c r="F1503" s="436" t="s">
        <v>2077</v>
      </c>
    </row>
    <row r="1504" spans="1:6" ht="30" x14ac:dyDescent="0.25">
      <c r="A1504" s="436" t="s">
        <v>3281</v>
      </c>
      <c r="B1504" s="436" t="s">
        <v>1900</v>
      </c>
      <c r="C1504" s="436" t="s">
        <v>3282</v>
      </c>
      <c r="D1504" s="436" t="s">
        <v>1900</v>
      </c>
      <c r="E1504" s="436" t="s">
        <v>3283</v>
      </c>
      <c r="F1504" s="436" t="s">
        <v>2035</v>
      </c>
    </row>
    <row r="1505" spans="1:6" ht="30" x14ac:dyDescent="0.25">
      <c r="A1505" s="436" t="s">
        <v>3281</v>
      </c>
      <c r="B1505" s="436" t="s">
        <v>1900</v>
      </c>
      <c r="C1505" s="436" t="s">
        <v>3284</v>
      </c>
      <c r="D1505" s="436" t="s">
        <v>1900</v>
      </c>
      <c r="E1505" s="436" t="s">
        <v>3285</v>
      </c>
      <c r="F1505" s="436" t="s">
        <v>2035</v>
      </c>
    </row>
    <row r="1506" spans="1:6" ht="30" x14ac:dyDescent="0.25">
      <c r="A1506" s="436" t="s">
        <v>3281</v>
      </c>
      <c r="B1506" s="436" t="s">
        <v>1900</v>
      </c>
      <c r="C1506" s="436" t="s">
        <v>3286</v>
      </c>
      <c r="D1506" s="436" t="s">
        <v>1900</v>
      </c>
      <c r="E1506" s="436" t="s">
        <v>3287</v>
      </c>
      <c r="F1506" s="436" t="s">
        <v>2035</v>
      </c>
    </row>
    <row r="1507" spans="1:6" ht="30" x14ac:dyDescent="0.25">
      <c r="A1507" s="436" t="s">
        <v>3281</v>
      </c>
      <c r="B1507" s="436" t="s">
        <v>1900</v>
      </c>
      <c r="C1507" s="436" t="s">
        <v>3288</v>
      </c>
      <c r="D1507" s="436" t="s">
        <v>1900</v>
      </c>
      <c r="E1507" s="436" t="s">
        <v>3289</v>
      </c>
      <c r="F1507" s="436" t="s">
        <v>2035</v>
      </c>
    </row>
    <row r="1508" spans="1:6" ht="30" x14ac:dyDescent="0.25">
      <c r="A1508" s="436" t="s">
        <v>3281</v>
      </c>
      <c r="B1508" s="436" t="s">
        <v>1900</v>
      </c>
      <c r="C1508" s="436" t="s">
        <v>3290</v>
      </c>
      <c r="D1508" s="436" t="s">
        <v>1900</v>
      </c>
      <c r="E1508" s="436" t="s">
        <v>3291</v>
      </c>
      <c r="F1508" s="436" t="s">
        <v>2035</v>
      </c>
    </row>
    <row r="1509" spans="1:6" ht="30" x14ac:dyDescent="0.25">
      <c r="A1509" s="436" t="s">
        <v>3292</v>
      </c>
      <c r="B1509" s="436" t="s">
        <v>1900</v>
      </c>
      <c r="C1509" s="436" t="s">
        <v>3293</v>
      </c>
      <c r="D1509" s="436" t="s">
        <v>1900</v>
      </c>
      <c r="E1509" s="436" t="s">
        <v>3294</v>
      </c>
      <c r="F1509" s="436" t="s">
        <v>1907</v>
      </c>
    </row>
    <row r="1510" spans="1:6" ht="30" x14ac:dyDescent="0.25">
      <c r="A1510" s="436" t="s">
        <v>3295</v>
      </c>
      <c r="B1510" s="436" t="s">
        <v>1900</v>
      </c>
      <c r="C1510" s="436" t="s">
        <v>3296</v>
      </c>
      <c r="D1510" s="436" t="s">
        <v>1900</v>
      </c>
      <c r="E1510" s="436" t="s">
        <v>3297</v>
      </c>
      <c r="F1510" s="436" t="s">
        <v>1894</v>
      </c>
    </row>
    <row r="1511" spans="1:6" ht="30" x14ac:dyDescent="0.25">
      <c r="A1511" s="436" t="s">
        <v>3298</v>
      </c>
      <c r="B1511" s="436" t="s">
        <v>1900</v>
      </c>
      <c r="C1511" s="436" t="s">
        <v>3299</v>
      </c>
      <c r="D1511" s="436" t="s">
        <v>1900</v>
      </c>
      <c r="E1511" s="436" t="s">
        <v>3300</v>
      </c>
      <c r="F1511" s="436" t="s">
        <v>3301</v>
      </c>
    </row>
    <row r="1512" spans="1:6" ht="30" x14ac:dyDescent="0.25">
      <c r="A1512" s="436" t="s">
        <v>3302</v>
      </c>
      <c r="B1512" s="436" t="s">
        <v>1900</v>
      </c>
      <c r="C1512" s="436" t="s">
        <v>3303</v>
      </c>
      <c r="D1512" s="436" t="s">
        <v>1900</v>
      </c>
      <c r="E1512" s="436" t="s">
        <v>3304</v>
      </c>
      <c r="F1512" s="436" t="s">
        <v>2077</v>
      </c>
    </row>
    <row r="1513" spans="1:6" ht="30" x14ac:dyDescent="0.25">
      <c r="A1513" s="436" t="s">
        <v>3305</v>
      </c>
      <c r="B1513" s="436" t="s">
        <v>1900</v>
      </c>
      <c r="C1513" s="436" t="s">
        <v>3306</v>
      </c>
      <c r="D1513" s="436" t="s">
        <v>1900</v>
      </c>
      <c r="E1513" s="436" t="s">
        <v>3307</v>
      </c>
      <c r="F1513" s="436" t="s">
        <v>2077</v>
      </c>
    </row>
    <row r="1514" spans="1:6" ht="45" x14ac:dyDescent="0.25">
      <c r="A1514" s="436" t="s">
        <v>3308</v>
      </c>
      <c r="B1514" s="436" t="s">
        <v>1900</v>
      </c>
      <c r="C1514" s="436" t="s">
        <v>3309</v>
      </c>
      <c r="D1514" s="436" t="s">
        <v>1900</v>
      </c>
      <c r="E1514" s="436" t="s">
        <v>3310</v>
      </c>
      <c r="F1514" s="436" t="s">
        <v>2077</v>
      </c>
    </row>
    <row r="1515" spans="1:6" ht="30" x14ac:dyDescent="0.25">
      <c r="A1515" s="436" t="s">
        <v>3311</v>
      </c>
      <c r="B1515" s="436" t="s">
        <v>1900</v>
      </c>
      <c r="C1515" s="436" t="s">
        <v>3296</v>
      </c>
      <c r="D1515" s="436" t="s">
        <v>1900</v>
      </c>
      <c r="E1515" s="436" t="s">
        <v>3312</v>
      </c>
      <c r="F1515" s="436" t="s">
        <v>1894</v>
      </c>
    </row>
    <row r="1516" spans="1:6" ht="30" x14ac:dyDescent="0.25">
      <c r="A1516" s="436" t="s">
        <v>3313</v>
      </c>
      <c r="B1516" s="436" t="s">
        <v>1900</v>
      </c>
    </row>
    <row r="1517" spans="1:6" x14ac:dyDescent="0.25">
      <c r="A1517" s="436" t="s">
        <v>3314</v>
      </c>
      <c r="B1517" s="436" t="s">
        <v>1900</v>
      </c>
    </row>
    <row r="1518" spans="1:6" ht="30" x14ac:dyDescent="0.25">
      <c r="A1518" s="436" t="s">
        <v>3315</v>
      </c>
      <c r="B1518" s="436" t="s">
        <v>1900</v>
      </c>
      <c r="C1518" s="436" t="s">
        <v>3316</v>
      </c>
      <c r="D1518" s="436" t="s">
        <v>1900</v>
      </c>
      <c r="E1518" s="436" t="s">
        <v>3317</v>
      </c>
      <c r="F1518" s="436" t="s">
        <v>1889</v>
      </c>
    </row>
    <row r="1519" spans="1:6" ht="30" x14ac:dyDescent="0.25">
      <c r="A1519" s="436" t="s">
        <v>3318</v>
      </c>
      <c r="B1519" s="436" t="s">
        <v>1900</v>
      </c>
      <c r="C1519" s="436" t="s">
        <v>3319</v>
      </c>
      <c r="D1519" s="436" t="s">
        <v>1900</v>
      </c>
      <c r="E1519" s="436" t="s">
        <v>3320</v>
      </c>
      <c r="F1519" s="436" t="s">
        <v>1889</v>
      </c>
    </row>
    <row r="1520" spans="1:6" ht="30" x14ac:dyDescent="0.25">
      <c r="A1520" s="436" t="s">
        <v>3321</v>
      </c>
      <c r="B1520" s="436" t="s">
        <v>1900</v>
      </c>
      <c r="C1520" s="436" t="s">
        <v>3322</v>
      </c>
      <c r="D1520" s="436" t="s">
        <v>1900</v>
      </c>
      <c r="E1520" s="436" t="s">
        <v>3323</v>
      </c>
      <c r="F1520" s="436" t="s">
        <v>1889</v>
      </c>
    </row>
    <row r="1521" spans="1:6" x14ac:dyDescent="0.25">
      <c r="A1521" s="436" t="s">
        <v>3324</v>
      </c>
      <c r="B1521" s="436" t="s">
        <v>2120</v>
      </c>
      <c r="C1521" s="436" t="s">
        <v>3324</v>
      </c>
      <c r="D1521" s="436" t="s">
        <v>2120</v>
      </c>
      <c r="E1521" s="436" t="s">
        <v>3325</v>
      </c>
      <c r="F1521" s="436" t="s">
        <v>1948</v>
      </c>
    </row>
    <row r="1522" spans="1:6" x14ac:dyDescent="0.25">
      <c r="A1522" s="436" t="s">
        <v>3324</v>
      </c>
      <c r="B1522" s="436" t="s">
        <v>2120</v>
      </c>
      <c r="C1522" s="436" t="s">
        <v>3326</v>
      </c>
      <c r="D1522" s="436" t="s">
        <v>2120</v>
      </c>
      <c r="E1522" s="436" t="s">
        <v>3327</v>
      </c>
      <c r="F1522" s="436" t="s">
        <v>1948</v>
      </c>
    </row>
    <row r="1523" spans="1:6" x14ac:dyDescent="0.25">
      <c r="A1523" s="436" t="s">
        <v>3328</v>
      </c>
      <c r="B1523" s="436" t="s">
        <v>2120</v>
      </c>
      <c r="C1523" s="436" t="s">
        <v>3329</v>
      </c>
      <c r="D1523" s="436" t="s">
        <v>2120</v>
      </c>
      <c r="E1523" s="436" t="s">
        <v>3330</v>
      </c>
      <c r="F1523" s="436" t="s">
        <v>1948</v>
      </c>
    </row>
    <row r="1524" spans="1:6" x14ac:dyDescent="0.25">
      <c r="A1524" s="436" t="s">
        <v>3331</v>
      </c>
      <c r="B1524" s="436" t="s">
        <v>2120</v>
      </c>
      <c r="C1524" s="436" t="s">
        <v>3332</v>
      </c>
      <c r="D1524" s="436" t="s">
        <v>2120</v>
      </c>
      <c r="E1524" s="436" t="s">
        <v>3333</v>
      </c>
      <c r="F1524" s="436" t="s">
        <v>1948</v>
      </c>
    </row>
    <row r="1525" spans="1:6" ht="30" x14ac:dyDescent="0.25">
      <c r="A1525" s="436" t="s">
        <v>3331</v>
      </c>
      <c r="B1525" s="436" t="s">
        <v>2120</v>
      </c>
      <c r="C1525" s="436" t="s">
        <v>3334</v>
      </c>
      <c r="D1525" s="436" t="s">
        <v>2120</v>
      </c>
      <c r="E1525" s="436" t="s">
        <v>3335</v>
      </c>
      <c r="F1525" s="436" t="s">
        <v>1948</v>
      </c>
    </row>
    <row r="1526" spans="1:6" ht="30" x14ac:dyDescent="0.25">
      <c r="A1526" s="436" t="s">
        <v>3331</v>
      </c>
      <c r="B1526" s="436" t="s">
        <v>2120</v>
      </c>
      <c r="C1526" s="436" t="s">
        <v>3336</v>
      </c>
      <c r="D1526" s="436" t="s">
        <v>2120</v>
      </c>
      <c r="E1526" s="436" t="s">
        <v>3337</v>
      </c>
      <c r="F1526" s="436" t="s">
        <v>1948</v>
      </c>
    </row>
    <row r="1527" spans="1:6" ht="30" x14ac:dyDescent="0.25">
      <c r="C1527" s="436" t="s">
        <v>3338</v>
      </c>
      <c r="D1527" s="436" t="s">
        <v>2120</v>
      </c>
      <c r="E1527" s="436" t="s">
        <v>3339</v>
      </c>
      <c r="F1527" s="436" t="s">
        <v>1948</v>
      </c>
    </row>
    <row r="1528" spans="1:6" x14ac:dyDescent="0.25">
      <c r="A1528" s="436" t="s">
        <v>3340</v>
      </c>
      <c r="B1528" s="436" t="s">
        <v>2120</v>
      </c>
      <c r="C1528" s="436" t="s">
        <v>3324</v>
      </c>
      <c r="D1528" s="436" t="s">
        <v>2120</v>
      </c>
      <c r="E1528" s="436" t="s">
        <v>3325</v>
      </c>
      <c r="F1528" s="436" t="s">
        <v>1948</v>
      </c>
    </row>
    <row r="1529" spans="1:6" ht="30" x14ac:dyDescent="0.25">
      <c r="A1529" s="436" t="s">
        <v>3341</v>
      </c>
      <c r="B1529" s="436" t="s">
        <v>2120</v>
      </c>
      <c r="C1529" s="436" t="s">
        <v>3342</v>
      </c>
      <c r="D1529" s="436" t="s">
        <v>2120</v>
      </c>
      <c r="E1529" s="436" t="s">
        <v>3343</v>
      </c>
      <c r="F1529" s="436" t="s">
        <v>1948</v>
      </c>
    </row>
    <row r="1530" spans="1:6" ht="30" x14ac:dyDescent="0.25">
      <c r="A1530" s="436" t="s">
        <v>3344</v>
      </c>
      <c r="B1530" s="436" t="s">
        <v>2120</v>
      </c>
      <c r="C1530" s="436" t="s">
        <v>3345</v>
      </c>
      <c r="D1530" s="436" t="s">
        <v>2138</v>
      </c>
      <c r="E1530" s="436" t="s">
        <v>3346</v>
      </c>
      <c r="F1530" s="436" t="s">
        <v>2140</v>
      </c>
    </row>
    <row r="1531" spans="1:6" ht="30" x14ac:dyDescent="0.25">
      <c r="C1531" s="436" t="s">
        <v>3347</v>
      </c>
      <c r="D1531" s="436" t="s">
        <v>2163</v>
      </c>
      <c r="E1531" s="436" t="s">
        <v>3348</v>
      </c>
      <c r="F1531" s="436" t="s">
        <v>2166</v>
      </c>
    </row>
    <row r="1532" spans="1:6" x14ac:dyDescent="0.25">
      <c r="A1532" s="436" t="s">
        <v>3349</v>
      </c>
      <c r="B1532" s="436" t="s">
        <v>1946</v>
      </c>
      <c r="C1532" s="436" t="s">
        <v>3349</v>
      </c>
      <c r="D1532" s="436" t="s">
        <v>1946</v>
      </c>
      <c r="E1532" s="436" t="s">
        <v>3350</v>
      </c>
      <c r="F1532" s="436" t="s">
        <v>3351</v>
      </c>
    </row>
    <row r="1533" spans="1:6" x14ac:dyDescent="0.25">
      <c r="A1533" s="436" t="s">
        <v>3352</v>
      </c>
      <c r="B1533" s="436" t="s">
        <v>1946</v>
      </c>
      <c r="C1533" s="436" t="s">
        <v>3353</v>
      </c>
      <c r="D1533" s="436" t="s">
        <v>1946</v>
      </c>
      <c r="E1533" s="436" t="s">
        <v>3354</v>
      </c>
      <c r="F1533" s="436" t="s">
        <v>3351</v>
      </c>
    </row>
    <row r="1534" spans="1:6" x14ac:dyDescent="0.25">
      <c r="C1534" s="436" t="s">
        <v>3355</v>
      </c>
      <c r="D1534" s="436" t="s">
        <v>1946</v>
      </c>
      <c r="E1534" s="436" t="s">
        <v>3356</v>
      </c>
      <c r="F1534" s="436" t="s">
        <v>1948</v>
      </c>
    </row>
    <row r="1535" spans="1:6" x14ac:dyDescent="0.25">
      <c r="A1535" s="436" t="s">
        <v>3352</v>
      </c>
      <c r="B1535" s="436" t="s">
        <v>1946</v>
      </c>
      <c r="C1535" s="436" t="s">
        <v>3357</v>
      </c>
      <c r="D1535" s="436" t="s">
        <v>1946</v>
      </c>
      <c r="E1535" s="436" t="s">
        <v>3358</v>
      </c>
      <c r="F1535" s="436" t="s">
        <v>3351</v>
      </c>
    </row>
    <row r="1536" spans="1:6" ht="30" x14ac:dyDescent="0.25">
      <c r="A1536" s="436" t="s">
        <v>3359</v>
      </c>
      <c r="B1536" s="436" t="s">
        <v>2184</v>
      </c>
      <c r="C1536" s="436" t="s">
        <v>3359</v>
      </c>
      <c r="D1536" s="436" t="s">
        <v>2184</v>
      </c>
      <c r="E1536" s="436" t="s">
        <v>3360</v>
      </c>
      <c r="F1536" s="436" t="s">
        <v>2187</v>
      </c>
    </row>
    <row r="1537" spans="1:6" ht="30" x14ac:dyDescent="0.25">
      <c r="A1537" s="436" t="s">
        <v>3361</v>
      </c>
      <c r="B1537" s="436" t="s">
        <v>2184</v>
      </c>
      <c r="C1537" s="436" t="s">
        <v>3362</v>
      </c>
      <c r="D1537" s="436" t="s">
        <v>2184</v>
      </c>
      <c r="E1537" s="436" t="s">
        <v>3363</v>
      </c>
      <c r="F1537" s="436" t="s">
        <v>2187</v>
      </c>
    </row>
    <row r="1538" spans="1:6" ht="30" x14ac:dyDescent="0.25">
      <c r="A1538" s="436" t="s">
        <v>3364</v>
      </c>
      <c r="B1538" s="436" t="s">
        <v>2184</v>
      </c>
      <c r="C1538" s="436" t="s">
        <v>3365</v>
      </c>
      <c r="D1538" s="436" t="s">
        <v>2184</v>
      </c>
      <c r="E1538" s="436" t="s">
        <v>3366</v>
      </c>
      <c r="F1538" s="436" t="s">
        <v>2187</v>
      </c>
    </row>
    <row r="1539" spans="1:6" x14ac:dyDescent="0.25">
      <c r="A1539" s="436" t="s">
        <v>3367</v>
      </c>
      <c r="B1539" s="436" t="s">
        <v>2184</v>
      </c>
      <c r="C1539" s="436" t="s">
        <v>3368</v>
      </c>
      <c r="D1539" s="436" t="s">
        <v>2184</v>
      </c>
      <c r="E1539" s="436" t="s">
        <v>3369</v>
      </c>
      <c r="F1539" s="436" t="s">
        <v>2913</v>
      </c>
    </row>
    <row r="1540" spans="1:6" ht="30" x14ac:dyDescent="0.25">
      <c r="A1540" s="436" t="s">
        <v>3370</v>
      </c>
      <c r="B1540" s="436" t="s">
        <v>2184</v>
      </c>
      <c r="C1540" s="436" t="s">
        <v>3371</v>
      </c>
      <c r="D1540" s="436" t="s">
        <v>2184</v>
      </c>
      <c r="E1540" s="436" t="s">
        <v>3372</v>
      </c>
      <c r="F1540" s="436" t="s">
        <v>2913</v>
      </c>
    </row>
    <row r="1541" spans="1:6" ht="30" x14ac:dyDescent="0.25">
      <c r="A1541" s="436" t="s">
        <v>3373</v>
      </c>
      <c r="B1541" s="436" t="s">
        <v>2184</v>
      </c>
      <c r="C1541" s="436" t="s">
        <v>3374</v>
      </c>
      <c r="D1541" s="436" t="s">
        <v>2184</v>
      </c>
      <c r="E1541" s="436" t="s">
        <v>3375</v>
      </c>
      <c r="F1541" s="436" t="s">
        <v>2187</v>
      </c>
    </row>
    <row r="1542" spans="1:6" ht="30" x14ac:dyDescent="0.25">
      <c r="A1542" s="436" t="s">
        <v>3376</v>
      </c>
      <c r="B1542" s="436" t="s">
        <v>2184</v>
      </c>
      <c r="C1542" s="436" t="s">
        <v>3377</v>
      </c>
      <c r="D1542" s="436" t="s">
        <v>2184</v>
      </c>
      <c r="E1542" s="436" t="s">
        <v>3378</v>
      </c>
      <c r="F1542" s="436" t="s">
        <v>2187</v>
      </c>
    </row>
    <row r="1543" spans="1:6" ht="30" x14ac:dyDescent="0.25">
      <c r="A1543" s="436" t="s">
        <v>3379</v>
      </c>
      <c r="B1543" s="436" t="s">
        <v>2184</v>
      </c>
      <c r="C1543" s="436" t="s">
        <v>3380</v>
      </c>
      <c r="D1543" s="436" t="s">
        <v>2184</v>
      </c>
      <c r="E1543" s="436" t="s">
        <v>3381</v>
      </c>
      <c r="F1543" s="436" t="s">
        <v>2187</v>
      </c>
    </row>
    <row r="1544" spans="1:6" ht="30" x14ac:dyDescent="0.25">
      <c r="A1544" s="436" t="s">
        <v>3382</v>
      </c>
      <c r="B1544" s="436" t="s">
        <v>2228</v>
      </c>
      <c r="C1544" s="436" t="s">
        <v>3383</v>
      </c>
      <c r="D1544" s="436" t="s">
        <v>2228</v>
      </c>
      <c r="E1544" s="436" t="s">
        <v>3384</v>
      </c>
      <c r="F1544" s="436" t="s">
        <v>2231</v>
      </c>
    </row>
    <row r="1545" spans="1:6" ht="30" x14ac:dyDescent="0.25">
      <c r="A1545" s="436" t="s">
        <v>3385</v>
      </c>
      <c r="B1545" s="436" t="s">
        <v>2228</v>
      </c>
      <c r="C1545" s="436" t="s">
        <v>3386</v>
      </c>
      <c r="D1545" s="436" t="s">
        <v>2228</v>
      </c>
      <c r="E1545" s="436" t="s">
        <v>3387</v>
      </c>
      <c r="F1545" s="436" t="s">
        <v>2231</v>
      </c>
    </row>
    <row r="1546" spans="1:6" ht="30" x14ac:dyDescent="0.25">
      <c r="A1546" s="436" t="s">
        <v>3388</v>
      </c>
      <c r="B1546" s="436" t="s">
        <v>2243</v>
      </c>
    </row>
    <row r="1547" spans="1:6" ht="30" x14ac:dyDescent="0.25">
      <c r="A1547" s="436" t="s">
        <v>3389</v>
      </c>
      <c r="B1547" s="436" t="s">
        <v>2243</v>
      </c>
    </row>
    <row r="1548" spans="1:6" ht="30" x14ac:dyDescent="0.25">
      <c r="A1548" s="436" t="s">
        <v>3390</v>
      </c>
      <c r="B1548" s="436" t="s">
        <v>2243</v>
      </c>
      <c r="C1548" s="436" t="s">
        <v>3391</v>
      </c>
      <c r="D1548" s="436" t="s">
        <v>2243</v>
      </c>
      <c r="E1548" s="436" t="s">
        <v>3392</v>
      </c>
      <c r="F1548" s="436" t="s">
        <v>2231</v>
      </c>
    </row>
    <row r="1549" spans="1:6" ht="30" x14ac:dyDescent="0.25">
      <c r="A1549" s="436" t="s">
        <v>3393</v>
      </c>
      <c r="B1549" s="436" t="s">
        <v>2259</v>
      </c>
      <c r="C1549" s="436" t="s">
        <v>3394</v>
      </c>
      <c r="D1549" s="436" t="s">
        <v>2259</v>
      </c>
      <c r="E1549" s="436" t="s">
        <v>3395</v>
      </c>
      <c r="F1549" s="436" t="s">
        <v>2262</v>
      </c>
    </row>
    <row r="1550" spans="1:6" ht="30" x14ac:dyDescent="0.25">
      <c r="A1550" s="436" t="s">
        <v>3396</v>
      </c>
      <c r="B1550" s="436" t="s">
        <v>2259</v>
      </c>
      <c r="C1550" s="436" t="s">
        <v>3397</v>
      </c>
      <c r="D1550" s="436" t="s">
        <v>2259</v>
      </c>
      <c r="E1550" s="436" t="s">
        <v>3398</v>
      </c>
      <c r="F1550" s="436" t="s">
        <v>2262</v>
      </c>
    </row>
    <row r="1551" spans="1:6" ht="45" x14ac:dyDescent="0.25">
      <c r="A1551" s="436" t="s">
        <v>3396</v>
      </c>
      <c r="B1551" s="436" t="s">
        <v>2259</v>
      </c>
      <c r="C1551" s="436" t="s">
        <v>3399</v>
      </c>
      <c r="D1551" s="436" t="s">
        <v>2259</v>
      </c>
      <c r="E1551" s="436" t="s">
        <v>3400</v>
      </c>
      <c r="F1551" s="436" t="s">
        <v>2295</v>
      </c>
    </row>
    <row r="1552" spans="1:6" ht="30" x14ac:dyDescent="0.25">
      <c r="A1552" s="436" t="s">
        <v>3401</v>
      </c>
      <c r="B1552" s="436" t="s">
        <v>2259</v>
      </c>
      <c r="C1552" s="436" t="s">
        <v>3402</v>
      </c>
      <c r="D1552" s="436" t="s">
        <v>2259</v>
      </c>
      <c r="E1552" s="436" t="s">
        <v>3403</v>
      </c>
      <c r="F1552" s="436" t="s">
        <v>2281</v>
      </c>
    </row>
    <row r="1553" spans="1:6" ht="30" x14ac:dyDescent="0.25">
      <c r="C1553" s="436" t="s">
        <v>3404</v>
      </c>
      <c r="D1553" s="436" t="s">
        <v>2259</v>
      </c>
      <c r="E1553" s="436" t="s">
        <v>3405</v>
      </c>
      <c r="F1553" s="436" t="s">
        <v>2281</v>
      </c>
    </row>
    <row r="1554" spans="1:6" ht="30" x14ac:dyDescent="0.25">
      <c r="A1554" s="436" t="s">
        <v>3401</v>
      </c>
      <c r="B1554" s="436" t="s">
        <v>2259</v>
      </c>
      <c r="C1554" s="436" t="s">
        <v>3406</v>
      </c>
      <c r="D1554" s="436" t="s">
        <v>2293</v>
      </c>
      <c r="E1554" s="436" t="s">
        <v>3407</v>
      </c>
      <c r="F1554" s="436" t="s">
        <v>2295</v>
      </c>
    </row>
    <row r="1555" spans="1:6" ht="30" x14ac:dyDescent="0.25">
      <c r="A1555" s="436" t="s">
        <v>3408</v>
      </c>
      <c r="B1555" s="436" t="s">
        <v>2259</v>
      </c>
      <c r="C1555" s="436" t="s">
        <v>3409</v>
      </c>
      <c r="D1555" s="436" t="s">
        <v>2259</v>
      </c>
      <c r="E1555" s="436" t="s">
        <v>3410</v>
      </c>
      <c r="F1555" s="436" t="s">
        <v>2262</v>
      </c>
    </row>
    <row r="1556" spans="1:6" ht="45" x14ac:dyDescent="0.25">
      <c r="A1556" s="436" t="s">
        <v>3408</v>
      </c>
      <c r="B1556" s="436" t="s">
        <v>2259</v>
      </c>
      <c r="C1556" s="436" t="s">
        <v>3411</v>
      </c>
      <c r="D1556" s="436" t="s">
        <v>2259</v>
      </c>
      <c r="E1556" s="436" t="s">
        <v>3412</v>
      </c>
      <c r="F1556" s="436" t="s">
        <v>2295</v>
      </c>
    </row>
    <row r="1557" spans="1:6" ht="30" x14ac:dyDescent="0.25">
      <c r="A1557" s="436" t="s">
        <v>3413</v>
      </c>
      <c r="B1557" s="436" t="s">
        <v>2259</v>
      </c>
      <c r="C1557" s="436" t="s">
        <v>3397</v>
      </c>
      <c r="D1557" s="436" t="s">
        <v>2259</v>
      </c>
      <c r="E1557" s="436" t="s">
        <v>3398</v>
      </c>
      <c r="F1557" s="436" t="s">
        <v>2262</v>
      </c>
    </row>
    <row r="1558" spans="1:6" ht="30" x14ac:dyDescent="0.25">
      <c r="A1558" s="436" t="s">
        <v>3414</v>
      </c>
      <c r="B1558" s="436" t="s">
        <v>2253</v>
      </c>
      <c r="C1558" s="436" t="s">
        <v>3415</v>
      </c>
      <c r="D1558" s="436" t="s">
        <v>2253</v>
      </c>
      <c r="E1558" s="436" t="s">
        <v>3416</v>
      </c>
      <c r="F1558" s="436" t="s">
        <v>2328</v>
      </c>
    </row>
    <row r="1559" spans="1:6" ht="30" x14ac:dyDescent="0.25">
      <c r="A1559" s="436" t="s">
        <v>3417</v>
      </c>
      <c r="B1559" s="436" t="s">
        <v>2253</v>
      </c>
      <c r="C1559" s="436" t="s">
        <v>3418</v>
      </c>
      <c r="D1559" s="436" t="s">
        <v>2253</v>
      </c>
      <c r="E1559" s="436" t="s">
        <v>3419</v>
      </c>
      <c r="F1559" s="436" t="s">
        <v>2255</v>
      </c>
    </row>
    <row r="1560" spans="1:6" ht="30" x14ac:dyDescent="0.25">
      <c r="A1560" s="436" t="s">
        <v>2351</v>
      </c>
      <c r="B1560" s="436" t="s">
        <v>2253</v>
      </c>
      <c r="C1560" s="436" t="s">
        <v>3420</v>
      </c>
      <c r="D1560" s="436" t="s">
        <v>2253</v>
      </c>
      <c r="E1560" s="436" t="s">
        <v>3421</v>
      </c>
      <c r="F1560" s="436" t="s">
        <v>2255</v>
      </c>
    </row>
    <row r="1561" spans="1:6" ht="30" x14ac:dyDescent="0.25">
      <c r="A1561" s="436" t="s">
        <v>2351</v>
      </c>
      <c r="B1561" s="436" t="s">
        <v>2253</v>
      </c>
      <c r="C1561" s="436" t="s">
        <v>3422</v>
      </c>
      <c r="D1561" s="436" t="s">
        <v>2253</v>
      </c>
      <c r="E1561" s="436" t="s">
        <v>3423</v>
      </c>
      <c r="F1561" s="436" t="s">
        <v>2255</v>
      </c>
    </row>
    <row r="1562" spans="1:6" ht="30" x14ac:dyDescent="0.25">
      <c r="A1562" s="436" t="s">
        <v>3424</v>
      </c>
      <c r="B1562" s="436" t="s">
        <v>2253</v>
      </c>
      <c r="C1562" s="436" t="s">
        <v>3425</v>
      </c>
      <c r="D1562" s="436" t="s">
        <v>2253</v>
      </c>
      <c r="E1562" s="436" t="s">
        <v>3426</v>
      </c>
      <c r="F1562" s="436" t="s">
        <v>2328</v>
      </c>
    </row>
    <row r="1563" spans="1:6" ht="30" x14ac:dyDescent="0.25">
      <c r="A1563" s="436" t="s">
        <v>3427</v>
      </c>
      <c r="B1563" s="436" t="s">
        <v>3428</v>
      </c>
      <c r="C1563" s="436" t="s">
        <v>3422</v>
      </c>
      <c r="D1563" s="436" t="s">
        <v>2253</v>
      </c>
      <c r="E1563" s="436" t="s">
        <v>3429</v>
      </c>
      <c r="F1563" s="436" t="s">
        <v>2255</v>
      </c>
    </row>
    <row r="1564" spans="1:6" ht="45" x14ac:dyDescent="0.25">
      <c r="A1564" s="436" t="s">
        <v>3430</v>
      </c>
      <c r="B1564" s="436" t="s">
        <v>2253</v>
      </c>
      <c r="C1564" s="436" t="s">
        <v>3431</v>
      </c>
      <c r="D1564" s="436" t="s">
        <v>2253</v>
      </c>
      <c r="E1564" s="436" t="s">
        <v>3432</v>
      </c>
      <c r="F1564" s="436" t="s">
        <v>2255</v>
      </c>
    </row>
    <row r="1565" spans="1:6" ht="60" x14ac:dyDescent="0.25">
      <c r="A1565" s="436" t="s">
        <v>3433</v>
      </c>
      <c r="B1565" s="436" t="s">
        <v>2253</v>
      </c>
      <c r="C1565" s="436" t="s">
        <v>3431</v>
      </c>
      <c r="D1565" s="436" t="s">
        <v>2253</v>
      </c>
      <c r="E1565" s="436" t="s">
        <v>3432</v>
      </c>
      <c r="F1565" s="436" t="s">
        <v>2255</v>
      </c>
    </row>
    <row r="1566" spans="1:6" ht="30" x14ac:dyDescent="0.25">
      <c r="C1566" s="436" t="s">
        <v>3434</v>
      </c>
      <c r="D1566" s="436" t="s">
        <v>2253</v>
      </c>
      <c r="E1566" s="436" t="s">
        <v>3435</v>
      </c>
      <c r="F1566" s="436" t="s">
        <v>2517</v>
      </c>
    </row>
    <row r="1567" spans="1:6" ht="30" x14ac:dyDescent="0.25">
      <c r="A1567" s="436" t="s">
        <v>3436</v>
      </c>
      <c r="B1567" s="436" t="s">
        <v>2378</v>
      </c>
      <c r="C1567" s="436" t="s">
        <v>3437</v>
      </c>
      <c r="D1567" s="436" t="s">
        <v>2378</v>
      </c>
      <c r="E1567" s="436" t="s">
        <v>3438</v>
      </c>
      <c r="F1567" s="436" t="s">
        <v>2381</v>
      </c>
    </row>
    <row r="1568" spans="1:6" ht="30" x14ac:dyDescent="0.25">
      <c r="A1568" s="436" t="s">
        <v>3436</v>
      </c>
      <c r="B1568" s="436" t="s">
        <v>2378</v>
      </c>
      <c r="C1568" s="436" t="s">
        <v>3439</v>
      </c>
      <c r="D1568" s="436" t="s">
        <v>2378</v>
      </c>
      <c r="E1568" s="436" t="s">
        <v>3440</v>
      </c>
      <c r="F1568" s="436" t="s">
        <v>2381</v>
      </c>
    </row>
    <row r="1569" spans="1:6" ht="30" x14ac:dyDescent="0.25">
      <c r="A1569" s="436" t="s">
        <v>3436</v>
      </c>
      <c r="B1569" s="436" t="s">
        <v>2378</v>
      </c>
      <c r="C1569" s="436" t="s">
        <v>3441</v>
      </c>
      <c r="D1569" s="436" t="s">
        <v>2378</v>
      </c>
      <c r="E1569" s="436" t="s">
        <v>3442</v>
      </c>
      <c r="F1569" s="436" t="s">
        <v>2381</v>
      </c>
    </row>
    <row r="1570" spans="1:6" ht="45" x14ac:dyDescent="0.25">
      <c r="C1570" s="436" t="s">
        <v>3443</v>
      </c>
      <c r="D1570" s="436" t="s">
        <v>2378</v>
      </c>
      <c r="E1570" s="436" t="s">
        <v>3444</v>
      </c>
      <c r="F1570" s="436" t="s">
        <v>2402</v>
      </c>
    </row>
    <row r="1571" spans="1:6" ht="30" x14ac:dyDescent="0.25">
      <c r="A1571" s="436" t="s">
        <v>3436</v>
      </c>
      <c r="B1571" s="436" t="s">
        <v>2378</v>
      </c>
      <c r="C1571" s="436" t="s">
        <v>3445</v>
      </c>
      <c r="D1571" s="436" t="s">
        <v>2378</v>
      </c>
      <c r="E1571" s="436" t="s">
        <v>3446</v>
      </c>
      <c r="F1571" s="436" t="s">
        <v>2381</v>
      </c>
    </row>
    <row r="1572" spans="1:6" ht="30" x14ac:dyDescent="0.25">
      <c r="A1572" s="436" t="s">
        <v>3436</v>
      </c>
      <c r="B1572" s="436" t="s">
        <v>2378</v>
      </c>
      <c r="C1572" s="436" t="s">
        <v>3447</v>
      </c>
      <c r="D1572" s="436" t="s">
        <v>2378</v>
      </c>
      <c r="E1572" s="436" t="s">
        <v>3448</v>
      </c>
      <c r="F1572" s="436" t="s">
        <v>2381</v>
      </c>
    </row>
    <row r="1573" spans="1:6" ht="45" x14ac:dyDescent="0.25">
      <c r="A1573" s="436" t="s">
        <v>3449</v>
      </c>
      <c r="B1573" s="436" t="s">
        <v>2378</v>
      </c>
      <c r="C1573" s="436" t="s">
        <v>3450</v>
      </c>
      <c r="D1573" s="436" t="s">
        <v>2378</v>
      </c>
      <c r="E1573" s="436" t="s">
        <v>3451</v>
      </c>
      <c r="F1573" s="436" t="s">
        <v>2402</v>
      </c>
    </row>
    <row r="1574" spans="1:6" ht="45" x14ac:dyDescent="0.25">
      <c r="A1574" s="436" t="s">
        <v>3449</v>
      </c>
      <c r="B1574" s="436" t="s">
        <v>2378</v>
      </c>
      <c r="C1574" s="436" t="s">
        <v>3452</v>
      </c>
      <c r="D1574" s="436" t="s">
        <v>2378</v>
      </c>
      <c r="E1574" s="436" t="s">
        <v>3453</v>
      </c>
      <c r="F1574" s="436" t="s">
        <v>2402</v>
      </c>
    </row>
    <row r="1575" spans="1:6" ht="45" x14ac:dyDescent="0.25">
      <c r="C1575" s="436" t="s">
        <v>3454</v>
      </c>
      <c r="D1575" s="436" t="s">
        <v>2378</v>
      </c>
      <c r="E1575" s="436" t="s">
        <v>3455</v>
      </c>
      <c r="F1575" s="436" t="s">
        <v>2402</v>
      </c>
    </row>
    <row r="1576" spans="1:6" ht="45" x14ac:dyDescent="0.25">
      <c r="A1576" s="436" t="s">
        <v>3456</v>
      </c>
      <c r="B1576" s="436" t="s">
        <v>2423</v>
      </c>
      <c r="C1576" s="436" t="s">
        <v>3457</v>
      </c>
      <c r="D1576" s="436" t="s">
        <v>2423</v>
      </c>
      <c r="E1576" s="436" t="s">
        <v>3458</v>
      </c>
      <c r="F1576" s="436" t="s">
        <v>3459</v>
      </c>
    </row>
    <row r="1577" spans="1:6" ht="30" x14ac:dyDescent="0.25">
      <c r="A1577" s="436" t="s">
        <v>3456</v>
      </c>
      <c r="B1577" s="436" t="s">
        <v>2423</v>
      </c>
      <c r="C1577" s="436" t="s">
        <v>3460</v>
      </c>
      <c r="D1577" s="436" t="s">
        <v>2423</v>
      </c>
      <c r="E1577" s="436" t="s">
        <v>3461</v>
      </c>
      <c r="F1577" s="436" t="s">
        <v>2429</v>
      </c>
    </row>
    <row r="1578" spans="1:6" ht="45" x14ac:dyDescent="0.25">
      <c r="A1578" s="436" t="s">
        <v>3462</v>
      </c>
      <c r="B1578" s="436" t="s">
        <v>2446</v>
      </c>
      <c r="C1578" s="436" t="s">
        <v>3463</v>
      </c>
      <c r="D1578" s="436" t="s">
        <v>2446</v>
      </c>
      <c r="E1578" s="436" t="s">
        <v>3464</v>
      </c>
      <c r="F1578" s="436" t="s">
        <v>2449</v>
      </c>
    </row>
    <row r="1579" spans="1:6" ht="45" x14ac:dyDescent="0.25">
      <c r="A1579" s="436" t="s">
        <v>3465</v>
      </c>
      <c r="B1579" s="436" t="s">
        <v>2446</v>
      </c>
      <c r="C1579" s="436" t="s">
        <v>3466</v>
      </c>
      <c r="D1579" s="436" t="s">
        <v>2423</v>
      </c>
      <c r="E1579" s="436" t="s">
        <v>3467</v>
      </c>
      <c r="F1579" s="436" t="s">
        <v>3459</v>
      </c>
    </row>
    <row r="1580" spans="1:6" ht="45" x14ac:dyDescent="0.25">
      <c r="A1580" s="436" t="s">
        <v>3465</v>
      </c>
      <c r="B1580" s="436" t="s">
        <v>2446</v>
      </c>
      <c r="C1580" s="436" t="s">
        <v>3468</v>
      </c>
      <c r="D1580" s="436" t="s">
        <v>2446</v>
      </c>
      <c r="E1580" s="436" t="s">
        <v>3469</v>
      </c>
      <c r="F1580" s="436" t="s">
        <v>2449</v>
      </c>
    </row>
    <row r="1581" spans="1:6" ht="30" x14ac:dyDescent="0.25">
      <c r="A1581" s="436" t="s">
        <v>3465</v>
      </c>
      <c r="B1581" s="436" t="s">
        <v>2446</v>
      </c>
      <c r="C1581" s="436" t="s">
        <v>3470</v>
      </c>
      <c r="D1581" s="436" t="s">
        <v>2446</v>
      </c>
      <c r="E1581" s="436" t="s">
        <v>3471</v>
      </c>
      <c r="F1581" s="436" t="s">
        <v>2449</v>
      </c>
    </row>
    <row r="1582" spans="1:6" ht="45" x14ac:dyDescent="0.25">
      <c r="A1582" s="436" t="s">
        <v>3472</v>
      </c>
      <c r="B1582" s="436" t="s">
        <v>2468</v>
      </c>
      <c r="C1582" s="436" t="s">
        <v>3472</v>
      </c>
      <c r="D1582" s="436" t="s">
        <v>2468</v>
      </c>
      <c r="E1582" s="436" t="s">
        <v>3473</v>
      </c>
      <c r="F1582" s="436" t="s">
        <v>2470</v>
      </c>
    </row>
    <row r="1583" spans="1:6" ht="45" x14ac:dyDescent="0.25">
      <c r="A1583" s="436" t="s">
        <v>3474</v>
      </c>
      <c r="B1583" s="436" t="s">
        <v>2468</v>
      </c>
      <c r="C1583" s="436" t="s">
        <v>3475</v>
      </c>
      <c r="D1583" s="436" t="s">
        <v>2468</v>
      </c>
      <c r="E1583" s="436" t="s">
        <v>3476</v>
      </c>
      <c r="F1583" s="436" t="s">
        <v>2470</v>
      </c>
    </row>
    <row r="1584" spans="1:6" ht="45" x14ac:dyDescent="0.25">
      <c r="A1584" s="436" t="s">
        <v>3474</v>
      </c>
      <c r="B1584" s="436" t="s">
        <v>2468</v>
      </c>
      <c r="C1584" s="436" t="s">
        <v>3477</v>
      </c>
      <c r="D1584" s="436" t="s">
        <v>2468</v>
      </c>
      <c r="E1584" s="436" t="s">
        <v>3478</v>
      </c>
      <c r="F1584" s="436" t="s">
        <v>2470</v>
      </c>
    </row>
    <row r="1585" spans="1:6" ht="45" x14ac:dyDescent="0.25">
      <c r="A1585" s="436" t="s">
        <v>3479</v>
      </c>
      <c r="B1585" s="436" t="s">
        <v>2468</v>
      </c>
      <c r="C1585" s="436" t="s">
        <v>3480</v>
      </c>
      <c r="D1585" s="436" t="s">
        <v>2468</v>
      </c>
      <c r="E1585" s="436" t="s">
        <v>3481</v>
      </c>
      <c r="F1585" s="436" t="s">
        <v>2470</v>
      </c>
    </row>
    <row r="1586" spans="1:6" ht="30" x14ac:dyDescent="0.25">
      <c r="A1586" s="436" t="s">
        <v>3482</v>
      </c>
      <c r="B1586" s="436" t="s">
        <v>2468</v>
      </c>
      <c r="C1586" s="436" t="s">
        <v>3483</v>
      </c>
      <c r="D1586" s="436" t="s">
        <v>2293</v>
      </c>
      <c r="E1586" s="436" t="s">
        <v>3484</v>
      </c>
      <c r="F1586" s="436" t="s">
        <v>2498</v>
      </c>
    </row>
    <row r="1587" spans="1:6" ht="30" x14ac:dyDescent="0.25">
      <c r="A1587" s="436" t="s">
        <v>3482</v>
      </c>
      <c r="B1587" s="436" t="s">
        <v>2468</v>
      </c>
      <c r="C1587" s="436" t="s">
        <v>3485</v>
      </c>
      <c r="D1587" s="436" t="s">
        <v>2293</v>
      </c>
      <c r="E1587" s="436" t="s">
        <v>3486</v>
      </c>
      <c r="F1587" s="436" t="s">
        <v>2498</v>
      </c>
    </row>
    <row r="1588" spans="1:6" ht="30" x14ac:dyDescent="0.25">
      <c r="C1588" s="436" t="s">
        <v>3487</v>
      </c>
      <c r="D1588" s="436" t="s">
        <v>2293</v>
      </c>
      <c r="E1588" s="436" t="s">
        <v>3488</v>
      </c>
      <c r="F1588" s="436" t="s">
        <v>2498</v>
      </c>
    </row>
    <row r="1589" spans="1:6" ht="45" x14ac:dyDescent="0.25">
      <c r="A1589" s="436" t="s">
        <v>3489</v>
      </c>
      <c r="B1589" s="436" t="s">
        <v>2468</v>
      </c>
      <c r="C1589" s="436" t="s">
        <v>3490</v>
      </c>
      <c r="D1589" s="436" t="s">
        <v>2468</v>
      </c>
      <c r="E1589" s="436" t="s">
        <v>3491</v>
      </c>
      <c r="F1589" s="436" t="s">
        <v>3492</v>
      </c>
    </row>
    <row r="1590" spans="1:6" ht="30" x14ac:dyDescent="0.25">
      <c r="A1590" s="436" t="s">
        <v>3493</v>
      </c>
      <c r="B1590" s="436" t="s">
        <v>2503</v>
      </c>
      <c r="C1590" s="436" t="s">
        <v>3494</v>
      </c>
      <c r="D1590" s="436" t="s">
        <v>2503</v>
      </c>
      <c r="E1590" s="436" t="s">
        <v>3495</v>
      </c>
      <c r="F1590" s="436" t="s">
        <v>2506</v>
      </c>
    </row>
    <row r="1591" spans="1:6" ht="30" x14ac:dyDescent="0.25">
      <c r="A1591" s="436" t="s">
        <v>3496</v>
      </c>
      <c r="B1591" s="436" t="s">
        <v>2503</v>
      </c>
      <c r="C1591" s="436" t="s">
        <v>3497</v>
      </c>
      <c r="D1591" s="436" t="s">
        <v>2503</v>
      </c>
      <c r="E1591" s="436" t="s">
        <v>3498</v>
      </c>
      <c r="F1591" s="436" t="s">
        <v>2506</v>
      </c>
    </row>
    <row r="1592" spans="1:6" ht="30" x14ac:dyDescent="0.25">
      <c r="A1592" s="436" t="s">
        <v>3499</v>
      </c>
      <c r="B1592" s="436" t="s">
        <v>2503</v>
      </c>
      <c r="C1592" s="436" t="s">
        <v>3500</v>
      </c>
      <c r="D1592" s="436" t="s">
        <v>2503</v>
      </c>
      <c r="E1592" s="436" t="s">
        <v>3501</v>
      </c>
      <c r="F1592" s="436" t="s">
        <v>2506</v>
      </c>
    </row>
    <row r="1593" spans="1:6" ht="30" x14ac:dyDescent="0.25">
      <c r="A1593" s="436" t="s">
        <v>3502</v>
      </c>
      <c r="B1593" s="436" t="s">
        <v>2503</v>
      </c>
      <c r="C1593" s="436" t="s">
        <v>3503</v>
      </c>
      <c r="D1593" s="436" t="s">
        <v>2503</v>
      </c>
      <c r="E1593" s="436" t="s">
        <v>3504</v>
      </c>
      <c r="F1593" s="436" t="s">
        <v>2506</v>
      </c>
    </row>
    <row r="1594" spans="1:6" ht="30" x14ac:dyDescent="0.25">
      <c r="A1594" s="436" t="s">
        <v>3505</v>
      </c>
      <c r="B1594" s="436" t="s">
        <v>2503</v>
      </c>
      <c r="C1594" s="436" t="s">
        <v>3425</v>
      </c>
      <c r="D1594" s="436" t="s">
        <v>2253</v>
      </c>
      <c r="E1594" s="436" t="s">
        <v>3426</v>
      </c>
      <c r="F1594" s="436" t="s">
        <v>2328</v>
      </c>
    </row>
    <row r="1595" spans="1:6" ht="30" x14ac:dyDescent="0.25">
      <c r="A1595" s="436" t="s">
        <v>3505</v>
      </c>
      <c r="B1595" s="436" t="s">
        <v>2503</v>
      </c>
      <c r="C1595" s="436" t="s">
        <v>3506</v>
      </c>
      <c r="D1595" s="436" t="s">
        <v>2253</v>
      </c>
      <c r="E1595" s="436" t="s">
        <v>3507</v>
      </c>
      <c r="F1595" s="436" t="s">
        <v>2517</v>
      </c>
    </row>
    <row r="1596" spans="1:6" ht="30" x14ac:dyDescent="0.25">
      <c r="A1596" s="436" t="s">
        <v>3505</v>
      </c>
      <c r="B1596" s="436" t="s">
        <v>2503</v>
      </c>
      <c r="C1596" s="436" t="s">
        <v>3494</v>
      </c>
      <c r="D1596" s="436" t="s">
        <v>2503</v>
      </c>
      <c r="E1596" s="436" t="s">
        <v>3495</v>
      </c>
      <c r="F1596" s="436" t="s">
        <v>2506</v>
      </c>
    </row>
    <row r="1597" spans="1:6" ht="30" x14ac:dyDescent="0.25">
      <c r="A1597" s="436" t="s">
        <v>3505</v>
      </c>
      <c r="B1597" s="436" t="s">
        <v>2503</v>
      </c>
      <c r="C1597" s="436" t="s">
        <v>3508</v>
      </c>
      <c r="D1597" s="436" t="s">
        <v>2293</v>
      </c>
      <c r="E1597" s="436" t="s">
        <v>3509</v>
      </c>
      <c r="F1597" s="436" t="s">
        <v>2517</v>
      </c>
    </row>
    <row r="1598" spans="1:6" ht="30" x14ac:dyDescent="0.25">
      <c r="A1598" s="436" t="s">
        <v>3510</v>
      </c>
      <c r="B1598" s="436" t="s">
        <v>2293</v>
      </c>
      <c r="C1598" s="436" t="s">
        <v>3510</v>
      </c>
      <c r="D1598" s="436" t="s">
        <v>2293</v>
      </c>
      <c r="E1598" s="436" t="s">
        <v>3511</v>
      </c>
      <c r="F1598" s="436" t="s">
        <v>2498</v>
      </c>
    </row>
    <row r="1599" spans="1:6" ht="30" x14ac:dyDescent="0.25">
      <c r="A1599" s="436" t="s">
        <v>3512</v>
      </c>
      <c r="B1599" s="436" t="s">
        <v>2293</v>
      </c>
      <c r="C1599" s="436" t="s">
        <v>3513</v>
      </c>
      <c r="D1599" s="436" t="s">
        <v>2293</v>
      </c>
      <c r="E1599" s="436" t="s">
        <v>3514</v>
      </c>
      <c r="F1599" s="436" t="s">
        <v>2498</v>
      </c>
    </row>
    <row r="1600" spans="1:6" ht="30" x14ac:dyDescent="0.25">
      <c r="A1600" s="436" t="s">
        <v>3512</v>
      </c>
      <c r="B1600" s="436" t="s">
        <v>2293</v>
      </c>
      <c r="C1600" s="436" t="s">
        <v>3515</v>
      </c>
      <c r="D1600" s="436" t="s">
        <v>2293</v>
      </c>
      <c r="E1600" s="436" t="s">
        <v>3516</v>
      </c>
      <c r="F1600" s="436" t="s">
        <v>2255</v>
      </c>
    </row>
    <row r="1601" spans="1:6" ht="30" x14ac:dyDescent="0.25">
      <c r="A1601" s="436" t="s">
        <v>3512</v>
      </c>
      <c r="B1601" s="436" t="s">
        <v>2293</v>
      </c>
      <c r="C1601" s="436" t="s">
        <v>3517</v>
      </c>
      <c r="D1601" s="436" t="s">
        <v>2293</v>
      </c>
      <c r="E1601" s="436" t="s">
        <v>3518</v>
      </c>
      <c r="F1601" s="436" t="s">
        <v>2255</v>
      </c>
    </row>
    <row r="1602" spans="1:6" ht="30" x14ac:dyDescent="0.25">
      <c r="A1602" s="436" t="s">
        <v>3519</v>
      </c>
      <c r="B1602" s="436" t="s">
        <v>2293</v>
      </c>
      <c r="C1602" s="436" t="s">
        <v>3483</v>
      </c>
      <c r="D1602" s="436" t="s">
        <v>2293</v>
      </c>
      <c r="E1602" s="436" t="s">
        <v>3484</v>
      </c>
      <c r="F1602" s="436" t="s">
        <v>2498</v>
      </c>
    </row>
    <row r="1603" spans="1:6" ht="30" x14ac:dyDescent="0.25">
      <c r="A1603" s="436" t="s">
        <v>3519</v>
      </c>
      <c r="B1603" s="436" t="s">
        <v>2293</v>
      </c>
      <c r="C1603" s="436" t="s">
        <v>3520</v>
      </c>
      <c r="D1603" s="436" t="s">
        <v>2293</v>
      </c>
      <c r="E1603" s="436" t="s">
        <v>3521</v>
      </c>
      <c r="F1603" s="436" t="s">
        <v>2498</v>
      </c>
    </row>
    <row r="1604" spans="1:6" ht="45" x14ac:dyDescent="0.25">
      <c r="A1604" s="436" t="s">
        <v>2575</v>
      </c>
      <c r="B1604" s="436" t="s">
        <v>2293</v>
      </c>
      <c r="C1604" s="436" t="s">
        <v>3522</v>
      </c>
      <c r="D1604" s="436" t="s">
        <v>2293</v>
      </c>
      <c r="E1604" s="436" t="s">
        <v>3523</v>
      </c>
      <c r="F1604" s="436" t="s">
        <v>2498</v>
      </c>
    </row>
    <row r="1605" spans="1:6" ht="30" x14ac:dyDescent="0.25">
      <c r="A1605" s="436" t="s">
        <v>3524</v>
      </c>
      <c r="B1605" s="436" t="s">
        <v>2138</v>
      </c>
      <c r="C1605" s="436" t="s">
        <v>3524</v>
      </c>
      <c r="D1605" s="436" t="s">
        <v>2138</v>
      </c>
      <c r="E1605" s="436" t="s">
        <v>3525</v>
      </c>
      <c r="F1605" s="436" t="s">
        <v>2140</v>
      </c>
    </row>
    <row r="1606" spans="1:6" ht="30" x14ac:dyDescent="0.25">
      <c r="A1606" s="436" t="s">
        <v>3524</v>
      </c>
      <c r="B1606" s="436" t="s">
        <v>2138</v>
      </c>
      <c r="C1606" s="436" t="s">
        <v>3526</v>
      </c>
      <c r="D1606" s="436" t="s">
        <v>2138</v>
      </c>
      <c r="E1606" s="436" t="s">
        <v>3527</v>
      </c>
      <c r="F1606" s="436" t="s">
        <v>2140</v>
      </c>
    </row>
    <row r="1607" spans="1:6" ht="30" x14ac:dyDescent="0.25">
      <c r="C1607" s="436" t="s">
        <v>3528</v>
      </c>
      <c r="D1607" s="436" t="s">
        <v>2138</v>
      </c>
      <c r="E1607" s="436" t="s">
        <v>3529</v>
      </c>
      <c r="F1607" s="436" t="s">
        <v>1715</v>
      </c>
    </row>
    <row r="1608" spans="1:6" ht="30" x14ac:dyDescent="0.25">
      <c r="A1608" s="436" t="s">
        <v>3530</v>
      </c>
      <c r="B1608" s="436" t="s">
        <v>2138</v>
      </c>
      <c r="C1608" s="436" t="s">
        <v>3531</v>
      </c>
      <c r="D1608" s="436" t="s">
        <v>2138</v>
      </c>
      <c r="E1608" s="436" t="s">
        <v>3532</v>
      </c>
      <c r="F1608" s="436" t="s">
        <v>2140</v>
      </c>
    </row>
    <row r="1609" spans="1:6" ht="30" x14ac:dyDescent="0.25">
      <c r="A1609" s="436" t="s">
        <v>3533</v>
      </c>
      <c r="B1609" s="436" t="s">
        <v>2596</v>
      </c>
      <c r="C1609" s="436" t="s">
        <v>3534</v>
      </c>
      <c r="D1609" s="436" t="s">
        <v>2596</v>
      </c>
      <c r="E1609" s="436" t="s">
        <v>3535</v>
      </c>
      <c r="F1609" s="436" t="s">
        <v>2599</v>
      </c>
    </row>
    <row r="1610" spans="1:6" ht="30" x14ac:dyDescent="0.25">
      <c r="A1610" s="436" t="s">
        <v>3533</v>
      </c>
      <c r="B1610" s="436" t="s">
        <v>2596</v>
      </c>
      <c r="C1610" s="436" t="s">
        <v>3536</v>
      </c>
      <c r="D1610" s="436" t="s">
        <v>2596</v>
      </c>
      <c r="E1610" s="436" t="s">
        <v>3537</v>
      </c>
      <c r="F1610" s="436" t="s">
        <v>2624</v>
      </c>
    </row>
    <row r="1611" spans="1:6" ht="45" x14ac:dyDescent="0.25">
      <c r="A1611" s="436" t="s">
        <v>3533</v>
      </c>
      <c r="B1611" s="436" t="s">
        <v>2596</v>
      </c>
      <c r="C1611" s="436" t="s">
        <v>3538</v>
      </c>
      <c r="D1611" s="436" t="s">
        <v>2596</v>
      </c>
      <c r="E1611" s="436" t="s">
        <v>3539</v>
      </c>
      <c r="F1611" s="436" t="s">
        <v>2599</v>
      </c>
    </row>
    <row r="1612" spans="1:6" ht="30" x14ac:dyDescent="0.25">
      <c r="A1612" s="436" t="s">
        <v>3540</v>
      </c>
      <c r="B1612" s="436" t="s">
        <v>2628</v>
      </c>
      <c r="C1612" s="436" t="s">
        <v>3540</v>
      </c>
      <c r="D1612" s="436" t="s">
        <v>2628</v>
      </c>
      <c r="E1612" s="436" t="s">
        <v>3541</v>
      </c>
      <c r="F1612" s="436" t="s">
        <v>2187</v>
      </c>
    </row>
    <row r="1613" spans="1:6" ht="30" x14ac:dyDescent="0.25">
      <c r="A1613" s="436" t="s">
        <v>3540</v>
      </c>
      <c r="B1613" s="436" t="s">
        <v>2628</v>
      </c>
      <c r="C1613" s="436" t="s">
        <v>3542</v>
      </c>
      <c r="D1613" s="436" t="s">
        <v>2628</v>
      </c>
      <c r="E1613" s="436" t="s">
        <v>3543</v>
      </c>
      <c r="F1613" s="436" t="s">
        <v>2187</v>
      </c>
    </row>
    <row r="1614" spans="1:6" ht="60" x14ac:dyDescent="0.25">
      <c r="A1614" s="436" t="s">
        <v>3544</v>
      </c>
      <c r="B1614" s="436" t="s">
        <v>2628</v>
      </c>
      <c r="C1614" s="436" t="s">
        <v>3545</v>
      </c>
      <c r="D1614" s="436" t="s">
        <v>2628</v>
      </c>
      <c r="E1614" s="436" t="s">
        <v>3546</v>
      </c>
      <c r="F1614" s="436" t="s">
        <v>2187</v>
      </c>
    </row>
    <row r="1615" spans="1:6" ht="30" x14ac:dyDescent="0.25">
      <c r="A1615" s="436" t="s">
        <v>3547</v>
      </c>
      <c r="B1615" s="436" t="s">
        <v>2641</v>
      </c>
      <c r="C1615" s="436" t="s">
        <v>3548</v>
      </c>
      <c r="D1615" s="436" t="s">
        <v>2641</v>
      </c>
      <c r="E1615" s="436" t="s">
        <v>3549</v>
      </c>
      <c r="F1615" s="436" t="s">
        <v>2624</v>
      </c>
    </row>
    <row r="1616" spans="1:6" ht="30" x14ac:dyDescent="0.25">
      <c r="A1616" s="436" t="s">
        <v>3547</v>
      </c>
      <c r="B1616" s="436" t="s">
        <v>2641</v>
      </c>
      <c r="C1616" s="436" t="s">
        <v>3550</v>
      </c>
      <c r="D1616" s="436" t="s">
        <v>2641</v>
      </c>
      <c r="E1616" s="436" t="s">
        <v>3551</v>
      </c>
      <c r="F1616" s="436" t="s">
        <v>2624</v>
      </c>
    </row>
    <row r="1617" spans="1:6" ht="60" x14ac:dyDescent="0.25">
      <c r="C1617" s="436" t="s">
        <v>3552</v>
      </c>
      <c r="D1617" s="436" t="s">
        <v>2641</v>
      </c>
      <c r="E1617" s="436" t="s">
        <v>3553</v>
      </c>
      <c r="F1617" s="436" t="s">
        <v>2624</v>
      </c>
    </row>
    <row r="1618" spans="1:6" ht="45" x14ac:dyDescent="0.25">
      <c r="A1618" s="436" t="s">
        <v>3547</v>
      </c>
      <c r="B1618" s="436" t="s">
        <v>2641</v>
      </c>
      <c r="C1618" s="436" t="s">
        <v>3554</v>
      </c>
      <c r="D1618" s="436" t="s">
        <v>2641</v>
      </c>
      <c r="E1618" s="436" t="s">
        <v>3555</v>
      </c>
      <c r="F1618" s="436" t="s">
        <v>2624</v>
      </c>
    </row>
    <row r="1619" spans="1:6" ht="30" x14ac:dyDescent="0.25">
      <c r="C1619" s="436" t="s">
        <v>3556</v>
      </c>
      <c r="D1619" s="436" t="s">
        <v>2641</v>
      </c>
      <c r="E1619" s="436" t="s">
        <v>3557</v>
      </c>
      <c r="F1619" s="436" t="s">
        <v>2666</v>
      </c>
    </row>
    <row r="1620" spans="1:6" ht="30" x14ac:dyDescent="0.25">
      <c r="A1620" s="436" t="s">
        <v>3558</v>
      </c>
      <c r="B1620" s="436" t="s">
        <v>2641</v>
      </c>
      <c r="C1620" s="436" t="s">
        <v>3559</v>
      </c>
      <c r="D1620" s="436" t="s">
        <v>2641</v>
      </c>
      <c r="E1620" s="436" t="s">
        <v>3560</v>
      </c>
      <c r="F1620" s="436" t="s">
        <v>2666</v>
      </c>
    </row>
    <row r="1621" spans="1:6" ht="45" x14ac:dyDescent="0.25">
      <c r="A1621" s="436" t="s">
        <v>3561</v>
      </c>
      <c r="B1621" s="436" t="s">
        <v>2641</v>
      </c>
      <c r="C1621" s="436" t="s">
        <v>3562</v>
      </c>
      <c r="D1621" s="436" t="s">
        <v>2641</v>
      </c>
      <c r="E1621" s="436" t="s">
        <v>3563</v>
      </c>
      <c r="F1621" s="436" t="s">
        <v>2666</v>
      </c>
    </row>
    <row r="1622" spans="1:6" ht="45" x14ac:dyDescent="0.25">
      <c r="A1622" s="436" t="s">
        <v>3561</v>
      </c>
      <c r="B1622" s="436" t="s">
        <v>2641</v>
      </c>
      <c r="C1622" s="436" t="s">
        <v>3564</v>
      </c>
      <c r="D1622" s="436" t="s">
        <v>2641</v>
      </c>
      <c r="E1622" s="436" t="s">
        <v>3565</v>
      </c>
      <c r="F1622" s="436" t="s">
        <v>2666</v>
      </c>
    </row>
    <row r="1623" spans="1:6" ht="30" x14ac:dyDescent="0.25">
      <c r="A1623" s="436" t="s">
        <v>3566</v>
      </c>
      <c r="B1623" s="436" t="s">
        <v>2641</v>
      </c>
      <c r="C1623" s="436" t="s">
        <v>3567</v>
      </c>
      <c r="D1623" s="436" t="s">
        <v>2641</v>
      </c>
      <c r="E1623" s="436" t="s">
        <v>3568</v>
      </c>
      <c r="F1623" s="436" t="s">
        <v>2666</v>
      </c>
    </row>
    <row r="1624" spans="1:6" ht="30" x14ac:dyDescent="0.25">
      <c r="A1624" s="436" t="s">
        <v>3569</v>
      </c>
      <c r="B1624" s="436" t="s">
        <v>2092</v>
      </c>
      <c r="C1624" s="436" t="s">
        <v>3570</v>
      </c>
      <c r="D1624" s="436" t="s">
        <v>2092</v>
      </c>
      <c r="E1624" s="436" t="s">
        <v>3571</v>
      </c>
      <c r="F1624" s="436" t="s">
        <v>2696</v>
      </c>
    </row>
    <row r="1625" spans="1:6" x14ac:dyDescent="0.25">
      <c r="A1625" s="436" t="s">
        <v>3572</v>
      </c>
      <c r="B1625" s="436" t="s">
        <v>2092</v>
      </c>
      <c r="C1625" s="436" t="s">
        <v>3573</v>
      </c>
      <c r="D1625" s="436" t="s">
        <v>2092</v>
      </c>
      <c r="E1625" s="436" t="s">
        <v>3574</v>
      </c>
      <c r="F1625" s="436" t="s">
        <v>2094</v>
      </c>
    </row>
    <row r="1626" spans="1:6" ht="30" x14ac:dyDescent="0.25">
      <c r="A1626" s="436" t="s">
        <v>3572</v>
      </c>
      <c r="B1626" s="436" t="s">
        <v>2092</v>
      </c>
      <c r="C1626" s="436" t="s">
        <v>3575</v>
      </c>
      <c r="D1626" s="436" t="s">
        <v>2092</v>
      </c>
      <c r="E1626" s="436" t="s">
        <v>3576</v>
      </c>
      <c r="F1626" s="436" t="s">
        <v>2094</v>
      </c>
    </row>
    <row r="1627" spans="1:6" ht="30" x14ac:dyDescent="0.25">
      <c r="A1627" s="436" t="s">
        <v>3572</v>
      </c>
      <c r="B1627" s="436" t="s">
        <v>2092</v>
      </c>
      <c r="C1627" s="436" t="s">
        <v>3577</v>
      </c>
      <c r="D1627" s="436" t="s">
        <v>2092</v>
      </c>
      <c r="E1627" s="436" t="s">
        <v>3578</v>
      </c>
      <c r="F1627" s="436" t="s">
        <v>2094</v>
      </c>
    </row>
    <row r="1628" spans="1:6" x14ac:dyDescent="0.25">
      <c r="A1628" s="436" t="s">
        <v>3579</v>
      </c>
      <c r="B1628" s="436" t="s">
        <v>2092</v>
      </c>
      <c r="C1628" s="436" t="s">
        <v>3580</v>
      </c>
      <c r="D1628" s="436" t="s">
        <v>2092</v>
      </c>
      <c r="E1628" s="436" t="s">
        <v>3581</v>
      </c>
      <c r="F1628" s="436" t="s">
        <v>2094</v>
      </c>
    </row>
    <row r="1629" spans="1:6" ht="45" x14ac:dyDescent="0.25">
      <c r="A1629" s="436" t="s">
        <v>3582</v>
      </c>
      <c r="B1629" s="436" t="s">
        <v>1799</v>
      </c>
      <c r="C1629" s="436" t="s">
        <v>3583</v>
      </c>
      <c r="D1629" s="436" t="s">
        <v>1799</v>
      </c>
      <c r="E1629" s="436" t="s">
        <v>3584</v>
      </c>
      <c r="F1629" s="436" t="s">
        <v>2723</v>
      </c>
    </row>
    <row r="1630" spans="1:6" ht="45" x14ac:dyDescent="0.25">
      <c r="A1630" s="436" t="s">
        <v>3585</v>
      </c>
      <c r="B1630" s="436" t="s">
        <v>1799</v>
      </c>
      <c r="C1630" s="436" t="s">
        <v>3586</v>
      </c>
      <c r="D1630" s="436" t="s">
        <v>1799</v>
      </c>
      <c r="E1630" s="436" t="s">
        <v>3587</v>
      </c>
      <c r="F1630" s="436" t="s">
        <v>2723</v>
      </c>
    </row>
  </sheetData>
  <sheetProtection sheet="1" objects="1" scenarios="1" autoFilter="0"/>
  <mergeCells count="4">
    <mergeCell ref="A1:B1"/>
    <mergeCell ref="A2:B2"/>
    <mergeCell ref="C2:D2"/>
    <mergeCell ref="E2:F2"/>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68"/>
  <sheetViews>
    <sheetView zoomScaleNormal="100" workbookViewId="0">
      <selection activeCell="B6" sqref="B6"/>
    </sheetView>
  </sheetViews>
  <sheetFormatPr defaultRowHeight="15" x14ac:dyDescent="0.25"/>
  <cols>
    <col min="1" max="1" width="37.140625" customWidth="1"/>
    <col min="2" max="2" width="215.28515625" customWidth="1"/>
  </cols>
  <sheetData>
    <row r="1" spans="1:2" ht="18.75" x14ac:dyDescent="0.3">
      <c r="A1" s="241" t="s">
        <v>46</v>
      </c>
      <c r="B1" s="242" t="s">
        <v>47</v>
      </c>
    </row>
    <row r="2" spans="1:2" x14ac:dyDescent="0.25">
      <c r="A2" s="243" t="s">
        <v>48</v>
      </c>
      <c r="B2" s="244" t="s">
        <v>1634</v>
      </c>
    </row>
    <row r="3" spans="1:2" x14ac:dyDescent="0.25">
      <c r="A3" s="243" t="s">
        <v>21</v>
      </c>
      <c r="B3" s="244" t="s">
        <v>1634</v>
      </c>
    </row>
    <row r="4" spans="1:2" x14ac:dyDescent="0.25">
      <c r="A4" s="243" t="s">
        <v>22</v>
      </c>
      <c r="B4" s="244" t="s">
        <v>1634</v>
      </c>
    </row>
    <row r="5" spans="1:2" x14ac:dyDescent="0.25">
      <c r="A5" s="245" t="s">
        <v>101</v>
      </c>
      <c r="B5" s="246" t="s">
        <v>1635</v>
      </c>
    </row>
    <row r="6" spans="1:2" ht="75" x14ac:dyDescent="0.25">
      <c r="A6" s="243" t="s">
        <v>49</v>
      </c>
      <c r="B6" s="254" t="s">
        <v>7467</v>
      </c>
    </row>
    <row r="7" spans="1:2" x14ac:dyDescent="0.25">
      <c r="A7" s="247" t="s">
        <v>50</v>
      </c>
      <c r="B7" s="248" t="s">
        <v>1632</v>
      </c>
    </row>
    <row r="8" spans="1:2" ht="30" x14ac:dyDescent="0.25">
      <c r="A8" s="416" t="s">
        <v>1660</v>
      </c>
      <c r="B8" s="415" t="s">
        <v>1664</v>
      </c>
    </row>
    <row r="9" spans="1:2" x14ac:dyDescent="0.25">
      <c r="A9" s="247" t="s">
        <v>1661</v>
      </c>
      <c r="B9" s="248" t="s">
        <v>1662</v>
      </c>
    </row>
    <row r="10" spans="1:2" ht="30" x14ac:dyDescent="0.25">
      <c r="A10" s="243" t="s">
        <v>1643</v>
      </c>
      <c r="B10" s="254" t="s">
        <v>1644</v>
      </c>
    </row>
    <row r="11" spans="1:2" ht="30" x14ac:dyDescent="0.25">
      <c r="A11" s="243" t="s">
        <v>3633</v>
      </c>
      <c r="B11" s="254" t="s">
        <v>3635</v>
      </c>
    </row>
    <row r="12" spans="1:2" x14ac:dyDescent="0.25">
      <c r="A12" s="243" t="s">
        <v>3634</v>
      </c>
      <c r="B12" s="254" t="s">
        <v>3636</v>
      </c>
    </row>
    <row r="13" spans="1:2" x14ac:dyDescent="0.25">
      <c r="A13" s="849" t="s">
        <v>243</v>
      </c>
      <c r="B13" s="850"/>
    </row>
    <row r="14" spans="1:2" ht="45" x14ac:dyDescent="0.25">
      <c r="A14" s="249" t="s">
        <v>23</v>
      </c>
      <c r="B14" s="250" t="s">
        <v>110</v>
      </c>
    </row>
    <row r="15" spans="1:2" ht="30" x14ac:dyDescent="0.25">
      <c r="A15" s="243" t="s">
        <v>1646</v>
      </c>
      <c r="B15" s="251" t="s">
        <v>209</v>
      </c>
    </row>
    <row r="16" spans="1:2" ht="30" x14ac:dyDescent="0.25">
      <c r="A16" s="252" t="s">
        <v>204</v>
      </c>
      <c r="B16" s="251" t="s">
        <v>128</v>
      </c>
    </row>
    <row r="17" spans="1:2" ht="90" x14ac:dyDescent="0.25">
      <c r="A17" s="243" t="s">
        <v>111</v>
      </c>
      <c r="B17" s="251" t="s">
        <v>129</v>
      </c>
    </row>
    <row r="18" spans="1:2" ht="30" x14ac:dyDescent="0.25">
      <c r="A18" s="243" t="s">
        <v>126</v>
      </c>
      <c r="B18" s="251" t="s">
        <v>248</v>
      </c>
    </row>
    <row r="19" spans="1:2" x14ac:dyDescent="0.25">
      <c r="A19" s="243" t="s">
        <v>205</v>
      </c>
      <c r="B19" s="251" t="s">
        <v>206</v>
      </c>
    </row>
    <row r="20" spans="1:2" ht="30" x14ac:dyDescent="0.25">
      <c r="A20" s="252" t="s">
        <v>127</v>
      </c>
      <c r="B20" s="251" t="s">
        <v>249</v>
      </c>
    </row>
    <row r="21" spans="1:2" ht="30" x14ac:dyDescent="0.25">
      <c r="A21" s="252" t="s">
        <v>208</v>
      </c>
      <c r="B21" s="251" t="s">
        <v>207</v>
      </c>
    </row>
    <row r="22" spans="1:2" ht="315" x14ac:dyDescent="0.25">
      <c r="A22" s="243" t="s">
        <v>210</v>
      </c>
      <c r="B22" s="251" t="s">
        <v>250</v>
      </c>
    </row>
    <row r="23" spans="1:2" x14ac:dyDescent="0.25">
      <c r="A23" s="243" t="s">
        <v>211</v>
      </c>
      <c r="B23" s="251" t="s">
        <v>251</v>
      </c>
    </row>
    <row r="24" spans="1:2" x14ac:dyDescent="0.25">
      <c r="A24" s="849" t="s">
        <v>244</v>
      </c>
      <c r="B24" s="850"/>
    </row>
    <row r="25" spans="1:2" ht="45" x14ac:dyDescent="0.25">
      <c r="A25" s="253" t="s">
        <v>112</v>
      </c>
      <c r="B25" s="254" t="s">
        <v>3616</v>
      </c>
    </row>
    <row r="26" spans="1:2" ht="45" x14ac:dyDescent="0.25">
      <c r="A26" s="255" t="s">
        <v>113</v>
      </c>
      <c r="B26" s="254" t="s">
        <v>3617</v>
      </c>
    </row>
    <row r="27" spans="1:2" ht="30" x14ac:dyDescent="0.25">
      <c r="A27" s="253" t="s">
        <v>114</v>
      </c>
      <c r="B27" s="256" t="s">
        <v>123</v>
      </c>
    </row>
    <row r="28" spans="1:2" ht="45" x14ac:dyDescent="0.25">
      <c r="A28" s="255" t="s">
        <v>115</v>
      </c>
      <c r="B28" s="257" t="s">
        <v>3618</v>
      </c>
    </row>
    <row r="29" spans="1:2" ht="30" x14ac:dyDescent="0.25">
      <c r="A29" s="478" t="s">
        <v>1663</v>
      </c>
      <c r="B29" s="479" t="s">
        <v>3594</v>
      </c>
    </row>
    <row r="30" spans="1:2" ht="45" x14ac:dyDescent="0.25">
      <c r="A30" s="255" t="s">
        <v>116</v>
      </c>
      <c r="B30" s="254" t="s">
        <v>3619</v>
      </c>
    </row>
    <row r="31" spans="1:2" ht="30" x14ac:dyDescent="0.25">
      <c r="A31" s="255" t="s">
        <v>117</v>
      </c>
      <c r="B31" s="254" t="s">
        <v>3620</v>
      </c>
    </row>
    <row r="32" spans="1:2" ht="45" x14ac:dyDescent="0.25">
      <c r="A32" s="255" t="s">
        <v>118</v>
      </c>
      <c r="B32" s="254" t="s">
        <v>3621</v>
      </c>
    </row>
    <row r="33" spans="1:2" ht="30" x14ac:dyDescent="0.25">
      <c r="A33" s="255" t="s">
        <v>119</v>
      </c>
      <c r="B33" s="254" t="s">
        <v>3622</v>
      </c>
    </row>
    <row r="34" spans="1:2" ht="60" x14ac:dyDescent="0.25">
      <c r="A34" s="255" t="s">
        <v>3624</v>
      </c>
      <c r="B34" s="254" t="s">
        <v>3623</v>
      </c>
    </row>
    <row r="35" spans="1:2" ht="45" x14ac:dyDescent="0.25">
      <c r="A35" s="255" t="s">
        <v>3625</v>
      </c>
      <c r="B35" s="485" t="s">
        <v>3626</v>
      </c>
    </row>
    <row r="36" spans="1:2" ht="45" x14ac:dyDescent="0.25">
      <c r="A36" s="255" t="s">
        <v>3608</v>
      </c>
      <c r="B36" s="257" t="s">
        <v>3609</v>
      </c>
    </row>
    <row r="37" spans="1:2" ht="105" x14ac:dyDescent="0.25">
      <c r="A37" s="255" t="s">
        <v>13</v>
      </c>
      <c r="B37" s="486" t="s">
        <v>3627</v>
      </c>
    </row>
    <row r="38" spans="1:2" ht="120" x14ac:dyDescent="0.25">
      <c r="A38" s="255" t="s">
        <v>14</v>
      </c>
      <c r="B38" s="257" t="s">
        <v>3628</v>
      </c>
    </row>
    <row r="39" spans="1:2" ht="60" x14ac:dyDescent="0.25">
      <c r="A39" s="255" t="s">
        <v>58</v>
      </c>
      <c r="B39" s="257" t="s">
        <v>3629</v>
      </c>
    </row>
    <row r="40" spans="1:2" ht="45" x14ac:dyDescent="0.25">
      <c r="A40" s="255" t="s">
        <v>120</v>
      </c>
      <c r="B40" s="254" t="s">
        <v>3632</v>
      </c>
    </row>
    <row r="41" spans="1:2" ht="60" x14ac:dyDescent="0.25">
      <c r="A41" s="255" t="s">
        <v>121</v>
      </c>
      <c r="B41" s="254" t="s">
        <v>3630</v>
      </c>
    </row>
    <row r="42" spans="1:2" ht="30" x14ac:dyDescent="0.25">
      <c r="A42" s="253" t="s">
        <v>122</v>
      </c>
      <c r="B42" s="257" t="s">
        <v>3631</v>
      </c>
    </row>
    <row r="43" spans="1:2" x14ac:dyDescent="0.25">
      <c r="A43" s="851" t="s">
        <v>245</v>
      </c>
      <c r="B43" s="852"/>
    </row>
    <row r="44" spans="1:2" x14ac:dyDescent="0.25">
      <c r="A44" s="253" t="s">
        <v>232</v>
      </c>
      <c r="B44" s="258" t="s">
        <v>233</v>
      </c>
    </row>
    <row r="45" spans="1:2" x14ac:dyDescent="0.25">
      <c r="A45" s="253" t="s">
        <v>195</v>
      </c>
      <c r="B45" s="246" t="s">
        <v>234</v>
      </c>
    </row>
    <row r="46" spans="1:2" ht="30" x14ac:dyDescent="0.25">
      <c r="A46" s="253" t="s">
        <v>226</v>
      </c>
      <c r="B46" s="256" t="s">
        <v>235</v>
      </c>
    </row>
    <row r="47" spans="1:2" x14ac:dyDescent="0.25">
      <c r="A47" s="253" t="s">
        <v>227</v>
      </c>
      <c r="B47" s="246" t="s">
        <v>236</v>
      </c>
    </row>
    <row r="48" spans="1:2" ht="30" x14ac:dyDescent="0.25">
      <c r="A48" s="253" t="s">
        <v>228</v>
      </c>
      <c r="B48" s="256" t="s">
        <v>1609</v>
      </c>
    </row>
    <row r="49" spans="1:2" ht="30" x14ac:dyDescent="0.25">
      <c r="A49" s="255" t="s">
        <v>229</v>
      </c>
      <c r="B49" s="257" t="s">
        <v>237</v>
      </c>
    </row>
    <row r="50" spans="1:2" ht="30" x14ac:dyDescent="0.25">
      <c r="A50" s="255" t="s">
        <v>196</v>
      </c>
      <c r="B50" s="254" t="s">
        <v>238</v>
      </c>
    </row>
    <row r="51" spans="1:2" x14ac:dyDescent="0.25">
      <c r="A51" s="253" t="s">
        <v>197</v>
      </c>
      <c r="B51" s="246" t="s">
        <v>252</v>
      </c>
    </row>
    <row r="52" spans="1:2" ht="30" x14ac:dyDescent="0.25">
      <c r="A52" s="255" t="s">
        <v>230</v>
      </c>
      <c r="B52" s="254" t="s">
        <v>239</v>
      </c>
    </row>
    <row r="53" spans="1:2" ht="45" x14ac:dyDescent="0.25">
      <c r="A53" s="253" t="s">
        <v>198</v>
      </c>
      <c r="B53" s="257" t="s">
        <v>240</v>
      </c>
    </row>
    <row r="54" spans="1:2" ht="30" x14ac:dyDescent="0.25">
      <c r="A54" s="253" t="s">
        <v>231</v>
      </c>
      <c r="B54" s="256" t="s">
        <v>241</v>
      </c>
    </row>
    <row r="55" spans="1:2" ht="30" x14ac:dyDescent="0.25">
      <c r="A55" s="253" t="s">
        <v>199</v>
      </c>
      <c r="B55" s="257" t="s">
        <v>242</v>
      </c>
    </row>
    <row r="56" spans="1:2" ht="45" x14ac:dyDescent="0.25">
      <c r="A56" s="253" t="s">
        <v>200</v>
      </c>
      <c r="B56" s="256" t="s">
        <v>1628</v>
      </c>
    </row>
    <row r="57" spans="1:2" x14ac:dyDescent="0.25">
      <c r="A57" s="849" t="s">
        <v>991</v>
      </c>
      <c r="B57" s="850"/>
    </row>
    <row r="58" spans="1:2" x14ac:dyDescent="0.25">
      <c r="A58" s="440" t="s">
        <v>1668</v>
      </c>
      <c r="B58" s="441" t="s">
        <v>1669</v>
      </c>
    </row>
    <row r="59" spans="1:2" ht="30" x14ac:dyDescent="0.25">
      <c r="A59" s="454" t="s">
        <v>1674</v>
      </c>
      <c r="B59" s="453" t="s">
        <v>1678</v>
      </c>
    </row>
    <row r="60" spans="1:2" x14ac:dyDescent="0.25">
      <c r="A60" s="451" t="s">
        <v>1675</v>
      </c>
      <c r="B60" s="452" t="s">
        <v>1679</v>
      </c>
    </row>
    <row r="61" spans="1:2" x14ac:dyDescent="0.25">
      <c r="A61" s="253" t="s">
        <v>982</v>
      </c>
      <c r="B61" s="246" t="s">
        <v>1629</v>
      </c>
    </row>
    <row r="62" spans="1:2" x14ac:dyDescent="0.25">
      <c r="A62" s="253" t="s">
        <v>984</v>
      </c>
      <c r="B62" s="246" t="s">
        <v>985</v>
      </c>
    </row>
    <row r="63" spans="1:2" x14ac:dyDescent="0.25">
      <c r="A63" s="253" t="s">
        <v>986</v>
      </c>
      <c r="B63" s="246" t="s">
        <v>987</v>
      </c>
    </row>
    <row r="64" spans="1:2" x14ac:dyDescent="0.25">
      <c r="A64" s="253" t="s">
        <v>988</v>
      </c>
      <c r="B64" s="246" t="s">
        <v>1658</v>
      </c>
    </row>
    <row r="65" spans="1:2" x14ac:dyDescent="0.25">
      <c r="A65" s="253" t="s">
        <v>989</v>
      </c>
      <c r="B65" s="246" t="s">
        <v>990</v>
      </c>
    </row>
    <row r="66" spans="1:2" x14ac:dyDescent="0.25">
      <c r="A66" s="253" t="s">
        <v>940</v>
      </c>
      <c r="B66" s="246" t="s">
        <v>1665</v>
      </c>
    </row>
    <row r="67" spans="1:2" ht="30" x14ac:dyDescent="0.25">
      <c r="A67" s="255" t="s">
        <v>1606</v>
      </c>
      <c r="B67" s="393" t="s">
        <v>1605</v>
      </c>
    </row>
    <row r="68" spans="1:2" ht="15.75" thickBot="1" x14ac:dyDescent="0.3">
      <c r="A68" s="394" t="s">
        <v>1626</v>
      </c>
      <c r="B68" s="395" t="s">
        <v>1627</v>
      </c>
    </row>
  </sheetData>
  <sheetProtection password="D8E9" sheet="1" objects="1" scenarios="1"/>
  <mergeCells count="4">
    <mergeCell ref="A13:B13"/>
    <mergeCell ref="A24:B24"/>
    <mergeCell ref="A43:B43"/>
    <mergeCell ref="A57:B57"/>
  </mergeCells>
  <pageMargins left="0.70866141732283472" right="0.70866141732283472" top="0.74803149606299213" bottom="0.74803149606299213" header="0.31496062992125984" footer="0.31496062992125984"/>
  <pageSetup paperSize="9" scale="51" fitToHeight="4"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7"/>
  <sheetViews>
    <sheetView workbookViewId="0">
      <selection activeCell="D25" sqref="D25"/>
    </sheetView>
  </sheetViews>
  <sheetFormatPr defaultRowHeight="15" x14ac:dyDescent="0.25"/>
  <cols>
    <col min="2" max="2" width="21.140625" bestFit="1" customWidth="1"/>
    <col min="3" max="3" width="16.28515625" bestFit="1" customWidth="1"/>
    <col min="4" max="4" width="21.85546875" bestFit="1" customWidth="1"/>
    <col min="5" max="5" width="66" bestFit="1" customWidth="1"/>
  </cols>
  <sheetData>
    <row r="1" spans="1:5" x14ac:dyDescent="0.25">
      <c r="A1" s="128" t="s">
        <v>31</v>
      </c>
      <c r="B1" s="128" t="s">
        <v>32</v>
      </c>
      <c r="C1" s="128" t="s">
        <v>33</v>
      </c>
      <c r="D1" s="128" t="s">
        <v>41</v>
      </c>
      <c r="E1" s="260" t="s">
        <v>260</v>
      </c>
    </row>
    <row r="2" spans="1:5" x14ac:dyDescent="0.25">
      <c r="A2" s="239" t="s">
        <v>34</v>
      </c>
      <c r="B2" s="239" t="s">
        <v>39</v>
      </c>
      <c r="C2" s="240">
        <v>42369</v>
      </c>
      <c r="D2" s="239" t="s">
        <v>43</v>
      </c>
      <c r="E2" s="5" t="s">
        <v>261</v>
      </c>
    </row>
    <row r="3" spans="1:5" x14ac:dyDescent="0.25">
      <c r="A3" s="239" t="s">
        <v>35</v>
      </c>
      <c r="B3" s="239" t="s">
        <v>39</v>
      </c>
      <c r="C3" s="240">
        <v>42369</v>
      </c>
      <c r="D3" s="239" t="s">
        <v>43</v>
      </c>
      <c r="E3" s="5" t="s">
        <v>261</v>
      </c>
    </row>
    <row r="4" spans="1:5" x14ac:dyDescent="0.25">
      <c r="A4" s="239" t="s">
        <v>36</v>
      </c>
      <c r="B4" s="239" t="s">
        <v>39</v>
      </c>
      <c r="C4" s="240">
        <v>42369</v>
      </c>
      <c r="D4" s="239" t="s">
        <v>43</v>
      </c>
      <c r="E4" s="5"/>
    </row>
    <row r="5" spans="1:5" x14ac:dyDescent="0.25">
      <c r="A5" s="239" t="s">
        <v>37</v>
      </c>
      <c r="B5" s="239" t="s">
        <v>39</v>
      </c>
      <c r="C5" s="240">
        <v>42369</v>
      </c>
      <c r="D5" s="239" t="s">
        <v>43</v>
      </c>
      <c r="E5" s="5"/>
    </row>
    <row r="6" spans="1:5" x14ac:dyDescent="0.25">
      <c r="A6" s="239" t="s">
        <v>38</v>
      </c>
      <c r="B6" s="239" t="s">
        <v>39</v>
      </c>
      <c r="C6" s="240">
        <v>42369</v>
      </c>
      <c r="D6" s="239" t="s">
        <v>43</v>
      </c>
      <c r="E6" s="5"/>
    </row>
    <row r="7" spans="1:5" ht="30" x14ac:dyDescent="0.25">
      <c r="A7" s="235" t="s">
        <v>99</v>
      </c>
      <c r="B7" s="235" t="s">
        <v>100</v>
      </c>
      <c r="C7" s="382" t="s">
        <v>1637</v>
      </c>
      <c r="D7" s="204" t="s">
        <v>1638</v>
      </c>
      <c r="E7" s="262"/>
    </row>
    <row r="8" spans="1:5" x14ac:dyDescent="0.25">
      <c r="A8" s="239" t="s">
        <v>202</v>
      </c>
      <c r="B8" s="239" t="s">
        <v>40</v>
      </c>
      <c r="C8" s="240" t="s">
        <v>42</v>
      </c>
      <c r="D8" s="5" t="s">
        <v>44</v>
      </c>
      <c r="E8" s="262" t="s">
        <v>264</v>
      </c>
    </row>
    <row r="9" spans="1:5" x14ac:dyDescent="0.25">
      <c r="A9" s="239" t="s">
        <v>203</v>
      </c>
      <c r="B9" s="239" t="s">
        <v>39</v>
      </c>
      <c r="C9" s="240">
        <v>42369</v>
      </c>
      <c r="D9" s="239" t="s">
        <v>43</v>
      </c>
      <c r="E9" s="262" t="s">
        <v>264</v>
      </c>
    </row>
    <row r="10" spans="1:5" x14ac:dyDescent="0.25">
      <c r="A10" s="239" t="s">
        <v>225</v>
      </c>
      <c r="B10" s="239" t="s">
        <v>39</v>
      </c>
      <c r="C10" s="240">
        <v>42369</v>
      </c>
      <c r="D10" s="239" t="s">
        <v>43</v>
      </c>
      <c r="E10" s="5"/>
    </row>
    <row r="11" spans="1:5" x14ac:dyDescent="0.25">
      <c r="A11" s="239" t="s">
        <v>283</v>
      </c>
      <c r="B11" s="239" t="s">
        <v>39</v>
      </c>
      <c r="C11" s="240">
        <v>42369</v>
      </c>
      <c r="D11" s="239" t="s">
        <v>43</v>
      </c>
      <c r="E11" s="5"/>
    </row>
    <row r="12" spans="1:5" x14ac:dyDescent="0.25">
      <c r="A12" s="239" t="s">
        <v>322</v>
      </c>
      <c r="B12" s="239" t="s">
        <v>39</v>
      </c>
      <c r="C12" s="240">
        <v>42369</v>
      </c>
      <c r="D12" s="239" t="s">
        <v>43</v>
      </c>
      <c r="E12" s="5"/>
    </row>
    <row r="13" spans="1:5" x14ac:dyDescent="0.25">
      <c r="A13" s="239" t="s">
        <v>323</v>
      </c>
      <c r="B13" s="239" t="s">
        <v>39</v>
      </c>
      <c r="C13" s="240">
        <v>42369</v>
      </c>
      <c r="D13" s="239" t="s">
        <v>43</v>
      </c>
      <c r="E13" s="5"/>
    </row>
    <row r="14" spans="1:5" x14ac:dyDescent="0.25">
      <c r="A14" s="239" t="s">
        <v>977</v>
      </c>
      <c r="B14" s="239" t="s">
        <v>39</v>
      </c>
      <c r="C14" s="240">
        <v>42307</v>
      </c>
      <c r="D14" s="285" t="s">
        <v>1682</v>
      </c>
      <c r="E14" s="5" t="s">
        <v>1681</v>
      </c>
    </row>
    <row r="15" spans="1:5" x14ac:dyDescent="0.25">
      <c r="A15" s="239" t="s">
        <v>978</v>
      </c>
      <c r="B15" s="239" t="s">
        <v>39</v>
      </c>
      <c r="C15" s="240">
        <v>42307</v>
      </c>
      <c r="D15" s="285" t="s">
        <v>1682</v>
      </c>
      <c r="E15" s="5" t="s">
        <v>1681</v>
      </c>
    </row>
    <row r="16" spans="1:5" x14ac:dyDescent="0.25">
      <c r="A16" s="239" t="s">
        <v>979</v>
      </c>
      <c r="B16" s="239" t="s">
        <v>39</v>
      </c>
      <c r="C16" s="240">
        <v>42307</v>
      </c>
      <c r="D16" s="285" t="s">
        <v>1682</v>
      </c>
      <c r="E16" s="5" t="s">
        <v>1681</v>
      </c>
    </row>
    <row r="17" spans="1:5" x14ac:dyDescent="0.25">
      <c r="A17" s="239" t="s">
        <v>7468</v>
      </c>
      <c r="B17" s="239" t="s">
        <v>39</v>
      </c>
      <c r="C17" s="240">
        <v>42369</v>
      </c>
      <c r="D17" s="239" t="s">
        <v>43</v>
      </c>
      <c r="E17" s="5"/>
    </row>
  </sheetData>
  <sheetProtection password="D8E9"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23</vt:i4>
      </vt:variant>
      <vt:variant>
        <vt:lpstr>Именованные диапазоны</vt:lpstr>
      </vt:variant>
      <vt:variant>
        <vt:i4>2</vt:i4>
      </vt:variant>
    </vt:vector>
  </HeadingPairs>
  <TitlesOfParts>
    <vt:vector size="25" baseType="lpstr">
      <vt:lpstr>Порядок заполнения</vt:lpstr>
      <vt:lpstr>1-к</vt:lpstr>
      <vt:lpstr>2-к</vt:lpstr>
      <vt:lpstr>3-к</vt:lpstr>
      <vt:lpstr>4-к</vt:lpstr>
      <vt:lpstr>5-к</vt:lpstr>
      <vt:lpstr>6-к</vt:lpstr>
      <vt:lpstr>7-к</vt:lpstr>
      <vt:lpstr>8-к</vt:lpstr>
      <vt:lpstr>9-к</vt:lpstr>
      <vt:lpstr>10-к</vt:lpstr>
      <vt:lpstr>11-к</vt:lpstr>
      <vt:lpstr>12-к</vt:lpstr>
      <vt:lpstr>13-к (для ВУЗов)</vt:lpstr>
      <vt:lpstr>13-1-к (для ССУЗов)</vt:lpstr>
      <vt:lpstr>14-к</vt:lpstr>
      <vt:lpstr>15-к</vt:lpstr>
      <vt:lpstr>16-к</vt:lpstr>
      <vt:lpstr>УЗиНП</vt:lpstr>
      <vt:lpstr>Перечни</vt:lpstr>
      <vt:lpstr>Перекладка НПиС</vt:lpstr>
      <vt:lpstr>Глоссарий</vt:lpstr>
      <vt:lpstr>Сроки представления</vt:lpstr>
      <vt:lpstr>'13-1-к (для ССУЗов)'!TblEntry</vt:lpstr>
      <vt:lpstr>'13-к (для ВУЗов)'!TblEntry</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Степанов Евгений Борисович</dc:creator>
  <cp:lastModifiedBy>Sanderz</cp:lastModifiedBy>
  <cp:lastPrinted>2015-12-01T07:12:47Z</cp:lastPrinted>
  <dcterms:created xsi:type="dcterms:W3CDTF">2015-06-05T11:48:22Z</dcterms:created>
  <dcterms:modified xsi:type="dcterms:W3CDTF">2019-01-18T09:51:02Z</dcterms:modified>
</cp:coreProperties>
</file>