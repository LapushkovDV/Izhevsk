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dep968-gal-share\ERPDB\GAL\exe\XLS_ЭМ\Staff\"/>
    </mc:Choice>
  </mc:AlternateContent>
  <bookViews>
    <workbookView xWindow="945" yWindow="0" windowWidth="28800" windowHeight="12300" tabRatio="586"/>
  </bookViews>
  <sheets>
    <sheet name="Запрос" sheetId="8" r:id="rId1"/>
    <sheet name="итог " sheetId="2" state="hidden" r:id="rId2"/>
    <sheet name="ПРИЛОЖЕНИЕ" sheetId="3" state="hidden" r:id="rId3"/>
    <sheet name="Приложение №2" sheetId="4" state="hidden" r:id="rId4"/>
    <sheet name="Лист1" sheetId="5" state="hidden" r:id="rId5"/>
  </sheets>
  <definedNames>
    <definedName name="_xlnm._FilterDatabase" localSheetId="0" hidden="1">Запрос!$A$7:$AL$7</definedName>
    <definedName name="_xlnm._FilterDatabase" localSheetId="1" hidden="1">'итог '!$A$3:$AM$55</definedName>
    <definedName name="Z_00BFEA53_DE9B_4168_86F9_051EA2F14C76_.wvu.Cols" localSheetId="1" hidden="1">'итог '!$B:$B,'итог '!$E:$G,'итог '!#REF!</definedName>
    <definedName name="Z_00BFEA53_DE9B_4168_86F9_051EA2F14C76_.wvu.FilterData" localSheetId="0" hidden="1">Запрос!#REF!</definedName>
    <definedName name="Z_00BFEA53_DE9B_4168_86F9_051EA2F14C76_.wvu.FilterData" localSheetId="1" hidden="1">'итог '!$A$3:$AM$55</definedName>
    <definedName name="Z_00BFEA53_DE9B_4168_86F9_051EA2F14C76_.wvu.PrintArea" localSheetId="2" hidden="1">ПРИЛОЖЕНИЕ!$A$34:$I$45</definedName>
    <definedName name="Z_00BFEA53_DE9B_4168_86F9_051EA2F14C76_.wvu.PrintArea" localSheetId="3" hidden="1">'Приложение №2'!$A$1:$F$37</definedName>
    <definedName name="Z_00BFEA53_DE9B_4168_86F9_051EA2F14C76_.wvu.PrintTitles" localSheetId="3" hidden="1">'Приложение №2'!$5:$6</definedName>
    <definedName name="Z_00BFEA53_DE9B_4168_86F9_051EA2F14C76_.wvu.Rows" localSheetId="0" hidden="1">Запрос!#REF!</definedName>
    <definedName name="Z_00BFEA53_DE9B_4168_86F9_051EA2F14C76_.wvu.Rows" localSheetId="3" hidden="1">'Приложение №2'!$21:$32</definedName>
    <definedName name="Z_A85C9AEB_D1CC_4007_B352_4A6F96D3EAB7_.wvu.Cols" localSheetId="1" hidden="1">'итог '!$B:$B,'итог '!$E:$G,'итог '!#REF!</definedName>
    <definedName name="Z_A85C9AEB_D1CC_4007_B352_4A6F96D3EAB7_.wvu.FilterData" localSheetId="0" hidden="1">Запрос!#REF!</definedName>
    <definedName name="Z_A85C9AEB_D1CC_4007_B352_4A6F96D3EAB7_.wvu.FilterData" localSheetId="1" hidden="1">'итог '!$A$3:$AM$55</definedName>
    <definedName name="Z_A85C9AEB_D1CC_4007_B352_4A6F96D3EAB7_.wvu.PrintArea" localSheetId="2" hidden="1">ПРИЛОЖЕНИЕ!$A$34:$I$45</definedName>
    <definedName name="Z_A85C9AEB_D1CC_4007_B352_4A6F96D3EAB7_.wvu.PrintArea" localSheetId="3" hidden="1">'Приложение №2'!$A$1:$F$37</definedName>
    <definedName name="Z_A85C9AEB_D1CC_4007_B352_4A6F96D3EAB7_.wvu.PrintTitles" localSheetId="3" hidden="1">'Приложение №2'!$5:$6</definedName>
    <definedName name="Z_A85C9AEB_D1CC_4007_B352_4A6F96D3EAB7_.wvu.Rows" localSheetId="0" hidden="1">Запрос!#REF!</definedName>
    <definedName name="Z_A85C9AEB_D1CC_4007_B352_4A6F96D3EAB7_.wvu.Rows" localSheetId="3" hidden="1">'Приложение №2'!$21:$32</definedName>
    <definedName name="Z_E2D89713_329E_4646_96A4_DF85EB814D99_.wvu.Cols" localSheetId="1" hidden="1">'итог '!$B:$B,'итог '!$E:$G,'итог '!#REF!</definedName>
    <definedName name="Z_E2D89713_329E_4646_96A4_DF85EB814D99_.wvu.FilterData" localSheetId="0" hidden="1">Запрос!#REF!</definedName>
    <definedName name="Z_E2D89713_329E_4646_96A4_DF85EB814D99_.wvu.FilterData" localSheetId="1" hidden="1">'итог '!$A$3:$AM$55</definedName>
    <definedName name="Z_E2D89713_329E_4646_96A4_DF85EB814D99_.wvu.PrintArea" localSheetId="2" hidden="1">ПРИЛОЖЕНИЕ!$A$34:$I$45</definedName>
    <definedName name="Z_E2D89713_329E_4646_96A4_DF85EB814D99_.wvu.PrintArea" localSheetId="3" hidden="1">'Приложение №2'!$A$1:$F$37</definedName>
    <definedName name="Z_E2D89713_329E_4646_96A4_DF85EB814D99_.wvu.PrintTitles" localSheetId="3" hidden="1">'Приложение №2'!$5:$6</definedName>
    <definedName name="Z_E2D89713_329E_4646_96A4_DF85EB814D99_.wvu.Rows" localSheetId="0" hidden="1">Запрос!#REF!</definedName>
    <definedName name="Z_E2D89713_329E_4646_96A4_DF85EB814D99_.wvu.Rows" localSheetId="3" hidden="1">'Приложение №2'!$21:$32</definedName>
    <definedName name="_xlnm.Print_Titles" localSheetId="0">Запрос!$3:$6</definedName>
    <definedName name="_xlnm.Print_Titles" localSheetId="3">'Приложение №2'!$5:$6</definedName>
    <definedName name="_xlnm.Print_Area" localSheetId="1">'итог '!$A$1:$D$55</definedName>
    <definedName name="_xlnm.Print_Area" localSheetId="4">Лист1!#REF!</definedName>
    <definedName name="_xlnm.Print_Area" localSheetId="2">ПРИЛОЖЕНИЕ!$A$24:$I$32</definedName>
    <definedName name="_xlnm.Print_Area" localSheetId="3">'Приложение №2'!$A$1:$F$36</definedName>
  </definedNames>
  <calcPr calcId="152511"/>
  <customWorkbookViews>
    <customWorkbookView name="16ц-31" guid="{E2D89713-329E-4646-96A4-DF85EB814D99}" maximized="1" windowWidth="1814" windowHeight="860" tabRatio="586" activeSheetId="3"/>
    <customWorkbookView name="20ц" guid="{00BFEA53-DE9B-4168-86F9-051EA2F14C76}" maximized="1" windowWidth="1814" windowHeight="860" tabRatio="586" activeSheetId="3"/>
    <customWorkbookView name="6ц-37" guid="{A85C9AEB-D1CC-4007-B352-4A6F96D3EAB7}" maximized="1" windowWidth="1814" windowHeight="860" tabRatio="586" activeSheetId="3"/>
  </customWorkbookViews>
</workbook>
</file>

<file path=xl/calcChain.xml><?xml version="1.0" encoding="utf-8"?>
<calcChain xmlns="http://schemas.openxmlformats.org/spreadsheetml/2006/main">
  <c r="G30" i="3" l="1"/>
  <c r="R19" i="2"/>
  <c r="D30" i="3" l="1"/>
  <c r="F30" i="3"/>
  <c r="Q19" i="2"/>
  <c r="W19" i="2" l="1"/>
  <c r="D187" i="3" l="1"/>
  <c r="C187" i="3"/>
  <c r="P55" i="2" l="1"/>
  <c r="O55" i="2"/>
  <c r="N55" i="2"/>
  <c r="S54" i="2" l="1"/>
  <c r="A576" i="3"/>
  <c r="M54" i="2"/>
  <c r="K55" i="2"/>
  <c r="Z54" i="2"/>
  <c r="W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V54" i="2" s="1"/>
  <c r="Y54" i="2" l="1"/>
  <c r="W37" i="2"/>
  <c r="E533" i="3" l="1"/>
  <c r="H478" i="3"/>
  <c r="E478" i="3"/>
  <c r="H467" i="3"/>
  <c r="E467" i="3"/>
  <c r="H456" i="3"/>
  <c r="E456" i="3"/>
  <c r="H445" i="3"/>
  <c r="E445" i="3"/>
  <c r="H357" i="3" l="1"/>
  <c r="E357" i="3"/>
  <c r="H53" i="3" l="1"/>
  <c r="E53" i="3"/>
  <c r="H41" i="3"/>
  <c r="E41" i="3" l="1"/>
  <c r="H302" i="3"/>
  <c r="E302" i="3"/>
  <c r="H247" i="3"/>
  <c r="E247" i="3"/>
  <c r="H225" i="3"/>
  <c r="E225" i="3"/>
  <c r="H214" i="3" l="1"/>
  <c r="E214" i="3"/>
  <c r="E203" i="3"/>
  <c r="H203" i="3"/>
  <c r="G8" i="3"/>
  <c r="D7" i="3"/>
  <c r="C7" i="3"/>
  <c r="H88" i="3"/>
  <c r="R27" i="2"/>
  <c r="R26" i="2"/>
  <c r="E54" i="2" l="1"/>
  <c r="J54" i="2" s="1"/>
  <c r="T54" i="2" l="1"/>
  <c r="U54" i="2"/>
  <c r="R43" i="2"/>
  <c r="R45" i="2"/>
  <c r="R15" i="2"/>
  <c r="R11" i="2"/>
  <c r="R9" i="2"/>
  <c r="R5" i="2"/>
  <c r="R4" i="2"/>
  <c r="R14" i="2"/>
  <c r="Q32" i="2" l="1"/>
  <c r="Q14" i="2"/>
  <c r="Q27" i="2"/>
  <c r="Q26" i="2"/>
  <c r="I587" i="3" l="1"/>
  <c r="H587" i="3"/>
  <c r="G587" i="3"/>
  <c r="F587" i="3"/>
  <c r="E587" i="3"/>
  <c r="D587" i="3"/>
  <c r="C587" i="3"/>
  <c r="B587" i="3"/>
  <c r="A587" i="3"/>
  <c r="I576" i="3"/>
  <c r="H576" i="3"/>
  <c r="G576" i="3"/>
  <c r="F576" i="3"/>
  <c r="E576" i="3"/>
  <c r="D576" i="3"/>
  <c r="C576" i="3"/>
  <c r="B576" i="3"/>
  <c r="I565" i="3"/>
  <c r="H565" i="3"/>
  <c r="G565" i="3"/>
  <c r="F565" i="3"/>
  <c r="E565" i="3"/>
  <c r="D565" i="3"/>
  <c r="C565" i="3"/>
  <c r="B565" i="3"/>
  <c r="A565" i="3"/>
  <c r="D554" i="3"/>
  <c r="C554" i="3"/>
  <c r="D543" i="3"/>
  <c r="C543" i="3"/>
  <c r="E532" i="3"/>
  <c r="D532" i="3"/>
  <c r="D521" i="3"/>
  <c r="C521" i="3"/>
  <c r="D510" i="3"/>
  <c r="C510" i="3"/>
  <c r="D499" i="3"/>
  <c r="C499" i="3"/>
  <c r="D488" i="3"/>
  <c r="C488" i="3"/>
  <c r="E477" i="3"/>
  <c r="D477" i="3"/>
  <c r="E466" i="3"/>
  <c r="D466" i="3"/>
  <c r="E455" i="3"/>
  <c r="D455" i="3"/>
  <c r="E444" i="3"/>
  <c r="D444" i="3"/>
  <c r="D433" i="3"/>
  <c r="C433" i="3"/>
  <c r="D422" i="3"/>
  <c r="C422" i="3"/>
  <c r="D411" i="3"/>
  <c r="C411" i="3"/>
  <c r="D400" i="3"/>
  <c r="C400" i="3"/>
  <c r="D389" i="3"/>
  <c r="C389" i="3"/>
  <c r="D378" i="3"/>
  <c r="C378" i="3"/>
  <c r="D367" i="3"/>
  <c r="C367" i="3"/>
  <c r="E356" i="3"/>
  <c r="D356" i="3"/>
  <c r="E345" i="3"/>
  <c r="D345" i="3"/>
  <c r="D334" i="3"/>
  <c r="C334" i="3"/>
  <c r="D323" i="3"/>
  <c r="C323" i="3"/>
  <c r="D312" i="3"/>
  <c r="C312" i="3"/>
  <c r="E301" i="3"/>
  <c r="D301" i="3"/>
  <c r="D29" i="3"/>
  <c r="D40" i="3"/>
  <c r="E40" i="3"/>
  <c r="E52" i="3"/>
  <c r="C65" i="3"/>
  <c r="D65" i="3"/>
  <c r="C76" i="3"/>
  <c r="D76" i="3"/>
  <c r="D87" i="3"/>
  <c r="E87" i="3"/>
  <c r="C98" i="3"/>
  <c r="D98" i="3"/>
  <c r="C109" i="3"/>
  <c r="D109" i="3"/>
  <c r="C120" i="3"/>
  <c r="D120" i="3"/>
  <c r="C131" i="3"/>
  <c r="D131" i="3"/>
  <c r="C142" i="3"/>
  <c r="D142" i="3"/>
  <c r="C153" i="3"/>
  <c r="D153" i="3"/>
  <c r="C164" i="3"/>
  <c r="D164" i="3"/>
  <c r="C175" i="3"/>
  <c r="D175" i="3"/>
  <c r="D202" i="3"/>
  <c r="E202" i="3"/>
  <c r="D213" i="3"/>
  <c r="E213" i="3"/>
  <c r="D224" i="3"/>
  <c r="E224" i="3"/>
  <c r="D235" i="3"/>
  <c r="D246" i="3"/>
  <c r="E246" i="3"/>
  <c r="C257" i="3"/>
  <c r="D257" i="3"/>
  <c r="C268" i="3"/>
  <c r="D268" i="3"/>
  <c r="C279" i="3"/>
  <c r="D279" i="3"/>
  <c r="C290" i="3"/>
  <c r="D290" i="3"/>
  <c r="S55" i="2"/>
  <c r="AA55" i="2"/>
  <c r="C18" i="3"/>
  <c r="D18" i="3"/>
  <c r="Q48" i="2"/>
  <c r="D52" i="3"/>
  <c r="C29" i="3" l="1"/>
  <c r="C235" i="3"/>
  <c r="Q55" i="2"/>
  <c r="E19" i="2"/>
  <c r="W6" i="2"/>
  <c r="G7" i="3" s="1"/>
  <c r="X6" i="2"/>
  <c r="H7" i="3" s="1"/>
  <c r="H8" i="3" s="1"/>
  <c r="I8" i="3" s="1"/>
  <c r="G98" i="3"/>
  <c r="X7" i="2"/>
  <c r="Y7" i="2" s="1"/>
  <c r="I98" i="3" s="1"/>
  <c r="I92" i="3" s="1"/>
  <c r="W8" i="2"/>
  <c r="X8" i="2"/>
  <c r="W9" i="2"/>
  <c r="X9" i="2"/>
  <c r="W10" i="2"/>
  <c r="X10" i="2"/>
  <c r="W11" i="2"/>
  <c r="X11" i="2"/>
  <c r="W12" i="2"/>
  <c r="X12" i="2"/>
  <c r="W13" i="2"/>
  <c r="X13" i="2"/>
  <c r="W14" i="2"/>
  <c r="X14" i="2"/>
  <c r="W15" i="2"/>
  <c r="G187" i="3" s="1"/>
  <c r="X15" i="2"/>
  <c r="H187" i="3" s="1"/>
  <c r="W16" i="2"/>
  <c r="X16" i="2"/>
  <c r="W17" i="2"/>
  <c r="X17" i="2"/>
  <c r="H224" i="3"/>
  <c r="X18" i="2"/>
  <c r="Y18" i="2" s="1"/>
  <c r="J224" i="3" s="1"/>
  <c r="X19" i="2"/>
  <c r="H246" i="3"/>
  <c r="X20" i="2"/>
  <c r="Y20" i="2" s="1"/>
  <c r="J246" i="3" s="1"/>
  <c r="J240" i="3" s="1"/>
  <c r="W21" i="2"/>
  <c r="X21" i="2"/>
  <c r="W22" i="2"/>
  <c r="X22" i="2"/>
  <c r="W23" i="2"/>
  <c r="X23" i="2"/>
  <c r="Z23" i="2" s="1"/>
  <c r="W24" i="2"/>
  <c r="X24" i="2"/>
  <c r="W25" i="2"/>
  <c r="X25" i="2"/>
  <c r="W26" i="2"/>
  <c r="X26" i="2"/>
  <c r="W27" i="2"/>
  <c r="X27" i="2"/>
  <c r="W28" i="2"/>
  <c r="X28" i="2"/>
  <c r="W29" i="2"/>
  <c r="X29" i="2"/>
  <c r="W30" i="2"/>
  <c r="X30" i="2"/>
  <c r="W31" i="2"/>
  <c r="X31" i="2"/>
  <c r="W32" i="2"/>
  <c r="X32" i="2"/>
  <c r="W33" i="2"/>
  <c r="X33" i="2"/>
  <c r="W34" i="2"/>
  <c r="X34" i="2"/>
  <c r="W35" i="2"/>
  <c r="X35" i="2"/>
  <c r="W36" i="2"/>
  <c r="X36" i="2"/>
  <c r="X37" i="2"/>
  <c r="W38" i="2"/>
  <c r="X38" i="2"/>
  <c r="W39" i="2"/>
  <c r="X39" i="2"/>
  <c r="W40" i="2"/>
  <c r="X40" i="2"/>
  <c r="W41" i="2"/>
  <c r="X41" i="2"/>
  <c r="W42" i="2"/>
  <c r="X42" i="2"/>
  <c r="W43" i="2"/>
  <c r="X43" i="2"/>
  <c r="W44" i="2"/>
  <c r="X44" i="2"/>
  <c r="W45" i="2"/>
  <c r="X45" i="2"/>
  <c r="W46" i="2"/>
  <c r="X46" i="2"/>
  <c r="W53" i="2"/>
  <c r="X53" i="2"/>
  <c r="Z53" i="2" s="1"/>
  <c r="W47" i="2"/>
  <c r="G521" i="3" s="1"/>
  <c r="X47" i="2"/>
  <c r="W48" i="2"/>
  <c r="X48" i="2"/>
  <c r="W49" i="2"/>
  <c r="G543" i="3" s="1"/>
  <c r="X49" i="2"/>
  <c r="W52" i="2"/>
  <c r="G554" i="3" s="1"/>
  <c r="X52" i="2"/>
  <c r="W50" i="2"/>
  <c r="H532" i="3" s="1"/>
  <c r="X50" i="2"/>
  <c r="W51" i="2"/>
  <c r="X51" i="2"/>
  <c r="W4" i="2"/>
  <c r="X4" i="2"/>
  <c r="Z4" i="2" s="1"/>
  <c r="Y50" i="2" l="1"/>
  <c r="J532" i="3" s="1"/>
  <c r="J526" i="3" s="1"/>
  <c r="Y47" i="2"/>
  <c r="I521" i="3" s="1"/>
  <c r="I515" i="3" s="1"/>
  <c r="Y4" i="2"/>
  <c r="Y19" i="2"/>
  <c r="I235" i="3" s="1"/>
  <c r="I229" i="3" s="1"/>
  <c r="Y15" i="2"/>
  <c r="I187" i="3" s="1"/>
  <c r="I181" i="3" s="1"/>
  <c r="Y23" i="2"/>
  <c r="E5" i="2"/>
  <c r="J5" i="2" s="1"/>
  <c r="E51" i="2"/>
  <c r="J51" i="2" s="1"/>
  <c r="E35" i="2"/>
  <c r="L35" i="2" s="1"/>
  <c r="Z52" i="2"/>
  <c r="Y52" i="2"/>
  <c r="I554" i="3" s="1"/>
  <c r="H554" i="3"/>
  <c r="Z48" i="2"/>
  <c r="Y48" i="2"/>
  <c r="G499" i="3"/>
  <c r="Y45" i="2"/>
  <c r="I499" i="3" s="1"/>
  <c r="I493" i="3" s="1"/>
  <c r="H466" i="3"/>
  <c r="Y41" i="2"/>
  <c r="J466" i="3" s="1"/>
  <c r="I460" i="3" s="1"/>
  <c r="G422" i="3"/>
  <c r="Y37" i="2"/>
  <c r="I422" i="3" s="1"/>
  <c r="I416" i="3" s="1"/>
  <c r="G378" i="3"/>
  <c r="Y33" i="2"/>
  <c r="I378" i="3" s="1"/>
  <c r="I372" i="3" s="1"/>
  <c r="G334" i="3"/>
  <c r="Y29" i="2"/>
  <c r="I334" i="3" s="1"/>
  <c r="I328" i="3" s="1"/>
  <c r="G312" i="3"/>
  <c r="Y25" i="2"/>
  <c r="I312" i="3" s="1"/>
  <c r="I306" i="3" s="1"/>
  <c r="G268" i="3"/>
  <c r="Y22" i="2"/>
  <c r="I268" i="3" s="1"/>
  <c r="I262" i="3" s="1"/>
  <c r="G153" i="3"/>
  <c r="Y12" i="2"/>
  <c r="I153" i="3" s="1"/>
  <c r="I147" i="3" s="1"/>
  <c r="G109" i="3"/>
  <c r="Y8" i="2"/>
  <c r="I109" i="3" s="1"/>
  <c r="I103" i="3" s="1"/>
  <c r="Y53" i="2"/>
  <c r="G510" i="3"/>
  <c r="Y46" i="2"/>
  <c r="I510" i="3" s="1"/>
  <c r="I504" i="3" s="1"/>
  <c r="H477" i="3"/>
  <c r="Y42" i="2"/>
  <c r="J477" i="3" s="1"/>
  <c r="J471" i="3" s="1"/>
  <c r="G433" i="3"/>
  <c r="Y38" i="2"/>
  <c r="I433" i="3" s="1"/>
  <c r="I427" i="3" s="1"/>
  <c r="G411" i="3"/>
  <c r="Y34" i="2"/>
  <c r="I411" i="3" s="1"/>
  <c r="I405" i="3" s="1"/>
  <c r="H345" i="3"/>
  <c r="Y30" i="2"/>
  <c r="J345" i="3" s="1"/>
  <c r="I339" i="3" s="1"/>
  <c r="H40" i="3"/>
  <c r="Y26" i="2"/>
  <c r="J40" i="3" s="1"/>
  <c r="J34" i="3" s="1"/>
  <c r="H202" i="3"/>
  <c r="Y16" i="2"/>
  <c r="J202" i="3" s="1"/>
  <c r="I196" i="3" s="1"/>
  <c r="G164" i="3"/>
  <c r="Y13" i="2"/>
  <c r="I164" i="3" s="1"/>
  <c r="I158" i="3" s="1"/>
  <c r="G120" i="3"/>
  <c r="Y9" i="2"/>
  <c r="I120" i="3" s="1"/>
  <c r="I114" i="3" s="1"/>
  <c r="Z49" i="2"/>
  <c r="Y49" i="2"/>
  <c r="I543" i="3" s="1"/>
  <c r="I537" i="3" s="1"/>
  <c r="H543" i="3"/>
  <c r="G488" i="3"/>
  <c r="Y43" i="2"/>
  <c r="I488" i="3" s="1"/>
  <c r="I482" i="3" s="1"/>
  <c r="H444" i="3"/>
  <c r="Y39" i="2"/>
  <c r="J444" i="3" s="1"/>
  <c r="I438" i="3" s="1"/>
  <c r="G400" i="3"/>
  <c r="Y35" i="2"/>
  <c r="I400" i="3" s="1"/>
  <c r="I394" i="3" s="1"/>
  <c r="H356" i="3"/>
  <c r="Y31" i="2"/>
  <c r="J356" i="3" s="1"/>
  <c r="H52" i="3"/>
  <c r="Y27" i="2"/>
  <c r="J52" i="3" s="1"/>
  <c r="H213" i="3"/>
  <c r="Y17" i="2"/>
  <c r="J213" i="3" s="1"/>
  <c r="I207" i="3" s="1"/>
  <c r="G175" i="3"/>
  <c r="Y14" i="2"/>
  <c r="I175" i="3" s="1"/>
  <c r="I169" i="3" s="1"/>
  <c r="G131" i="3"/>
  <c r="Y10" i="2"/>
  <c r="I131" i="3" s="1"/>
  <c r="I125" i="3" s="1"/>
  <c r="H87" i="3"/>
  <c r="Y6" i="2"/>
  <c r="Z51" i="2"/>
  <c r="Y51" i="2"/>
  <c r="G18" i="3"/>
  <c r="Y44" i="2"/>
  <c r="I18" i="3" s="1"/>
  <c r="I12" i="3" s="1"/>
  <c r="H455" i="3"/>
  <c r="Y40" i="2"/>
  <c r="J455" i="3" s="1"/>
  <c r="I449" i="3" s="1"/>
  <c r="G389" i="3"/>
  <c r="Y36" i="2"/>
  <c r="I389" i="3" s="1"/>
  <c r="I383" i="3" s="1"/>
  <c r="G367" i="3"/>
  <c r="Y32" i="2"/>
  <c r="I367" i="3" s="1"/>
  <c r="I361" i="3" s="1"/>
  <c r="G323" i="3"/>
  <c r="Y28" i="2"/>
  <c r="I323" i="3" s="1"/>
  <c r="I317" i="3" s="1"/>
  <c r="H301" i="3"/>
  <c r="Y24" i="2"/>
  <c r="J301" i="3" s="1"/>
  <c r="I295" i="3" s="1"/>
  <c r="G257" i="3"/>
  <c r="Y21" i="2"/>
  <c r="I257" i="3" s="1"/>
  <c r="I251" i="3" s="1"/>
  <c r="G142" i="3"/>
  <c r="Y11" i="2"/>
  <c r="I142" i="3" s="1"/>
  <c r="I136" i="3" s="1"/>
  <c r="E26" i="2"/>
  <c r="J26" i="2" s="1"/>
  <c r="E48" i="2"/>
  <c r="J48" i="2" s="1"/>
  <c r="E49" i="2"/>
  <c r="L49" i="2" s="1"/>
  <c r="Z19" i="2"/>
  <c r="E23" i="2"/>
  <c r="J23" i="2" s="1"/>
  <c r="E10" i="2"/>
  <c r="J10" i="2" s="1"/>
  <c r="E14" i="2"/>
  <c r="J14" i="2" s="1"/>
  <c r="E41" i="2"/>
  <c r="L41" i="2" s="1"/>
  <c r="E44" i="2"/>
  <c r="J44" i="2" s="1"/>
  <c r="E40" i="2"/>
  <c r="L40" i="2" s="1"/>
  <c r="E38" i="2"/>
  <c r="J38" i="2" s="1"/>
  <c r="E37" i="2"/>
  <c r="J37" i="2" s="1"/>
  <c r="E31" i="2"/>
  <c r="L31" i="2" s="1"/>
  <c r="E29" i="2"/>
  <c r="L29" i="2" s="1"/>
  <c r="E27" i="2"/>
  <c r="J27" i="2" s="1"/>
  <c r="E52" i="2"/>
  <c r="J52" i="2" s="1"/>
  <c r="E22" i="2"/>
  <c r="J22" i="2" s="1"/>
  <c r="E15" i="2"/>
  <c r="J15" i="2" s="1"/>
  <c r="E12" i="2"/>
  <c r="J12" i="2" s="1"/>
  <c r="E45" i="2"/>
  <c r="J45" i="2" s="1"/>
  <c r="E18" i="2"/>
  <c r="L18" i="2" s="1"/>
  <c r="E17" i="2"/>
  <c r="J17" i="2" s="1"/>
  <c r="E39" i="2"/>
  <c r="J39" i="2" s="1"/>
  <c r="E47" i="2"/>
  <c r="J47" i="2" s="1"/>
  <c r="E24" i="2"/>
  <c r="L24" i="2" s="1"/>
  <c r="E16" i="2"/>
  <c r="L16" i="2" s="1"/>
  <c r="E21" i="2"/>
  <c r="L21" i="2" s="1"/>
  <c r="E4" i="2"/>
  <c r="L4" i="2" s="1"/>
  <c r="E42" i="2"/>
  <c r="L42" i="2" s="1"/>
  <c r="E46" i="2"/>
  <c r="L46" i="2" s="1"/>
  <c r="E50" i="2"/>
  <c r="J50" i="2" s="1"/>
  <c r="E20" i="2"/>
  <c r="J20" i="2" s="1"/>
  <c r="E43" i="2"/>
  <c r="J43" i="2" s="1"/>
  <c r="E36" i="2"/>
  <c r="J36" i="2" s="1"/>
  <c r="E34" i="2"/>
  <c r="J34" i="2" s="1"/>
  <c r="E33" i="2"/>
  <c r="L33" i="2" s="1"/>
  <c r="E32" i="2"/>
  <c r="J32" i="2" s="1"/>
  <c r="E8" i="2"/>
  <c r="L8" i="2" s="1"/>
  <c r="E30" i="2"/>
  <c r="J30" i="2" s="1"/>
  <c r="E53" i="2"/>
  <c r="J53" i="2" s="1"/>
  <c r="E7" i="2"/>
  <c r="L7" i="2" s="1"/>
  <c r="E25" i="2"/>
  <c r="J25" i="2" s="1"/>
  <c r="E28" i="2"/>
  <c r="J28" i="2" s="1"/>
  <c r="E6" i="2"/>
  <c r="J6" i="2" s="1"/>
  <c r="E13" i="2"/>
  <c r="J13" i="2" s="1"/>
  <c r="E11" i="2"/>
  <c r="L11" i="2" s="1"/>
  <c r="E9" i="2"/>
  <c r="L9" i="2" s="1"/>
  <c r="I455" i="3"/>
  <c r="I456" i="3" s="1"/>
  <c r="J456" i="3" s="1"/>
  <c r="Z40" i="2"/>
  <c r="I246" i="3"/>
  <c r="I247" i="3" s="1"/>
  <c r="J247" i="3" s="1"/>
  <c r="Z20" i="2"/>
  <c r="H499" i="3"/>
  <c r="Z45" i="2"/>
  <c r="I466" i="3"/>
  <c r="I467" i="3" s="1"/>
  <c r="J467" i="3" s="1"/>
  <c r="Z41" i="2"/>
  <c r="H422" i="3"/>
  <c r="Z37" i="2"/>
  <c r="H378" i="3"/>
  <c r="Z33" i="2"/>
  <c r="H334" i="3"/>
  <c r="Z29" i="2"/>
  <c r="H312" i="3"/>
  <c r="Z25" i="2"/>
  <c r="H257" i="3"/>
  <c r="Z21" i="2"/>
  <c r="I213" i="3"/>
  <c r="I214" i="3" s="1"/>
  <c r="J214" i="3" s="1"/>
  <c r="Z17" i="2"/>
  <c r="H164" i="3"/>
  <c r="Z13" i="2"/>
  <c r="H120" i="3"/>
  <c r="Z9" i="2"/>
  <c r="H510" i="3"/>
  <c r="Z46" i="2"/>
  <c r="I477" i="3"/>
  <c r="I478" i="3" s="1"/>
  <c r="J478" i="3" s="1"/>
  <c r="Z42" i="2"/>
  <c r="H433" i="3"/>
  <c r="Z38" i="2"/>
  <c r="H411" i="3"/>
  <c r="Z34" i="2"/>
  <c r="I345" i="3"/>
  <c r="Z30" i="2"/>
  <c r="I40" i="3"/>
  <c r="I41" i="3" s="1"/>
  <c r="J41" i="3" s="1"/>
  <c r="Z26" i="2"/>
  <c r="H268" i="3"/>
  <c r="Z22" i="2"/>
  <c r="I224" i="3"/>
  <c r="I225" i="3" s="1"/>
  <c r="J225" i="3" s="1"/>
  <c r="Z18" i="2"/>
  <c r="H175" i="3"/>
  <c r="Z14" i="2"/>
  <c r="H131" i="3"/>
  <c r="Z10" i="2"/>
  <c r="I87" i="3"/>
  <c r="I88" i="3" s="1"/>
  <c r="J88" i="3" s="1"/>
  <c r="Z6" i="2"/>
  <c r="I532" i="3"/>
  <c r="I533" i="3" s="1"/>
  <c r="J533" i="3" s="1"/>
  <c r="Z50" i="2"/>
  <c r="H521" i="3"/>
  <c r="Z47" i="2"/>
  <c r="H18" i="3"/>
  <c r="Z44" i="2"/>
  <c r="H389" i="3"/>
  <c r="Z36" i="2"/>
  <c r="H367" i="3"/>
  <c r="Z32" i="2"/>
  <c r="H323" i="3"/>
  <c r="Z28" i="2"/>
  <c r="I301" i="3"/>
  <c r="I302" i="3" s="1"/>
  <c r="J302" i="3" s="1"/>
  <c r="Z24" i="2"/>
  <c r="I202" i="3"/>
  <c r="I203" i="3" s="1"/>
  <c r="J203" i="3" s="1"/>
  <c r="Z16" i="2"/>
  <c r="H153" i="3"/>
  <c r="Z12" i="2"/>
  <c r="H109" i="3"/>
  <c r="Z8" i="2"/>
  <c r="H488" i="3"/>
  <c r="Z43" i="2"/>
  <c r="I444" i="3"/>
  <c r="I445" i="3" s="1"/>
  <c r="J445" i="3" s="1"/>
  <c r="Z39" i="2"/>
  <c r="H400" i="3"/>
  <c r="Z35" i="2"/>
  <c r="I356" i="3"/>
  <c r="I357" i="3" s="1"/>
  <c r="J357" i="3" s="1"/>
  <c r="Z31" i="2"/>
  <c r="I52" i="3"/>
  <c r="I53" i="3" s="1"/>
  <c r="J53" i="3" s="1"/>
  <c r="Z27" i="2"/>
  <c r="Z15" i="2"/>
  <c r="H142" i="3"/>
  <c r="Z11" i="2"/>
  <c r="H98" i="3"/>
  <c r="Z7" i="2"/>
  <c r="G290" i="3"/>
  <c r="G279" i="3"/>
  <c r="G29" i="3"/>
  <c r="G235" i="3"/>
  <c r="I65" i="3"/>
  <c r="I59" i="3" s="1"/>
  <c r="H65" i="3"/>
  <c r="I290" i="3"/>
  <c r="I284" i="3" s="1"/>
  <c r="I279" i="3"/>
  <c r="I273" i="3" s="1"/>
  <c r="G65" i="3"/>
  <c r="H279" i="3"/>
  <c r="H290" i="3"/>
  <c r="H235" i="3"/>
  <c r="H29" i="3"/>
  <c r="H30" i="3" s="1"/>
  <c r="I30" i="3" s="1"/>
  <c r="J19" i="2"/>
  <c r="L19" i="2"/>
  <c r="W5" i="2"/>
  <c r="X5" i="2"/>
  <c r="AB5" i="2"/>
  <c r="AC5" i="2"/>
  <c r="AD5" i="2"/>
  <c r="AE5" i="2"/>
  <c r="AF5" i="2"/>
  <c r="AG5" i="2"/>
  <c r="AH5" i="2"/>
  <c r="V5" i="2" s="1"/>
  <c r="F76" i="3" s="1"/>
  <c r="AI5" i="2"/>
  <c r="AJ5" i="2"/>
  <c r="AK5" i="2"/>
  <c r="AL5" i="2"/>
  <c r="AM5" i="2"/>
  <c r="AB6" i="2"/>
  <c r="AC6" i="2"/>
  <c r="AD6" i="2"/>
  <c r="AE6" i="2"/>
  <c r="AF6" i="2"/>
  <c r="V6" i="2" s="1"/>
  <c r="AG6" i="2"/>
  <c r="AH6" i="2"/>
  <c r="AI6" i="2"/>
  <c r="AJ6" i="2"/>
  <c r="AK6" i="2"/>
  <c r="AL6" i="2"/>
  <c r="AM6" i="2"/>
  <c r="AB7" i="2"/>
  <c r="AC7" i="2"/>
  <c r="AD7" i="2"/>
  <c r="AE7" i="2"/>
  <c r="AF7" i="2"/>
  <c r="AG7" i="2"/>
  <c r="AH7" i="2"/>
  <c r="AI7" i="2"/>
  <c r="AJ7" i="2"/>
  <c r="AK7" i="2"/>
  <c r="V7" i="2" s="1"/>
  <c r="F98" i="3" s="1"/>
  <c r="AL7" i="2"/>
  <c r="AM7" i="2"/>
  <c r="AB8" i="2"/>
  <c r="AC8" i="2"/>
  <c r="AD8" i="2"/>
  <c r="AE8" i="2"/>
  <c r="AF8" i="2"/>
  <c r="AG8" i="2"/>
  <c r="AH8" i="2"/>
  <c r="AI8" i="2"/>
  <c r="AJ8" i="2"/>
  <c r="AK8" i="2"/>
  <c r="AL8" i="2"/>
  <c r="V8" i="2" s="1"/>
  <c r="F109" i="3" s="1"/>
  <c r="AM8" i="2"/>
  <c r="AB9" i="2"/>
  <c r="AC9" i="2"/>
  <c r="AD9" i="2"/>
  <c r="AE9" i="2"/>
  <c r="AF9" i="2"/>
  <c r="AG9" i="2"/>
  <c r="AH9" i="2"/>
  <c r="AI9" i="2"/>
  <c r="AJ9" i="2"/>
  <c r="V9" i="2" s="1"/>
  <c r="F120" i="3" s="1"/>
  <c r="AK9" i="2"/>
  <c r="AL9" i="2"/>
  <c r="AM9" i="2"/>
  <c r="AB10" i="2"/>
  <c r="AC10" i="2"/>
  <c r="AD10" i="2"/>
  <c r="AE10" i="2"/>
  <c r="AF10" i="2"/>
  <c r="AG10" i="2"/>
  <c r="AH10" i="2"/>
  <c r="AI10" i="2"/>
  <c r="AJ10" i="2"/>
  <c r="V10" i="2" s="1"/>
  <c r="F131" i="3" s="1"/>
  <c r="AK10" i="2"/>
  <c r="AL10" i="2"/>
  <c r="AM10" i="2"/>
  <c r="AB11" i="2"/>
  <c r="AC11" i="2"/>
  <c r="AD11" i="2"/>
  <c r="AE11" i="2"/>
  <c r="AF11" i="2"/>
  <c r="AG11" i="2"/>
  <c r="AH11" i="2"/>
  <c r="AI11" i="2"/>
  <c r="AJ11" i="2"/>
  <c r="AK11" i="2"/>
  <c r="V11" i="2" s="1"/>
  <c r="F142" i="3" s="1"/>
  <c r="AL11" i="2"/>
  <c r="AM11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V12" i="2" s="1"/>
  <c r="F153" i="3" s="1"/>
  <c r="AB13" i="2"/>
  <c r="AC13" i="2"/>
  <c r="AD13" i="2"/>
  <c r="AE13" i="2"/>
  <c r="AF13" i="2"/>
  <c r="AG13" i="2"/>
  <c r="AH13" i="2"/>
  <c r="AI13" i="2"/>
  <c r="AJ13" i="2"/>
  <c r="AK13" i="2"/>
  <c r="V13" i="2" s="1"/>
  <c r="F164" i="3" s="1"/>
  <c r="AL13" i="2"/>
  <c r="AM13" i="2"/>
  <c r="AB14" i="2"/>
  <c r="AC14" i="2"/>
  <c r="AD14" i="2"/>
  <c r="AE14" i="2"/>
  <c r="AF14" i="2"/>
  <c r="AG14" i="2"/>
  <c r="AH14" i="2"/>
  <c r="AI14" i="2"/>
  <c r="AJ14" i="2"/>
  <c r="V14" i="2" s="1"/>
  <c r="F175" i="3" s="1"/>
  <c r="AK14" i="2"/>
  <c r="AL14" i="2"/>
  <c r="AM14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V15" i="2" s="1"/>
  <c r="F187" i="3" s="1"/>
  <c r="AB16" i="2"/>
  <c r="AC16" i="2"/>
  <c r="AD16" i="2"/>
  <c r="AE16" i="2"/>
  <c r="AF16" i="2"/>
  <c r="AG16" i="2"/>
  <c r="AH16" i="2"/>
  <c r="AI16" i="2"/>
  <c r="AJ16" i="2"/>
  <c r="AK16" i="2"/>
  <c r="AL16" i="2"/>
  <c r="V16" i="2" s="1"/>
  <c r="G202" i="3" s="1"/>
  <c r="G203" i="3" s="1"/>
  <c r="AM16" i="2"/>
  <c r="AB17" i="2"/>
  <c r="AC17" i="2"/>
  <c r="AD17" i="2"/>
  <c r="AE17" i="2"/>
  <c r="AF17" i="2"/>
  <c r="AG17" i="2"/>
  <c r="AH17" i="2"/>
  <c r="AI17" i="2"/>
  <c r="AJ17" i="2"/>
  <c r="AK17" i="2"/>
  <c r="V17" i="2" s="1"/>
  <c r="G213" i="3" s="1"/>
  <c r="AL17" i="2"/>
  <c r="AM17" i="2"/>
  <c r="AB18" i="2"/>
  <c r="AC18" i="2"/>
  <c r="AD18" i="2"/>
  <c r="AE18" i="2"/>
  <c r="AF18" i="2"/>
  <c r="AG18" i="2"/>
  <c r="AH18" i="2"/>
  <c r="AI18" i="2"/>
  <c r="AJ18" i="2"/>
  <c r="AK18" i="2"/>
  <c r="V18" i="2" s="1"/>
  <c r="G224" i="3" s="1"/>
  <c r="G225" i="3" s="1"/>
  <c r="AL18" i="2"/>
  <c r="AM18" i="2"/>
  <c r="AB19" i="2"/>
  <c r="AC19" i="2"/>
  <c r="AD19" i="2"/>
  <c r="AE19" i="2"/>
  <c r="AF19" i="2"/>
  <c r="AG19" i="2"/>
  <c r="AH19" i="2"/>
  <c r="AI19" i="2"/>
  <c r="AJ19" i="2"/>
  <c r="AK19" i="2"/>
  <c r="AL19" i="2"/>
  <c r="V19" i="2" s="1"/>
  <c r="AM19" i="2"/>
  <c r="AB20" i="2"/>
  <c r="AC20" i="2"/>
  <c r="AD20" i="2"/>
  <c r="AE20" i="2"/>
  <c r="AF20" i="2"/>
  <c r="AG20" i="2"/>
  <c r="AH20" i="2"/>
  <c r="AI20" i="2"/>
  <c r="AJ20" i="2"/>
  <c r="V20" i="2" s="1"/>
  <c r="G246" i="3" s="1"/>
  <c r="G247" i="3" s="1"/>
  <c r="AK20" i="2"/>
  <c r="AL20" i="2"/>
  <c r="AM20" i="2"/>
  <c r="AB21" i="2"/>
  <c r="AC21" i="2"/>
  <c r="AD21" i="2"/>
  <c r="AE21" i="2"/>
  <c r="AF21" i="2"/>
  <c r="AG21" i="2"/>
  <c r="AH21" i="2"/>
  <c r="AI21" i="2"/>
  <c r="AJ21" i="2"/>
  <c r="AK21" i="2"/>
  <c r="AL21" i="2"/>
  <c r="V21" i="2" s="1"/>
  <c r="F257" i="3" s="1"/>
  <c r="AM21" i="2"/>
  <c r="AB22" i="2"/>
  <c r="AC22" i="2"/>
  <c r="AD22" i="2"/>
  <c r="AE22" i="2"/>
  <c r="AF22" i="2"/>
  <c r="AG22" i="2"/>
  <c r="AH22" i="2"/>
  <c r="AI22" i="2"/>
  <c r="AJ22" i="2"/>
  <c r="AK22" i="2"/>
  <c r="AL22" i="2"/>
  <c r="V22" i="2" s="1"/>
  <c r="F268" i="3" s="1"/>
  <c r="AM22" i="2"/>
  <c r="AB23" i="2"/>
  <c r="AC23" i="2"/>
  <c r="AD23" i="2"/>
  <c r="AE23" i="2"/>
  <c r="AF23" i="2"/>
  <c r="AG23" i="2"/>
  <c r="AH23" i="2"/>
  <c r="AI23" i="2"/>
  <c r="AJ23" i="2"/>
  <c r="AK23" i="2"/>
  <c r="AL23" i="2"/>
  <c r="V23" i="2" s="1"/>
  <c r="AM23" i="2"/>
  <c r="AB24" i="2"/>
  <c r="AC24" i="2"/>
  <c r="AD24" i="2"/>
  <c r="AE24" i="2"/>
  <c r="AF24" i="2"/>
  <c r="AG24" i="2"/>
  <c r="AH24" i="2"/>
  <c r="V24" i="2" s="1"/>
  <c r="G301" i="3" s="1"/>
  <c r="AI24" i="2"/>
  <c r="AJ24" i="2"/>
  <c r="AK24" i="2"/>
  <c r="AL24" i="2"/>
  <c r="AM24" i="2"/>
  <c r="AB25" i="2"/>
  <c r="AC25" i="2"/>
  <c r="AD25" i="2"/>
  <c r="AE25" i="2"/>
  <c r="AF25" i="2"/>
  <c r="AG25" i="2"/>
  <c r="AH25" i="2"/>
  <c r="AI25" i="2"/>
  <c r="AJ25" i="2"/>
  <c r="AK25" i="2"/>
  <c r="AL25" i="2"/>
  <c r="V25" i="2" s="1"/>
  <c r="F312" i="3" s="1"/>
  <c r="AM25" i="2"/>
  <c r="AB26" i="2"/>
  <c r="AC26" i="2"/>
  <c r="AD26" i="2"/>
  <c r="AE26" i="2"/>
  <c r="AF26" i="2"/>
  <c r="AG26" i="2"/>
  <c r="AH26" i="2"/>
  <c r="AI26" i="2"/>
  <c r="AJ26" i="2"/>
  <c r="AK26" i="2"/>
  <c r="AL26" i="2"/>
  <c r="V26" i="2" s="1"/>
  <c r="G40" i="3" s="1"/>
  <c r="AM26" i="2"/>
  <c r="AB27" i="2"/>
  <c r="AC27" i="2"/>
  <c r="AD27" i="2"/>
  <c r="AE27" i="2"/>
  <c r="AF27" i="2"/>
  <c r="AG27" i="2"/>
  <c r="AH27" i="2"/>
  <c r="AI27" i="2"/>
  <c r="AJ27" i="2"/>
  <c r="AK27" i="2"/>
  <c r="AL27" i="2"/>
  <c r="V27" i="2" s="1"/>
  <c r="G52" i="3" s="1"/>
  <c r="AM27" i="2"/>
  <c r="AB28" i="2"/>
  <c r="V28" i="2" s="1"/>
  <c r="F323" i="3" s="1"/>
  <c r="AC28" i="2"/>
  <c r="AD28" i="2"/>
  <c r="AE28" i="2"/>
  <c r="AF28" i="2"/>
  <c r="AG28" i="2"/>
  <c r="AH28" i="2"/>
  <c r="AI28" i="2"/>
  <c r="AJ28" i="2"/>
  <c r="AK28" i="2"/>
  <c r="AL28" i="2"/>
  <c r="AM28" i="2"/>
  <c r="AB29" i="2"/>
  <c r="AC29" i="2"/>
  <c r="AD29" i="2"/>
  <c r="AE29" i="2"/>
  <c r="AF29" i="2"/>
  <c r="AG29" i="2"/>
  <c r="AH29" i="2"/>
  <c r="AI29" i="2"/>
  <c r="AJ29" i="2"/>
  <c r="V29" i="2" s="1"/>
  <c r="F334" i="3" s="1"/>
  <c r="AK29" i="2"/>
  <c r="AL29" i="2"/>
  <c r="AM29" i="2"/>
  <c r="AB30" i="2"/>
  <c r="AC30" i="2"/>
  <c r="AD30" i="2"/>
  <c r="AE30" i="2"/>
  <c r="AF30" i="2"/>
  <c r="AG30" i="2"/>
  <c r="AH30" i="2"/>
  <c r="AI30" i="2"/>
  <c r="AJ30" i="2"/>
  <c r="AK30" i="2"/>
  <c r="V30" i="2" s="1"/>
  <c r="G345" i="3" s="1"/>
  <c r="AL30" i="2"/>
  <c r="AM30" i="2"/>
  <c r="AB31" i="2"/>
  <c r="AC31" i="2"/>
  <c r="AD31" i="2"/>
  <c r="AE31" i="2"/>
  <c r="AF31" i="2"/>
  <c r="AG31" i="2"/>
  <c r="AH31" i="2"/>
  <c r="AI31" i="2"/>
  <c r="AJ31" i="2"/>
  <c r="AK31" i="2"/>
  <c r="V31" i="2" s="1"/>
  <c r="AL31" i="2"/>
  <c r="AM31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B33" i="2"/>
  <c r="AC33" i="2"/>
  <c r="AD33" i="2"/>
  <c r="AE33" i="2"/>
  <c r="AF33" i="2"/>
  <c r="AG33" i="2"/>
  <c r="AH33" i="2"/>
  <c r="AI33" i="2"/>
  <c r="AJ33" i="2"/>
  <c r="V33" i="2" s="1"/>
  <c r="F378" i="3" s="1"/>
  <c r="AK33" i="2"/>
  <c r="AL33" i="2"/>
  <c r="AM33" i="2"/>
  <c r="AB34" i="2"/>
  <c r="AC34" i="2"/>
  <c r="AD34" i="2"/>
  <c r="AE34" i="2"/>
  <c r="AF34" i="2"/>
  <c r="AG34" i="2"/>
  <c r="AH34" i="2"/>
  <c r="AI34" i="2"/>
  <c r="AJ34" i="2"/>
  <c r="AK34" i="2"/>
  <c r="V34" i="2" s="1"/>
  <c r="AL34" i="2"/>
  <c r="AM34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B36" i="2"/>
  <c r="AC36" i="2"/>
  <c r="AD36" i="2"/>
  <c r="AE36" i="2"/>
  <c r="AF36" i="2"/>
  <c r="AG36" i="2"/>
  <c r="AH36" i="2"/>
  <c r="V36" i="2" s="1"/>
  <c r="F389" i="3" s="1"/>
  <c r="AI36" i="2"/>
  <c r="AJ36" i="2"/>
  <c r="AK36" i="2"/>
  <c r="AL36" i="2"/>
  <c r="AM36" i="2"/>
  <c r="AB37" i="2"/>
  <c r="AC37" i="2"/>
  <c r="AD37" i="2"/>
  <c r="AE37" i="2"/>
  <c r="AF37" i="2"/>
  <c r="AG37" i="2"/>
  <c r="AH37" i="2"/>
  <c r="AI37" i="2"/>
  <c r="AJ37" i="2"/>
  <c r="AK37" i="2"/>
  <c r="V37" i="2" s="1"/>
  <c r="F422" i="3" s="1"/>
  <c r="AL37" i="2"/>
  <c r="AM37" i="2"/>
  <c r="AB38" i="2"/>
  <c r="AC38" i="2"/>
  <c r="AD38" i="2"/>
  <c r="AE38" i="2"/>
  <c r="AF38" i="2"/>
  <c r="AG38" i="2"/>
  <c r="AH38" i="2"/>
  <c r="AI38" i="2"/>
  <c r="AJ38" i="2"/>
  <c r="V38" i="2" s="1"/>
  <c r="F433" i="3" s="1"/>
  <c r="AK38" i="2"/>
  <c r="AL38" i="2"/>
  <c r="AM38" i="2"/>
  <c r="AB39" i="2"/>
  <c r="AC39" i="2"/>
  <c r="AD39" i="2"/>
  <c r="AE39" i="2"/>
  <c r="AF39" i="2"/>
  <c r="AG39" i="2"/>
  <c r="AH39" i="2"/>
  <c r="AI39" i="2"/>
  <c r="AJ39" i="2"/>
  <c r="V39" i="2" s="1"/>
  <c r="G444" i="3" s="1"/>
  <c r="AK39" i="2"/>
  <c r="AL39" i="2"/>
  <c r="AM39" i="2"/>
  <c r="AB40" i="2"/>
  <c r="AC40" i="2"/>
  <c r="AD40" i="2"/>
  <c r="AE40" i="2"/>
  <c r="AF40" i="2"/>
  <c r="AG40" i="2"/>
  <c r="AH40" i="2"/>
  <c r="AI40" i="2"/>
  <c r="AJ40" i="2"/>
  <c r="V40" i="2" s="1"/>
  <c r="G455" i="3" s="1"/>
  <c r="AK40" i="2"/>
  <c r="AL40" i="2"/>
  <c r="AM40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V41" i="2" s="1"/>
  <c r="G466" i="3" s="1"/>
  <c r="G467" i="3" s="1"/>
  <c r="AB42" i="2"/>
  <c r="AC42" i="2"/>
  <c r="AD42" i="2"/>
  <c r="AE42" i="2"/>
  <c r="AF42" i="2"/>
  <c r="AG42" i="2"/>
  <c r="AH42" i="2"/>
  <c r="AI42" i="2"/>
  <c r="AJ42" i="2"/>
  <c r="AK42" i="2"/>
  <c r="V42" i="2" s="1"/>
  <c r="G477" i="3" s="1"/>
  <c r="G478" i="3" s="1"/>
  <c r="AL42" i="2"/>
  <c r="AM42" i="2"/>
  <c r="AB43" i="2"/>
  <c r="AC43" i="2"/>
  <c r="AD43" i="2"/>
  <c r="AE43" i="2"/>
  <c r="V43" i="2" s="1"/>
  <c r="AF43" i="2"/>
  <c r="AG43" i="2"/>
  <c r="AH43" i="2"/>
  <c r="AI43" i="2"/>
  <c r="AJ43" i="2"/>
  <c r="AK43" i="2"/>
  <c r="AL43" i="2"/>
  <c r="AM43" i="2"/>
  <c r="AB44" i="2"/>
  <c r="AC44" i="2"/>
  <c r="AD44" i="2"/>
  <c r="AE44" i="2"/>
  <c r="AF44" i="2"/>
  <c r="AG44" i="2"/>
  <c r="AH44" i="2"/>
  <c r="AI44" i="2"/>
  <c r="AJ44" i="2"/>
  <c r="V44" i="2" s="1"/>
  <c r="F18" i="3" s="1"/>
  <c r="AK44" i="2"/>
  <c r="AL44" i="2"/>
  <c r="AM44" i="2"/>
  <c r="AB45" i="2"/>
  <c r="AC45" i="2"/>
  <c r="AD45" i="2"/>
  <c r="AE45" i="2"/>
  <c r="AF45" i="2"/>
  <c r="AG45" i="2"/>
  <c r="AH45" i="2"/>
  <c r="AI45" i="2"/>
  <c r="AJ45" i="2"/>
  <c r="V45" i="2" s="1"/>
  <c r="F499" i="3" s="1"/>
  <c r="AK45" i="2"/>
  <c r="AL45" i="2"/>
  <c r="AM45" i="2"/>
  <c r="AB46" i="2"/>
  <c r="AC46" i="2"/>
  <c r="AD46" i="2"/>
  <c r="AE46" i="2"/>
  <c r="AF46" i="2"/>
  <c r="AG46" i="2"/>
  <c r="AH46" i="2"/>
  <c r="AI46" i="2"/>
  <c r="AJ46" i="2"/>
  <c r="AK46" i="2"/>
  <c r="V46" i="2" s="1"/>
  <c r="F510" i="3" s="1"/>
  <c r="AL46" i="2"/>
  <c r="AM46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V53" i="2" s="1"/>
  <c r="AB47" i="2"/>
  <c r="AC47" i="2"/>
  <c r="AD47" i="2"/>
  <c r="AE47" i="2"/>
  <c r="AF47" i="2"/>
  <c r="V47" i="2" s="1"/>
  <c r="F521" i="3" s="1"/>
  <c r="AG47" i="2"/>
  <c r="AH47" i="2"/>
  <c r="AI47" i="2"/>
  <c r="AJ47" i="2"/>
  <c r="AK47" i="2"/>
  <c r="AL47" i="2"/>
  <c r="AM47" i="2"/>
  <c r="AB48" i="2"/>
  <c r="AC48" i="2"/>
  <c r="AD48" i="2"/>
  <c r="AE48" i="2"/>
  <c r="AF48" i="2"/>
  <c r="AG48" i="2"/>
  <c r="AH48" i="2"/>
  <c r="V48" i="2" s="1"/>
  <c r="AI48" i="2"/>
  <c r="AJ48" i="2"/>
  <c r="AK48" i="2"/>
  <c r="AL48" i="2"/>
  <c r="AM48" i="2"/>
  <c r="AB49" i="2"/>
  <c r="AC49" i="2"/>
  <c r="AD49" i="2"/>
  <c r="AE49" i="2"/>
  <c r="AF49" i="2"/>
  <c r="AG49" i="2"/>
  <c r="AH49" i="2"/>
  <c r="V49" i="2" s="1"/>
  <c r="F543" i="3" s="1"/>
  <c r="AI49" i="2"/>
  <c r="AJ49" i="2"/>
  <c r="AK49" i="2"/>
  <c r="AL49" i="2"/>
  <c r="AM49" i="2"/>
  <c r="AB52" i="2"/>
  <c r="AC52" i="2"/>
  <c r="AD52" i="2"/>
  <c r="AE52" i="2"/>
  <c r="AF52" i="2"/>
  <c r="AG52" i="2"/>
  <c r="AH52" i="2"/>
  <c r="V52" i="2" s="1"/>
  <c r="F554" i="3" s="1"/>
  <c r="AI52" i="2"/>
  <c r="AJ52" i="2"/>
  <c r="AK52" i="2"/>
  <c r="AL52" i="2"/>
  <c r="AM52" i="2"/>
  <c r="AB50" i="2"/>
  <c r="AC50" i="2"/>
  <c r="AD50" i="2"/>
  <c r="AE50" i="2"/>
  <c r="AF50" i="2"/>
  <c r="AG50" i="2"/>
  <c r="AH50" i="2"/>
  <c r="AI50" i="2"/>
  <c r="AJ50" i="2"/>
  <c r="AK50" i="2"/>
  <c r="V50" i="2" s="1"/>
  <c r="G532" i="3" s="1"/>
  <c r="G533" i="3" s="1"/>
  <c r="AL50" i="2"/>
  <c r="AM50" i="2"/>
  <c r="AB51" i="2"/>
  <c r="AC51" i="2"/>
  <c r="AD51" i="2"/>
  <c r="AE51" i="2"/>
  <c r="AF51" i="2"/>
  <c r="AG51" i="2"/>
  <c r="AH51" i="2"/>
  <c r="AI51" i="2"/>
  <c r="AJ51" i="2"/>
  <c r="AK51" i="2"/>
  <c r="AL51" i="2"/>
  <c r="V51" i="2" s="1"/>
  <c r="AM51" i="2"/>
  <c r="AM4" i="2"/>
  <c r="AL4" i="2"/>
  <c r="AK4" i="2"/>
  <c r="AJ4" i="2"/>
  <c r="AI4" i="2"/>
  <c r="V4" i="2" s="1"/>
  <c r="F65" i="3" s="1"/>
  <c r="AH4" i="2"/>
  <c r="AG4" i="2"/>
  <c r="AF4" i="2"/>
  <c r="AE4" i="2"/>
  <c r="AD4" i="2"/>
  <c r="AC4" i="2"/>
  <c r="AB4" i="2"/>
  <c r="I29" i="3" l="1"/>
  <c r="I23" i="3" s="1"/>
  <c r="L5" i="2"/>
  <c r="U5" i="2" s="1"/>
  <c r="G214" i="3"/>
  <c r="G53" i="3"/>
  <c r="L51" i="2"/>
  <c r="U51" i="2" s="1"/>
  <c r="L26" i="2"/>
  <c r="U26" i="2" s="1"/>
  <c r="F41" i="3" s="1"/>
  <c r="G76" i="3"/>
  <c r="Y5" i="2"/>
  <c r="I76" i="3" s="1"/>
  <c r="I70" i="3" s="1"/>
  <c r="J87" i="3"/>
  <c r="I81" i="3" s="1"/>
  <c r="I7" i="3"/>
  <c r="I1" i="3" s="1"/>
  <c r="T19" i="2"/>
  <c r="U19" i="2"/>
  <c r="E30" i="3" s="1"/>
  <c r="M19" i="2"/>
  <c r="A378" i="3"/>
  <c r="A543" i="3"/>
  <c r="G87" i="3"/>
  <c r="G88" i="3" s="1"/>
  <c r="F7" i="3"/>
  <c r="F8" i="3" s="1"/>
  <c r="A400" i="3"/>
  <c r="B356" i="3"/>
  <c r="B357" i="3" s="1"/>
  <c r="G445" i="3"/>
  <c r="G456" i="3"/>
  <c r="G41" i="3"/>
  <c r="G302" i="3"/>
  <c r="J35" i="2"/>
  <c r="U35" i="2" s="1"/>
  <c r="L48" i="2"/>
  <c r="L25" i="2"/>
  <c r="M25" i="2" s="1"/>
  <c r="B312" i="3" s="1"/>
  <c r="J49" i="2"/>
  <c r="U49" i="2" s="1"/>
  <c r="L37" i="2"/>
  <c r="M37" i="2" s="1"/>
  <c r="B422" i="3" s="1"/>
  <c r="L32" i="2"/>
  <c r="L23" i="2"/>
  <c r="L22" i="2"/>
  <c r="L43" i="2"/>
  <c r="M43" i="2" s="1"/>
  <c r="B488" i="3" s="1"/>
  <c r="J42" i="2"/>
  <c r="U42" i="2" s="1"/>
  <c r="J24" i="2"/>
  <c r="T24" i="2" s="1"/>
  <c r="L47" i="2"/>
  <c r="M47" i="2" s="1"/>
  <c r="B521" i="3" s="1"/>
  <c r="J33" i="2"/>
  <c r="U33" i="2" s="1"/>
  <c r="L20" i="2"/>
  <c r="L52" i="2"/>
  <c r="J41" i="2"/>
  <c r="J4" i="2"/>
  <c r="T4" i="2" s="1"/>
  <c r="J11" i="2"/>
  <c r="T11" i="2" s="1"/>
  <c r="L15" i="2"/>
  <c r="A187" i="3" s="1"/>
  <c r="J46" i="2"/>
  <c r="T46" i="2" s="1"/>
  <c r="J8" i="2"/>
  <c r="T8" i="2" s="1"/>
  <c r="J21" i="2"/>
  <c r="T21" i="2" s="1"/>
  <c r="L13" i="2"/>
  <c r="J18" i="2"/>
  <c r="J31" i="2"/>
  <c r="T31" i="2" s="1"/>
  <c r="F29" i="3"/>
  <c r="F235" i="3"/>
  <c r="L44" i="2"/>
  <c r="L53" i="2"/>
  <c r="J7" i="2"/>
  <c r="T7" i="2" s="1"/>
  <c r="L45" i="2"/>
  <c r="L6" i="2"/>
  <c r="L28" i="2"/>
  <c r="L10" i="2"/>
  <c r="L39" i="2"/>
  <c r="L12" i="2"/>
  <c r="J40" i="2"/>
  <c r="T40" i="2" s="1"/>
  <c r="L34" i="2"/>
  <c r="L50" i="2"/>
  <c r="L14" i="2"/>
  <c r="L30" i="2"/>
  <c r="L36" i="2"/>
  <c r="L17" i="2"/>
  <c r="L38" i="2"/>
  <c r="J29" i="2"/>
  <c r="U29" i="2" s="1"/>
  <c r="L27" i="2"/>
  <c r="J16" i="2"/>
  <c r="J9" i="2"/>
  <c r="F411" i="3"/>
  <c r="V35" i="2"/>
  <c r="F400" i="3" s="1"/>
  <c r="F290" i="3"/>
  <c r="F279" i="3"/>
  <c r="H76" i="3"/>
  <c r="Z5" i="2"/>
  <c r="V32" i="2"/>
  <c r="F367" i="3" s="1"/>
  <c r="G356" i="3"/>
  <c r="G357" i="3" s="1"/>
  <c r="M28" i="2"/>
  <c r="B323" i="3" s="1"/>
  <c r="A98" i="3"/>
  <c r="M52" i="2"/>
  <c r="B554" i="3" s="1"/>
  <c r="A268" i="3"/>
  <c r="M42" i="2"/>
  <c r="C477" i="3" s="1"/>
  <c r="C478" i="3" s="1"/>
  <c r="B477" i="3"/>
  <c r="B478" i="3" s="1"/>
  <c r="A235" i="3"/>
  <c r="A29" i="3"/>
  <c r="A30" i="3" s="1"/>
  <c r="X55" i="2"/>
  <c r="M8" i="2"/>
  <c r="B109" i="3" s="1"/>
  <c r="A109" i="3"/>
  <c r="M40" i="2"/>
  <c r="C455" i="3" s="1"/>
  <c r="C456" i="3" s="1"/>
  <c r="B455" i="3"/>
  <c r="B456" i="3" s="1"/>
  <c r="M4" i="2"/>
  <c r="B65" i="3" s="1"/>
  <c r="A65" i="3"/>
  <c r="M49" i="2"/>
  <c r="B543" i="3" s="1"/>
  <c r="M16" i="2"/>
  <c r="C202" i="3" s="1"/>
  <c r="C203" i="3" s="1"/>
  <c r="B202" i="3"/>
  <c r="B203" i="3" s="1"/>
  <c r="M21" i="2"/>
  <c r="B257" i="3" s="1"/>
  <c r="A257" i="3"/>
  <c r="M11" i="2"/>
  <c r="B142" i="3" s="1"/>
  <c r="A142" i="3"/>
  <c r="M46" i="2"/>
  <c r="B510" i="3" s="1"/>
  <c r="A510" i="3"/>
  <c r="M18" i="2"/>
  <c r="C224" i="3" s="1"/>
  <c r="C225" i="3" s="1"/>
  <c r="B224" i="3"/>
  <c r="B225" i="3" s="1"/>
  <c r="M29" i="2"/>
  <c r="B334" i="3" s="1"/>
  <c r="A334" i="3"/>
  <c r="M9" i="2"/>
  <c r="B120" i="3" s="1"/>
  <c r="A120" i="3"/>
  <c r="F488" i="3"/>
  <c r="M24" i="2"/>
  <c r="C301" i="3" s="1"/>
  <c r="C302" i="3" s="1"/>
  <c r="B301" i="3"/>
  <c r="B302" i="3" s="1"/>
  <c r="M41" i="2"/>
  <c r="C466" i="3" s="1"/>
  <c r="C467" i="3" s="1"/>
  <c r="B466" i="3"/>
  <c r="B467" i="3" s="1"/>
  <c r="W55" i="2"/>
  <c r="Y55" i="2"/>
  <c r="AJ55" i="2"/>
  <c r="AF55" i="2"/>
  <c r="AB55" i="2"/>
  <c r="M31" i="2"/>
  <c r="C356" i="3" s="1"/>
  <c r="C357" i="3" s="1"/>
  <c r="AM55" i="2"/>
  <c r="AI55" i="2"/>
  <c r="AE55" i="2"/>
  <c r="M35" i="2"/>
  <c r="B400" i="3" s="1"/>
  <c r="M33" i="2"/>
  <c r="B378" i="3" s="1"/>
  <c r="AL55" i="2"/>
  <c r="AH55" i="2"/>
  <c r="AD55" i="2"/>
  <c r="AK55" i="2"/>
  <c r="AG55" i="2"/>
  <c r="AC55" i="2"/>
  <c r="M7" i="2"/>
  <c r="B98" i="3" s="1"/>
  <c r="M5" i="2" l="1"/>
  <c r="B76" i="3" s="1"/>
  <c r="A76" i="3"/>
  <c r="T5" i="2"/>
  <c r="E76" i="3" s="1"/>
  <c r="A312" i="3"/>
  <c r="M51" i="2"/>
  <c r="T51" i="2"/>
  <c r="B40" i="3"/>
  <c r="B41" i="3" s="1"/>
  <c r="M26" i="2"/>
  <c r="C40" i="3" s="1"/>
  <c r="C41" i="3" s="1"/>
  <c r="T26" i="2"/>
  <c r="F40" i="3" s="1"/>
  <c r="A422" i="3"/>
  <c r="T47" i="2"/>
  <c r="E521" i="3" s="1"/>
  <c r="U47" i="2"/>
  <c r="T22" i="2"/>
  <c r="E268" i="3" s="1"/>
  <c r="U22" i="2"/>
  <c r="T35" i="2"/>
  <c r="E400" i="3" s="1"/>
  <c r="T41" i="2"/>
  <c r="F466" i="3" s="1"/>
  <c r="T33" i="2"/>
  <c r="E378" i="3" s="1"/>
  <c r="E98" i="3"/>
  <c r="E257" i="3"/>
  <c r="T30" i="2"/>
  <c r="F345" i="3" s="1"/>
  <c r="U30" i="2"/>
  <c r="T38" i="2"/>
  <c r="E433" i="3" s="1"/>
  <c r="U38" i="2"/>
  <c r="T14" i="2"/>
  <c r="E175" i="3" s="1"/>
  <c r="U14" i="2"/>
  <c r="T12" i="2"/>
  <c r="U12" i="2"/>
  <c r="T6" i="2"/>
  <c r="U6" i="2"/>
  <c r="T44" i="2"/>
  <c r="E18" i="3" s="1"/>
  <c r="U44" i="2"/>
  <c r="E510" i="3"/>
  <c r="U17" i="2"/>
  <c r="F214" i="3" s="1"/>
  <c r="T17" i="2"/>
  <c r="F213" i="3" s="1"/>
  <c r="T50" i="2"/>
  <c r="F532" i="3" s="1"/>
  <c r="U50" i="2"/>
  <c r="F533" i="3" s="1"/>
  <c r="T39" i="2"/>
  <c r="F444" i="3" s="1"/>
  <c r="U39" i="2"/>
  <c r="M45" i="2"/>
  <c r="B499" i="3" s="1"/>
  <c r="U45" i="2"/>
  <c r="T45" i="2"/>
  <c r="E499" i="3" s="1"/>
  <c r="U13" i="2"/>
  <c r="T13" i="2"/>
  <c r="E164" i="3" s="1"/>
  <c r="T15" i="2"/>
  <c r="E187" i="3" s="1"/>
  <c r="U15" i="2"/>
  <c r="T52" i="2"/>
  <c r="E554" i="3" s="1"/>
  <c r="U52" i="2"/>
  <c r="F301" i="3"/>
  <c r="A290" i="3"/>
  <c r="T23" i="2"/>
  <c r="U23" i="2"/>
  <c r="U25" i="2"/>
  <c r="T25" i="2"/>
  <c r="E312" i="3" s="1"/>
  <c r="U18" i="2"/>
  <c r="U40" i="2"/>
  <c r="F456" i="3" s="1"/>
  <c r="U16" i="2"/>
  <c r="F203" i="3" s="1"/>
  <c r="U8" i="2"/>
  <c r="U21" i="2"/>
  <c r="U41" i="2"/>
  <c r="F467" i="3" s="1"/>
  <c r="T32" i="2"/>
  <c r="E367" i="3" s="1"/>
  <c r="U32" i="2"/>
  <c r="T48" i="2"/>
  <c r="U48" i="2"/>
  <c r="T18" i="2"/>
  <c r="F224" i="3" s="1"/>
  <c r="T42" i="2"/>
  <c r="F477" i="3" s="1"/>
  <c r="T16" i="2"/>
  <c r="F202" i="3" s="1"/>
  <c r="T49" i="2"/>
  <c r="E543" i="3" s="1"/>
  <c r="T9" i="2"/>
  <c r="E120" i="3" s="1"/>
  <c r="U4" i="2"/>
  <c r="T27" i="2"/>
  <c r="F52" i="3" s="1"/>
  <c r="U27" i="2"/>
  <c r="F53" i="3" s="1"/>
  <c r="T36" i="2"/>
  <c r="E389" i="3" s="1"/>
  <c r="U36" i="2"/>
  <c r="T34" i="2"/>
  <c r="E411" i="3" s="1"/>
  <c r="U34" i="2"/>
  <c r="T10" i="2"/>
  <c r="E131" i="3" s="1"/>
  <c r="U10" i="2"/>
  <c r="E142" i="3"/>
  <c r="T20" i="2"/>
  <c r="F246" i="3" s="1"/>
  <c r="U20" i="2"/>
  <c r="F247" i="3" s="1"/>
  <c r="F455" i="3"/>
  <c r="T28" i="2"/>
  <c r="E323" i="3" s="1"/>
  <c r="U28" i="2"/>
  <c r="U53" i="2"/>
  <c r="T53" i="2"/>
  <c r="F356" i="3"/>
  <c r="E109" i="3"/>
  <c r="T43" i="2"/>
  <c r="E488" i="3" s="1"/>
  <c r="U43" i="2"/>
  <c r="U37" i="2"/>
  <c r="T37" i="2"/>
  <c r="E422" i="3" s="1"/>
  <c r="U31" i="2"/>
  <c r="F357" i="3" s="1"/>
  <c r="U24" i="2"/>
  <c r="F302" i="3" s="1"/>
  <c r="U7" i="2"/>
  <c r="T29" i="2"/>
  <c r="E334" i="3" s="1"/>
  <c r="U46" i="2"/>
  <c r="U11" i="2"/>
  <c r="U9" i="2"/>
  <c r="M22" i="2"/>
  <c r="B268" i="3" s="1"/>
  <c r="B52" i="3"/>
  <c r="B53" i="3" s="1"/>
  <c r="A389" i="3"/>
  <c r="A411" i="3"/>
  <c r="M10" i="2"/>
  <c r="B131" i="3" s="1"/>
  <c r="B246" i="3"/>
  <c r="B247" i="3" s="1"/>
  <c r="M38" i="2"/>
  <c r="B433" i="3" s="1"/>
  <c r="E153" i="3"/>
  <c r="B87" i="3"/>
  <c r="B88" i="3" s="1"/>
  <c r="A7" i="3"/>
  <c r="A8" i="3" s="1"/>
  <c r="M44" i="2"/>
  <c r="B18" i="3" s="1"/>
  <c r="B213" i="3"/>
  <c r="B214" i="3" s="1"/>
  <c r="M39" i="2"/>
  <c r="C444" i="3" s="1"/>
  <c r="C445" i="3" s="1"/>
  <c r="F445" i="3"/>
  <c r="A499" i="3"/>
  <c r="A554" i="3"/>
  <c r="M23" i="2"/>
  <c r="B290" i="3" s="1"/>
  <c r="A367" i="3"/>
  <c r="M48" i="2"/>
  <c r="F225" i="3"/>
  <c r="B345" i="3"/>
  <c r="M53" i="2"/>
  <c r="A488" i="3"/>
  <c r="E65" i="3"/>
  <c r="A521" i="3"/>
  <c r="F478" i="3"/>
  <c r="M32" i="2"/>
  <c r="B367" i="3" s="1"/>
  <c r="M20" i="2"/>
  <c r="C246" i="3" s="1"/>
  <c r="C247" i="3" s="1"/>
  <c r="A164" i="3"/>
  <c r="A279" i="3"/>
  <c r="M13" i="2"/>
  <c r="B164" i="3" s="1"/>
  <c r="E279" i="3"/>
  <c r="M15" i="2"/>
  <c r="B187" i="3" s="1"/>
  <c r="M14" i="2"/>
  <c r="B175" i="3" s="1"/>
  <c r="M30" i="2"/>
  <c r="C345" i="3" s="1"/>
  <c r="A18" i="3"/>
  <c r="A323" i="3"/>
  <c r="M6" i="2"/>
  <c r="A153" i="3"/>
  <c r="A433" i="3"/>
  <c r="M12" i="2"/>
  <c r="B153" i="3" s="1"/>
  <c r="A131" i="3"/>
  <c r="M27" i="2"/>
  <c r="C52" i="3" s="1"/>
  <c r="C53" i="3" s="1"/>
  <c r="B444" i="3"/>
  <c r="B445" i="3" s="1"/>
  <c r="B532" i="3"/>
  <c r="B533" i="3" s="1"/>
  <c r="J55" i="2"/>
  <c r="M34" i="2"/>
  <c r="B411" i="3" s="1"/>
  <c r="M36" i="2"/>
  <c r="B389" i="3" s="1"/>
  <c r="M50" i="2"/>
  <c r="C532" i="3" s="1"/>
  <c r="C533" i="3" s="1"/>
  <c r="M17" i="2"/>
  <c r="C213" i="3" s="1"/>
  <c r="C214" i="3" s="1"/>
  <c r="L55" i="2"/>
  <c r="V55" i="2"/>
  <c r="E29" i="3"/>
  <c r="E235" i="3"/>
  <c r="B29" i="3"/>
  <c r="B30" i="3" s="1"/>
  <c r="B235" i="3"/>
  <c r="B279" i="3" l="1"/>
  <c r="E7" i="3"/>
  <c r="F87" i="3"/>
  <c r="F88" i="3"/>
  <c r="E8" i="3"/>
  <c r="C87" i="3"/>
  <c r="C88" i="3" s="1"/>
  <c r="B7" i="3"/>
  <c r="B8" i="3" s="1"/>
  <c r="E290" i="3"/>
  <c r="M55" i="2"/>
  <c r="E55" i="2"/>
</calcChain>
</file>

<file path=xl/comments1.xml><?xml version="1.0" encoding="utf-8"?>
<comments xmlns="http://schemas.openxmlformats.org/spreadsheetml/2006/main">
  <authors>
    <author>Пользователь Windows</author>
    <author>Романова  Мария</author>
  </authors>
  <commentList>
    <comment ref="R19" authorId="0" shapeId="0">
      <text>
        <r>
          <rPr>
            <b/>
            <sz val="9"/>
            <color indexed="81"/>
            <rFont val="Tahoma"/>
            <family val="2"/>
            <charset val="204"/>
          </rPr>
          <t>Пользователь Windows:</t>
        </r>
        <r>
          <rPr>
            <sz val="9"/>
            <color indexed="81"/>
            <rFont val="Tahoma"/>
            <family val="2"/>
            <charset val="204"/>
          </rPr>
          <t xml:space="preserve">
накладники 2,8
</t>
        </r>
      </text>
    </comment>
    <comment ref="E39" authorId="1" shapeId="0">
      <text>
        <r>
          <rPr>
            <b/>
            <sz val="9"/>
            <color indexed="81"/>
            <rFont val="Tahoma"/>
            <family val="2"/>
            <charset val="204"/>
          </rPr>
          <t>Романова  Мария:</t>
        </r>
        <r>
          <rPr>
            <sz val="9"/>
            <color indexed="81"/>
            <rFont val="Tahoma"/>
            <family val="2"/>
            <charset val="204"/>
          </rPr>
          <t xml:space="preserve">
не учтены 3 человека в административном отпуске
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  <charset val="204"/>
          </rPr>
          <t>Пользователь Windows:</t>
        </r>
        <r>
          <rPr>
            <sz val="9"/>
            <color indexed="81"/>
            <rFont val="Tahoma"/>
            <family val="2"/>
            <charset val="204"/>
          </rPr>
          <t xml:space="preserve">
согласованно , экономисты сказали заберут, лежит на столе</t>
        </r>
      </text>
    </comment>
    <comment ref="Q52" authorId="1" shapeId="0">
      <text>
        <r>
          <rPr>
            <b/>
            <sz val="9"/>
            <color indexed="81"/>
            <rFont val="Tahoma"/>
            <family val="2"/>
            <charset val="204"/>
          </rPr>
          <t>Романова  Мария:</t>
        </r>
        <r>
          <rPr>
            <sz val="9"/>
            <color indexed="81"/>
            <rFont val="Tahoma"/>
            <family val="2"/>
            <charset val="204"/>
          </rPr>
          <t xml:space="preserve">
по 219 26,4
</t>
        </r>
      </text>
    </comment>
    <comment ref="Q53" authorId="1" shapeId="0">
      <text>
        <r>
          <rPr>
            <b/>
            <sz val="9"/>
            <color indexed="81"/>
            <rFont val="Tahoma"/>
            <family val="2"/>
            <charset val="204"/>
          </rPr>
          <t>Романова  Мария:</t>
        </r>
        <r>
          <rPr>
            <sz val="9"/>
            <color indexed="81"/>
            <rFont val="Tahoma"/>
            <family val="2"/>
            <charset val="204"/>
          </rPr>
          <t xml:space="preserve">
22,2 по 219</t>
        </r>
      </text>
    </comment>
  </commentList>
</comments>
</file>

<file path=xl/comments2.xml><?xml version="1.0" encoding="utf-8"?>
<comments xmlns="http://schemas.openxmlformats.org/spreadsheetml/2006/main">
  <authors>
    <author>Пользователь Windows</author>
  </authors>
  <commentLis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Пользователь Windows:</t>
        </r>
        <r>
          <rPr>
            <sz val="9"/>
            <color indexed="81"/>
            <rFont val="Tahoma"/>
            <family val="2"/>
            <charset val="204"/>
          </rPr>
          <t xml:space="preserve">
изначально довали под численность ( 139 человек)
</t>
        </r>
      </text>
    </comment>
  </commentList>
</comments>
</file>

<file path=xl/sharedStrings.xml><?xml version="1.0" encoding="utf-8"?>
<sst xmlns="http://schemas.openxmlformats.org/spreadsheetml/2006/main" count="1322" uniqueCount="316">
  <si>
    <t>Должность</t>
  </si>
  <si>
    <t>Табельный номер</t>
  </si>
  <si>
    <t xml:space="preserve"> ФБ</t>
  </si>
  <si>
    <t>1</t>
  </si>
  <si>
    <t>Руководитель</t>
  </si>
  <si>
    <t>ФБ</t>
  </si>
  <si>
    <t>1ПО</t>
  </si>
  <si>
    <t>19Ц</t>
  </si>
  <si>
    <t>1Ц</t>
  </si>
  <si>
    <t>01</t>
  </si>
  <si>
    <t>02</t>
  </si>
  <si>
    <t>05</t>
  </si>
  <si>
    <t>06</t>
  </si>
  <si>
    <t>08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</si>
  <si>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</si>
  <si>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</si>
  <si>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</si>
  <si>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</si>
  <si>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</si>
  <si>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</si>
  <si>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</si>
  <si>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</si>
  <si>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</si>
  <si>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</si>
  <si>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</si>
  <si>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</si>
  <si>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</si>
  <si>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</si>
  <si>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</si>
  <si>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</si>
  <si>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</si>
  <si>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</si>
  <si>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</si>
  <si>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</si>
  <si>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</si>
  <si>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</si>
  <si>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</si>
  <si>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</si>
  <si>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</si>
  <si>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НТЦ-2Ц</t>
  </si>
  <si>
    <t>2Ц</t>
  </si>
  <si>
    <t>Экономист</t>
  </si>
  <si>
    <t>3Ц</t>
  </si>
  <si>
    <t>НТЦ-4Ц</t>
  </si>
  <si>
    <t>4Ц</t>
  </si>
  <si>
    <t>6ДП</t>
  </si>
  <si>
    <t>6ПО</t>
  </si>
  <si>
    <t>НТЦ-6Ц</t>
  </si>
  <si>
    <t>6Ц</t>
  </si>
  <si>
    <t xml:space="preserve"> 8ПО</t>
  </si>
  <si>
    <t xml:space="preserve"> 8С</t>
  </si>
  <si>
    <t xml:space="preserve"> 8Ц</t>
  </si>
  <si>
    <t>8Ц</t>
  </si>
  <si>
    <t>38</t>
  </si>
  <si>
    <t>9ПО</t>
  </si>
  <si>
    <t>9Ц</t>
  </si>
  <si>
    <t>11Ц</t>
  </si>
  <si>
    <t xml:space="preserve"> 11Ц</t>
  </si>
  <si>
    <t>12Ц</t>
  </si>
  <si>
    <t>13Ц</t>
  </si>
  <si>
    <t xml:space="preserve"> 14С</t>
  </si>
  <si>
    <t>14Ц</t>
  </si>
  <si>
    <t>15Ц</t>
  </si>
  <si>
    <t>16Ц</t>
  </si>
  <si>
    <t>17Ц</t>
  </si>
  <si>
    <t xml:space="preserve"> 18С</t>
  </si>
  <si>
    <t>20Ц</t>
  </si>
  <si>
    <t xml:space="preserve"> 22Ц</t>
  </si>
  <si>
    <t>29Ц</t>
  </si>
  <si>
    <t>88С</t>
  </si>
  <si>
    <t>ГПО</t>
  </si>
  <si>
    <t>№</t>
  </si>
  <si>
    <t>Подразделение</t>
  </si>
  <si>
    <t>Отделения</t>
  </si>
  <si>
    <t>ССЧ в распределении</t>
  </si>
  <si>
    <t>ФОТ по распределению</t>
  </si>
  <si>
    <t>Профицит(+) /дефицит(-)</t>
  </si>
  <si>
    <t>Профицит на тру-ть свыше 100% загрузки</t>
  </si>
  <si>
    <t>2</t>
  </si>
  <si>
    <t>3</t>
  </si>
  <si>
    <t>4</t>
  </si>
  <si>
    <t>5</t>
  </si>
  <si>
    <t>6</t>
  </si>
  <si>
    <t>7</t>
  </si>
  <si>
    <t>8</t>
  </si>
  <si>
    <t xml:space="preserve">16 </t>
  </si>
  <si>
    <t>9</t>
  </si>
  <si>
    <t>54</t>
  </si>
  <si>
    <t>37</t>
  </si>
  <si>
    <t>47</t>
  </si>
  <si>
    <t>896</t>
  </si>
  <si>
    <t>7Ц</t>
  </si>
  <si>
    <t>35</t>
  </si>
  <si>
    <t>36</t>
  </si>
  <si>
    <t xml:space="preserve">87 </t>
  </si>
  <si>
    <t>88</t>
  </si>
  <si>
    <t>888</t>
  </si>
  <si>
    <t>39</t>
  </si>
  <si>
    <t>889</t>
  </si>
  <si>
    <t>40</t>
  </si>
  <si>
    <t>41</t>
  </si>
  <si>
    <t>42</t>
  </si>
  <si>
    <t>43</t>
  </si>
  <si>
    <t>44</t>
  </si>
  <si>
    <t>45</t>
  </si>
  <si>
    <t>46</t>
  </si>
  <si>
    <t>48</t>
  </si>
  <si>
    <t>49</t>
  </si>
  <si>
    <t>50</t>
  </si>
  <si>
    <t>ИТОГО</t>
  </si>
  <si>
    <t>Распределение</t>
  </si>
  <si>
    <t xml:space="preserve">Отклонение </t>
  </si>
  <si>
    <t>Приказ 291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</si>
  <si>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</si>
  <si>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</si>
  <si>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</si>
  <si>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</si>
  <si>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</si>
  <si>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</si>
  <si>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</si>
  <si>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</si>
  <si>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</si>
  <si>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</si>
  <si>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</si>
  <si>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</si>
  <si>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Среднесписочная численность, чел.</t>
  </si>
  <si>
    <t>Средняя заработная плата, руб.</t>
  </si>
  <si>
    <t>Тудоемкость, чел./год</t>
  </si>
  <si>
    <t>Производительность труда, ед.</t>
  </si>
  <si>
    <t>Загрузка с учетом уровня должностей, %</t>
  </si>
  <si>
    <t>Лимит месячного фонда должностных окладов после выполнения мероприятий приказа № 219 в соответствии с п. 8, руб.</t>
  </si>
  <si>
    <t>ФОТ, руб.</t>
  </si>
  <si>
    <t xml:space="preserve">Распределение фондов оплаты труда и численности персонала </t>
  </si>
  <si>
    <t>НТЦ-20Ц</t>
  </si>
  <si>
    <t>СОГЛАСОВАНО:</t>
  </si>
  <si>
    <t xml:space="preserve">Начальник Службы 2С </t>
  </si>
  <si>
    <t>Павленко Т.А.</t>
  </si>
  <si>
    <t>НТЦ-1Ц</t>
  </si>
  <si>
    <t>НТЦ-3Ц</t>
  </si>
  <si>
    <t>НТЦ-19Ц</t>
  </si>
  <si>
    <t>НТЦ-16Ц</t>
  </si>
  <si>
    <t>НТЦ-7Ц</t>
  </si>
  <si>
    <t>НТЦ-8Ц</t>
  </si>
  <si>
    <t>НТЦ-9Ц</t>
  </si>
  <si>
    <t>НТЦ-11Ц</t>
  </si>
  <si>
    <t>НТЦ-12Ц</t>
  </si>
  <si>
    <t>НТЦ-13Ц</t>
  </si>
  <si>
    <t>НТЦ-14Ц</t>
  </si>
  <si>
    <t>НТЦ-15Ц</t>
  </si>
  <si>
    <t>НТЦ-22Ц</t>
  </si>
  <si>
    <t>НТЦ-29Ц</t>
  </si>
  <si>
    <t>14С</t>
  </si>
  <si>
    <t>НТЦ-17Ц</t>
  </si>
  <si>
    <t>Тарифный коэффициент целевой</t>
  </si>
  <si>
    <t>Средний тарифный коэффициент ПО РАСПРЕДЕЛЕНИЮ</t>
  </si>
  <si>
    <t xml:space="preserve">Тарифный коэффициент </t>
  </si>
  <si>
    <t>87</t>
  </si>
  <si>
    <t>Мероприятие</t>
  </si>
  <si>
    <t>Количество чел/лет</t>
  </si>
  <si>
    <t>Цена чел/год</t>
  </si>
  <si>
    <t>Высвобождаемый ФОТ</t>
  </si>
  <si>
    <t>чел./год</t>
  </si>
  <si>
    <t>тыс.руб.</t>
  </si>
  <si>
    <t>% в общем объеме экономии</t>
  </si>
  <si>
    <t>1. Повышение доходной части бюджета фонда оплаты труда подразделения</t>
  </si>
  <si>
    <t>1.1.</t>
  </si>
  <si>
    <t>Повышение загрузки работников подразделения за счет получения дополнительной трудоемкости по проектам/сметам</t>
  </si>
  <si>
    <t xml:space="preserve">ИТОГО по п.1: </t>
  </si>
  <si>
    <t>2. Снижение обязательств по выплате гарантированной части заработной платы</t>
  </si>
  <si>
    <t>2.1.</t>
  </si>
  <si>
    <t>Сокращение численности работников подразделения (увольнение с последующим сокращением должности в штатном расписании)</t>
  </si>
  <si>
    <t>2.2.</t>
  </si>
  <si>
    <t>Отказ от набора персонала на существующие вакансии, обеспеченные фондом оплаты труда</t>
  </si>
  <si>
    <t xml:space="preserve">ИТОГО по п.2: </t>
  </si>
  <si>
    <t>3.Экономия фонда рабочего времени в период неполной загрузки</t>
  </si>
  <si>
    <t>3.1.</t>
  </si>
  <si>
    <t>Перевод на неполный рабочий день</t>
  </si>
  <si>
    <t>3.2.</t>
  </si>
  <si>
    <t>Перевод на неполную рабочую неделю</t>
  </si>
  <si>
    <t>3.3.</t>
  </si>
  <si>
    <t>Отпуск без сохранения заработной платы</t>
  </si>
  <si>
    <t>2.5.</t>
  </si>
  <si>
    <t>Другие мероприятия</t>
  </si>
  <si>
    <t xml:space="preserve">ИТОГО по п.3: </t>
  </si>
  <si>
    <t>ВСЕГО</t>
  </si>
  <si>
    <t>Обеспечивающие подразделения</t>
  </si>
  <si>
    <t>1. Увеличение производительности труда</t>
  </si>
  <si>
    <t>Экономия профицита ФОТ за счет отказа от набора персонала</t>
  </si>
  <si>
    <t>1.2.</t>
  </si>
  <si>
    <t>Увольнение работников</t>
  </si>
  <si>
    <t>2.Снижение затрат на персонал</t>
  </si>
  <si>
    <t>Неполный рабочий день</t>
  </si>
  <si>
    <t>Неполная рабочая неделя</t>
  </si>
  <si>
    <t>2.3.</t>
  </si>
  <si>
    <t>2.4.</t>
  </si>
  <si>
    <t xml:space="preserve">ИТОГО: </t>
  </si>
  <si>
    <t>ФИО</t>
  </si>
  <si>
    <t>Приложение №1</t>
  </si>
  <si>
    <t>СОГЛАСОВАНО с замечаниями в связи с наличием дефицита ФОТ. Необходима реализация мер по предотвращению дефицита ФОТ</t>
  </si>
  <si>
    <t>Трудоемкость, чел./год</t>
  </si>
  <si>
    <t>Период</t>
  </si>
  <si>
    <t>по состоянию на 20.09.2017</t>
  </si>
  <si>
    <t>прогноз</t>
  </si>
  <si>
    <t>СОГЛАСОВАНО с замечаниями в связи с прогнозируемым дефицитом ФОТ. Необходима реализация мер по предотвращению дефицита ФОТ</t>
  </si>
  <si>
    <t xml:space="preserve">СОГЛАСОВАНО </t>
  </si>
  <si>
    <t>на 19.09.2017</t>
  </si>
  <si>
    <t xml:space="preserve">прогноз </t>
  </si>
  <si>
    <t>ФИО экономиста</t>
  </si>
  <si>
    <t>Телефон</t>
  </si>
  <si>
    <t>Емельяненко 
Надежда Констонтиновна</t>
  </si>
  <si>
    <t>3-87-15</t>
  </si>
  <si>
    <t>Французова Элеонора Анатольевна</t>
  </si>
  <si>
    <t>3-05-15</t>
  </si>
  <si>
    <t xml:space="preserve">Ремнева
 Ирина Михайловна </t>
  </si>
  <si>
    <t>3-65-79</t>
  </si>
  <si>
    <t>Ромашкина Юлия Сергеевна</t>
  </si>
  <si>
    <t>3-10-49</t>
  </si>
  <si>
    <t xml:space="preserve">Сарафановна  Светлана Ивановна </t>
  </si>
  <si>
    <t>3-52-18</t>
  </si>
  <si>
    <t xml:space="preserve">Симакина
 Ирина Николаевна </t>
  </si>
  <si>
    <t>3-74-65</t>
  </si>
  <si>
    <t>Брославец Марина Леонидовна</t>
  </si>
  <si>
    <t>3-72-26</t>
  </si>
  <si>
    <t>Семенова Алла Александровна</t>
  </si>
  <si>
    <t>3-31-61</t>
  </si>
  <si>
    <t>Смирнова Вера Николаевна</t>
  </si>
  <si>
    <t>3-41-33</t>
  </si>
  <si>
    <t xml:space="preserve">Епихина 
Ильсия хабировна </t>
  </si>
  <si>
    <t>3-38-51</t>
  </si>
  <si>
    <t>Парфенова Светлана Алексевна</t>
  </si>
  <si>
    <t>3-55-17</t>
  </si>
  <si>
    <t xml:space="preserve">Силинская 
Татьяна Петровна </t>
  </si>
  <si>
    <t>3-63-87</t>
  </si>
  <si>
    <t xml:space="preserve">Мокрова 
Лариса Николаевна </t>
  </si>
  <si>
    <t>3-61-36</t>
  </si>
  <si>
    <t>Бочкарева Екатерина Вадимировна</t>
  </si>
  <si>
    <t>3-12-35</t>
  </si>
  <si>
    <t>Миронова Ирина Ивановна</t>
  </si>
  <si>
    <t>3-46-89</t>
  </si>
  <si>
    <t>Ковзалина Наталия Викторовна</t>
  </si>
  <si>
    <t>3-69-89</t>
  </si>
  <si>
    <t xml:space="preserve">Субботина 
Людмила Петровна </t>
  </si>
  <si>
    <t>3-34-17</t>
  </si>
  <si>
    <t>Кузнецова Наталья Викторовна</t>
  </si>
  <si>
    <t>3-56-32</t>
  </si>
  <si>
    <t xml:space="preserve">Селиванова Елена </t>
  </si>
  <si>
    <t>59-53-23</t>
  </si>
  <si>
    <t xml:space="preserve">Петухова 
Ульяна Григоревна </t>
  </si>
  <si>
    <t>3-42-24</t>
  </si>
  <si>
    <t>Клыпина Ольга Викторовна</t>
  </si>
  <si>
    <t>3-37-65</t>
  </si>
  <si>
    <t xml:space="preserve">Увренкова 
Лариса Львовна </t>
  </si>
  <si>
    <t>3-60-27</t>
  </si>
  <si>
    <t>Елена Алексевна</t>
  </si>
  <si>
    <t>3-56-57</t>
  </si>
  <si>
    <t>Макарова Елена Владимировна</t>
  </si>
  <si>
    <t>3-53-21</t>
  </si>
  <si>
    <t>Кадина 
Елена Николаевна</t>
  </si>
  <si>
    <t xml:space="preserve">Егорова Татьяна Алексеевна </t>
  </si>
  <si>
    <t>3-09-34</t>
  </si>
  <si>
    <t>3-56-52</t>
  </si>
  <si>
    <t>Беляева Елена Валерьевна</t>
  </si>
  <si>
    <t>Щербакова Елена Павловна</t>
  </si>
  <si>
    <t xml:space="preserve">Старостина Светлана Валентиновна </t>
  </si>
  <si>
    <t>3-00-94</t>
  </si>
  <si>
    <t>Согласованны и отправлены</t>
  </si>
  <si>
    <t>Производительность труда, ед. ПГД 219</t>
  </si>
  <si>
    <t>Средняя заработная плата, руб. 05.10.2017г.</t>
  </si>
  <si>
    <t>Трудоемкость прогнозная 05.10.2017г.</t>
  </si>
  <si>
    <t>Трудоемкость на 2018г.</t>
  </si>
  <si>
    <t>СОГЛАСОВАНО</t>
  </si>
  <si>
    <t xml:space="preserve">                       </t>
  </si>
  <si>
    <t>% от оклада</t>
  </si>
  <si>
    <t>руб.</t>
  </si>
  <si>
    <t>Количество ставок по трудовому договору</t>
  </si>
  <si>
    <t>ед.</t>
  </si>
  <si>
    <t>Вид ставки
(часовая тарифная ставка/месячная тарифная ставка/оклад)</t>
  </si>
  <si>
    <t>Категория должности</t>
  </si>
  <si>
    <t xml:space="preserve"> Вид пр-ва (ОП/ ВП/НИК/КБ/АУП)</t>
  </si>
  <si>
    <t>Оклад (тариф)</t>
  </si>
  <si>
    <t>Годовая норма времени</t>
  </si>
  <si>
    <t>Дата приема на работу</t>
  </si>
  <si>
    <t>Тип занятости (основное место работы, внутренний совместитель, внешний совместитель…)</t>
  </si>
  <si>
    <t>Дата начала работы в текущей должности</t>
  </si>
  <si>
    <t>час</t>
  </si>
  <si>
    <t>Нормативный % ежемесячной премии работника</t>
  </si>
  <si>
    <t>Премия за качество и дисциплину труда (021)</t>
  </si>
  <si>
    <t>Премия за результаты работы (022)</t>
  </si>
  <si>
    <t>Премия из премиального фонда руководителя (023)</t>
  </si>
  <si>
    <t>Ежемесячная премия по Положению (032)</t>
  </si>
  <si>
    <t>Премия за выполнение показателей премирования цехов основного производства (034)</t>
  </si>
  <si>
    <t>Надбавка за личное клеймо и право контр. Мастера (006)</t>
  </si>
  <si>
    <t>в том числе</t>
  </si>
  <si>
    <t>Надбавка за ученую степень (007)</t>
  </si>
  <si>
    <t>Нормативная величина годовой премии</t>
  </si>
  <si>
    <t>Нормативная величина квартальной премии</t>
  </si>
  <si>
    <t>Ежемесячная премия ОПР-повременщиков (038)</t>
  </si>
  <si>
    <t>Секретность за стаж работы за отработанное время (048)</t>
  </si>
  <si>
    <t>Надбавка за секретность к доплате за совмещение (049)</t>
  </si>
  <si>
    <t>Секретность за отработанное время (050)</t>
  </si>
  <si>
    <t>Надбавка за секретность (051)</t>
  </si>
  <si>
    <t>Надбавка за стаж работы с секретн. документ. (052)</t>
  </si>
  <si>
    <t>Надбавка за метрологический контроль (053)</t>
  </si>
  <si>
    <t>Надбавка за работу с шифрами (054)</t>
  </si>
  <si>
    <t>Надбавка за радиационный контроль (055)</t>
  </si>
  <si>
    <t>Надбавка за наставничество рабочих (056)</t>
  </si>
  <si>
    <t>Надбавка по положению (091)</t>
  </si>
  <si>
    <t>Надбавка за учебную деятельность (098)</t>
  </si>
  <si>
    <t>Стимулирующие надбавки за квалификацию, сложность и ответственность выполняемых работ</t>
  </si>
  <si>
    <t>Стимулирующие надбавки за участие в передаче опыта и знаний</t>
  </si>
  <si>
    <t>Надбавки за работу со сведениями, составляющими гостайну</t>
  </si>
  <si>
    <t>Доплаты за увеличение объема и сложности работ</t>
  </si>
  <si>
    <t>Доплата по соглашению к ТД (075)</t>
  </si>
  <si>
    <t>Доплата при совмещении профессий, расширение зон обслуживания, увеличение объемов работ (068)</t>
  </si>
  <si>
    <t>Отчет сформирован на ДАТА</t>
  </si>
  <si>
    <t>Ежемесячная премия за результаты выполнения показателей премирования 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</si>
</sst>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0.0"/>
    <numFmt numFmtId="165" formatCode="#,##0.0"/>
    <numFmt numFmtId="166" formatCode="0.0%"/>
  </numFmts>
  <fonts count="3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name val="Times New Roman Cyr"/>
      <charset val="204"/>
    </font>
    <font>
      <b/>
      <sz val="10"/>
      <name val="Arial Narrow"/>
      <family val="2"/>
      <charset val="204"/>
    </font>
    <font>
      <sz val="10"/>
      <name val="Arial Narrow"/>
      <family val="2"/>
      <charset val="204"/>
    </font>
    <font>
      <sz val="11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0"/>
      <name val="Arial Cyr"/>
      <charset val="204"/>
    </font>
    <font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20"/>
      <color theme="1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sz val="11"/>
      <name val="Arial Narrow"/>
      <family val="2"/>
      <charset val="204"/>
    </font>
    <font>
      <sz val="11"/>
      <name val="Arial Narrow"/>
      <family val="2"/>
      <charset val="204"/>
    </font>
    <font>
      <b/>
      <sz val="12"/>
      <name val="Arial Narrow"/>
      <family val="2"/>
      <charset val="204"/>
    </font>
    <font>
      <i/>
      <sz val="11"/>
      <name val="Arial Narrow"/>
      <family val="2"/>
      <charset val="204"/>
    </font>
    <font>
      <i/>
      <sz val="12"/>
      <name val="Arial Narrow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  <xf numFmtId="0" fontId="1" fillId="0" borderId="0"/>
    <xf numFmtId="0" fontId="25" fillId="0" borderId="0"/>
    <xf numFmtId="0" fontId="28" fillId="0" borderId="0"/>
  </cellStyleXfs>
  <cellXfs count="245">
    <xf numFmtId="0" fontId="0" fillId="0" borderId="0" xfId="0"/>
    <xf numFmtId="0" fontId="0" fillId="0" borderId="0" xfId="0" applyFill="1"/>
    <xf numFmtId="3" fontId="0" fillId="0" borderId="0" xfId="0" applyNumberFormat="1"/>
    <xf numFmtId="49" fontId="0" fillId="0" borderId="0" xfId="0" applyNumberFormat="1"/>
    <xf numFmtId="49" fontId="9" fillId="0" borderId="1" xfId="3" applyNumberFormat="1" applyFont="1" applyFill="1" applyBorder="1" applyAlignment="1">
      <alignment horizontal="center" vertical="center" wrapText="1"/>
    </xf>
    <xf numFmtId="49" fontId="8" fillId="0" borderId="1" xfId="3" applyNumberFormat="1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/>
    </xf>
    <xf numFmtId="4" fontId="0" fillId="0" borderId="1" xfId="0" applyNumberFormat="1" applyFill="1" applyBorder="1" applyAlignment="1">
      <alignment horizontal="center" vertical="center"/>
    </xf>
    <xf numFmtId="0" fontId="0" fillId="0" borderId="1" xfId="0" applyBorder="1"/>
    <xf numFmtId="3" fontId="0" fillId="0" borderId="1" xfId="0" applyNumberFormat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/>
    <xf numFmtId="3" fontId="2" fillId="5" borderId="1" xfId="0" applyNumberFormat="1" applyFont="1" applyFill="1" applyBorder="1"/>
    <xf numFmtId="4" fontId="2" fillId="5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8" fillId="4" borderId="3" xfId="3" applyNumberFormat="1" applyFont="1" applyFill="1" applyBorder="1" applyAlignment="1">
      <alignment horizontal="center" vertical="center" wrapText="1"/>
    </xf>
    <xf numFmtId="49" fontId="8" fillId="4" borderId="4" xfId="3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11" fillId="0" borderId="1" xfId="0" applyFont="1" applyFill="1" applyBorder="1" applyAlignment="1">
      <alignment horizontal="center" vertical="center" wrapText="1"/>
    </xf>
    <xf numFmtId="0" fontId="13" fillId="0" borderId="1" xfId="0" applyFont="1" applyBorder="1"/>
    <xf numFmtId="0" fontId="4" fillId="0" borderId="1" xfId="0" applyFont="1" applyBorder="1"/>
    <xf numFmtId="0" fontId="3" fillId="0" borderId="0" xfId="0" applyFont="1"/>
    <xf numFmtId="9" fontId="0" fillId="0" borderId="1" xfId="2" applyFont="1" applyBorder="1"/>
    <xf numFmtId="4" fontId="0" fillId="0" borderId="1" xfId="0" applyNumberFormat="1" applyBorder="1"/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/>
    <xf numFmtId="0" fontId="0" fillId="0" borderId="1" xfId="0" applyFill="1" applyBorder="1"/>
    <xf numFmtId="3" fontId="0" fillId="0" borderId="1" xfId="0" applyNumberFormat="1" applyFill="1" applyBorder="1"/>
    <xf numFmtId="0" fontId="14" fillId="0" borderId="0" xfId="0" applyFont="1" applyBorder="1" applyAlignment="1">
      <alignment horizontal="center" vertical="center"/>
    </xf>
    <xf numFmtId="0" fontId="17" fillId="0" borderId="0" xfId="0" applyFont="1"/>
    <xf numFmtId="165" fontId="18" fillId="0" borderId="1" xfId="0" applyNumberFormat="1" applyFont="1" applyBorder="1" applyAlignment="1">
      <alignment horizontal="center" vertical="center" wrapText="1"/>
    </xf>
    <xf numFmtId="2" fontId="19" fillId="0" borderId="1" xfId="0" applyNumberFormat="1" applyFont="1" applyBorder="1" applyAlignment="1">
      <alignment horizontal="center" vertical="center"/>
    </xf>
    <xf numFmtId="165" fontId="19" fillId="0" borderId="1" xfId="0" applyNumberFormat="1" applyFont="1" applyBorder="1" applyAlignment="1">
      <alignment horizontal="center" vertical="center"/>
    </xf>
    <xf numFmtId="166" fontId="19" fillId="0" borderId="1" xfId="2" applyNumberFormat="1" applyFont="1" applyBorder="1" applyAlignment="1">
      <alignment horizontal="center" vertical="center"/>
    </xf>
    <xf numFmtId="0" fontId="20" fillId="0" borderId="0" xfId="0" applyFont="1"/>
    <xf numFmtId="165" fontId="20" fillId="0" borderId="0" xfId="0" applyNumberFormat="1" applyFont="1"/>
    <xf numFmtId="166" fontId="20" fillId="0" borderId="0" xfId="0" applyNumberFormat="1" applyFont="1"/>
    <xf numFmtId="165" fontId="16" fillId="0" borderId="0" xfId="0" applyNumberFormat="1" applyFont="1"/>
    <xf numFmtId="165" fontId="20" fillId="0" borderId="7" xfId="0" applyNumberFormat="1" applyFont="1" applyBorder="1"/>
    <xf numFmtId="165" fontId="19" fillId="0" borderId="0" xfId="0" applyNumberFormat="1" applyFont="1" applyAlignment="1">
      <alignment vertical="center"/>
    </xf>
    <xf numFmtId="2" fontId="19" fillId="0" borderId="0" xfId="0" applyNumberFormat="1" applyFont="1" applyAlignment="1">
      <alignment vertical="center"/>
    </xf>
    <xf numFmtId="166" fontId="19" fillId="0" borderId="0" xfId="0" applyNumberFormat="1" applyFont="1" applyAlignment="1">
      <alignment vertical="center"/>
    </xf>
    <xf numFmtId="165" fontId="17" fillId="0" borderId="0" xfId="0" applyNumberFormat="1" applyFont="1"/>
    <xf numFmtId="165" fontId="19" fillId="0" borderId="1" xfId="1" applyNumberFormat="1" applyFont="1" applyBorder="1" applyAlignment="1">
      <alignment horizontal="center" vertical="center"/>
    </xf>
    <xf numFmtId="165" fontId="20" fillId="0" borderId="0" xfId="0" applyNumberFormat="1" applyFont="1" applyBorder="1"/>
    <xf numFmtId="166" fontId="17" fillId="0" borderId="0" xfId="0" applyNumberFormat="1" applyFont="1"/>
    <xf numFmtId="165" fontId="21" fillId="0" borderId="1" xfId="0" applyNumberFormat="1" applyFont="1" applyBorder="1" applyAlignment="1">
      <alignment horizontal="center" vertical="center" wrapText="1"/>
    </xf>
    <xf numFmtId="0" fontId="24" fillId="0" borderId="0" xfId="0" applyFont="1"/>
    <xf numFmtId="0" fontId="15" fillId="0" borderId="0" xfId="4" applyFont="1"/>
    <xf numFmtId="0" fontId="26" fillId="0" borderId="0" xfId="5" applyFont="1" applyFill="1" applyAlignment="1">
      <alignment horizontal="right" vertical="center"/>
    </xf>
    <xf numFmtId="0" fontId="15" fillId="0" borderId="0" xfId="4" applyFont="1" applyAlignment="1">
      <alignment horizontal="center" wrapText="1"/>
    </xf>
    <xf numFmtId="0" fontId="15" fillId="0" borderId="0" xfId="4" applyFont="1" applyAlignment="1">
      <alignment vertical="center"/>
    </xf>
    <xf numFmtId="0" fontId="22" fillId="0" borderId="0" xfId="4" applyFont="1" applyAlignment="1">
      <alignment vertical="center"/>
    </xf>
    <xf numFmtId="0" fontId="22" fillId="0" borderId="0" xfId="4" applyFont="1"/>
    <xf numFmtId="0" fontId="22" fillId="0" borderId="6" xfId="4" applyFont="1" applyBorder="1"/>
    <xf numFmtId="0" fontId="22" fillId="0" borderId="2" xfId="4" applyFont="1" applyBorder="1"/>
    <xf numFmtId="0" fontId="15" fillId="0" borderId="1" xfId="4" applyFont="1" applyBorder="1" applyAlignment="1">
      <alignment horizontal="center" vertical="center" wrapText="1"/>
    </xf>
    <xf numFmtId="0" fontId="15" fillId="0" borderId="1" xfId="4" applyFont="1" applyBorder="1" applyAlignment="1">
      <alignment horizontal="left" vertical="center" wrapText="1"/>
    </xf>
    <xf numFmtId="0" fontId="15" fillId="0" borderId="1" xfId="4" applyFont="1" applyBorder="1" applyAlignment="1">
      <alignment horizontal="left" wrapText="1"/>
    </xf>
    <xf numFmtId="0" fontId="15" fillId="0" borderId="1" xfId="4" applyFont="1" applyBorder="1"/>
    <xf numFmtId="0" fontId="15" fillId="0" borderId="8" xfId="4" applyFont="1" applyBorder="1" applyAlignment="1">
      <alignment horizontal="left" wrapText="1"/>
    </xf>
    <xf numFmtId="0" fontId="15" fillId="0" borderId="8" xfId="4" applyFont="1" applyBorder="1"/>
    <xf numFmtId="0" fontId="15" fillId="0" borderId="8" xfId="4" quotePrefix="1" applyFont="1" applyBorder="1" applyAlignment="1">
      <alignment horizontal="left" wrapText="1"/>
    </xf>
    <xf numFmtId="0" fontId="15" fillId="0" borderId="8" xfId="4" applyFont="1" applyBorder="1" applyAlignment="1"/>
    <xf numFmtId="0" fontId="22" fillId="0" borderId="1" xfId="4" applyFont="1" applyBorder="1"/>
    <xf numFmtId="0" fontId="15" fillId="0" borderId="5" xfId="4" applyFont="1" applyBorder="1" applyAlignment="1">
      <alignment horizontal="left" vertical="center" wrapText="1"/>
    </xf>
    <xf numFmtId="0" fontId="15" fillId="0" borderId="6" xfId="4" applyFont="1" applyBorder="1" applyAlignment="1">
      <alignment horizontal="left" wrapText="1"/>
    </xf>
    <xf numFmtId="0" fontId="15" fillId="0" borderId="6" xfId="4" applyFont="1" applyBorder="1"/>
    <xf numFmtId="0" fontId="15" fillId="0" borderId="2" xfId="4" applyFont="1" applyBorder="1"/>
    <xf numFmtId="0" fontId="22" fillId="0" borderId="1" xfId="4" applyFont="1" applyBorder="1" applyAlignment="1">
      <alignment horizontal="left" vertical="center" wrapText="1"/>
    </xf>
    <xf numFmtId="0" fontId="22" fillId="0" borderId="0" xfId="4" applyFont="1" applyFill="1" applyBorder="1" applyAlignment="1">
      <alignment horizontal="left" vertical="center" wrapText="1"/>
    </xf>
    <xf numFmtId="0" fontId="15" fillId="0" borderId="0" xfId="4" applyFont="1" applyAlignment="1">
      <alignment horizontal="left" indent="4"/>
    </xf>
    <xf numFmtId="0" fontId="15" fillId="0" borderId="7" xfId="4" applyFont="1" applyBorder="1"/>
    <xf numFmtId="0" fontId="22" fillId="7" borderId="1" xfId="4" applyFont="1" applyFill="1" applyBorder="1" applyAlignment="1">
      <alignment horizontal="center" vertical="center" wrapText="1"/>
    </xf>
    <xf numFmtId="0" fontId="27" fillId="7" borderId="1" xfId="4" applyFont="1" applyFill="1" applyBorder="1" applyAlignment="1">
      <alignment horizontal="center"/>
    </xf>
    <xf numFmtId="0" fontId="27" fillId="7" borderId="1" xfId="4" applyFont="1" applyFill="1" applyBorder="1" applyAlignment="1">
      <alignment horizontal="center" wrapText="1"/>
    </xf>
    <xf numFmtId="0" fontId="15" fillId="6" borderId="1" xfId="4" applyFont="1" applyFill="1" applyBorder="1" applyAlignment="1">
      <alignment vertical="center" wrapText="1"/>
    </xf>
    <xf numFmtId="0" fontId="15" fillId="0" borderId="1" xfId="4" applyFont="1" applyBorder="1" applyAlignment="1">
      <alignment vertical="center"/>
    </xf>
    <xf numFmtId="0" fontId="15" fillId="0" borderId="1" xfId="4" applyFont="1" applyBorder="1" applyAlignment="1">
      <alignment vertical="center" wrapText="1"/>
    </xf>
    <xf numFmtId="0" fontId="15" fillId="0" borderId="0" xfId="4" applyFont="1" applyAlignment="1">
      <alignment horizontal="left"/>
    </xf>
    <xf numFmtId="0" fontId="11" fillId="0" borderId="4" xfId="0" applyFont="1" applyBorder="1" applyAlignment="1">
      <alignment horizontal="center" vertical="center" wrapText="1"/>
    </xf>
    <xf numFmtId="0" fontId="29" fillId="0" borderId="0" xfId="0" applyFont="1"/>
    <xf numFmtId="165" fontId="10" fillId="0" borderId="0" xfId="0" applyNumberFormat="1" applyFont="1" applyAlignment="1">
      <alignment horizontal="right"/>
    </xf>
    <xf numFmtId="165" fontId="21" fillId="0" borderId="1" xfId="0" applyNumberFormat="1" applyFont="1" applyBorder="1" applyAlignment="1">
      <alignment horizontal="center" vertical="center" wrapText="1"/>
    </xf>
    <xf numFmtId="165" fontId="18" fillId="0" borderId="0" xfId="0" applyNumberFormat="1" applyFont="1"/>
    <xf numFmtId="165" fontId="15" fillId="0" borderId="0" xfId="0" applyNumberFormat="1" applyFont="1"/>
    <xf numFmtId="0" fontId="15" fillId="0" borderId="0" xfId="0" applyFont="1"/>
    <xf numFmtId="166" fontId="15" fillId="0" borderId="0" xfId="0" applyNumberFormat="1" applyFont="1"/>
    <xf numFmtId="165" fontId="15" fillId="0" borderId="0" xfId="0" applyNumberFormat="1" applyFont="1" applyAlignment="1">
      <alignment horizontal="right"/>
    </xf>
    <xf numFmtId="165" fontId="2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65" fontId="18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65" fontId="21" fillId="0" borderId="1" xfId="0" applyNumberFormat="1" applyFont="1" applyBorder="1" applyAlignment="1">
      <alignment horizontal="center" vertical="center" wrapText="1"/>
    </xf>
    <xf numFmtId="166" fontId="21" fillId="0" borderId="1" xfId="0" applyNumberFormat="1" applyFont="1" applyBorder="1" applyAlignment="1">
      <alignment horizontal="center" vertical="center" wrapText="1"/>
    </xf>
    <xf numFmtId="165" fontId="22" fillId="0" borderId="1" xfId="0" applyNumberFormat="1" applyFont="1" applyBorder="1" applyAlignment="1">
      <alignment horizontal="center" vertical="center" wrapText="1"/>
    </xf>
    <xf numFmtId="49" fontId="9" fillId="0" borderId="5" xfId="3" applyNumberFormat="1" applyFont="1" applyFill="1" applyBorder="1" applyAlignment="1">
      <alignment horizontal="center" vertical="center" wrapText="1"/>
    </xf>
    <xf numFmtId="49" fontId="8" fillId="0" borderId="2" xfId="3" applyNumberFormat="1" applyFont="1" applyFill="1" applyBorder="1" applyAlignment="1">
      <alignment horizontal="center" vertical="center" wrapText="1"/>
    </xf>
    <xf numFmtId="43" fontId="19" fillId="0" borderId="1" xfId="1" applyFont="1" applyBorder="1" applyAlignment="1">
      <alignment horizontal="center" vertical="center"/>
    </xf>
    <xf numFmtId="9" fontId="19" fillId="0" borderId="1" xfId="2" applyFont="1" applyBorder="1" applyAlignment="1">
      <alignment horizontal="center" vertical="center"/>
    </xf>
    <xf numFmtId="165" fontId="20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20" fillId="0" borderId="1" xfId="0" applyNumberFormat="1" applyFont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2" fontId="20" fillId="0" borderId="1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165" fontId="18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49" fontId="8" fillId="4" borderId="3" xfId="3" applyNumberFormat="1" applyFont="1" applyFill="1" applyBorder="1" applyAlignment="1">
      <alignment horizontal="center" vertical="center" wrapText="1"/>
    </xf>
    <xf numFmtId="49" fontId="8" fillId="4" borderId="4" xfId="3" applyNumberFormat="1" applyFont="1" applyFill="1" applyBorder="1" applyAlignment="1">
      <alignment horizontal="center" vertical="center" wrapText="1"/>
    </xf>
    <xf numFmtId="2" fontId="9" fillId="0" borderId="1" xfId="3" applyNumberFormat="1" applyFont="1" applyFill="1" applyBorder="1" applyAlignment="1">
      <alignment horizontal="center" vertical="center" wrapText="1"/>
    </xf>
    <xf numFmtId="49" fontId="9" fillId="3" borderId="1" xfId="3" applyNumberFormat="1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49" fontId="8" fillId="3" borderId="1" xfId="3" applyNumberFormat="1" applyFont="1" applyFill="1" applyBorder="1" applyAlignment="1">
      <alignment horizontal="center" vertical="center" wrapText="1"/>
    </xf>
    <xf numFmtId="2" fontId="8" fillId="3" borderId="1" xfId="3" applyNumberFormat="1" applyFont="1" applyFill="1" applyBorder="1" applyAlignment="1">
      <alignment horizontal="center" vertical="center" wrapText="1"/>
    </xf>
    <xf numFmtId="0" fontId="0" fillId="3" borderId="0" xfId="0" applyFill="1"/>
    <xf numFmtId="3" fontId="0" fillId="5" borderId="1" xfId="0" applyNumberFormat="1" applyFill="1" applyBorder="1"/>
    <xf numFmtId="0" fontId="0" fillId="5" borderId="0" xfId="0" applyFill="1"/>
    <xf numFmtId="3" fontId="13" fillId="5" borderId="1" xfId="0" applyNumberFormat="1" applyFont="1" applyFill="1" applyBorder="1"/>
    <xf numFmtId="4" fontId="0" fillId="5" borderId="1" xfId="0" applyNumberFormat="1" applyFill="1" applyBorder="1"/>
    <xf numFmtId="4" fontId="13" fillId="5" borderId="1" xfId="0" applyNumberFormat="1" applyFont="1" applyFill="1" applyBorder="1"/>
    <xf numFmtId="165" fontId="21" fillId="0" borderId="1" xfId="0" applyNumberFormat="1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9" fontId="0" fillId="9" borderId="1" xfId="2" applyFont="1" applyFill="1" applyBorder="1"/>
    <xf numFmtId="0" fontId="0" fillId="9" borderId="1" xfId="0" applyFill="1" applyBorder="1"/>
    <xf numFmtId="49" fontId="33" fillId="0" borderId="0" xfId="0" applyNumberFormat="1" applyFont="1" applyFill="1"/>
    <xf numFmtId="0" fontId="33" fillId="0" borderId="0" xfId="0" applyFont="1" applyFill="1"/>
    <xf numFmtId="0" fontId="32" fillId="0" borderId="0" xfId="0" applyFont="1" applyFill="1" applyAlignment="1">
      <alignment horizontal="center" vertical="center"/>
    </xf>
    <xf numFmtId="0" fontId="33" fillId="0" borderId="0" xfId="0" applyFont="1" applyFill="1" applyAlignment="1">
      <alignment horizontal="center" wrapText="1"/>
    </xf>
    <xf numFmtId="49" fontId="32" fillId="0" borderId="0" xfId="0" applyNumberFormat="1" applyFont="1" applyFill="1" applyAlignment="1">
      <alignment horizontal="center" vertical="center"/>
    </xf>
    <xf numFmtId="49" fontId="33" fillId="0" borderId="1" xfId="0" applyNumberFormat="1" applyFont="1" applyFill="1" applyBorder="1"/>
    <xf numFmtId="49" fontId="33" fillId="0" borderId="1" xfId="0" applyNumberFormat="1" applyFont="1" applyFill="1" applyBorder="1" applyAlignment="1">
      <alignment horizontal="center"/>
    </xf>
    <xf numFmtId="4" fontId="34" fillId="0" borderId="8" xfId="0" applyNumberFormat="1" applyFont="1" applyFill="1" applyBorder="1" applyAlignment="1">
      <alignment horizontal="center" vertical="center" wrapText="1"/>
    </xf>
    <xf numFmtId="4" fontId="34" fillId="0" borderId="10" xfId="0" applyNumberFormat="1" applyFont="1" applyFill="1" applyBorder="1" applyAlignment="1">
      <alignment horizontal="center" vertical="center" wrapText="1"/>
    </xf>
    <xf numFmtId="4" fontId="34" fillId="0" borderId="1" xfId="0" applyNumberFormat="1" applyFont="1" applyFill="1" applyBorder="1" applyAlignment="1">
      <alignment horizontal="center" vertical="center" wrapText="1"/>
    </xf>
    <xf numFmtId="4" fontId="34" fillId="0" borderId="5" xfId="0" applyNumberFormat="1" applyFont="1" applyFill="1" applyBorder="1" applyAlignment="1">
      <alignment horizontal="center" vertical="center" wrapText="1"/>
    </xf>
    <xf numFmtId="4" fontId="35" fillId="0" borderId="1" xfId="0" applyNumberFormat="1" applyFont="1" applyFill="1" applyBorder="1" applyAlignment="1">
      <alignment horizontal="center" vertical="center" wrapText="1"/>
    </xf>
    <xf numFmtId="4" fontId="36" fillId="0" borderId="1" xfId="0" applyNumberFormat="1" applyFont="1" applyFill="1" applyBorder="1" applyAlignment="1">
      <alignment horizontal="center" vertical="center" wrapText="1"/>
    </xf>
    <xf numFmtId="4" fontId="33" fillId="0" borderId="1" xfId="0" applyNumberFormat="1" applyFont="1" applyFill="1" applyBorder="1" applyAlignment="1">
      <alignment horizontal="center"/>
    </xf>
    <xf numFmtId="4" fontId="33" fillId="0" borderId="1" xfId="0" applyNumberFormat="1" applyFont="1" applyFill="1" applyBorder="1"/>
    <xf numFmtId="4" fontId="33" fillId="0" borderId="0" xfId="0" applyNumberFormat="1" applyFont="1" applyFill="1"/>
    <xf numFmtId="49" fontId="34" fillId="0" borderId="0" xfId="0" applyNumberFormat="1" applyFont="1" applyFill="1"/>
    <xf numFmtId="4" fontId="34" fillId="0" borderId="8" xfId="0" applyNumberFormat="1" applyFont="1" applyFill="1" applyBorder="1" applyAlignment="1">
      <alignment horizontal="center" vertical="center" wrapText="1"/>
    </xf>
    <xf numFmtId="4" fontId="34" fillId="0" borderId="3" xfId="0" applyNumberFormat="1" applyFont="1" applyFill="1" applyBorder="1" applyAlignment="1">
      <alignment horizontal="center" vertical="center" wrapText="1"/>
    </xf>
    <xf numFmtId="4" fontId="34" fillId="0" borderId="4" xfId="0" applyNumberFormat="1" applyFont="1" applyFill="1" applyBorder="1" applyAlignment="1">
      <alignment horizontal="center" vertical="center" wrapText="1"/>
    </xf>
    <xf numFmtId="4" fontId="34" fillId="0" borderId="8" xfId="0" applyNumberFormat="1" applyFont="1" applyFill="1" applyBorder="1" applyAlignment="1">
      <alignment horizontal="center" vertical="center" wrapText="1"/>
    </xf>
    <xf numFmtId="49" fontId="34" fillId="0" borderId="3" xfId="0" applyNumberFormat="1" applyFont="1" applyFill="1" applyBorder="1" applyAlignment="1">
      <alignment horizontal="center" vertical="center" wrapText="1"/>
    </xf>
    <xf numFmtId="49" fontId="34" fillId="0" borderId="4" xfId="0" applyNumberFormat="1" applyFont="1" applyFill="1" applyBorder="1" applyAlignment="1">
      <alignment horizontal="center" vertical="center" wrapText="1"/>
    </xf>
    <xf numFmtId="49" fontId="34" fillId="0" borderId="8" xfId="0" applyNumberFormat="1" applyFont="1" applyFill="1" applyBorder="1" applyAlignment="1">
      <alignment horizontal="center" vertical="center" wrapText="1"/>
    </xf>
    <xf numFmtId="4" fontId="34" fillId="0" borderId="1" xfId="0" applyNumberFormat="1" applyFont="1" applyFill="1" applyBorder="1" applyAlignment="1">
      <alignment horizontal="center" vertical="center" wrapText="1"/>
    </xf>
    <xf numFmtId="4" fontId="32" fillId="0" borderId="1" xfId="0" applyNumberFormat="1" applyFont="1" applyFill="1" applyBorder="1" applyAlignment="1">
      <alignment horizontal="center" vertical="center" wrapText="1"/>
    </xf>
    <xf numFmtId="4" fontId="32" fillId="0" borderId="1" xfId="0" applyNumberFormat="1" applyFont="1" applyFill="1" applyBorder="1" applyAlignment="1">
      <alignment horizontal="center" vertical="center"/>
    </xf>
    <xf numFmtId="4" fontId="34" fillId="0" borderId="9" xfId="0" applyNumberFormat="1" applyFont="1" applyFill="1" applyBorder="1" applyAlignment="1">
      <alignment horizontal="center" vertical="center" wrapText="1"/>
    </xf>
    <xf numFmtId="4" fontId="34" fillId="0" borderId="12" xfId="0" applyNumberFormat="1" applyFont="1" applyFill="1" applyBorder="1" applyAlignment="1">
      <alignment horizontal="center" vertical="center" wrapText="1"/>
    </xf>
    <xf numFmtId="4" fontId="34" fillId="0" borderId="11" xfId="0" applyNumberFormat="1" applyFont="1" applyFill="1" applyBorder="1" applyAlignment="1">
      <alignment horizontal="center" vertical="center" wrapText="1"/>
    </xf>
    <xf numFmtId="4" fontId="34" fillId="0" borderId="10" xfId="0" applyNumberFormat="1" applyFont="1" applyFill="1" applyBorder="1" applyAlignment="1">
      <alignment horizontal="center" vertical="center" wrapText="1"/>
    </xf>
    <xf numFmtId="4" fontId="32" fillId="0" borderId="13" xfId="0" applyNumberFormat="1" applyFont="1" applyFill="1" applyBorder="1" applyAlignment="1">
      <alignment horizontal="center" vertical="center" wrapText="1"/>
    </xf>
    <xf numFmtId="4" fontId="32" fillId="0" borderId="0" xfId="0" applyNumberFormat="1" applyFont="1" applyFill="1" applyAlignment="1">
      <alignment horizontal="center" vertical="center" wrapText="1"/>
    </xf>
    <xf numFmtId="4" fontId="32" fillId="0" borderId="12" xfId="0" applyNumberFormat="1" applyFont="1" applyFill="1" applyBorder="1" applyAlignment="1">
      <alignment horizontal="center" vertical="center" wrapText="1"/>
    </xf>
    <xf numFmtId="4" fontId="32" fillId="0" borderId="7" xfId="0" applyNumberFormat="1" applyFont="1" applyFill="1" applyBorder="1" applyAlignment="1">
      <alignment horizontal="center" vertical="center" wrapText="1"/>
    </xf>
    <xf numFmtId="49" fontId="8" fillId="5" borderId="5" xfId="3" applyNumberFormat="1" applyFont="1" applyFill="1" applyBorder="1" applyAlignment="1">
      <alignment horizontal="center" vertical="center" wrapText="1"/>
    </xf>
    <xf numFmtId="49" fontId="8" fillId="5" borderId="6" xfId="3" applyNumberFormat="1" applyFont="1" applyFill="1" applyBorder="1" applyAlignment="1">
      <alignment horizontal="center" vertical="center" wrapText="1"/>
    </xf>
    <xf numFmtId="49" fontId="8" fillId="5" borderId="2" xfId="3" applyNumberFormat="1" applyFont="1" applyFill="1" applyBorder="1" applyAlignment="1">
      <alignment horizontal="center" vertical="center" wrapText="1"/>
    </xf>
    <xf numFmtId="49" fontId="8" fillId="4" borderId="3" xfId="3" applyNumberFormat="1" applyFont="1" applyFill="1" applyBorder="1" applyAlignment="1">
      <alignment horizontal="center" vertical="center" wrapText="1"/>
    </xf>
    <xf numFmtId="49" fontId="8" fillId="4" borderId="4" xfId="3" applyNumberFormat="1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2" fontId="9" fillId="0" borderId="3" xfId="3" applyNumberFormat="1" applyFont="1" applyFill="1" applyBorder="1" applyAlignment="1">
      <alignment horizontal="center" vertical="center" wrapText="1"/>
    </xf>
    <xf numFmtId="2" fontId="9" fillId="0" borderId="4" xfId="3" applyNumberFormat="1" applyFont="1" applyFill="1" applyBorder="1" applyAlignment="1">
      <alignment horizontal="center" vertical="center" wrapText="1"/>
    </xf>
    <xf numFmtId="2" fontId="9" fillId="0" borderId="8" xfId="3" applyNumberFormat="1" applyFont="1" applyFill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/>
    </xf>
    <xf numFmtId="49" fontId="2" fillId="0" borderId="6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49" fontId="8" fillId="4" borderId="1" xfId="3" applyNumberFormat="1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49" fontId="8" fillId="2" borderId="3" xfId="3" applyNumberFormat="1" applyFont="1" applyFill="1" applyBorder="1" applyAlignment="1">
      <alignment horizontal="center" vertical="center" wrapText="1"/>
    </xf>
    <xf numFmtId="49" fontId="8" fillId="2" borderId="4" xfId="3" applyNumberFormat="1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65" fontId="21" fillId="0" borderId="3" xfId="0" applyNumberFormat="1" applyFont="1" applyBorder="1" applyAlignment="1">
      <alignment horizontal="center" vertical="center" wrapText="1"/>
    </xf>
    <xf numFmtId="165" fontId="21" fillId="0" borderId="8" xfId="0" applyNumberFormat="1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166" fontId="21" fillId="0" borderId="3" xfId="0" applyNumberFormat="1" applyFont="1" applyBorder="1" applyAlignment="1">
      <alignment horizontal="center" vertical="center" wrapText="1"/>
    </xf>
    <xf numFmtId="166" fontId="21" fillId="0" borderId="8" xfId="0" applyNumberFormat="1" applyFont="1" applyBorder="1" applyAlignment="1">
      <alignment horizontal="center" vertical="center" wrapText="1"/>
    </xf>
    <xf numFmtId="165" fontId="21" fillId="0" borderId="5" xfId="0" applyNumberFormat="1" applyFont="1" applyBorder="1" applyAlignment="1">
      <alignment horizontal="center" vertical="center" wrapText="1"/>
    </xf>
    <xf numFmtId="165" fontId="21" fillId="0" borderId="6" xfId="0" applyNumberFormat="1" applyFont="1" applyBorder="1" applyAlignment="1">
      <alignment horizontal="center" vertical="center" wrapText="1"/>
    </xf>
    <xf numFmtId="165" fontId="21" fillId="0" borderId="2" xfId="0" applyNumberFormat="1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165" fontId="22" fillId="0" borderId="3" xfId="0" applyNumberFormat="1" applyFont="1" applyBorder="1" applyAlignment="1">
      <alignment horizontal="center" vertical="center" wrapText="1"/>
    </xf>
    <xf numFmtId="165" fontId="22" fillId="0" borderId="8" xfId="0" applyNumberFormat="1" applyFont="1" applyBorder="1" applyAlignment="1">
      <alignment horizontal="center" vertical="center" wrapText="1"/>
    </xf>
    <xf numFmtId="165" fontId="21" fillId="0" borderId="1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165" fontId="18" fillId="0" borderId="3" xfId="0" applyNumberFormat="1" applyFont="1" applyBorder="1" applyAlignment="1">
      <alignment horizontal="center" vertical="center" wrapText="1"/>
    </xf>
    <xf numFmtId="165" fontId="18" fillId="0" borderId="8" xfId="0" applyNumberFormat="1" applyFont="1" applyBorder="1" applyAlignment="1">
      <alignment horizontal="center" vertical="center" wrapText="1"/>
    </xf>
    <xf numFmtId="166" fontId="18" fillId="0" borderId="3" xfId="0" applyNumberFormat="1" applyFont="1" applyBorder="1" applyAlignment="1">
      <alignment horizontal="center" vertical="center" wrapText="1"/>
    </xf>
    <xf numFmtId="166" fontId="18" fillId="0" borderId="8" xfId="0" applyNumberFormat="1" applyFont="1" applyBorder="1" applyAlignment="1">
      <alignment horizontal="center" vertical="center" wrapText="1"/>
    </xf>
    <xf numFmtId="165" fontId="16" fillId="0" borderId="3" xfId="0" applyNumberFormat="1" applyFont="1" applyBorder="1" applyAlignment="1">
      <alignment horizontal="center" vertical="center" wrapText="1"/>
    </xf>
    <xf numFmtId="165" fontId="16" fillId="0" borderId="8" xfId="0" applyNumberFormat="1" applyFont="1" applyBorder="1" applyAlignment="1">
      <alignment horizontal="center" vertical="center" wrapText="1"/>
    </xf>
    <xf numFmtId="165" fontId="18" fillId="0" borderId="5" xfId="0" applyNumberFormat="1" applyFont="1" applyBorder="1" applyAlignment="1">
      <alignment horizontal="center" vertical="center" wrapText="1"/>
    </xf>
    <xf numFmtId="165" fontId="18" fillId="0" borderId="6" xfId="0" applyNumberFormat="1" applyFont="1" applyBorder="1" applyAlignment="1">
      <alignment horizontal="center" vertical="center" wrapText="1"/>
    </xf>
    <xf numFmtId="165" fontId="18" fillId="0" borderId="2" xfId="0" applyNumberFormat="1" applyFont="1" applyBorder="1" applyAlignment="1">
      <alignment horizontal="center" vertical="center" wrapText="1"/>
    </xf>
    <xf numFmtId="166" fontId="21" fillId="0" borderId="1" xfId="0" applyNumberFormat="1" applyFont="1" applyBorder="1" applyAlignment="1">
      <alignment horizontal="center" vertical="center" wrapText="1"/>
    </xf>
    <xf numFmtId="165" fontId="22" fillId="0" borderId="1" xfId="0" applyNumberFormat="1" applyFont="1" applyBorder="1" applyAlignment="1">
      <alignment horizontal="center" vertical="center" wrapText="1"/>
    </xf>
    <xf numFmtId="165" fontId="20" fillId="0" borderId="7" xfId="0" applyNumberFormat="1" applyFont="1" applyBorder="1" applyAlignment="1">
      <alignment horizontal="center"/>
    </xf>
    <xf numFmtId="3" fontId="31" fillId="0" borderId="7" xfId="0" applyNumberFormat="1" applyFont="1" applyBorder="1" applyAlignment="1">
      <alignment horizontal="center"/>
    </xf>
    <xf numFmtId="3" fontId="20" fillId="0" borderId="7" xfId="0" applyNumberFormat="1" applyFont="1" applyBorder="1" applyAlignment="1">
      <alignment horizontal="center"/>
    </xf>
    <xf numFmtId="0" fontId="17" fillId="8" borderId="7" xfId="0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49" fontId="17" fillId="0" borderId="7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65" fontId="18" fillId="0" borderId="1" xfId="0" applyNumberFormat="1" applyFont="1" applyBorder="1" applyAlignment="1">
      <alignment horizontal="center" vertical="center" wrapText="1"/>
    </xf>
    <xf numFmtId="166" fontId="18" fillId="0" borderId="1" xfId="0" applyNumberFormat="1" applyFont="1" applyBorder="1" applyAlignment="1">
      <alignment horizontal="center" vertical="center" wrapText="1"/>
    </xf>
    <xf numFmtId="165" fontId="16" fillId="0" borderId="1" xfId="0" applyNumberFormat="1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22" fillId="0" borderId="5" xfId="4" applyFont="1" applyBorder="1" applyAlignment="1">
      <alignment horizontal="left"/>
    </xf>
    <xf numFmtId="0" fontId="15" fillId="0" borderId="6" xfId="4" applyFont="1" applyBorder="1" applyAlignment="1">
      <alignment horizontal="left"/>
    </xf>
    <xf numFmtId="0" fontId="15" fillId="0" borderId="3" xfId="4" applyFont="1" applyBorder="1" applyAlignment="1">
      <alignment horizontal="center" vertical="center" wrapText="1"/>
    </xf>
    <xf numFmtId="0" fontId="15" fillId="0" borderId="4" xfId="4" applyFont="1" applyBorder="1" applyAlignment="1">
      <alignment horizontal="center" vertical="center" wrapText="1"/>
    </xf>
    <xf numFmtId="0" fontId="15" fillId="0" borderId="8" xfId="4" applyFont="1" applyBorder="1" applyAlignment="1">
      <alignment horizontal="center" vertical="center" wrapText="1"/>
    </xf>
    <xf numFmtId="0" fontId="15" fillId="0" borderId="3" xfId="4" applyFont="1" applyBorder="1" applyAlignment="1">
      <alignment horizontal="left" vertical="center" wrapText="1"/>
    </xf>
    <xf numFmtId="0" fontId="15" fillId="0" borderId="4" xfId="4" applyFont="1" applyBorder="1" applyAlignment="1">
      <alignment horizontal="left" vertical="center" wrapText="1"/>
    </xf>
    <xf numFmtId="0" fontId="15" fillId="0" borderId="8" xfId="4" applyFont="1" applyBorder="1" applyAlignment="1">
      <alignment horizontal="left" vertical="center" wrapText="1"/>
    </xf>
    <xf numFmtId="0" fontId="15" fillId="0" borderId="0" xfId="4" applyFont="1" applyAlignment="1">
      <alignment horizontal="center"/>
    </xf>
    <xf numFmtId="0" fontId="22" fillId="7" borderId="1" xfId="4" applyFont="1" applyFill="1" applyBorder="1" applyAlignment="1">
      <alignment horizontal="center" vertical="center" wrapText="1"/>
    </xf>
    <xf numFmtId="0" fontId="22" fillId="0" borderId="5" xfId="4" applyFont="1" applyBorder="1" applyAlignment="1">
      <alignment horizontal="center" vertical="center"/>
    </xf>
    <xf numFmtId="0" fontId="22" fillId="0" borderId="6" xfId="4" applyFont="1" applyBorder="1" applyAlignment="1">
      <alignment horizontal="center" vertical="center"/>
    </xf>
    <xf numFmtId="0" fontId="22" fillId="0" borderId="2" xfId="4" applyFont="1" applyBorder="1" applyAlignment="1">
      <alignment horizontal="center" vertical="center"/>
    </xf>
    <xf numFmtId="0" fontId="22" fillId="0" borderId="5" xfId="4" applyFont="1" applyBorder="1" applyAlignment="1">
      <alignment horizontal="center" vertical="center" wrapText="1"/>
    </xf>
    <xf numFmtId="0" fontId="22" fillId="0" borderId="6" xfId="4" applyFont="1" applyBorder="1" applyAlignment="1">
      <alignment horizontal="center" vertical="center" wrapText="1"/>
    </xf>
    <xf numFmtId="0" fontId="22" fillId="0" borderId="2" xfId="4" applyFont="1" applyBorder="1" applyAlignment="1">
      <alignment horizontal="center" vertical="center" wrapText="1"/>
    </xf>
    <xf numFmtId="0" fontId="22" fillId="0" borderId="1" xfId="4" applyFont="1" applyBorder="1" applyAlignment="1">
      <alignment horizontal="center" vertical="center" wrapText="1"/>
    </xf>
  </cellXfs>
  <cellStyles count="7">
    <cellStyle name="Обычный" xfId="0" builtinId="0"/>
    <cellStyle name="Обычный 2" xfId="4"/>
    <cellStyle name="Обычный 3" xfId="3"/>
    <cellStyle name="Обычный 4" xfId="5"/>
    <cellStyle name="Обычный 7" xfId="6"/>
    <cellStyle name="Процентный" xfId="2" builtinId="5"/>
    <cellStyle name="Финансовый" xfId="1" builtinId="3"/>
  </cellStyles>
  <dxfs count="4">
    <dxf>
      <font>
        <condense val="0"/>
        <extend val="0"/>
        <color indexed="9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88107</xdr:rowOff>
    </xdr:from>
    <xdr:to>
      <xdr:col>5</xdr:col>
      <xdr:colOff>1099172</xdr:colOff>
      <xdr:row>4</xdr:row>
      <xdr:rowOff>0</xdr:rowOff>
    </xdr:to>
    <xdr:sp macro="" textlink="">
      <xdr:nvSpPr>
        <xdr:cNvPr id="2" name="TextBox 1"/>
        <xdr:cNvSpPr txBox="1"/>
      </xdr:nvSpPr>
      <xdr:spPr>
        <a:xfrm>
          <a:off x="57150" y="1688307"/>
          <a:ext cx="9204947" cy="5119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ru-RU" sz="1400" b="1">
              <a:latin typeface="Times New Roman" panose="02020603050405020304" pitchFamily="18" charset="0"/>
              <a:cs typeface="Times New Roman" panose="02020603050405020304" pitchFamily="18" charset="0"/>
            </a:rPr>
            <a:t>План мероприятий по снижению затрат на персонал и повышению производ</a:t>
          </a:r>
          <a:r>
            <a:rPr lang="ru-RU" sz="1400" b="1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ительности труда </a:t>
          </a:r>
        </a:p>
        <a:p>
          <a:pPr algn="ctr"/>
          <a:r>
            <a:rPr lang="ru-RU" sz="1050" b="0">
              <a:latin typeface="Times New Roman" panose="02020603050405020304" pitchFamily="18" charset="0"/>
              <a:cs typeface="Times New Roman" panose="02020603050405020304" pitchFamily="18" charset="0"/>
            </a:rPr>
            <a:t>по подразделению   _________ на 2017 год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5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8"/>
  <sheetViews>
    <sheetView tabSelected="1" zoomScale="89" zoomScaleNormal="89" workbookViewId="0">
      <pane xSplit="4" ySplit="7" topLeftCell="Q8" activePane="bottomRight" state="frozen"/>
      <selection pane="topRight" activeCell="E1" sqref="E1"/>
      <selection pane="bottomLeft" activeCell="A8" sqref="A8"/>
      <selection pane="bottomRight" activeCell="U6" sqref="U6"/>
    </sheetView>
  </sheetViews>
  <sheetFormatPr defaultRowHeight="16.5" x14ac:dyDescent="0.3"/>
  <cols>
    <col min="1" max="1" width="32.7109375" style="130" customWidth="1"/>
    <col min="2" max="2" width="15.85546875" style="130" customWidth="1"/>
    <col min="3" max="3" width="27.28515625" style="130" customWidth="1"/>
    <col min="4" max="6" width="12.85546875" style="130" customWidth="1"/>
    <col min="7" max="7" width="16" style="130" customWidth="1"/>
    <col min="8" max="8" width="34.85546875" style="130" customWidth="1"/>
    <col min="9" max="9" width="13.7109375" style="130" customWidth="1"/>
    <col min="10" max="11" width="11.5703125" style="145" customWidth="1"/>
    <col min="12" max="12" width="14.7109375" style="145" customWidth="1"/>
    <col min="13" max="18" width="15.140625" style="145" customWidth="1"/>
    <col min="19" max="20" width="20.85546875" style="145" customWidth="1"/>
    <col min="21" max="21" width="20" style="145" customWidth="1"/>
    <col min="22" max="23" width="15.140625" style="145" customWidth="1"/>
    <col min="24" max="24" width="17.140625" style="145" customWidth="1"/>
    <col min="25" max="27" width="15.7109375" style="145" customWidth="1"/>
    <col min="28" max="28" width="19.42578125" style="145" customWidth="1"/>
    <col min="29" max="36" width="15.7109375" style="145" customWidth="1"/>
    <col min="37" max="37" width="23.7109375" style="145" customWidth="1"/>
    <col min="38" max="38" width="15.7109375" style="145" customWidth="1"/>
    <col min="39" max="39" width="15.7109375" style="131" customWidth="1"/>
    <col min="40" max="16384" width="9.140625" style="131"/>
  </cols>
  <sheetData>
    <row r="1" spans="1:38" x14ac:dyDescent="0.3">
      <c r="B1" s="146" t="s">
        <v>314</v>
      </c>
    </row>
    <row r="3" spans="1:38" s="132" customFormat="1" ht="63" customHeight="1" x14ac:dyDescent="0.25">
      <c r="A3" s="151" t="s">
        <v>72</v>
      </c>
      <c r="B3" s="151" t="s">
        <v>278</v>
      </c>
      <c r="C3" s="151" t="s">
        <v>196</v>
      </c>
      <c r="D3" s="151" t="s">
        <v>1</v>
      </c>
      <c r="E3" s="151" t="s">
        <v>281</v>
      </c>
      <c r="F3" s="151" t="s">
        <v>283</v>
      </c>
      <c r="G3" s="151" t="s">
        <v>282</v>
      </c>
      <c r="H3" s="151" t="s">
        <v>0</v>
      </c>
      <c r="I3" s="151" t="s">
        <v>277</v>
      </c>
      <c r="J3" s="148" t="s">
        <v>274</v>
      </c>
      <c r="K3" s="148" t="s">
        <v>280</v>
      </c>
      <c r="L3" s="148" t="s">
        <v>276</v>
      </c>
      <c r="M3" s="148" t="s">
        <v>279</v>
      </c>
      <c r="N3" s="157" t="s">
        <v>285</v>
      </c>
      <c r="O3" s="159"/>
      <c r="P3" s="159"/>
      <c r="Q3" s="159"/>
      <c r="R3" s="159"/>
      <c r="S3" s="159"/>
      <c r="T3" s="159"/>
      <c r="U3" s="160"/>
      <c r="V3" s="154" t="s">
        <v>295</v>
      </c>
      <c r="W3" s="154" t="s">
        <v>294</v>
      </c>
      <c r="X3" s="161" t="s">
        <v>308</v>
      </c>
      <c r="Y3" s="162"/>
      <c r="Z3" s="162"/>
      <c r="AA3" s="162"/>
      <c r="AB3" s="154" t="s">
        <v>293</v>
      </c>
      <c r="AC3" s="155" t="s">
        <v>309</v>
      </c>
      <c r="AD3" s="155"/>
      <c r="AE3" s="156" t="s">
        <v>310</v>
      </c>
      <c r="AF3" s="156"/>
      <c r="AG3" s="156"/>
      <c r="AH3" s="156"/>
      <c r="AI3" s="156"/>
      <c r="AJ3" s="156"/>
      <c r="AK3" s="155" t="s">
        <v>311</v>
      </c>
      <c r="AL3" s="155"/>
    </row>
    <row r="4" spans="1:38" s="132" customFormat="1" ht="28.5" customHeight="1" x14ac:dyDescent="0.25">
      <c r="A4" s="152"/>
      <c r="B4" s="152"/>
      <c r="C4" s="152"/>
      <c r="D4" s="152"/>
      <c r="E4" s="152"/>
      <c r="F4" s="152"/>
      <c r="G4" s="152"/>
      <c r="H4" s="152"/>
      <c r="I4" s="152"/>
      <c r="J4" s="149"/>
      <c r="K4" s="149"/>
      <c r="L4" s="149"/>
      <c r="M4" s="149"/>
      <c r="N4" s="157" t="s">
        <v>184</v>
      </c>
      <c r="O4" s="154" t="s">
        <v>292</v>
      </c>
      <c r="P4" s="154"/>
      <c r="Q4" s="154"/>
      <c r="R4" s="154"/>
      <c r="S4" s="154"/>
      <c r="T4" s="154"/>
      <c r="U4" s="154"/>
      <c r="V4" s="154"/>
      <c r="W4" s="154"/>
      <c r="X4" s="163"/>
      <c r="Y4" s="164"/>
      <c r="Z4" s="164"/>
      <c r="AA4" s="164"/>
      <c r="AB4" s="154"/>
      <c r="AC4" s="155"/>
      <c r="AD4" s="155"/>
      <c r="AE4" s="156"/>
      <c r="AF4" s="156"/>
      <c r="AG4" s="156"/>
      <c r="AH4" s="156"/>
      <c r="AI4" s="156"/>
      <c r="AJ4" s="156"/>
      <c r="AK4" s="155"/>
      <c r="AL4" s="155"/>
    </row>
    <row r="5" spans="1:38" s="134" customFormat="1" ht="99" customHeight="1" x14ac:dyDescent="0.25">
      <c r="A5" s="152"/>
      <c r="B5" s="152"/>
      <c r="C5" s="152"/>
      <c r="D5" s="152"/>
      <c r="E5" s="152"/>
      <c r="F5" s="152"/>
      <c r="G5" s="152"/>
      <c r="H5" s="152"/>
      <c r="I5" s="152"/>
      <c r="J5" s="149"/>
      <c r="K5" s="150"/>
      <c r="L5" s="149"/>
      <c r="M5" s="150"/>
      <c r="N5" s="158"/>
      <c r="O5" s="137" t="s">
        <v>286</v>
      </c>
      <c r="P5" s="137" t="s">
        <v>287</v>
      </c>
      <c r="Q5" s="137" t="s">
        <v>288</v>
      </c>
      <c r="R5" s="137" t="s">
        <v>289</v>
      </c>
      <c r="S5" s="137" t="s">
        <v>290</v>
      </c>
      <c r="T5" s="147" t="s">
        <v>296</v>
      </c>
      <c r="U5" s="147" t="s">
        <v>315</v>
      </c>
      <c r="V5" s="154"/>
      <c r="W5" s="154"/>
      <c r="X5" s="138" t="s">
        <v>291</v>
      </c>
      <c r="Y5" s="139" t="s">
        <v>302</v>
      </c>
      <c r="Z5" s="139" t="s">
        <v>304</v>
      </c>
      <c r="AA5" s="140" t="s">
        <v>306</v>
      </c>
      <c r="AB5" s="154"/>
      <c r="AC5" s="139" t="s">
        <v>305</v>
      </c>
      <c r="AD5" s="139" t="s">
        <v>307</v>
      </c>
      <c r="AE5" s="139" t="s">
        <v>297</v>
      </c>
      <c r="AF5" s="139" t="s">
        <v>298</v>
      </c>
      <c r="AG5" s="139" t="s">
        <v>299</v>
      </c>
      <c r="AH5" s="139" t="s">
        <v>300</v>
      </c>
      <c r="AI5" s="139" t="s">
        <v>301</v>
      </c>
      <c r="AJ5" s="139" t="s">
        <v>303</v>
      </c>
      <c r="AK5" s="139" t="s">
        <v>313</v>
      </c>
      <c r="AL5" s="139" t="s">
        <v>312</v>
      </c>
    </row>
    <row r="6" spans="1:38" s="133" customFormat="1" ht="16.5" customHeight="1" x14ac:dyDescent="0.3">
      <c r="A6" s="153"/>
      <c r="B6" s="153"/>
      <c r="C6" s="153"/>
      <c r="D6" s="153"/>
      <c r="E6" s="153"/>
      <c r="F6" s="153"/>
      <c r="G6" s="153"/>
      <c r="H6" s="153"/>
      <c r="I6" s="153"/>
      <c r="J6" s="141" t="s">
        <v>275</v>
      </c>
      <c r="K6" s="141" t="s">
        <v>284</v>
      </c>
      <c r="L6" s="150"/>
      <c r="M6" s="142" t="s">
        <v>273</v>
      </c>
      <c r="N6" s="142" t="s">
        <v>272</v>
      </c>
      <c r="O6" s="142" t="s">
        <v>272</v>
      </c>
      <c r="P6" s="142" t="s">
        <v>272</v>
      </c>
      <c r="Q6" s="142" t="s">
        <v>272</v>
      </c>
      <c r="R6" s="142" t="s">
        <v>272</v>
      </c>
      <c r="S6" s="142" t="s">
        <v>272</v>
      </c>
      <c r="T6" s="142" t="s">
        <v>272</v>
      </c>
      <c r="U6" s="142" t="s">
        <v>272</v>
      </c>
      <c r="V6" s="142" t="s">
        <v>273</v>
      </c>
      <c r="W6" s="142" t="s">
        <v>273</v>
      </c>
      <c r="X6" s="142" t="s">
        <v>273</v>
      </c>
      <c r="Y6" s="142" t="s">
        <v>273</v>
      </c>
      <c r="Z6" s="142" t="s">
        <v>273</v>
      </c>
      <c r="AA6" s="142" t="s">
        <v>273</v>
      </c>
      <c r="AB6" s="142" t="s">
        <v>273</v>
      </c>
      <c r="AC6" s="142" t="s">
        <v>273</v>
      </c>
      <c r="AD6" s="142" t="s">
        <v>273</v>
      </c>
      <c r="AE6" s="142" t="s">
        <v>272</v>
      </c>
      <c r="AF6" s="142" t="s">
        <v>272</v>
      </c>
      <c r="AG6" s="142" t="s">
        <v>272</v>
      </c>
      <c r="AH6" s="142" t="s">
        <v>272</v>
      </c>
      <c r="AI6" s="142" t="s">
        <v>272</v>
      </c>
      <c r="AJ6" s="142" t="s">
        <v>272</v>
      </c>
      <c r="AK6" s="142" t="s">
        <v>273</v>
      </c>
      <c r="AL6" s="142" t="s">
        <v>273</v>
      </c>
    </row>
    <row r="7" spans="1:38" x14ac:dyDescent="0.3">
      <c r="A7" s="136" t="s">
        <v>3</v>
      </c>
      <c r="B7" s="136" t="s">
        <v>78</v>
      </c>
      <c r="C7" s="136" t="s">
        <v>79</v>
      </c>
      <c r="D7" s="136" t="s">
        <v>80</v>
      </c>
      <c r="E7" s="136" t="s">
        <v>81</v>
      </c>
      <c r="F7" s="136" t="s">
        <v>82</v>
      </c>
      <c r="G7" s="136" t="s">
        <v>83</v>
      </c>
      <c r="H7" s="136" t="s">
        <v>84</v>
      </c>
      <c r="I7" s="136" t="s">
        <v>86</v>
      </c>
      <c r="J7" s="143" t="s">
        <v>14</v>
      </c>
      <c r="K7" s="143" t="s">
        <v>15</v>
      </c>
      <c r="L7" s="143" t="s">
        <v>16</v>
      </c>
      <c r="M7" s="143" t="s">
        <v>17</v>
      </c>
      <c r="N7" s="143" t="s">
        <v>18</v>
      </c>
      <c r="O7" s="143" t="s">
        <v>19</v>
      </c>
      <c r="P7" s="143" t="s">
        <v>20</v>
      </c>
      <c r="Q7" s="143" t="s">
        <v>21</v>
      </c>
      <c r="R7" s="143" t="s">
        <v>22</v>
      </c>
      <c r="S7" s="143" t="s">
        <v>23</v>
      </c>
      <c r="T7" s="143" t="s">
        <v>24</v>
      </c>
      <c r="U7" s="143" t="s">
        <v>25</v>
      </c>
      <c r="V7" s="143" t="s">
        <v>26</v>
      </c>
      <c r="W7" s="143" t="s">
        <v>27</v>
      </c>
      <c r="X7" s="143" t="s">
        <v>28</v>
      </c>
      <c r="Y7" s="143" t="s">
        <v>29</v>
      </c>
      <c r="Z7" s="143" t="s">
        <v>30</v>
      </c>
      <c r="AA7" s="143" t="s">
        <v>31</v>
      </c>
      <c r="AB7" s="143" t="s">
        <v>32</v>
      </c>
      <c r="AC7" s="143" t="s">
        <v>33</v>
      </c>
      <c r="AD7" s="143" t="s">
        <v>34</v>
      </c>
      <c r="AE7" s="143" t="s">
        <v>35</v>
      </c>
      <c r="AF7" s="143" t="s">
        <v>36</v>
      </c>
      <c r="AG7" s="143" t="s">
        <v>37</v>
      </c>
      <c r="AH7" s="143" t="s">
        <v>38</v>
      </c>
      <c r="AI7" s="143" t="s">
        <v>92</v>
      </c>
      <c r="AJ7" s="143" t="s">
        <v>93</v>
      </c>
      <c r="AK7" s="143" t="s">
        <v>88</v>
      </c>
      <c r="AL7" s="143" t="s">
        <v>53</v>
      </c>
    </row>
    <row r="8" spans="1:38" x14ac:dyDescent="0.3">
      <c r="A8" s="135"/>
      <c r="B8" s="135"/>
      <c r="C8" s="135"/>
      <c r="D8" s="135"/>
      <c r="E8" s="135"/>
      <c r="F8" s="135"/>
      <c r="G8" s="135"/>
      <c r="H8" s="135"/>
      <c r="I8" s="135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</row>
  </sheetData>
  <autoFilter ref="A7:AL7"/>
  <mergeCells count="23">
    <mergeCell ref="AB3:AB5"/>
    <mergeCell ref="AC3:AD4"/>
    <mergeCell ref="AE3:AJ4"/>
    <mergeCell ref="AK3:AL4"/>
    <mergeCell ref="L3:L6"/>
    <mergeCell ref="N4:N5"/>
    <mergeCell ref="V3:V5"/>
    <mergeCell ref="W3:W5"/>
    <mergeCell ref="O4:U4"/>
    <mergeCell ref="N3:U3"/>
    <mergeCell ref="X3:AA4"/>
    <mergeCell ref="M3:M5"/>
    <mergeCell ref="C3:C6"/>
    <mergeCell ref="A3:A6"/>
    <mergeCell ref="B3:B6"/>
    <mergeCell ref="J3:J5"/>
    <mergeCell ref="I3:I6"/>
    <mergeCell ref="H3:H6"/>
    <mergeCell ref="K3:K5"/>
    <mergeCell ref="E3:E6"/>
    <mergeCell ref="G3:G6"/>
    <mergeCell ref="F3:F6"/>
    <mergeCell ref="D3:D6"/>
  </mergeCells>
  <pageMargins left="0.70866141732283472" right="0.70866141732283472" top="0.74803149606299213" bottom="0.74803149606299213" header="0.31496062992125984" footer="0.31496062992125984"/>
  <pageSetup paperSize="9" scale="21" fitToHeight="0" orientation="landscape" r:id="rId1"/>
  <headerFooter>
    <oddHeader>&amp;Rстр.&amp;P из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M161"/>
  <sheetViews>
    <sheetView topLeftCell="C1" zoomScaleNormal="100" workbookViewId="0">
      <selection activeCell="N4" sqref="N4"/>
    </sheetView>
  </sheetViews>
  <sheetFormatPr defaultRowHeight="15" outlineLevelCol="1" x14ac:dyDescent="0.25"/>
  <cols>
    <col min="2" max="2" width="9.140625" customWidth="1"/>
    <col min="3" max="3" width="11.5703125" customWidth="1"/>
    <col min="4" max="4" width="11.7109375" customWidth="1"/>
    <col min="5" max="5" width="13.5703125" customWidth="1"/>
    <col min="6" max="7" width="13.7109375" customWidth="1"/>
    <col min="8" max="8" width="30.85546875" customWidth="1"/>
    <col min="9" max="11" width="13.7109375" customWidth="1"/>
    <col min="12" max="13" width="14.85546875" customWidth="1"/>
    <col min="14" max="16" width="14.85546875" style="122" customWidth="1"/>
    <col min="17" max="21" width="14.85546875" customWidth="1"/>
    <col min="22" max="22" width="22" customWidth="1"/>
    <col min="23" max="23" width="15.42578125" customWidth="1"/>
    <col min="24" max="24" width="14.5703125" customWidth="1"/>
    <col min="25" max="26" width="12.85546875" customWidth="1"/>
    <col min="27" max="27" width="16.140625" customWidth="1" outlineLevel="1" collapsed="1"/>
    <col min="28" max="34" width="13.5703125" bestFit="1" customWidth="1" outlineLevel="1"/>
    <col min="35" max="39" width="13.5703125" bestFit="1" customWidth="1"/>
  </cols>
  <sheetData>
    <row r="1" spans="1:39" ht="15" customHeight="1" x14ac:dyDescent="0.25">
      <c r="A1" s="168" t="s">
        <v>71</v>
      </c>
      <c r="B1" s="15"/>
      <c r="C1" s="168" t="s">
        <v>72</v>
      </c>
      <c r="D1" s="168" t="s">
        <v>73</v>
      </c>
      <c r="E1" s="168" t="s">
        <v>74</v>
      </c>
      <c r="F1" s="168" t="s">
        <v>75</v>
      </c>
      <c r="G1" s="168" t="s">
        <v>76</v>
      </c>
      <c r="H1" s="113"/>
      <c r="I1" s="113"/>
      <c r="J1" s="179" t="s">
        <v>154</v>
      </c>
      <c r="K1" s="179" t="s">
        <v>155</v>
      </c>
      <c r="L1" s="180" t="s">
        <v>132</v>
      </c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31"/>
      <c r="AA1" s="181" t="s">
        <v>77</v>
      </c>
    </row>
    <row r="2" spans="1:39" ht="27.75" customHeight="1" x14ac:dyDescent="0.25">
      <c r="A2" s="169"/>
      <c r="B2" s="16"/>
      <c r="C2" s="169"/>
      <c r="D2" s="169"/>
      <c r="E2" s="169"/>
      <c r="F2" s="169"/>
      <c r="G2" s="169"/>
      <c r="H2" s="114" t="s">
        <v>207</v>
      </c>
      <c r="I2" s="114" t="s">
        <v>208</v>
      </c>
      <c r="J2" s="179"/>
      <c r="K2" s="179"/>
      <c r="L2" s="178" t="s">
        <v>125</v>
      </c>
      <c r="M2" s="178" t="s">
        <v>126</v>
      </c>
      <c r="N2" s="170" t="s">
        <v>267</v>
      </c>
      <c r="O2" s="170" t="s">
        <v>268</v>
      </c>
      <c r="P2" s="170" t="s">
        <v>269</v>
      </c>
      <c r="Q2" s="183" t="s">
        <v>127</v>
      </c>
      <c r="R2" s="184"/>
      <c r="S2" s="178" t="s">
        <v>266</v>
      </c>
      <c r="T2" s="183" t="s">
        <v>129</v>
      </c>
      <c r="U2" s="184"/>
      <c r="V2" s="177" t="s">
        <v>130</v>
      </c>
      <c r="W2" s="178" t="s">
        <v>131</v>
      </c>
      <c r="X2" s="178"/>
      <c r="Y2" s="178"/>
      <c r="Z2" s="83"/>
      <c r="AA2" s="182"/>
      <c r="AB2" s="174" t="s">
        <v>130</v>
      </c>
      <c r="AC2" s="175"/>
      <c r="AD2" s="175"/>
      <c r="AE2" s="175"/>
      <c r="AF2" s="175"/>
      <c r="AG2" s="175"/>
      <c r="AH2" s="175"/>
      <c r="AI2" s="175"/>
      <c r="AJ2" s="175"/>
      <c r="AK2" s="175"/>
      <c r="AL2" s="175"/>
      <c r="AM2" s="176"/>
    </row>
    <row r="3" spans="1:39" ht="63.75" customHeight="1" x14ac:dyDescent="0.25">
      <c r="A3" s="169"/>
      <c r="B3" s="16"/>
      <c r="C3" s="169"/>
      <c r="D3" s="169"/>
      <c r="E3" s="169"/>
      <c r="F3" s="169"/>
      <c r="G3" s="169"/>
      <c r="H3" s="114"/>
      <c r="I3" s="114"/>
      <c r="J3" s="168"/>
      <c r="K3" s="168" t="s">
        <v>153</v>
      </c>
      <c r="L3" s="178"/>
      <c r="M3" s="178"/>
      <c r="N3" s="170"/>
      <c r="O3" s="170"/>
      <c r="P3" s="170"/>
      <c r="Q3" s="112" t="s">
        <v>205</v>
      </c>
      <c r="R3" s="93" t="s">
        <v>206</v>
      </c>
      <c r="S3" s="178"/>
      <c r="T3" s="112" t="s">
        <v>205</v>
      </c>
      <c r="U3" s="94" t="s">
        <v>202</v>
      </c>
      <c r="V3" s="177"/>
      <c r="W3" s="17" t="s">
        <v>112</v>
      </c>
      <c r="X3" s="17" t="s">
        <v>110</v>
      </c>
      <c r="Y3" s="17" t="s">
        <v>111</v>
      </c>
      <c r="Z3" s="83"/>
      <c r="AA3" s="182"/>
      <c r="AB3" s="21" t="s">
        <v>113</v>
      </c>
      <c r="AC3" s="21" t="s">
        <v>114</v>
      </c>
      <c r="AD3" s="21" t="s">
        <v>115</v>
      </c>
      <c r="AE3" s="21" t="s">
        <v>116</v>
      </c>
      <c r="AF3" s="21" t="s">
        <v>117</v>
      </c>
      <c r="AG3" s="21" t="s">
        <v>118</v>
      </c>
      <c r="AH3" s="21" t="s">
        <v>119</v>
      </c>
      <c r="AI3" s="21" t="s">
        <v>120</v>
      </c>
      <c r="AJ3" s="21" t="s">
        <v>121</v>
      </c>
      <c r="AK3" s="21" t="s">
        <v>122</v>
      </c>
      <c r="AL3" s="21" t="s">
        <v>123</v>
      </c>
      <c r="AM3" s="21" t="s">
        <v>124</v>
      </c>
    </row>
    <row r="4" spans="1:39" ht="27" customHeight="1" x14ac:dyDescent="0.25">
      <c r="A4" s="116" t="s">
        <v>3</v>
      </c>
      <c r="B4" s="116" t="s">
        <v>70</v>
      </c>
      <c r="C4" s="117" t="s">
        <v>70</v>
      </c>
      <c r="D4" s="118"/>
      <c r="E4" s="18" t="e">
        <f>IF(D4=0,SUMIFS(#REF!,#REF!,'итог '!C4),SUMIFS(#REF!,#REF!,'итог '!C4,#REF!,'итог '!D4))/12</f>
        <v>#REF!</v>
      </c>
      <c r="F4" s="6">
        <v>43186614</v>
      </c>
      <c r="G4" s="6">
        <v>3647586</v>
      </c>
      <c r="H4" s="115" t="s">
        <v>209</v>
      </c>
      <c r="I4" s="115" t="s">
        <v>210</v>
      </c>
      <c r="J4" s="7" t="e">
        <f>IF(D4=0,SUMIFS(#REF!,#REF!,'итог '!C4),SUMIFS(#REF!,#REF!,'итог '!C4,#REF!,'итог '!D4))/12/'итог '!E4</f>
        <v>#REF!</v>
      </c>
      <c r="K4" s="7">
        <v>3.6</v>
      </c>
      <c r="L4" s="20" t="e">
        <f t="shared" ref="L4:L35" si="0">E4</f>
        <v>#REF!</v>
      </c>
      <c r="M4" s="20" t="e">
        <f t="shared" ref="M4:M18" si="1">F4/L4/12</f>
        <v>#REF!</v>
      </c>
      <c r="N4" s="121">
        <v>67500</v>
      </c>
      <c r="O4" s="124">
        <v>62.33</v>
      </c>
      <c r="P4" s="124">
        <v>62.37</v>
      </c>
      <c r="Q4" s="8">
        <v>62.33</v>
      </c>
      <c r="R4" s="8">
        <f>Q4</f>
        <v>62.33</v>
      </c>
      <c r="S4" s="8">
        <v>22.5</v>
      </c>
      <c r="T4" s="25" t="e">
        <f t="shared" ref="T4:T35" si="2">Q4*K4/(L4*J4)*(12/11)</f>
        <v>#REF!</v>
      </c>
      <c r="U4" s="25" t="e">
        <f t="shared" ref="U4:U35" si="3">R4*K4/(L4*J4)*(12/11)</f>
        <v>#REF!</v>
      </c>
      <c r="V4" s="8" t="e">
        <f>AI4</f>
        <v>#REF!</v>
      </c>
      <c r="W4" s="19">
        <f>F4+G4</f>
        <v>46834200</v>
      </c>
      <c r="X4" s="19">
        <f t="shared" ref="X4:X35" si="4">F4</f>
        <v>43186614</v>
      </c>
      <c r="Y4" s="19">
        <f>W4-X4</f>
        <v>3647586</v>
      </c>
      <c r="Z4" s="19">
        <f>X4*0.02</f>
        <v>863732.28</v>
      </c>
      <c r="AA4" s="9"/>
      <c r="AB4" s="8" t="e">
        <f>IF($D4=0,SUMIFS(#REF!,#REF!,'итог '!$C4),SUMIFS(#REF!,#REF!,'итог '!$C4,#REF!,'итог '!$D4))</f>
        <v>#REF!</v>
      </c>
      <c r="AC4" s="8" t="e">
        <f>IF($D4=0,SUMIFS(#REF!,#REF!,'итог '!$C4),SUMIFS(#REF!,#REF!,'итог '!$C4,#REF!,'итог '!$D4))</f>
        <v>#REF!</v>
      </c>
      <c r="AD4" s="8" t="e">
        <f>IF($D4=0,SUMIFS(#REF!,#REF!,'итог '!$C4),SUMIFS(#REF!,#REF!,'итог '!$C4,#REF!,'итог '!$D4))</f>
        <v>#REF!</v>
      </c>
      <c r="AE4" s="8" t="e">
        <f>IF($D4=0,SUMIFS(#REF!,#REF!,'итог '!$C4),SUMIFS(#REF!,#REF!,'итог '!$C4,#REF!,'итог '!$D4))</f>
        <v>#REF!</v>
      </c>
      <c r="AF4" s="8" t="e">
        <f>IF($D4=0,SUMIFS(#REF!,#REF!,'итог '!$C4),SUMIFS(#REF!,#REF!,'итог '!$C4,#REF!,'итог '!$D4))</f>
        <v>#REF!</v>
      </c>
      <c r="AG4" s="8" t="e">
        <f>IF($D4=0,SUMIFS(#REF!,#REF!,'итог '!$C4),SUMIFS(#REF!,#REF!,'итог '!$C4,#REF!,'итог '!$D4))</f>
        <v>#REF!</v>
      </c>
      <c r="AH4" s="8" t="e">
        <f>IF($D4=0,SUMIFS(#REF!,#REF!,'итог '!$C4),SUMIFS(#REF!,#REF!,'итог '!$C4,#REF!,'итог '!$D4))</f>
        <v>#REF!</v>
      </c>
      <c r="AI4" s="8" t="e">
        <f>IF($D4=0,SUMIFS(#REF!,#REF!,'итог '!$C4),SUMIFS(#REF!,#REF!,'итог '!$C4,#REF!,'итог '!$D4))</f>
        <v>#REF!</v>
      </c>
      <c r="AJ4" s="8" t="e">
        <f>IF($D4=0,SUMIFS(#REF!,#REF!,'итог '!$C4),SUMIFS(#REF!,#REF!,'итог '!$C4,#REF!,'итог '!$D4))</f>
        <v>#REF!</v>
      </c>
      <c r="AK4" s="8" t="e">
        <f>IF($D4=0,SUMIFS(#REF!,#REF!,'итог '!$C4),SUMIFS(#REF!,#REF!,'итог '!$C4,#REF!,'итог '!$D4))</f>
        <v>#REF!</v>
      </c>
      <c r="AL4" s="8" t="e">
        <f>IF($D4=0,SUMIFS(#REF!,#REF!,'итог '!$C4),SUMIFS(#REF!,#REF!,'итог '!$C4,#REF!,'итог '!$D4))</f>
        <v>#REF!</v>
      </c>
      <c r="AM4" s="8" t="e">
        <f>IF($D4=0,SUMIFS(#REF!,#REF!,'итог '!$C4),SUMIFS(#REF!,#REF!,'итог '!$C4,#REF!,'итог '!$D4))</f>
        <v>#REF!</v>
      </c>
    </row>
    <row r="5" spans="1:39" x14ac:dyDescent="0.25">
      <c r="A5" s="116" t="s">
        <v>78</v>
      </c>
      <c r="B5" s="119" t="s">
        <v>6</v>
      </c>
      <c r="C5" s="119" t="s">
        <v>6</v>
      </c>
      <c r="D5" s="119"/>
      <c r="E5" s="18" t="e">
        <f>IF(D5=0,SUMIFS(#REF!,#REF!,'итог '!C5),SUMIFS(#REF!,#REF!,'итог '!C5,#REF!,'итог '!D5))/12</f>
        <v>#REF!</v>
      </c>
      <c r="F5" s="6">
        <v>36695697</v>
      </c>
      <c r="G5" s="6">
        <v>-738321</v>
      </c>
      <c r="H5" s="115" t="s">
        <v>211</v>
      </c>
      <c r="I5" s="115" t="s">
        <v>212</v>
      </c>
      <c r="J5" s="7" t="e">
        <f>IF(D5=0,SUMIFS(#REF!,#REF!,'итог '!C5),SUMIFS(#REF!,#REF!,'итог '!C5,#REF!,'итог '!D5))/12/'итог '!E5</f>
        <v>#REF!</v>
      </c>
      <c r="K5" s="7">
        <v>3.6</v>
      </c>
      <c r="L5" s="20" t="e">
        <f t="shared" si="0"/>
        <v>#REF!</v>
      </c>
      <c r="M5" s="20" t="e">
        <f t="shared" si="1"/>
        <v>#REF!</v>
      </c>
      <c r="N5" s="121">
        <v>62400</v>
      </c>
      <c r="O5" s="124">
        <v>52.66</v>
      </c>
      <c r="P5" s="124">
        <v>39.54</v>
      </c>
      <c r="Q5" s="8">
        <v>52.660000000000004</v>
      </c>
      <c r="R5" s="8">
        <f>Q5</f>
        <v>52.660000000000004</v>
      </c>
      <c r="S5" s="8">
        <v>16</v>
      </c>
      <c r="T5" s="25" t="e">
        <f t="shared" si="2"/>
        <v>#REF!</v>
      </c>
      <c r="U5" s="25" t="e">
        <f t="shared" si="3"/>
        <v>#REF!</v>
      </c>
      <c r="V5" s="8" t="e">
        <f>AH5</f>
        <v>#REF!</v>
      </c>
      <c r="W5" s="19">
        <f>F5+G5</f>
        <v>35957376</v>
      </c>
      <c r="X5" s="19">
        <f t="shared" si="4"/>
        <v>36695697</v>
      </c>
      <c r="Y5" s="19">
        <f t="shared" ref="Y5:Y53" si="5">W5-X5</f>
        <v>-738321</v>
      </c>
      <c r="Z5" s="19">
        <f t="shared" ref="Z5:Z52" si="6">X5*0.02</f>
        <v>733913.94000000006</v>
      </c>
      <c r="AA5" s="9">
        <v>2282192.6399999941</v>
      </c>
      <c r="AB5" s="8" t="e">
        <f>IF($D5=0,SUMIFS(#REF!,#REF!,'итог '!$C5),SUMIFS(#REF!,#REF!,'итог '!$C5,#REF!,'итог '!$D5))</f>
        <v>#REF!</v>
      </c>
      <c r="AC5" s="8" t="e">
        <f>IF($D5=0,SUMIFS(#REF!,#REF!,'итог '!$C5),SUMIFS(#REF!,#REF!,'итог '!$C5,#REF!,'итог '!$D5))</f>
        <v>#REF!</v>
      </c>
      <c r="AD5" s="8" t="e">
        <f>IF($D5=0,SUMIFS(#REF!,#REF!,'итог '!$C5),SUMIFS(#REF!,#REF!,'итог '!$C5,#REF!,'итог '!$D5))</f>
        <v>#REF!</v>
      </c>
      <c r="AE5" s="8" t="e">
        <f>IF($D5=0,SUMIFS(#REF!,#REF!,'итог '!$C5),SUMIFS(#REF!,#REF!,'итог '!$C5,#REF!,'итог '!$D5))</f>
        <v>#REF!</v>
      </c>
      <c r="AF5" s="8" t="e">
        <f>IF($D5=0,SUMIFS(#REF!,#REF!,'итог '!$C5),SUMIFS(#REF!,#REF!,'итог '!$C5,#REF!,'итог '!$D5))</f>
        <v>#REF!</v>
      </c>
      <c r="AG5" s="8" t="e">
        <f>IF($D5=0,SUMIFS(#REF!,#REF!,'итог '!$C5),SUMIFS(#REF!,#REF!,'итог '!$C5,#REF!,'итог '!$D5))</f>
        <v>#REF!</v>
      </c>
      <c r="AH5" s="8" t="e">
        <f>IF($D5=0,SUMIFS(#REF!,#REF!,'итог '!$C5),SUMIFS(#REF!,#REF!,'итог '!$C5,#REF!,'итог '!$D5))</f>
        <v>#REF!</v>
      </c>
      <c r="AI5" s="8" t="e">
        <f>IF($D5=0,SUMIFS(#REF!,#REF!,'итог '!$C5),SUMIFS(#REF!,#REF!,'итог '!$C5,#REF!,'итог '!$D5))</f>
        <v>#REF!</v>
      </c>
      <c r="AJ5" s="8" t="e">
        <f>IF($D5=0,SUMIFS(#REF!,#REF!,'итог '!$C5),SUMIFS(#REF!,#REF!,'итог '!$C5,#REF!,'итог '!$D5))</f>
        <v>#REF!</v>
      </c>
      <c r="AK5" s="8" t="e">
        <f>IF($D5=0,SUMIFS(#REF!,#REF!,'итог '!$C5),SUMIFS(#REF!,#REF!,'итог '!$C5,#REF!,'итог '!$D5))</f>
        <v>#REF!</v>
      </c>
      <c r="AL5" s="8" t="e">
        <f>IF($D5=0,SUMIFS(#REF!,#REF!,'итог '!$C5),SUMIFS(#REF!,#REF!,'итог '!$C5,#REF!,'итог '!$D5))</f>
        <v>#REF!</v>
      </c>
      <c r="AM5" s="8" t="e">
        <f>IF($D5=0,SUMIFS(#REF!,#REF!,'итог '!$C5),SUMIFS(#REF!,#REF!,'итог '!$C5,#REF!,'итог '!$D5))</f>
        <v>#REF!</v>
      </c>
    </row>
    <row r="6" spans="1:39" ht="25.5" x14ac:dyDescent="0.25">
      <c r="A6" s="116" t="s">
        <v>79</v>
      </c>
      <c r="B6" s="118" t="s">
        <v>46</v>
      </c>
      <c r="C6" s="118" t="s">
        <v>46</v>
      </c>
      <c r="D6" s="118"/>
      <c r="E6" s="18" t="e">
        <f>IF(D6=0,SUMIFS(#REF!,#REF!,'итог '!C6),SUMIFS(#REF!,#REF!,'итог '!C6,#REF!,'итог '!D6))/12</f>
        <v>#REF!</v>
      </c>
      <c r="F6" s="6">
        <v>24107620</v>
      </c>
      <c r="G6" s="6">
        <v>473000</v>
      </c>
      <c r="H6" s="115" t="s">
        <v>213</v>
      </c>
      <c r="I6" s="115" t="s">
        <v>214</v>
      </c>
      <c r="J6" s="7" t="e">
        <f>IF(D6=0,SUMIFS(#REF!,#REF!,'итог '!C6),SUMIFS(#REF!,#REF!,'итог '!C6,#REF!,'итог '!D6))/12/'итог '!E6</f>
        <v>#REF!</v>
      </c>
      <c r="K6" s="7">
        <v>3.6</v>
      </c>
      <c r="L6" s="20" t="e">
        <f t="shared" si="0"/>
        <v>#REF!</v>
      </c>
      <c r="M6" s="20" t="e">
        <f t="shared" si="1"/>
        <v>#REF!</v>
      </c>
      <c r="N6" s="121">
        <v>66000</v>
      </c>
      <c r="O6" s="124">
        <v>26.32</v>
      </c>
      <c r="P6" s="124">
        <v>22.68</v>
      </c>
      <c r="Q6" s="8">
        <v>33.17</v>
      </c>
      <c r="R6" s="8">
        <v>26.32</v>
      </c>
      <c r="S6" s="8">
        <v>16</v>
      </c>
      <c r="T6" s="25" t="e">
        <f t="shared" si="2"/>
        <v>#REF!</v>
      </c>
      <c r="U6" s="25" t="e">
        <f t="shared" si="3"/>
        <v>#REF!</v>
      </c>
      <c r="V6" s="19" t="e">
        <f>AF6</f>
        <v>#REF!</v>
      </c>
      <c r="W6" s="19">
        <f>F6+G6</f>
        <v>24580620</v>
      </c>
      <c r="X6" s="19">
        <f t="shared" si="4"/>
        <v>24107620</v>
      </c>
      <c r="Y6" s="19">
        <f t="shared" si="5"/>
        <v>473000</v>
      </c>
      <c r="Z6" s="19">
        <f t="shared" si="6"/>
        <v>482152.4</v>
      </c>
      <c r="AA6" s="9"/>
      <c r="AB6" s="8" t="e">
        <f>IF($D6=0,SUMIFS(#REF!,#REF!,'итог '!$C6),SUMIFS(#REF!,#REF!,'итог '!$C6,#REF!,'итог '!$D6))</f>
        <v>#REF!</v>
      </c>
      <c r="AC6" s="8" t="e">
        <f>IF($D6=0,SUMIFS(#REF!,#REF!,'итог '!$C6),SUMIFS(#REF!,#REF!,'итог '!$C6,#REF!,'итог '!$D6))</f>
        <v>#REF!</v>
      </c>
      <c r="AD6" s="8" t="e">
        <f>IF($D6=0,SUMIFS(#REF!,#REF!,'итог '!$C6),SUMIFS(#REF!,#REF!,'итог '!$C6,#REF!,'итог '!$D6))</f>
        <v>#REF!</v>
      </c>
      <c r="AE6" s="8" t="e">
        <f>IF($D6=0,SUMIFS(#REF!,#REF!,'итог '!$C6),SUMIFS(#REF!,#REF!,'итог '!$C6,#REF!,'итог '!$D6))</f>
        <v>#REF!</v>
      </c>
      <c r="AF6" s="8" t="e">
        <f>IF($D6=0,SUMIFS(#REF!,#REF!,'итог '!$C6),SUMIFS(#REF!,#REF!,'итог '!$C6,#REF!,'итог '!$D6))</f>
        <v>#REF!</v>
      </c>
      <c r="AG6" s="8" t="e">
        <f>IF($D6=0,SUMIFS(#REF!,#REF!,'итог '!$C6),SUMIFS(#REF!,#REF!,'итог '!$C6,#REF!,'итог '!$D6))</f>
        <v>#REF!</v>
      </c>
      <c r="AH6" s="8" t="e">
        <f>IF($D6=0,SUMIFS(#REF!,#REF!,'итог '!$C6),SUMIFS(#REF!,#REF!,'итог '!$C6,#REF!,'итог '!$D6))</f>
        <v>#REF!</v>
      </c>
      <c r="AI6" s="8" t="e">
        <f>IF($D6=0,SUMIFS(#REF!,#REF!,'итог '!$C6),SUMIFS(#REF!,#REF!,'итог '!$C6,#REF!,'итог '!$D6))</f>
        <v>#REF!</v>
      </c>
      <c r="AJ6" s="8" t="e">
        <f>IF($D6=0,SUMIFS(#REF!,#REF!,'итог '!$C6),SUMIFS(#REF!,#REF!,'итог '!$C6,#REF!,'итог '!$D6))</f>
        <v>#REF!</v>
      </c>
      <c r="AK6" s="8" t="e">
        <f>IF($D6=0,SUMIFS(#REF!,#REF!,'итог '!$C6),SUMIFS(#REF!,#REF!,'итог '!$C6,#REF!,'итог '!$D6))</f>
        <v>#REF!</v>
      </c>
      <c r="AL6" s="8" t="e">
        <f>IF($D6=0,SUMIFS(#REF!,#REF!,'итог '!$C6),SUMIFS(#REF!,#REF!,'итог '!$C6,#REF!,'итог '!$D6))</f>
        <v>#REF!</v>
      </c>
      <c r="AM6" s="8" t="e">
        <f>IF($D6=0,SUMIFS(#REF!,#REF!,'итог '!$C6),SUMIFS(#REF!,#REF!,'итог '!$C6,#REF!,'итог '!$D6))</f>
        <v>#REF!</v>
      </c>
    </row>
    <row r="7" spans="1:39" x14ac:dyDescent="0.25">
      <c r="A7" s="116" t="s">
        <v>80</v>
      </c>
      <c r="B7" s="117" t="s">
        <v>49</v>
      </c>
      <c r="C7" s="117" t="s">
        <v>49</v>
      </c>
      <c r="D7" s="118"/>
      <c r="E7" s="18" t="e">
        <f>IF(D7=0,SUMIFS(#REF!,#REF!,'итог '!C7),SUMIFS(#REF!,#REF!,'итог '!C7,#REF!,'итог '!D7))/12</f>
        <v>#REF!</v>
      </c>
      <c r="F7" s="6">
        <v>22470346</v>
      </c>
      <c r="G7" s="6">
        <v>-1365994</v>
      </c>
      <c r="H7" s="115" t="s">
        <v>215</v>
      </c>
      <c r="I7" s="115" t="s">
        <v>216</v>
      </c>
      <c r="J7" s="7" t="e">
        <f>IF(D7=0,SUMIFS(#REF!,#REF!,'итог '!C7),SUMIFS(#REF!,#REF!,'итог '!C7,#REF!,'итог '!D7))/12/'итог '!E7</f>
        <v>#REF!</v>
      </c>
      <c r="K7" s="7">
        <v>3.6</v>
      </c>
      <c r="L7" s="20" t="e">
        <f t="shared" si="0"/>
        <v>#REF!</v>
      </c>
      <c r="M7" s="20" t="e">
        <f t="shared" si="1"/>
        <v>#REF!</v>
      </c>
      <c r="N7" s="121">
        <v>60200</v>
      </c>
      <c r="O7" s="124">
        <v>29.33</v>
      </c>
      <c r="P7" s="124">
        <v>30.61</v>
      </c>
      <c r="Q7" s="8">
        <v>29</v>
      </c>
      <c r="R7" s="8">
        <v>29.33</v>
      </c>
      <c r="S7" s="23">
        <v>30</v>
      </c>
      <c r="T7" s="25" t="e">
        <f t="shared" si="2"/>
        <v>#REF!</v>
      </c>
      <c r="U7" s="25" t="e">
        <f t="shared" si="3"/>
        <v>#REF!</v>
      </c>
      <c r="V7" s="19" t="e">
        <f>AK7</f>
        <v>#REF!</v>
      </c>
      <c r="W7" s="19">
        <v>22633352</v>
      </c>
      <c r="X7" s="19">
        <f t="shared" si="4"/>
        <v>22470346</v>
      </c>
      <c r="Y7" s="19">
        <f t="shared" si="5"/>
        <v>163006</v>
      </c>
      <c r="Z7" s="19">
        <f t="shared" si="6"/>
        <v>449406.92</v>
      </c>
      <c r="AA7" s="9">
        <v>2123856</v>
      </c>
      <c r="AB7" s="8" t="e">
        <f>IF($D7=0,SUMIFS(#REF!,#REF!,'итог '!$C7),SUMIFS(#REF!,#REF!,'итог '!$C7,#REF!,'итог '!$D7))</f>
        <v>#REF!</v>
      </c>
      <c r="AC7" s="8" t="e">
        <f>IF($D7=0,SUMIFS(#REF!,#REF!,'итог '!$C7),SUMIFS(#REF!,#REF!,'итог '!$C7,#REF!,'итог '!$D7))</f>
        <v>#REF!</v>
      </c>
      <c r="AD7" s="8" t="e">
        <f>IF($D7=0,SUMIFS(#REF!,#REF!,'итог '!$C7),SUMIFS(#REF!,#REF!,'итог '!$C7,#REF!,'итог '!$D7))</f>
        <v>#REF!</v>
      </c>
      <c r="AE7" s="8" t="e">
        <f>IF($D7=0,SUMIFS(#REF!,#REF!,'итог '!$C7),SUMIFS(#REF!,#REF!,'итог '!$C7,#REF!,'итог '!$D7))</f>
        <v>#REF!</v>
      </c>
      <c r="AF7" s="8" t="e">
        <f>IF($D7=0,SUMIFS(#REF!,#REF!,'итог '!$C7),SUMIFS(#REF!,#REF!,'итог '!$C7,#REF!,'итог '!$D7))</f>
        <v>#REF!</v>
      </c>
      <c r="AG7" s="8" t="e">
        <f>IF($D7=0,SUMIFS(#REF!,#REF!,'итог '!$C7),SUMIFS(#REF!,#REF!,'итог '!$C7,#REF!,'итог '!$D7))</f>
        <v>#REF!</v>
      </c>
      <c r="AH7" s="8" t="e">
        <f>IF($D7=0,SUMIFS(#REF!,#REF!,'итог '!$C7),SUMIFS(#REF!,#REF!,'итог '!$C7,#REF!,'итог '!$D7))</f>
        <v>#REF!</v>
      </c>
      <c r="AI7" s="8" t="e">
        <f>IF($D7=0,SUMIFS(#REF!,#REF!,'итог '!$C7),SUMIFS(#REF!,#REF!,'итог '!$C7,#REF!,'итог '!$D7))</f>
        <v>#REF!</v>
      </c>
      <c r="AJ7" s="8" t="e">
        <f>IF($D7=0,SUMIFS(#REF!,#REF!,'итог '!$C7),SUMIFS(#REF!,#REF!,'итог '!$C7,#REF!,'итог '!$D7))</f>
        <v>#REF!</v>
      </c>
      <c r="AK7" s="8" t="e">
        <f>IF($D7=0,SUMIFS(#REF!,#REF!,'итог '!$C7),SUMIFS(#REF!,#REF!,'итог '!$C7,#REF!,'итог '!$D7))</f>
        <v>#REF!</v>
      </c>
      <c r="AL7" s="8" t="e">
        <f>IF($D7=0,SUMIFS(#REF!,#REF!,'итог '!$C7),SUMIFS(#REF!,#REF!,'итог '!$C7,#REF!,'итог '!$D7))</f>
        <v>#REF!</v>
      </c>
      <c r="AM7" s="8" t="e">
        <f>IF($D7=0,SUMIFS(#REF!,#REF!,'итог '!$C7),SUMIFS(#REF!,#REF!,'итог '!$C7,#REF!,'итог '!$D7))</f>
        <v>#REF!</v>
      </c>
    </row>
    <row r="8" spans="1:39" x14ac:dyDescent="0.25">
      <c r="A8" s="116" t="s">
        <v>81</v>
      </c>
      <c r="B8" s="118" t="s">
        <v>54</v>
      </c>
      <c r="C8" s="118" t="s">
        <v>54</v>
      </c>
      <c r="D8" s="118"/>
      <c r="E8" s="18" t="e">
        <f>IF(D8=0,SUMIFS(#REF!,#REF!,'итог '!C8),SUMIFS(#REF!,#REF!,'итог '!C8,#REF!,'итог '!D8))/12</f>
        <v>#REF!</v>
      </c>
      <c r="F8" s="6">
        <v>18779706</v>
      </c>
      <c r="G8" s="6">
        <v>3855942</v>
      </c>
      <c r="H8" s="115" t="s">
        <v>217</v>
      </c>
      <c r="I8" s="115" t="s">
        <v>218</v>
      </c>
      <c r="J8" s="7" t="e">
        <f>IF(D8=0,SUMIFS(#REF!,#REF!,'итог '!C8),SUMIFS(#REF!,#REF!,'итог '!C8,#REF!,'итог '!D8))/12/'итог '!E8</f>
        <v>#REF!</v>
      </c>
      <c r="K8" s="7">
        <v>3.6</v>
      </c>
      <c r="L8" s="20" t="e">
        <f t="shared" si="0"/>
        <v>#REF!</v>
      </c>
      <c r="M8" s="20" t="e">
        <f t="shared" si="1"/>
        <v>#REF!</v>
      </c>
      <c r="N8" s="121">
        <v>80200</v>
      </c>
      <c r="O8" s="124">
        <v>24.08</v>
      </c>
      <c r="P8" s="124">
        <v>18.8</v>
      </c>
      <c r="Q8" s="8">
        <v>23.799999999999997</v>
      </c>
      <c r="R8" s="8">
        <v>24.08</v>
      </c>
      <c r="S8" s="8">
        <v>13.5</v>
      </c>
      <c r="T8" s="25" t="e">
        <f t="shared" si="2"/>
        <v>#REF!</v>
      </c>
      <c r="U8" s="25" t="e">
        <f t="shared" si="3"/>
        <v>#REF!</v>
      </c>
      <c r="V8" s="19" t="e">
        <f>AL8</f>
        <v>#REF!</v>
      </c>
      <c r="W8" s="19">
        <f t="shared" ref="W8:W17" si="7">F8+G8</f>
        <v>22635648</v>
      </c>
      <c r="X8" s="19">
        <f t="shared" si="4"/>
        <v>18779706</v>
      </c>
      <c r="Y8" s="19">
        <f t="shared" si="5"/>
        <v>3855942</v>
      </c>
      <c r="Z8" s="19">
        <f t="shared" si="6"/>
        <v>375594.12</v>
      </c>
      <c r="AA8" s="9"/>
      <c r="AB8" s="8" t="e">
        <f>IF($D8=0,SUMIFS(#REF!,#REF!,'итог '!$C8),SUMIFS(#REF!,#REF!,'итог '!$C8,#REF!,'итог '!$D8))</f>
        <v>#REF!</v>
      </c>
      <c r="AC8" s="8" t="e">
        <f>IF($D8=0,SUMIFS(#REF!,#REF!,'итог '!$C8),SUMIFS(#REF!,#REF!,'итог '!$C8,#REF!,'итог '!$D8))</f>
        <v>#REF!</v>
      </c>
      <c r="AD8" s="8" t="e">
        <f>IF($D8=0,SUMIFS(#REF!,#REF!,'итог '!$C8),SUMIFS(#REF!,#REF!,'итог '!$C8,#REF!,'итог '!$D8))</f>
        <v>#REF!</v>
      </c>
      <c r="AE8" s="8" t="e">
        <f>IF($D8=0,SUMIFS(#REF!,#REF!,'итог '!$C8),SUMIFS(#REF!,#REF!,'итог '!$C8,#REF!,'итог '!$D8))</f>
        <v>#REF!</v>
      </c>
      <c r="AF8" s="8" t="e">
        <f>IF($D8=0,SUMIFS(#REF!,#REF!,'итог '!$C8),SUMIFS(#REF!,#REF!,'итог '!$C8,#REF!,'итог '!$D8))</f>
        <v>#REF!</v>
      </c>
      <c r="AG8" s="8" t="e">
        <f>IF($D8=0,SUMIFS(#REF!,#REF!,'итог '!$C8),SUMIFS(#REF!,#REF!,'итог '!$C8,#REF!,'итог '!$D8))</f>
        <v>#REF!</v>
      </c>
      <c r="AH8" s="8" t="e">
        <f>IF($D8=0,SUMIFS(#REF!,#REF!,'итог '!$C8),SUMIFS(#REF!,#REF!,'итог '!$C8,#REF!,'итог '!$D8))</f>
        <v>#REF!</v>
      </c>
      <c r="AI8" s="8" t="e">
        <f>IF($D8=0,SUMIFS(#REF!,#REF!,'итог '!$C8),SUMIFS(#REF!,#REF!,'итог '!$C8,#REF!,'итог '!$D8))</f>
        <v>#REF!</v>
      </c>
      <c r="AJ8" s="8" t="e">
        <f>IF($D8=0,SUMIFS(#REF!,#REF!,'итог '!$C8),SUMIFS(#REF!,#REF!,'итог '!$C8,#REF!,'итог '!$D8))</f>
        <v>#REF!</v>
      </c>
      <c r="AK8" s="8" t="e">
        <f>IF($D8=0,SUMIFS(#REF!,#REF!,'итог '!$C8),SUMIFS(#REF!,#REF!,'итог '!$C8,#REF!,'итог '!$D8))</f>
        <v>#REF!</v>
      </c>
      <c r="AL8" s="8" t="e">
        <f>IF($D8=0,SUMIFS(#REF!,#REF!,'итог '!$C8),SUMIFS(#REF!,#REF!,'итог '!$C8,#REF!,'итог '!$D8))</f>
        <v>#REF!</v>
      </c>
      <c r="AM8" s="8" t="e">
        <f>IF($D8=0,SUMIFS(#REF!,#REF!,'итог '!$C8),SUMIFS(#REF!,#REF!,'итог '!$C8,#REF!,'итог '!$D8))</f>
        <v>#REF!</v>
      </c>
    </row>
    <row r="9" spans="1:39" ht="25.5" customHeight="1" x14ac:dyDescent="0.25">
      <c r="A9" s="116" t="s">
        <v>82</v>
      </c>
      <c r="B9" s="116" t="s">
        <v>137</v>
      </c>
      <c r="C9" s="118" t="s">
        <v>8</v>
      </c>
      <c r="D9" s="118" t="s">
        <v>9</v>
      </c>
      <c r="E9" s="18" t="e">
        <f>IF(D9=0,SUMIFS(#REF!,#REF!,'итог '!C9),SUMIFS(#REF!,#REF!,'итог '!C9,#REF!,'итог '!D9))/12</f>
        <v>#REF!</v>
      </c>
      <c r="F9" s="6">
        <v>17836602</v>
      </c>
      <c r="G9" s="6">
        <v>-157723</v>
      </c>
      <c r="H9" s="171" t="s">
        <v>219</v>
      </c>
      <c r="I9" s="171" t="s">
        <v>220</v>
      </c>
      <c r="J9" s="7" t="e">
        <f>IF(D9=0,SUMIFS(#REF!,#REF!,'итог '!C9),SUMIFS(#REF!,#REF!,'итог '!C9,#REF!,'итог '!D9))/12/'итог '!E9</f>
        <v>#REF!</v>
      </c>
      <c r="K9" s="7">
        <v>3.6</v>
      </c>
      <c r="L9" s="20" t="e">
        <f t="shared" si="0"/>
        <v>#REF!</v>
      </c>
      <c r="M9" s="20" t="e">
        <f t="shared" si="1"/>
        <v>#REF!</v>
      </c>
      <c r="N9" s="121">
        <v>57400</v>
      </c>
      <c r="O9" s="124">
        <v>27.76</v>
      </c>
      <c r="P9" s="124">
        <v>14.02</v>
      </c>
      <c r="Q9" s="8">
        <v>27.76</v>
      </c>
      <c r="R9" s="8">
        <f>Q9</f>
        <v>27.76</v>
      </c>
      <c r="S9" s="8">
        <v>1.07</v>
      </c>
      <c r="T9" s="25" t="e">
        <f t="shared" si="2"/>
        <v>#REF!</v>
      </c>
      <c r="U9" s="25" t="e">
        <f t="shared" si="3"/>
        <v>#REF!</v>
      </c>
      <c r="V9" s="19" t="e">
        <f>AJ9</f>
        <v>#REF!</v>
      </c>
      <c r="W9" s="19">
        <f t="shared" si="7"/>
        <v>17678879</v>
      </c>
      <c r="X9" s="19">
        <f t="shared" si="4"/>
        <v>17836602</v>
      </c>
      <c r="Y9" s="19">
        <f t="shared" si="5"/>
        <v>-157723</v>
      </c>
      <c r="Z9" s="19">
        <f t="shared" si="6"/>
        <v>356732.04</v>
      </c>
      <c r="AA9" s="9"/>
      <c r="AB9" s="8" t="e">
        <f>IF($D9=0,SUMIFS(#REF!,#REF!,'итог '!$C9),SUMIFS(#REF!,#REF!,'итог '!$C9,#REF!,'итог '!$D9))</f>
        <v>#REF!</v>
      </c>
      <c r="AC9" s="8" t="e">
        <f>IF($D9=0,SUMIFS(#REF!,#REF!,'итог '!$C9),SUMIFS(#REF!,#REF!,'итог '!$C9,#REF!,'итог '!$D9))</f>
        <v>#REF!</v>
      </c>
      <c r="AD9" s="8" t="e">
        <f>IF($D9=0,SUMIFS(#REF!,#REF!,'итог '!$C9),SUMIFS(#REF!,#REF!,'итог '!$C9,#REF!,'итог '!$D9))</f>
        <v>#REF!</v>
      </c>
      <c r="AE9" s="8" t="e">
        <f>IF($D9=0,SUMIFS(#REF!,#REF!,'итог '!$C9),SUMIFS(#REF!,#REF!,'итог '!$C9,#REF!,'итог '!$D9))</f>
        <v>#REF!</v>
      </c>
      <c r="AF9" s="8" t="e">
        <f>IF($D9=0,SUMIFS(#REF!,#REF!,'итог '!$C9),SUMIFS(#REF!,#REF!,'итог '!$C9,#REF!,'итог '!$D9))</f>
        <v>#REF!</v>
      </c>
      <c r="AG9" s="8" t="e">
        <f>IF($D9=0,SUMIFS(#REF!,#REF!,'итог '!$C9),SUMIFS(#REF!,#REF!,'итог '!$C9,#REF!,'итог '!$D9))</f>
        <v>#REF!</v>
      </c>
      <c r="AH9" s="8" t="e">
        <f>IF($D9=0,SUMIFS(#REF!,#REF!,'итог '!$C9),SUMIFS(#REF!,#REF!,'итог '!$C9,#REF!,'итог '!$D9))</f>
        <v>#REF!</v>
      </c>
      <c r="AI9" s="8" t="e">
        <f>IF($D9=0,SUMIFS(#REF!,#REF!,'итог '!$C9),SUMIFS(#REF!,#REF!,'итог '!$C9,#REF!,'итог '!$D9))</f>
        <v>#REF!</v>
      </c>
      <c r="AJ9" s="8" t="e">
        <f>IF($D9=0,SUMIFS(#REF!,#REF!,'итог '!$C9),SUMIFS(#REF!,#REF!,'итог '!$C9,#REF!,'итог '!$D9))</f>
        <v>#REF!</v>
      </c>
      <c r="AK9" s="8" t="e">
        <f>IF($D9=0,SUMIFS(#REF!,#REF!,'итог '!$C9),SUMIFS(#REF!,#REF!,'итог '!$C9,#REF!,'итог '!$D9))</f>
        <v>#REF!</v>
      </c>
      <c r="AL9" s="8" t="e">
        <f>IF($D9=0,SUMIFS(#REF!,#REF!,'итог '!$C9),SUMIFS(#REF!,#REF!,'итог '!$C9,#REF!,'итог '!$D9))</f>
        <v>#REF!</v>
      </c>
      <c r="AM9" s="8" t="e">
        <f>IF($D9=0,SUMIFS(#REF!,#REF!,'итог '!$C9),SUMIFS(#REF!,#REF!,'итог '!$C9,#REF!,'итог '!$D9))</f>
        <v>#REF!</v>
      </c>
    </row>
    <row r="10" spans="1:39" ht="25.5" customHeight="1" x14ac:dyDescent="0.25">
      <c r="A10" s="116" t="s">
        <v>83</v>
      </c>
      <c r="B10" s="116" t="s">
        <v>137</v>
      </c>
      <c r="C10" s="118" t="s">
        <v>8</v>
      </c>
      <c r="D10" s="118" t="s">
        <v>14</v>
      </c>
      <c r="E10" s="18" t="e">
        <f>IF(D10=0,SUMIFS(#REF!,#REF!,'итог '!C10),SUMIFS(#REF!,#REF!,'итог '!C10,#REF!,'итог '!D10))/12</f>
        <v>#REF!</v>
      </c>
      <c r="F10" s="6">
        <v>27296824</v>
      </c>
      <c r="G10" s="6">
        <v>1964408</v>
      </c>
      <c r="H10" s="172"/>
      <c r="I10" s="172"/>
      <c r="J10" s="7" t="e">
        <f>IF(D10=0,SUMIFS(#REF!,#REF!,'итог '!C10),SUMIFS(#REF!,#REF!,'итог '!C10,#REF!,'итог '!D10))/12/'итог '!E10</f>
        <v>#REF!</v>
      </c>
      <c r="K10" s="7">
        <v>3.6</v>
      </c>
      <c r="L10" s="20" t="e">
        <f t="shared" si="0"/>
        <v>#REF!</v>
      </c>
      <c r="M10" s="20" t="e">
        <f t="shared" si="1"/>
        <v>#REF!</v>
      </c>
      <c r="N10" s="121">
        <v>63800</v>
      </c>
      <c r="O10" s="124">
        <v>40.78</v>
      </c>
      <c r="P10" s="124">
        <v>33.96</v>
      </c>
      <c r="Q10" s="8">
        <v>41.710000000000008</v>
      </c>
      <c r="R10" s="8">
        <v>40.78</v>
      </c>
      <c r="S10" s="8">
        <v>1.07</v>
      </c>
      <c r="T10" s="25" t="e">
        <f t="shared" si="2"/>
        <v>#REF!</v>
      </c>
      <c r="U10" s="25" t="e">
        <f t="shared" si="3"/>
        <v>#REF!</v>
      </c>
      <c r="V10" s="19" t="e">
        <f>AJ10</f>
        <v>#REF!</v>
      </c>
      <c r="W10" s="19">
        <f t="shared" si="7"/>
        <v>29261232</v>
      </c>
      <c r="X10" s="19">
        <f t="shared" si="4"/>
        <v>27296824</v>
      </c>
      <c r="Y10" s="19">
        <f t="shared" si="5"/>
        <v>1964408</v>
      </c>
      <c r="Z10" s="19">
        <f t="shared" si="6"/>
        <v>545936.48</v>
      </c>
      <c r="AA10" s="9"/>
      <c r="AB10" s="8" t="e">
        <f>IF($D10=0,SUMIFS(#REF!,#REF!,'итог '!$C10),SUMIFS(#REF!,#REF!,'итог '!$C10,#REF!,'итог '!$D10))</f>
        <v>#REF!</v>
      </c>
      <c r="AC10" s="8" t="e">
        <f>IF($D10=0,SUMIFS(#REF!,#REF!,'итог '!$C10),SUMIFS(#REF!,#REF!,'итог '!$C10,#REF!,'итог '!$D10))</f>
        <v>#REF!</v>
      </c>
      <c r="AD10" s="8" t="e">
        <f>IF($D10=0,SUMIFS(#REF!,#REF!,'итог '!$C10),SUMIFS(#REF!,#REF!,'итог '!$C10,#REF!,'итог '!$D10))</f>
        <v>#REF!</v>
      </c>
      <c r="AE10" s="8" t="e">
        <f>IF($D10=0,SUMIFS(#REF!,#REF!,'итог '!$C10),SUMIFS(#REF!,#REF!,'итог '!$C10,#REF!,'итог '!$D10))</f>
        <v>#REF!</v>
      </c>
      <c r="AF10" s="8" t="e">
        <f>IF($D10=0,SUMIFS(#REF!,#REF!,'итог '!$C10),SUMIFS(#REF!,#REF!,'итог '!$C10,#REF!,'итог '!$D10))</f>
        <v>#REF!</v>
      </c>
      <c r="AG10" s="8" t="e">
        <f>IF($D10=0,SUMIFS(#REF!,#REF!,'итог '!$C10),SUMIFS(#REF!,#REF!,'итог '!$C10,#REF!,'итог '!$D10))</f>
        <v>#REF!</v>
      </c>
      <c r="AH10" s="8" t="e">
        <f>IF($D10=0,SUMIFS(#REF!,#REF!,'итог '!$C10),SUMIFS(#REF!,#REF!,'итог '!$C10,#REF!,'итог '!$D10))</f>
        <v>#REF!</v>
      </c>
      <c r="AI10" s="8" t="e">
        <f>IF($D10=0,SUMIFS(#REF!,#REF!,'итог '!$C10),SUMIFS(#REF!,#REF!,'итог '!$C10,#REF!,'итог '!$D10))</f>
        <v>#REF!</v>
      </c>
      <c r="AJ10" s="8" t="e">
        <f>IF($D10=0,SUMIFS(#REF!,#REF!,'итог '!$C10),SUMIFS(#REF!,#REF!,'итог '!$C10,#REF!,'итог '!$D10))</f>
        <v>#REF!</v>
      </c>
      <c r="AK10" s="8" t="e">
        <f>IF($D10=0,SUMIFS(#REF!,#REF!,'итог '!$C10),SUMIFS(#REF!,#REF!,'итог '!$C10,#REF!,'итог '!$D10))</f>
        <v>#REF!</v>
      </c>
      <c r="AL10" s="8" t="e">
        <f>IF($D10=0,SUMIFS(#REF!,#REF!,'итог '!$C10),SUMIFS(#REF!,#REF!,'итог '!$C10,#REF!,'итог '!$D10))</f>
        <v>#REF!</v>
      </c>
      <c r="AM10" s="8" t="e">
        <f>IF($D10=0,SUMIFS(#REF!,#REF!,'итог '!$C10),SUMIFS(#REF!,#REF!,'итог '!$C10,#REF!,'итог '!$D10))</f>
        <v>#REF!</v>
      </c>
    </row>
    <row r="11" spans="1:39" ht="25.5" customHeight="1" x14ac:dyDescent="0.25">
      <c r="A11" s="116" t="s">
        <v>84</v>
      </c>
      <c r="B11" s="116" t="s">
        <v>137</v>
      </c>
      <c r="C11" s="118" t="s">
        <v>8</v>
      </c>
      <c r="D11" s="118" t="s">
        <v>85</v>
      </c>
      <c r="E11" s="18" t="e">
        <f>IF(D11=0,SUMIFS(#REF!,#REF!,'итог '!C11),SUMIFS(#REF!,#REF!,'итог '!C11,#REF!,'итог '!D11))/12</f>
        <v>#REF!</v>
      </c>
      <c r="F11" s="6">
        <v>37339351</v>
      </c>
      <c r="G11" s="6">
        <v>-1121351</v>
      </c>
      <c r="H11" s="172"/>
      <c r="I11" s="172"/>
      <c r="J11" s="7" t="e">
        <f>IF(D11=0,SUMIFS(#REF!,#REF!,'итог '!C11),SUMIFS(#REF!,#REF!,'итог '!C11,#REF!,'итог '!D11))/12/'итог '!E11</f>
        <v>#REF!</v>
      </c>
      <c r="K11" s="7">
        <v>3.6</v>
      </c>
      <c r="L11" s="20" t="e">
        <f t="shared" si="0"/>
        <v>#REF!</v>
      </c>
      <c r="M11" s="20" t="e">
        <f t="shared" si="1"/>
        <v>#REF!</v>
      </c>
      <c r="N11" s="121">
        <v>53100</v>
      </c>
      <c r="O11" s="124">
        <v>62.13</v>
      </c>
      <c r="P11" s="124">
        <v>54.9</v>
      </c>
      <c r="Q11" s="8">
        <v>62.129999999999995</v>
      </c>
      <c r="R11" s="8">
        <f>Q11</f>
        <v>62.129999999999995</v>
      </c>
      <c r="S11" s="8">
        <v>1.05</v>
      </c>
      <c r="T11" s="25" t="e">
        <f t="shared" si="2"/>
        <v>#REF!</v>
      </c>
      <c r="U11" s="25" t="e">
        <f t="shared" si="3"/>
        <v>#REF!</v>
      </c>
      <c r="V11" s="19" t="e">
        <f>AK11</f>
        <v>#REF!</v>
      </c>
      <c r="W11" s="19">
        <f t="shared" si="7"/>
        <v>36218000</v>
      </c>
      <c r="X11" s="19">
        <f t="shared" si="4"/>
        <v>37339351</v>
      </c>
      <c r="Y11" s="19">
        <f t="shared" si="5"/>
        <v>-1121351</v>
      </c>
      <c r="Z11" s="19">
        <f t="shared" si="6"/>
        <v>746787.02</v>
      </c>
      <c r="AA11" s="9">
        <v>1105287.1200000008</v>
      </c>
      <c r="AB11" s="8" t="e">
        <f>IF($D11=0,SUMIFS(#REF!,#REF!,'итог '!$C11),SUMIFS(#REF!,#REF!,'итог '!$C11,#REF!,'итог '!$D11))</f>
        <v>#REF!</v>
      </c>
      <c r="AC11" s="8" t="e">
        <f>IF($D11=0,SUMIFS(#REF!,#REF!,'итог '!$C11),SUMIFS(#REF!,#REF!,'итог '!$C11,#REF!,'итог '!$D11))</f>
        <v>#REF!</v>
      </c>
      <c r="AD11" s="8" t="e">
        <f>IF($D11=0,SUMIFS(#REF!,#REF!,'итог '!$C11),SUMIFS(#REF!,#REF!,'итог '!$C11,#REF!,'итог '!$D11))</f>
        <v>#REF!</v>
      </c>
      <c r="AE11" s="8" t="e">
        <f>IF($D11=0,SUMIFS(#REF!,#REF!,'итог '!$C11),SUMIFS(#REF!,#REF!,'итог '!$C11,#REF!,'итог '!$D11))</f>
        <v>#REF!</v>
      </c>
      <c r="AF11" s="8" t="e">
        <f>IF($D11=0,SUMIFS(#REF!,#REF!,'итог '!$C11),SUMIFS(#REF!,#REF!,'итог '!$C11,#REF!,'итог '!$D11))</f>
        <v>#REF!</v>
      </c>
      <c r="AG11" s="8" t="e">
        <f>IF($D11=0,SUMIFS(#REF!,#REF!,'итог '!$C11),SUMIFS(#REF!,#REF!,'итог '!$C11,#REF!,'итог '!$D11))</f>
        <v>#REF!</v>
      </c>
      <c r="AH11" s="8" t="e">
        <f>IF($D11=0,SUMIFS(#REF!,#REF!,'итог '!$C11),SUMIFS(#REF!,#REF!,'итог '!$C11,#REF!,'итог '!$D11))</f>
        <v>#REF!</v>
      </c>
      <c r="AI11" s="8" t="e">
        <f>IF($D11=0,SUMIFS(#REF!,#REF!,'итог '!$C11),SUMIFS(#REF!,#REF!,'итог '!$C11,#REF!,'итог '!$D11))</f>
        <v>#REF!</v>
      </c>
      <c r="AJ11" s="8" t="e">
        <f>IF($D11=0,SUMIFS(#REF!,#REF!,'итог '!$C11),SUMIFS(#REF!,#REF!,'итог '!$C11,#REF!,'итог '!$D11))</f>
        <v>#REF!</v>
      </c>
      <c r="AK11" s="8" t="e">
        <f>IF($D11=0,SUMIFS(#REF!,#REF!,'итог '!$C11),SUMIFS(#REF!,#REF!,'итог '!$C11,#REF!,'итог '!$D11))</f>
        <v>#REF!</v>
      </c>
      <c r="AL11" s="8" t="e">
        <f>IF($D11=0,SUMIFS(#REF!,#REF!,'итог '!$C11),SUMIFS(#REF!,#REF!,'итог '!$C11,#REF!,'итог '!$D11))</f>
        <v>#REF!</v>
      </c>
      <c r="AM11" s="8" t="e">
        <f>IF($D11=0,SUMIFS(#REF!,#REF!,'итог '!$C11),SUMIFS(#REF!,#REF!,'итог '!$C11,#REF!,'итог '!$D11))</f>
        <v>#REF!</v>
      </c>
    </row>
    <row r="12" spans="1:39" ht="25.5" customHeight="1" x14ac:dyDescent="0.25">
      <c r="A12" s="116" t="s">
        <v>86</v>
      </c>
      <c r="B12" s="116" t="s">
        <v>137</v>
      </c>
      <c r="C12" s="118" t="s">
        <v>8</v>
      </c>
      <c r="D12" s="118" t="s">
        <v>23</v>
      </c>
      <c r="E12" s="18" t="e">
        <f>IF(D12=0,SUMIFS(#REF!,#REF!,'итог '!C12),SUMIFS(#REF!,#REF!,'итог '!C12,#REF!,'итог '!D12))/12</f>
        <v>#REF!</v>
      </c>
      <c r="F12" s="6">
        <v>16109226</v>
      </c>
      <c r="G12" s="6">
        <v>-49770</v>
      </c>
      <c r="H12" s="173"/>
      <c r="I12" s="173"/>
      <c r="J12" s="7" t="e">
        <f>IF(D12=0,SUMIFS(#REF!,#REF!,'итог '!C12),SUMIFS(#REF!,#REF!,'итог '!C12,#REF!,'итог '!D12))/12/'итог '!E12</f>
        <v>#REF!</v>
      </c>
      <c r="K12" s="7">
        <v>3.6</v>
      </c>
      <c r="L12" s="20" t="e">
        <f t="shared" si="0"/>
        <v>#REF!</v>
      </c>
      <c r="M12" s="20" t="e">
        <f t="shared" si="1"/>
        <v>#REF!</v>
      </c>
      <c r="N12" s="121">
        <v>56900</v>
      </c>
      <c r="O12" s="124">
        <v>25.16</v>
      </c>
      <c r="P12" s="124">
        <v>22.15</v>
      </c>
      <c r="Q12" s="8">
        <v>26.179999999999996</v>
      </c>
      <c r="R12" s="8">
        <v>25.16</v>
      </c>
      <c r="S12" s="8">
        <v>1.07</v>
      </c>
      <c r="T12" s="25" t="e">
        <f t="shared" si="2"/>
        <v>#REF!</v>
      </c>
      <c r="U12" s="25" t="e">
        <f t="shared" si="3"/>
        <v>#REF!</v>
      </c>
      <c r="V12" s="19" t="e">
        <f>AM12</f>
        <v>#REF!</v>
      </c>
      <c r="W12" s="19">
        <f t="shared" si="7"/>
        <v>16059456</v>
      </c>
      <c r="X12" s="19">
        <f t="shared" si="4"/>
        <v>16109226</v>
      </c>
      <c r="Y12" s="19">
        <f t="shared" si="5"/>
        <v>-49770</v>
      </c>
      <c r="Z12" s="19">
        <f t="shared" si="6"/>
        <v>322184.52</v>
      </c>
      <c r="AA12" s="9">
        <v>1385128.0800000003</v>
      </c>
      <c r="AB12" s="8" t="e">
        <f>IF($D12=0,SUMIFS(#REF!,#REF!,'итог '!$C12),SUMIFS(#REF!,#REF!,'итог '!$C12,#REF!,'итог '!$D12))</f>
        <v>#REF!</v>
      </c>
      <c r="AC12" s="8" t="e">
        <f>IF($D12=0,SUMIFS(#REF!,#REF!,'итог '!$C12),SUMIFS(#REF!,#REF!,'итог '!$C12,#REF!,'итог '!$D12))</f>
        <v>#REF!</v>
      </c>
      <c r="AD12" s="8" t="e">
        <f>IF($D12=0,SUMIFS(#REF!,#REF!,'итог '!$C12),SUMIFS(#REF!,#REF!,'итог '!$C12,#REF!,'итог '!$D12))</f>
        <v>#REF!</v>
      </c>
      <c r="AE12" s="8" t="e">
        <f>IF($D12=0,SUMIFS(#REF!,#REF!,'итог '!$C12),SUMIFS(#REF!,#REF!,'итог '!$C12,#REF!,'итог '!$D12))</f>
        <v>#REF!</v>
      </c>
      <c r="AF12" s="8" t="e">
        <f>IF($D12=0,SUMIFS(#REF!,#REF!,'итог '!$C12),SUMIFS(#REF!,#REF!,'итог '!$C12,#REF!,'итог '!$D12))</f>
        <v>#REF!</v>
      </c>
      <c r="AG12" s="8" t="e">
        <f>IF($D12=0,SUMIFS(#REF!,#REF!,'итог '!$C12),SUMIFS(#REF!,#REF!,'итог '!$C12,#REF!,'итог '!$D12))</f>
        <v>#REF!</v>
      </c>
      <c r="AH12" s="8" t="e">
        <f>IF($D12=0,SUMIFS(#REF!,#REF!,'итог '!$C12),SUMIFS(#REF!,#REF!,'итог '!$C12,#REF!,'итог '!$D12))</f>
        <v>#REF!</v>
      </c>
      <c r="AI12" s="8" t="e">
        <f>IF($D12=0,SUMIFS(#REF!,#REF!,'итог '!$C12),SUMIFS(#REF!,#REF!,'итог '!$C12,#REF!,'итог '!$D12))</f>
        <v>#REF!</v>
      </c>
      <c r="AJ12" s="8" t="e">
        <f>IF($D12=0,SUMIFS(#REF!,#REF!,'итог '!$C12),SUMIFS(#REF!,#REF!,'итог '!$C12,#REF!,'итог '!$D12))</f>
        <v>#REF!</v>
      </c>
      <c r="AK12" s="8" t="e">
        <f>IF($D12=0,SUMIFS(#REF!,#REF!,'итог '!$C12),SUMIFS(#REF!,#REF!,'итог '!$C12,#REF!,'итог '!$D12))</f>
        <v>#REF!</v>
      </c>
      <c r="AL12" s="8" t="e">
        <f>IF($D12=0,SUMIFS(#REF!,#REF!,'итог '!$C12),SUMIFS(#REF!,#REF!,'итог '!$C12,#REF!,'итог '!$D12))</f>
        <v>#REF!</v>
      </c>
      <c r="AM12" s="8" t="e">
        <f>IF($D12=0,SUMIFS(#REF!,#REF!,'итог '!$C12),SUMIFS(#REF!,#REF!,'итог '!$C12,#REF!,'итог '!$D12))</f>
        <v>#REF!</v>
      </c>
    </row>
    <row r="13" spans="1:39" x14ac:dyDescent="0.25">
      <c r="A13" s="4" t="s">
        <v>14</v>
      </c>
      <c r="B13" s="4" t="s">
        <v>39</v>
      </c>
      <c r="C13" s="5" t="s">
        <v>40</v>
      </c>
      <c r="D13" s="5" t="s">
        <v>10</v>
      </c>
      <c r="E13" s="18" t="e">
        <f>IF(D13=0,SUMIFS(#REF!,#REF!,'итог '!C13),SUMIFS(#REF!,#REF!,'итог '!C13,#REF!,'итог '!D13))/12</f>
        <v>#REF!</v>
      </c>
      <c r="F13" s="6">
        <v>152468301</v>
      </c>
      <c r="G13" s="6">
        <v>10461795</v>
      </c>
      <c r="H13" s="115" t="s">
        <v>221</v>
      </c>
      <c r="I13" s="115" t="s">
        <v>222</v>
      </c>
      <c r="J13" s="7" t="e">
        <f>IF(D13=0,SUMIFS(#REF!,#REF!,'итог '!C13),SUMIFS(#REF!,#REF!,'итог '!C13,#REF!,'итог '!D13))/12/'итог '!E13</f>
        <v>#REF!</v>
      </c>
      <c r="K13" s="7">
        <v>3.6</v>
      </c>
      <c r="L13" s="20" t="e">
        <f t="shared" si="0"/>
        <v>#REF!</v>
      </c>
      <c r="M13" s="20" t="e">
        <f t="shared" si="1"/>
        <v>#REF!</v>
      </c>
      <c r="N13" s="121">
        <v>53700</v>
      </c>
      <c r="O13" s="124">
        <v>277.45</v>
      </c>
      <c r="P13" s="124">
        <v>239.68</v>
      </c>
      <c r="Q13" s="8">
        <v>287.28000000000009</v>
      </c>
      <c r="R13" s="8">
        <v>277.45</v>
      </c>
      <c r="S13" s="8">
        <v>1.07</v>
      </c>
      <c r="T13" s="25" t="e">
        <f t="shared" si="2"/>
        <v>#REF!</v>
      </c>
      <c r="U13" s="25" t="e">
        <f t="shared" si="3"/>
        <v>#REF!</v>
      </c>
      <c r="V13" s="19" t="e">
        <f>AK13</f>
        <v>#REF!</v>
      </c>
      <c r="W13" s="19">
        <f t="shared" si="7"/>
        <v>162930096</v>
      </c>
      <c r="X13" s="19">
        <f t="shared" si="4"/>
        <v>152468301</v>
      </c>
      <c r="Y13" s="19">
        <f t="shared" si="5"/>
        <v>10461795</v>
      </c>
      <c r="Z13" s="19">
        <f t="shared" si="6"/>
        <v>3049366.02</v>
      </c>
      <c r="AA13" s="9"/>
      <c r="AB13" s="8" t="e">
        <f>IF($D13=0,SUMIFS(#REF!,#REF!,'итог '!$C13),SUMIFS(#REF!,#REF!,'итог '!$C13,#REF!,'итог '!$D13))</f>
        <v>#REF!</v>
      </c>
      <c r="AC13" s="8" t="e">
        <f>IF($D13=0,SUMIFS(#REF!,#REF!,'итог '!$C13),SUMIFS(#REF!,#REF!,'итог '!$C13,#REF!,'итог '!$D13))</f>
        <v>#REF!</v>
      </c>
      <c r="AD13" s="8" t="e">
        <f>IF($D13=0,SUMIFS(#REF!,#REF!,'итог '!$C13),SUMIFS(#REF!,#REF!,'итог '!$C13,#REF!,'итог '!$D13))</f>
        <v>#REF!</v>
      </c>
      <c r="AE13" s="8" t="e">
        <f>IF($D13=0,SUMIFS(#REF!,#REF!,'итог '!$C13),SUMIFS(#REF!,#REF!,'итог '!$C13,#REF!,'итог '!$D13))</f>
        <v>#REF!</v>
      </c>
      <c r="AF13" s="8" t="e">
        <f>IF($D13=0,SUMIFS(#REF!,#REF!,'итог '!$C13),SUMIFS(#REF!,#REF!,'итог '!$C13,#REF!,'итог '!$D13))</f>
        <v>#REF!</v>
      </c>
      <c r="AG13" s="8" t="e">
        <f>IF($D13=0,SUMIFS(#REF!,#REF!,'итог '!$C13),SUMIFS(#REF!,#REF!,'итог '!$C13,#REF!,'итог '!$D13))</f>
        <v>#REF!</v>
      </c>
      <c r="AH13" s="8" t="e">
        <f>IF($D13=0,SUMIFS(#REF!,#REF!,'итог '!$C13),SUMIFS(#REF!,#REF!,'итог '!$C13,#REF!,'итог '!$D13))</f>
        <v>#REF!</v>
      </c>
      <c r="AI13" s="8" t="e">
        <f>IF($D13=0,SUMIFS(#REF!,#REF!,'итог '!$C13),SUMIFS(#REF!,#REF!,'итог '!$C13,#REF!,'итог '!$D13))</f>
        <v>#REF!</v>
      </c>
      <c r="AJ13" s="8" t="e">
        <f>IF($D13=0,SUMIFS(#REF!,#REF!,'итог '!$C13),SUMIFS(#REF!,#REF!,'итог '!$C13,#REF!,'итог '!$D13))</f>
        <v>#REF!</v>
      </c>
      <c r="AK13" s="8" t="e">
        <f>IF($D13=0,SUMIFS(#REF!,#REF!,'итог '!$C13),SUMIFS(#REF!,#REF!,'итог '!$C13,#REF!,'итог '!$D13))</f>
        <v>#REF!</v>
      </c>
      <c r="AL13" s="8" t="e">
        <f>IF($D13=0,SUMIFS(#REF!,#REF!,'итог '!$C13),SUMIFS(#REF!,#REF!,'итог '!$C13,#REF!,'итог '!$D13))</f>
        <v>#REF!</v>
      </c>
      <c r="AM13" s="8" t="e">
        <f>IF($D13=0,SUMIFS(#REF!,#REF!,'итог '!$C13),SUMIFS(#REF!,#REF!,'итог '!$C13,#REF!,'итог '!$D13))</f>
        <v>#REF!</v>
      </c>
    </row>
    <row r="14" spans="1:39" x14ac:dyDescent="0.25">
      <c r="A14" s="116" t="s">
        <v>15</v>
      </c>
      <c r="B14" s="116" t="s">
        <v>39</v>
      </c>
      <c r="C14" s="118" t="s">
        <v>40</v>
      </c>
      <c r="D14" s="118" t="s">
        <v>13</v>
      </c>
      <c r="E14" s="18" t="e">
        <f>IF(D14=0,SUMIFS(#REF!,#REF!,'итог '!C14),SUMIFS(#REF!,#REF!,'итог '!C14,#REF!,'итог '!D14))/12</f>
        <v>#REF!</v>
      </c>
      <c r="F14" s="6">
        <v>56658398</v>
      </c>
      <c r="G14" s="6">
        <v>-400398</v>
      </c>
      <c r="H14" s="115" t="s">
        <v>223</v>
      </c>
      <c r="I14" s="115" t="s">
        <v>224</v>
      </c>
      <c r="J14" s="7" t="e">
        <f>IF(D14=0,SUMIFS(#REF!,#REF!,'итог '!C14),SUMIFS(#REF!,#REF!,'итог '!C14,#REF!,'итог '!D14))/12/'итог '!E14</f>
        <v>#REF!</v>
      </c>
      <c r="K14" s="7">
        <v>3.6</v>
      </c>
      <c r="L14" s="20" t="e">
        <f t="shared" si="0"/>
        <v>#REF!</v>
      </c>
      <c r="M14" s="20" t="e">
        <f t="shared" si="1"/>
        <v>#REF!</v>
      </c>
      <c r="N14" s="121">
        <v>50100</v>
      </c>
      <c r="O14" s="124">
        <v>91.69</v>
      </c>
      <c r="P14" s="124">
        <v>89.02</v>
      </c>
      <c r="Q14" s="8">
        <f>98.75+4.5</f>
        <v>103.25</v>
      </c>
      <c r="R14" s="8">
        <f>91.69+4.5</f>
        <v>96.19</v>
      </c>
      <c r="S14" s="8">
        <v>1</v>
      </c>
      <c r="T14" s="25" t="e">
        <f t="shared" si="2"/>
        <v>#REF!</v>
      </c>
      <c r="U14" s="25" t="e">
        <f t="shared" si="3"/>
        <v>#REF!</v>
      </c>
      <c r="V14" s="19" t="e">
        <f>AJ14</f>
        <v>#REF!</v>
      </c>
      <c r="W14" s="19">
        <f t="shared" si="7"/>
        <v>56258000</v>
      </c>
      <c r="X14" s="19">
        <f t="shared" si="4"/>
        <v>56658398</v>
      </c>
      <c r="Y14" s="19">
        <f t="shared" si="5"/>
        <v>-400398</v>
      </c>
      <c r="Z14" s="19">
        <f t="shared" si="6"/>
        <v>1133167.96</v>
      </c>
      <c r="AA14" s="9">
        <v>4206716.6400000062</v>
      </c>
      <c r="AB14" s="8" t="e">
        <f>IF($D14=0,SUMIFS(#REF!,#REF!,'итог '!$C14),SUMIFS(#REF!,#REF!,'итог '!$C14,#REF!,'итог '!$D14))</f>
        <v>#REF!</v>
      </c>
      <c r="AC14" s="8" t="e">
        <f>IF($D14=0,SUMIFS(#REF!,#REF!,'итог '!$C14),SUMIFS(#REF!,#REF!,'итог '!$C14,#REF!,'итог '!$D14))</f>
        <v>#REF!</v>
      </c>
      <c r="AD14" s="8" t="e">
        <f>IF($D14=0,SUMIFS(#REF!,#REF!,'итог '!$C14),SUMIFS(#REF!,#REF!,'итог '!$C14,#REF!,'итог '!$D14))</f>
        <v>#REF!</v>
      </c>
      <c r="AE14" s="8" t="e">
        <f>IF($D14=0,SUMIFS(#REF!,#REF!,'итог '!$C14),SUMIFS(#REF!,#REF!,'итог '!$C14,#REF!,'итог '!$D14))</f>
        <v>#REF!</v>
      </c>
      <c r="AF14" s="8" t="e">
        <f>IF($D14=0,SUMIFS(#REF!,#REF!,'итог '!$C14),SUMIFS(#REF!,#REF!,'итог '!$C14,#REF!,'итог '!$D14))</f>
        <v>#REF!</v>
      </c>
      <c r="AG14" s="8" t="e">
        <f>IF($D14=0,SUMIFS(#REF!,#REF!,'итог '!$C14),SUMIFS(#REF!,#REF!,'итог '!$C14,#REF!,'итог '!$D14))</f>
        <v>#REF!</v>
      </c>
      <c r="AH14" s="8" t="e">
        <f>IF($D14=0,SUMIFS(#REF!,#REF!,'итог '!$C14),SUMIFS(#REF!,#REF!,'итог '!$C14,#REF!,'итог '!$D14))</f>
        <v>#REF!</v>
      </c>
      <c r="AI14" s="8" t="e">
        <f>IF($D14=0,SUMIFS(#REF!,#REF!,'итог '!$C14),SUMIFS(#REF!,#REF!,'итог '!$C14,#REF!,'итог '!$D14))</f>
        <v>#REF!</v>
      </c>
      <c r="AJ14" s="8" t="e">
        <f>IF($D14=0,SUMIFS(#REF!,#REF!,'итог '!$C14),SUMIFS(#REF!,#REF!,'итог '!$C14,#REF!,'итог '!$D14))</f>
        <v>#REF!</v>
      </c>
      <c r="AK14" s="8" t="e">
        <f>IF($D14=0,SUMIFS(#REF!,#REF!,'итог '!$C14),SUMIFS(#REF!,#REF!,'итог '!$C14,#REF!,'итог '!$D14))</f>
        <v>#REF!</v>
      </c>
      <c r="AL14" s="8" t="e">
        <f>IF($D14=0,SUMIFS(#REF!,#REF!,'итог '!$C14),SUMIFS(#REF!,#REF!,'итог '!$C14,#REF!,'итог '!$D14))</f>
        <v>#REF!</v>
      </c>
      <c r="AM14" s="8" t="e">
        <f>IF($D14=0,SUMIFS(#REF!,#REF!,'итог '!$C14),SUMIFS(#REF!,#REF!,'итог '!$C14,#REF!,'итог '!$D14))</f>
        <v>#REF!</v>
      </c>
    </row>
    <row r="15" spans="1:39" x14ac:dyDescent="0.25">
      <c r="A15" s="4" t="s">
        <v>16</v>
      </c>
      <c r="B15" s="4" t="s">
        <v>39</v>
      </c>
      <c r="C15" s="5" t="s">
        <v>40</v>
      </c>
      <c r="D15" s="5" t="s">
        <v>34</v>
      </c>
      <c r="E15" s="18" t="e">
        <f>IF(D15=0,SUMIFS(#REF!,#REF!,'итог '!C15),SUMIFS(#REF!,#REF!,'итог '!C15,#REF!,'итог '!D15))/12</f>
        <v>#REF!</v>
      </c>
      <c r="F15" s="6">
        <v>15035787.824978674</v>
      </c>
      <c r="G15" s="6">
        <v>1047188.1750213262</v>
      </c>
      <c r="H15" s="115" t="s">
        <v>221</v>
      </c>
      <c r="I15" s="115" t="s">
        <v>222</v>
      </c>
      <c r="J15" s="7" t="e">
        <f>IF(D15=0,SUMIFS(#REF!,#REF!,'итог '!C15),SUMIFS(#REF!,#REF!,'итог '!C15,#REF!,'итог '!D15))/12/'итог '!E15</f>
        <v>#REF!</v>
      </c>
      <c r="K15" s="7">
        <v>3.6</v>
      </c>
      <c r="L15" s="20" t="e">
        <f t="shared" si="0"/>
        <v>#REF!</v>
      </c>
      <c r="M15" s="20" t="e">
        <f t="shared" si="1"/>
        <v>#REF!</v>
      </c>
      <c r="N15" s="121">
        <v>52600</v>
      </c>
      <c r="O15" s="124">
        <v>27.67</v>
      </c>
      <c r="P15" s="124">
        <v>22.78</v>
      </c>
      <c r="Q15" s="8">
        <v>27.669999999999998</v>
      </c>
      <c r="R15" s="8">
        <f>Q15</f>
        <v>27.669999999999998</v>
      </c>
      <c r="S15" s="8">
        <v>1.07</v>
      </c>
      <c r="T15" s="25" t="e">
        <f t="shared" si="2"/>
        <v>#REF!</v>
      </c>
      <c r="U15" s="25" t="e">
        <f t="shared" si="3"/>
        <v>#REF!</v>
      </c>
      <c r="V15" s="19" t="e">
        <f>AM15</f>
        <v>#REF!</v>
      </c>
      <c r="W15" s="19">
        <f t="shared" si="7"/>
        <v>16082976</v>
      </c>
      <c r="X15" s="19">
        <f t="shared" si="4"/>
        <v>15035787.824978674</v>
      </c>
      <c r="Y15" s="19">
        <f t="shared" si="5"/>
        <v>1047188.1750213262</v>
      </c>
      <c r="Z15" s="19">
        <f t="shared" si="6"/>
        <v>300715.75649957347</v>
      </c>
      <c r="AA15" s="9"/>
      <c r="AB15" s="8" t="e">
        <f>IF($D15=0,SUMIFS(#REF!,#REF!,'итог '!$C15),SUMIFS(#REF!,#REF!,'итог '!$C15,#REF!,'итог '!$D15))</f>
        <v>#REF!</v>
      </c>
      <c r="AC15" s="8" t="e">
        <f>IF($D15=0,SUMIFS(#REF!,#REF!,'итог '!$C15),SUMIFS(#REF!,#REF!,'итог '!$C15,#REF!,'итог '!$D15))</f>
        <v>#REF!</v>
      </c>
      <c r="AD15" s="8" t="e">
        <f>IF($D15=0,SUMIFS(#REF!,#REF!,'итог '!$C15),SUMIFS(#REF!,#REF!,'итог '!$C15,#REF!,'итог '!$D15))</f>
        <v>#REF!</v>
      </c>
      <c r="AE15" s="8" t="e">
        <f>IF($D15=0,SUMIFS(#REF!,#REF!,'итог '!$C15),SUMIFS(#REF!,#REF!,'итог '!$C15,#REF!,'итог '!$D15))</f>
        <v>#REF!</v>
      </c>
      <c r="AF15" s="8" t="e">
        <f>IF($D15=0,SUMIFS(#REF!,#REF!,'итог '!$C15),SUMIFS(#REF!,#REF!,'итог '!$C15,#REF!,'итог '!$D15))</f>
        <v>#REF!</v>
      </c>
      <c r="AG15" s="8" t="e">
        <f>IF($D15=0,SUMIFS(#REF!,#REF!,'итог '!$C15),SUMIFS(#REF!,#REF!,'итог '!$C15,#REF!,'итог '!$D15))</f>
        <v>#REF!</v>
      </c>
      <c r="AH15" s="8" t="e">
        <f>IF($D15=0,SUMIFS(#REF!,#REF!,'итог '!$C15),SUMIFS(#REF!,#REF!,'итог '!$C15,#REF!,'итог '!$D15))</f>
        <v>#REF!</v>
      </c>
      <c r="AI15" s="8" t="e">
        <f>IF($D15=0,SUMIFS(#REF!,#REF!,'итог '!$C15),SUMIFS(#REF!,#REF!,'итог '!$C15,#REF!,'итог '!$D15))</f>
        <v>#REF!</v>
      </c>
      <c r="AJ15" s="8" t="e">
        <f>IF($D15=0,SUMIFS(#REF!,#REF!,'итог '!$C15),SUMIFS(#REF!,#REF!,'итог '!$C15,#REF!,'итог '!$D15))</f>
        <v>#REF!</v>
      </c>
      <c r="AK15" s="8" t="e">
        <f>IF($D15=0,SUMIFS(#REF!,#REF!,'итог '!$C15),SUMIFS(#REF!,#REF!,'итог '!$C15,#REF!,'итог '!$D15))</f>
        <v>#REF!</v>
      </c>
      <c r="AL15" s="8" t="e">
        <f>IF($D15=0,SUMIFS(#REF!,#REF!,'итог '!$C15),SUMIFS(#REF!,#REF!,'итог '!$C15,#REF!,'итог '!$D15))</f>
        <v>#REF!</v>
      </c>
      <c r="AM15" s="8" t="e">
        <f>IF($D15=0,SUMIFS(#REF!,#REF!,'итог '!$C15),SUMIFS(#REF!,#REF!,'итог '!$C15,#REF!,'итог '!$D15))</f>
        <v>#REF!</v>
      </c>
    </row>
    <row r="16" spans="1:39" ht="18" customHeight="1" x14ac:dyDescent="0.25">
      <c r="A16" s="116" t="s">
        <v>17</v>
      </c>
      <c r="B16" s="116" t="s">
        <v>138</v>
      </c>
      <c r="C16" s="118" t="s">
        <v>42</v>
      </c>
      <c r="D16" s="118"/>
      <c r="E16" s="18" t="e">
        <f>IF(D16=0,SUMIFS(#REF!,#REF!,'итог '!C16),SUMIFS(#REF!,#REF!,'итог '!C16,#REF!,'итог '!D16))/12</f>
        <v>#REF!</v>
      </c>
      <c r="F16" s="6">
        <v>215214620</v>
      </c>
      <c r="G16" s="6">
        <v>10838452</v>
      </c>
      <c r="H16" s="115" t="s">
        <v>225</v>
      </c>
      <c r="I16" s="115" t="s">
        <v>226</v>
      </c>
      <c r="J16" s="7" t="e">
        <f>IF(D16=0,SUMIFS(#REF!,#REF!,'итог '!C16),SUMIFS(#REF!,#REF!,'итог '!C16,#REF!,'итог '!D16))/12/'итог '!E16</f>
        <v>#REF!</v>
      </c>
      <c r="K16" s="7">
        <v>3.22</v>
      </c>
      <c r="L16" s="20" t="e">
        <f t="shared" si="0"/>
        <v>#REF!</v>
      </c>
      <c r="M16" s="20" t="e">
        <f t="shared" si="1"/>
        <v>#REF!</v>
      </c>
      <c r="N16" s="121">
        <v>54300</v>
      </c>
      <c r="O16" s="124">
        <v>337.14</v>
      </c>
      <c r="P16" s="124">
        <v>286.08</v>
      </c>
      <c r="Q16" s="8">
        <v>360.26</v>
      </c>
      <c r="R16" s="8">
        <v>337.14</v>
      </c>
      <c r="S16" s="8">
        <v>1</v>
      </c>
      <c r="T16" s="25" t="e">
        <f t="shared" si="2"/>
        <v>#REF!</v>
      </c>
      <c r="U16" s="25" t="e">
        <f t="shared" si="3"/>
        <v>#REF!</v>
      </c>
      <c r="V16" s="19" t="e">
        <f>AL16</f>
        <v>#REF!</v>
      </c>
      <c r="W16" s="19">
        <f t="shared" si="7"/>
        <v>226053072</v>
      </c>
      <c r="X16" s="19">
        <f t="shared" si="4"/>
        <v>215214620</v>
      </c>
      <c r="Y16" s="19">
        <f t="shared" si="5"/>
        <v>10838452</v>
      </c>
      <c r="Z16" s="19">
        <f t="shared" si="6"/>
        <v>4304292.4000000004</v>
      </c>
      <c r="AA16" s="9"/>
      <c r="AB16" s="8" t="e">
        <f>IF($D16=0,SUMIFS(#REF!,#REF!,'итог '!$C16),SUMIFS(#REF!,#REF!,'итог '!$C16,#REF!,'итог '!$D16))</f>
        <v>#REF!</v>
      </c>
      <c r="AC16" s="8" t="e">
        <f>IF($D16=0,SUMIFS(#REF!,#REF!,'итог '!$C16),SUMIFS(#REF!,#REF!,'итог '!$C16,#REF!,'итог '!$D16))</f>
        <v>#REF!</v>
      </c>
      <c r="AD16" s="8" t="e">
        <f>IF($D16=0,SUMIFS(#REF!,#REF!,'итог '!$C16),SUMIFS(#REF!,#REF!,'итог '!$C16,#REF!,'итог '!$D16))</f>
        <v>#REF!</v>
      </c>
      <c r="AE16" s="8" t="e">
        <f>IF($D16=0,SUMIFS(#REF!,#REF!,'итог '!$C16),SUMIFS(#REF!,#REF!,'итог '!$C16,#REF!,'итог '!$D16))</f>
        <v>#REF!</v>
      </c>
      <c r="AF16" s="8" t="e">
        <f>IF($D16=0,SUMIFS(#REF!,#REF!,'итог '!$C16),SUMIFS(#REF!,#REF!,'итог '!$C16,#REF!,'итог '!$D16))</f>
        <v>#REF!</v>
      </c>
      <c r="AG16" s="8" t="e">
        <f>IF($D16=0,SUMIFS(#REF!,#REF!,'итог '!$C16),SUMIFS(#REF!,#REF!,'итог '!$C16,#REF!,'итог '!$D16))</f>
        <v>#REF!</v>
      </c>
      <c r="AH16" s="8" t="e">
        <f>IF($D16=0,SUMIFS(#REF!,#REF!,'итог '!$C16),SUMIFS(#REF!,#REF!,'итог '!$C16,#REF!,'итог '!$D16))</f>
        <v>#REF!</v>
      </c>
      <c r="AI16" s="8" t="e">
        <f>IF($D16=0,SUMIFS(#REF!,#REF!,'итог '!$C16),SUMIFS(#REF!,#REF!,'итог '!$C16,#REF!,'итог '!$D16))</f>
        <v>#REF!</v>
      </c>
      <c r="AJ16" s="8" t="e">
        <f>IF($D16=0,SUMIFS(#REF!,#REF!,'итог '!$C16),SUMIFS(#REF!,#REF!,'итог '!$C16,#REF!,'итог '!$D16))</f>
        <v>#REF!</v>
      </c>
      <c r="AK16" s="8" t="e">
        <f>IF($D16=0,SUMIFS(#REF!,#REF!,'итог '!$C16),SUMIFS(#REF!,#REF!,'итог '!$C16,#REF!,'итог '!$D16))</f>
        <v>#REF!</v>
      </c>
      <c r="AL16" s="8" t="e">
        <f>IF($D16=0,SUMIFS(#REF!,#REF!,'итог '!$C16),SUMIFS(#REF!,#REF!,'итог '!$C16,#REF!,'итог '!$D16))</f>
        <v>#REF!</v>
      </c>
      <c r="AM16" s="8" t="e">
        <f>IF($D16=0,SUMIFS(#REF!,#REF!,'итог '!$C16),SUMIFS(#REF!,#REF!,'итог '!$C16,#REF!,'итог '!$D16))</f>
        <v>#REF!</v>
      </c>
    </row>
    <row r="17" spans="1:39" ht="25.5" x14ac:dyDescent="0.25">
      <c r="A17" s="116" t="s">
        <v>18</v>
      </c>
      <c r="B17" s="116" t="s">
        <v>139</v>
      </c>
      <c r="C17" s="118" t="s">
        <v>7</v>
      </c>
      <c r="D17" s="118" t="s">
        <v>19</v>
      </c>
      <c r="E17" s="18" t="e">
        <f>IF(D17=0,SUMIFS(#REF!,#REF!,'итог '!C17),SUMIFS(#REF!,#REF!,'итог '!C17,#REF!,'итог '!D17))/12</f>
        <v>#REF!</v>
      </c>
      <c r="F17" s="6">
        <v>43422133</v>
      </c>
      <c r="G17" s="6">
        <v>2717051</v>
      </c>
      <c r="H17" s="115" t="s">
        <v>227</v>
      </c>
      <c r="I17" s="115" t="s">
        <v>228</v>
      </c>
      <c r="J17" s="7" t="e">
        <f>IF(D17=0,SUMIFS(#REF!,#REF!,'итог '!C17),SUMIFS(#REF!,#REF!,'итог '!C17,#REF!,'итог '!D17))/12/'итог '!E17</f>
        <v>#REF!</v>
      </c>
      <c r="K17" s="7">
        <v>3.22</v>
      </c>
      <c r="L17" s="20" t="e">
        <f t="shared" si="0"/>
        <v>#REF!</v>
      </c>
      <c r="M17" s="20" t="e">
        <f t="shared" si="1"/>
        <v>#REF!</v>
      </c>
      <c r="N17" s="121">
        <v>50300</v>
      </c>
      <c r="O17" s="124">
        <v>72.61</v>
      </c>
      <c r="P17" s="124">
        <v>64.959999999999994</v>
      </c>
      <c r="Q17" s="8">
        <v>79.260000000000005</v>
      </c>
      <c r="R17" s="8">
        <v>72.61</v>
      </c>
      <c r="S17" s="8">
        <v>1</v>
      </c>
      <c r="T17" s="25" t="e">
        <f t="shared" si="2"/>
        <v>#REF!</v>
      </c>
      <c r="U17" s="25" t="e">
        <f t="shared" si="3"/>
        <v>#REF!</v>
      </c>
      <c r="V17" s="19" t="e">
        <f>AK17</f>
        <v>#REF!</v>
      </c>
      <c r="W17" s="19">
        <f t="shared" si="7"/>
        <v>46139184</v>
      </c>
      <c r="X17" s="19">
        <f t="shared" si="4"/>
        <v>43422133</v>
      </c>
      <c r="Y17" s="19">
        <f t="shared" si="5"/>
        <v>2717051</v>
      </c>
      <c r="Z17" s="19">
        <f t="shared" si="6"/>
        <v>868442.66</v>
      </c>
      <c r="AA17" s="9"/>
      <c r="AB17" s="8" t="e">
        <f>IF($D17=0,SUMIFS(#REF!,#REF!,'итог '!$C17),SUMIFS(#REF!,#REF!,'итог '!$C17,#REF!,'итог '!$D17))</f>
        <v>#REF!</v>
      </c>
      <c r="AC17" s="8" t="e">
        <f>IF($D17=0,SUMIFS(#REF!,#REF!,'итог '!$C17),SUMIFS(#REF!,#REF!,'итог '!$C17,#REF!,'итог '!$D17))</f>
        <v>#REF!</v>
      </c>
      <c r="AD17" s="8" t="e">
        <f>IF($D17=0,SUMIFS(#REF!,#REF!,'итог '!$C17),SUMIFS(#REF!,#REF!,'итог '!$C17,#REF!,'итог '!$D17))</f>
        <v>#REF!</v>
      </c>
      <c r="AE17" s="8" t="e">
        <f>IF($D17=0,SUMIFS(#REF!,#REF!,'итог '!$C17),SUMIFS(#REF!,#REF!,'итог '!$C17,#REF!,'итог '!$D17))</f>
        <v>#REF!</v>
      </c>
      <c r="AF17" s="8" t="e">
        <f>IF($D17=0,SUMIFS(#REF!,#REF!,'итог '!$C17),SUMIFS(#REF!,#REF!,'итог '!$C17,#REF!,'итог '!$D17))</f>
        <v>#REF!</v>
      </c>
      <c r="AG17" s="8" t="e">
        <f>IF($D17=0,SUMIFS(#REF!,#REF!,'итог '!$C17),SUMIFS(#REF!,#REF!,'итог '!$C17,#REF!,'итог '!$D17))</f>
        <v>#REF!</v>
      </c>
      <c r="AH17" s="8" t="e">
        <f>IF($D17=0,SUMIFS(#REF!,#REF!,'итог '!$C17),SUMIFS(#REF!,#REF!,'итог '!$C17,#REF!,'итог '!$D17))</f>
        <v>#REF!</v>
      </c>
      <c r="AI17" s="8" t="e">
        <f>IF($D17=0,SUMIFS(#REF!,#REF!,'итог '!$C17),SUMIFS(#REF!,#REF!,'итог '!$C17,#REF!,'итог '!$D17))</f>
        <v>#REF!</v>
      </c>
      <c r="AJ17" s="8" t="e">
        <f>IF($D17=0,SUMIFS(#REF!,#REF!,'итог '!$C17),SUMIFS(#REF!,#REF!,'итог '!$C17,#REF!,'итог '!$D17))</f>
        <v>#REF!</v>
      </c>
      <c r="AK17" s="8" t="e">
        <f>IF($D17=0,SUMIFS(#REF!,#REF!,'итог '!$C17),SUMIFS(#REF!,#REF!,'итог '!$C17,#REF!,'итог '!$D17))</f>
        <v>#REF!</v>
      </c>
      <c r="AL17" s="8" t="e">
        <f>IF($D17=0,SUMIFS(#REF!,#REF!,'итог '!$C17),SUMIFS(#REF!,#REF!,'итог '!$C17,#REF!,'итог '!$D17))</f>
        <v>#REF!</v>
      </c>
      <c r="AM17" s="8" t="e">
        <f>IF($D17=0,SUMIFS(#REF!,#REF!,'итог '!$C17),SUMIFS(#REF!,#REF!,'итог '!$C17,#REF!,'итог '!$D17))</f>
        <v>#REF!</v>
      </c>
    </row>
    <row r="18" spans="1:39" x14ac:dyDescent="0.25">
      <c r="A18" s="116" t="s">
        <v>19</v>
      </c>
      <c r="B18" s="116" t="s">
        <v>139</v>
      </c>
      <c r="C18" s="118" t="s">
        <v>7</v>
      </c>
      <c r="D18" s="118" t="s">
        <v>28</v>
      </c>
      <c r="E18" s="18" t="e">
        <f>IF(D18=0,SUMIFS(#REF!,#REF!,'итог '!C18),SUMIFS(#REF!,#REF!,'итог '!C18,#REF!,'итог '!D18))/12</f>
        <v>#REF!</v>
      </c>
      <c r="F18" s="6">
        <v>79905533</v>
      </c>
      <c r="G18" s="6">
        <v>-5370653</v>
      </c>
      <c r="H18" s="115" t="s">
        <v>229</v>
      </c>
      <c r="I18" s="115" t="s">
        <v>230</v>
      </c>
      <c r="J18" s="7" t="e">
        <f>IF(D18=0,SUMIFS(#REF!,#REF!,'итог '!C18),SUMIFS(#REF!,#REF!,'итог '!C18,#REF!,'итог '!D18))/12/'итог '!E18</f>
        <v>#REF!</v>
      </c>
      <c r="K18" s="7">
        <v>3.22</v>
      </c>
      <c r="L18" s="20" t="e">
        <f t="shared" si="0"/>
        <v>#REF!</v>
      </c>
      <c r="M18" s="20" t="e">
        <f t="shared" si="1"/>
        <v>#REF!</v>
      </c>
      <c r="N18" s="121">
        <v>50000</v>
      </c>
      <c r="O18" s="124">
        <v>128.28</v>
      </c>
      <c r="P18" s="124">
        <v>100.35</v>
      </c>
      <c r="Q18" s="8">
        <v>142</v>
      </c>
      <c r="R18" s="8">
        <v>128.28</v>
      </c>
      <c r="S18" s="8">
        <v>1.01</v>
      </c>
      <c r="T18" s="25" t="e">
        <f t="shared" si="2"/>
        <v>#REF!</v>
      </c>
      <c r="U18" s="25" t="e">
        <f t="shared" si="3"/>
        <v>#REF!</v>
      </c>
      <c r="V18" s="19" t="e">
        <f>AK18</f>
        <v>#REF!</v>
      </c>
      <c r="W18" s="19">
        <v>83496000</v>
      </c>
      <c r="X18" s="19">
        <f t="shared" si="4"/>
        <v>79905533</v>
      </c>
      <c r="Y18" s="19">
        <f t="shared" si="5"/>
        <v>3590467</v>
      </c>
      <c r="Z18" s="19">
        <f t="shared" si="6"/>
        <v>1598110.6600000001</v>
      </c>
      <c r="AA18" s="9"/>
      <c r="AB18" s="8" t="e">
        <f>IF($D18=0,SUMIFS(#REF!,#REF!,'итог '!$C18),SUMIFS(#REF!,#REF!,'итог '!$C18,#REF!,'итог '!$D18))</f>
        <v>#REF!</v>
      </c>
      <c r="AC18" s="8" t="e">
        <f>IF($D18=0,SUMIFS(#REF!,#REF!,'итог '!$C18),SUMIFS(#REF!,#REF!,'итог '!$C18,#REF!,'итог '!$D18))</f>
        <v>#REF!</v>
      </c>
      <c r="AD18" s="8" t="e">
        <f>IF($D18=0,SUMIFS(#REF!,#REF!,'итог '!$C18),SUMIFS(#REF!,#REF!,'итог '!$C18,#REF!,'итог '!$D18))</f>
        <v>#REF!</v>
      </c>
      <c r="AE18" s="8" t="e">
        <f>IF($D18=0,SUMIFS(#REF!,#REF!,'итог '!$C18),SUMIFS(#REF!,#REF!,'итог '!$C18,#REF!,'итог '!$D18))</f>
        <v>#REF!</v>
      </c>
      <c r="AF18" s="8" t="e">
        <f>IF($D18=0,SUMIFS(#REF!,#REF!,'итог '!$C18),SUMIFS(#REF!,#REF!,'итог '!$C18,#REF!,'итог '!$D18))</f>
        <v>#REF!</v>
      </c>
      <c r="AG18" s="8" t="e">
        <f>IF($D18=0,SUMIFS(#REF!,#REF!,'итог '!$C18),SUMIFS(#REF!,#REF!,'итог '!$C18,#REF!,'итог '!$D18))</f>
        <v>#REF!</v>
      </c>
      <c r="AH18" s="8" t="e">
        <f>IF($D18=0,SUMIFS(#REF!,#REF!,'итог '!$C18),SUMIFS(#REF!,#REF!,'итог '!$C18,#REF!,'итог '!$D18))</f>
        <v>#REF!</v>
      </c>
      <c r="AI18" s="8" t="e">
        <f>IF($D18=0,SUMIFS(#REF!,#REF!,'итог '!$C18),SUMIFS(#REF!,#REF!,'итог '!$C18,#REF!,'итог '!$D18))</f>
        <v>#REF!</v>
      </c>
      <c r="AJ18" s="8" t="e">
        <f>IF($D18=0,SUMIFS(#REF!,#REF!,'итог '!$C18),SUMIFS(#REF!,#REF!,'итог '!$C18,#REF!,'итог '!$D18))</f>
        <v>#REF!</v>
      </c>
      <c r="AK18" s="8" t="e">
        <f>IF($D18=0,SUMIFS(#REF!,#REF!,'итог '!$C18),SUMIFS(#REF!,#REF!,'итог '!$C18,#REF!,'итог '!$D18))</f>
        <v>#REF!</v>
      </c>
      <c r="AL18" s="8" t="e">
        <f>IF($D18=0,SUMIFS(#REF!,#REF!,'итог '!$C18),SUMIFS(#REF!,#REF!,'итог '!$C18,#REF!,'итог '!$D18))</f>
        <v>#REF!</v>
      </c>
      <c r="AM18" s="8" t="e">
        <f>IF($D18=0,SUMIFS(#REF!,#REF!,'итог '!$C18),SUMIFS(#REF!,#REF!,'итог '!$C18,#REF!,'итог '!$D18))</f>
        <v>#REF!</v>
      </c>
    </row>
    <row r="19" spans="1:39" ht="25.5" x14ac:dyDescent="0.25">
      <c r="A19" s="116" t="s">
        <v>20</v>
      </c>
      <c r="B19" s="116" t="s">
        <v>140</v>
      </c>
      <c r="C19" s="118" t="s">
        <v>63</v>
      </c>
      <c r="D19" s="118" t="s">
        <v>35</v>
      </c>
      <c r="E19" s="127" t="e">
        <f>IF(D19=0,SUMIFS(#REF!,#REF!,'итог '!C19),SUMIFS(#REF!,#REF!,'итог '!C19,#REF!,'итог '!D19))/12</f>
        <v>#REF!</v>
      </c>
      <c r="F19" s="6">
        <v>83689630.358408138</v>
      </c>
      <c r="G19" s="6">
        <v>2946289.6415918618</v>
      </c>
      <c r="H19" s="115" t="s">
        <v>231</v>
      </c>
      <c r="I19" s="115" t="s">
        <v>232</v>
      </c>
      <c r="J19" s="7" t="e">
        <f>IF(D19=0,SUMIFS(#REF!,#REF!,'итог '!C19),SUMIFS(#REF!,#REF!,'итог '!C19,#REF!,'итог '!D19))/12/'итог '!E19</f>
        <v>#REF!</v>
      </c>
      <c r="K19" s="7">
        <v>3.22</v>
      </c>
      <c r="L19" s="20" t="e">
        <f t="shared" si="0"/>
        <v>#REF!</v>
      </c>
      <c r="M19" s="20" t="e">
        <f>X19/L19/12</f>
        <v>#REF!</v>
      </c>
      <c r="N19" s="121">
        <v>53000</v>
      </c>
      <c r="O19" s="124">
        <v>141.15</v>
      </c>
      <c r="P19" s="124">
        <v>127.13</v>
      </c>
      <c r="Q19" s="8">
        <f>150.78+2.8</f>
        <v>153.58000000000001</v>
      </c>
      <c r="R19" s="129">
        <f>138.22</f>
        <v>138.22</v>
      </c>
      <c r="S19" s="8">
        <v>1.02</v>
      </c>
      <c r="T19" s="25" t="e">
        <f t="shared" si="2"/>
        <v>#REF!</v>
      </c>
      <c r="U19" s="128" t="e">
        <f t="shared" si="3"/>
        <v>#REF!</v>
      </c>
      <c r="V19" s="19" t="e">
        <f>AL19</f>
        <v>#REF!</v>
      </c>
      <c r="W19" s="19">
        <f>F19+G19</f>
        <v>86635920</v>
      </c>
      <c r="X19" s="19">
        <f t="shared" si="4"/>
        <v>83689630.358408138</v>
      </c>
      <c r="Y19" s="19">
        <f t="shared" si="5"/>
        <v>2946289.6415918618</v>
      </c>
      <c r="Z19" s="19">
        <f t="shared" si="6"/>
        <v>1673792.6071681627</v>
      </c>
      <c r="AA19" s="9"/>
      <c r="AB19" s="8" t="e">
        <f>IF($D19=0,SUMIFS(#REF!,#REF!,'итог '!$C19),SUMIFS(#REF!,#REF!,'итог '!$C19,#REF!,'итог '!$D19))</f>
        <v>#REF!</v>
      </c>
      <c r="AC19" s="8" t="e">
        <f>IF($D19=0,SUMIFS(#REF!,#REF!,'итог '!$C19),SUMIFS(#REF!,#REF!,'итог '!$C19,#REF!,'итог '!$D19))</f>
        <v>#REF!</v>
      </c>
      <c r="AD19" s="8" t="e">
        <f>IF($D19=0,SUMIFS(#REF!,#REF!,'итог '!$C19),SUMIFS(#REF!,#REF!,'итог '!$C19,#REF!,'итог '!$D19))</f>
        <v>#REF!</v>
      </c>
      <c r="AE19" s="8" t="e">
        <f>IF($D19=0,SUMIFS(#REF!,#REF!,'итог '!$C19),SUMIFS(#REF!,#REF!,'итог '!$C19,#REF!,'итог '!$D19))</f>
        <v>#REF!</v>
      </c>
      <c r="AF19" s="8" t="e">
        <f>IF($D19=0,SUMIFS(#REF!,#REF!,'итог '!$C19),SUMIFS(#REF!,#REF!,'итог '!$C19,#REF!,'итог '!$D19))</f>
        <v>#REF!</v>
      </c>
      <c r="AG19" s="8" t="e">
        <f>IF($D19=0,SUMIFS(#REF!,#REF!,'итог '!$C19),SUMIFS(#REF!,#REF!,'итог '!$C19,#REF!,'итог '!$D19))</f>
        <v>#REF!</v>
      </c>
      <c r="AH19" s="8" t="e">
        <f>IF($D19=0,SUMIFS(#REF!,#REF!,'итог '!$C19),SUMIFS(#REF!,#REF!,'итог '!$C19,#REF!,'итог '!$D19))</f>
        <v>#REF!</v>
      </c>
      <c r="AI19" s="8" t="e">
        <f>IF($D19=0,SUMIFS(#REF!,#REF!,'итог '!$C19),SUMIFS(#REF!,#REF!,'итог '!$C19,#REF!,'итог '!$D19))</f>
        <v>#REF!</v>
      </c>
      <c r="AJ19" s="8" t="e">
        <f>IF($D19=0,SUMIFS(#REF!,#REF!,'итог '!$C19),SUMIFS(#REF!,#REF!,'итог '!$C19,#REF!,'итог '!$D19))</f>
        <v>#REF!</v>
      </c>
      <c r="AK19" s="8" t="e">
        <f>IF($D19=0,SUMIFS(#REF!,#REF!,'итог '!$C19),SUMIFS(#REF!,#REF!,'итог '!$C19,#REF!,'итог '!$D19))</f>
        <v>#REF!</v>
      </c>
      <c r="AL19" s="8" t="e">
        <f>IF($D19=0,SUMIFS(#REF!,#REF!,'итог '!$C19),SUMIFS(#REF!,#REF!,'итог '!$C19,#REF!,'итог '!$D19))</f>
        <v>#REF!</v>
      </c>
      <c r="AM19" s="8" t="e">
        <f>IF($D19=0,SUMIFS(#REF!,#REF!,'итог '!$C19),SUMIFS(#REF!,#REF!,'итог '!$C19,#REF!,'итог '!$D19))</f>
        <v>#REF!</v>
      </c>
    </row>
    <row r="20" spans="1:39" ht="25.5" x14ac:dyDescent="0.25">
      <c r="A20" s="116" t="s">
        <v>21</v>
      </c>
      <c r="B20" s="116" t="s">
        <v>140</v>
      </c>
      <c r="C20" s="118" t="s">
        <v>63</v>
      </c>
      <c r="D20" s="118" t="s">
        <v>87</v>
      </c>
      <c r="E20" s="18" t="e">
        <f>IF(D20=0,SUMIFS(#REF!,#REF!,'итог '!C20),SUMIFS(#REF!,#REF!,'итог '!C20,#REF!,'итог '!D20))/12</f>
        <v>#REF!</v>
      </c>
      <c r="F20" s="6">
        <v>60546434.496163942</v>
      </c>
      <c r="G20" s="6">
        <v>-2543762.4961639419</v>
      </c>
      <c r="H20" s="115" t="s">
        <v>233</v>
      </c>
      <c r="I20" s="115" t="s">
        <v>234</v>
      </c>
      <c r="J20" s="7" t="e">
        <f>IF(D20=0,SUMIFS(#REF!,#REF!,'итог '!C20),SUMIFS(#REF!,#REF!,'итог '!C20,#REF!,'итог '!D20))/12/'итог '!E20</f>
        <v>#REF!</v>
      </c>
      <c r="K20" s="7">
        <v>3.22</v>
      </c>
      <c r="L20" s="20" t="e">
        <f t="shared" si="0"/>
        <v>#REF!</v>
      </c>
      <c r="M20" s="20" t="e">
        <f t="shared" ref="M20:M53" si="8">F20/L20/12</f>
        <v>#REF!</v>
      </c>
      <c r="N20" s="121">
        <v>54200</v>
      </c>
      <c r="O20" s="124">
        <v>85.14</v>
      </c>
      <c r="P20" s="124">
        <v>80.75</v>
      </c>
      <c r="Q20" s="8">
        <v>93.84</v>
      </c>
      <c r="R20" s="8">
        <v>85.14</v>
      </c>
      <c r="S20" s="8">
        <v>1</v>
      </c>
      <c r="T20" s="25" t="e">
        <f t="shared" si="2"/>
        <v>#REF!</v>
      </c>
      <c r="U20" s="25" t="e">
        <f t="shared" si="3"/>
        <v>#REF!</v>
      </c>
      <c r="V20" s="19" t="e">
        <f>AJ20</f>
        <v>#REF!</v>
      </c>
      <c r="W20" s="19">
        <v>58002672</v>
      </c>
      <c r="X20" s="19">
        <f t="shared" si="4"/>
        <v>60546434.496163942</v>
      </c>
      <c r="Y20" s="19">
        <f t="shared" si="5"/>
        <v>-2543762.4961639419</v>
      </c>
      <c r="Z20" s="19">
        <f t="shared" si="6"/>
        <v>1210928.6899232788</v>
      </c>
      <c r="AA20" s="9">
        <v>592774.55999998352</v>
      </c>
      <c r="AB20" s="8" t="e">
        <f>IF($D20=0,SUMIFS(#REF!,#REF!,'итог '!$C20),SUMIFS(#REF!,#REF!,'итог '!$C20,#REF!,'итог '!$D20))</f>
        <v>#REF!</v>
      </c>
      <c r="AC20" s="8" t="e">
        <f>IF($D20=0,SUMIFS(#REF!,#REF!,'итог '!$C20),SUMIFS(#REF!,#REF!,'итог '!$C20,#REF!,'итог '!$D20))</f>
        <v>#REF!</v>
      </c>
      <c r="AD20" s="8" t="e">
        <f>IF($D20=0,SUMIFS(#REF!,#REF!,'итог '!$C20),SUMIFS(#REF!,#REF!,'итог '!$C20,#REF!,'итог '!$D20))</f>
        <v>#REF!</v>
      </c>
      <c r="AE20" s="8" t="e">
        <f>IF($D20=0,SUMIFS(#REF!,#REF!,'итог '!$C20),SUMIFS(#REF!,#REF!,'итог '!$C20,#REF!,'итог '!$D20))</f>
        <v>#REF!</v>
      </c>
      <c r="AF20" s="8" t="e">
        <f>IF($D20=0,SUMIFS(#REF!,#REF!,'итог '!$C20),SUMIFS(#REF!,#REF!,'итог '!$C20,#REF!,'итог '!$D20))</f>
        <v>#REF!</v>
      </c>
      <c r="AG20" s="8" t="e">
        <f>IF($D20=0,SUMIFS(#REF!,#REF!,'итог '!$C20),SUMIFS(#REF!,#REF!,'итог '!$C20,#REF!,'итог '!$D20))</f>
        <v>#REF!</v>
      </c>
      <c r="AH20" s="8" t="e">
        <f>IF($D20=0,SUMIFS(#REF!,#REF!,'итог '!$C20),SUMIFS(#REF!,#REF!,'итог '!$C20,#REF!,'итог '!$D20))</f>
        <v>#REF!</v>
      </c>
      <c r="AI20" s="8" t="e">
        <f>IF($D20=0,SUMIFS(#REF!,#REF!,'итог '!$C20),SUMIFS(#REF!,#REF!,'итог '!$C20,#REF!,'итог '!$D20))</f>
        <v>#REF!</v>
      </c>
      <c r="AJ20" s="8" t="e">
        <f>IF($D20=0,SUMIFS(#REF!,#REF!,'итог '!$C20),SUMIFS(#REF!,#REF!,'итог '!$C20,#REF!,'итог '!$D20))</f>
        <v>#REF!</v>
      </c>
      <c r="AK20" s="8" t="e">
        <f>IF($D20=0,SUMIFS(#REF!,#REF!,'итог '!$C20),SUMIFS(#REF!,#REF!,'итог '!$C20,#REF!,'итог '!$D20))</f>
        <v>#REF!</v>
      </c>
      <c r="AL20" s="8" t="e">
        <f>IF($D20=0,SUMIFS(#REF!,#REF!,'итог '!$C20),SUMIFS(#REF!,#REF!,'итог '!$C20,#REF!,'итог '!$D20))</f>
        <v>#REF!</v>
      </c>
      <c r="AM20" s="8" t="e">
        <f>IF($D20=0,SUMIFS(#REF!,#REF!,'итог '!$C20),SUMIFS(#REF!,#REF!,'итог '!$C20,#REF!,'итог '!$D20))</f>
        <v>#REF!</v>
      </c>
    </row>
    <row r="21" spans="1:39" x14ac:dyDescent="0.25">
      <c r="A21" s="116" t="s">
        <v>22</v>
      </c>
      <c r="B21" s="116" t="s">
        <v>43</v>
      </c>
      <c r="C21" s="118" t="s">
        <v>44</v>
      </c>
      <c r="D21" s="118" t="s">
        <v>11</v>
      </c>
      <c r="E21" s="18" t="e">
        <f>IF(D21=0,SUMIFS(#REF!,#REF!,'итог '!C21),SUMIFS(#REF!,#REF!,'итог '!C21,#REF!,'итог '!D21))/12</f>
        <v>#REF!</v>
      </c>
      <c r="F21" s="6">
        <v>62278918</v>
      </c>
      <c r="G21" s="6">
        <v>5867922</v>
      </c>
      <c r="H21" s="115" t="s">
        <v>235</v>
      </c>
      <c r="I21" s="115" t="s">
        <v>236</v>
      </c>
      <c r="J21" s="7" t="e">
        <f>IF(D21=0,SUMIFS(#REF!,#REF!,'итог '!C21),SUMIFS(#REF!,#REF!,'итог '!C21,#REF!,'итог '!D21))/12/'итог '!E21</f>
        <v>#REF!</v>
      </c>
      <c r="K21" s="7">
        <v>3.6</v>
      </c>
      <c r="L21" s="20" t="e">
        <f t="shared" si="0"/>
        <v>#REF!</v>
      </c>
      <c r="M21" s="20" t="e">
        <f t="shared" si="8"/>
        <v>#REF!</v>
      </c>
      <c r="N21" s="121">
        <v>59700</v>
      </c>
      <c r="O21" s="124">
        <v>101.66</v>
      </c>
      <c r="P21" s="124">
        <v>87.88</v>
      </c>
      <c r="Q21" s="8">
        <v>102.47000000000001</v>
      </c>
      <c r="R21" s="8">
        <v>101.66</v>
      </c>
      <c r="S21" s="8">
        <v>1.07</v>
      </c>
      <c r="T21" s="25" t="e">
        <f t="shared" si="2"/>
        <v>#REF!</v>
      </c>
      <c r="U21" s="25" t="e">
        <f t="shared" si="3"/>
        <v>#REF!</v>
      </c>
      <c r="V21" s="19" t="e">
        <f>AL21</f>
        <v>#REF!</v>
      </c>
      <c r="W21" s="19">
        <f t="shared" ref="W21:W53" si="9">F21+G21</f>
        <v>68146840</v>
      </c>
      <c r="X21" s="19">
        <f t="shared" si="4"/>
        <v>62278918</v>
      </c>
      <c r="Y21" s="19">
        <f t="shared" si="5"/>
        <v>5867922</v>
      </c>
      <c r="Z21" s="19">
        <f t="shared" si="6"/>
        <v>1245578.3600000001</v>
      </c>
      <c r="AA21" s="9"/>
      <c r="AB21" s="8" t="e">
        <f>IF($D21=0,SUMIFS(#REF!,#REF!,'итог '!$C21),SUMIFS(#REF!,#REF!,'итог '!$C21,#REF!,'итог '!$D21))</f>
        <v>#REF!</v>
      </c>
      <c r="AC21" s="8" t="e">
        <f>IF($D21=0,SUMIFS(#REF!,#REF!,'итог '!$C21),SUMIFS(#REF!,#REF!,'итог '!$C21,#REF!,'итог '!$D21))</f>
        <v>#REF!</v>
      </c>
      <c r="AD21" s="8" t="e">
        <f>IF($D21=0,SUMIFS(#REF!,#REF!,'итог '!$C21),SUMIFS(#REF!,#REF!,'итог '!$C21,#REF!,'итог '!$D21))</f>
        <v>#REF!</v>
      </c>
      <c r="AE21" s="8" t="e">
        <f>IF($D21=0,SUMIFS(#REF!,#REF!,'итог '!$C21),SUMIFS(#REF!,#REF!,'итог '!$C21,#REF!,'итог '!$D21))</f>
        <v>#REF!</v>
      </c>
      <c r="AF21" s="8" t="e">
        <f>IF($D21=0,SUMIFS(#REF!,#REF!,'итог '!$C21),SUMIFS(#REF!,#REF!,'итог '!$C21,#REF!,'итог '!$D21))</f>
        <v>#REF!</v>
      </c>
      <c r="AG21" s="8" t="e">
        <f>IF($D21=0,SUMIFS(#REF!,#REF!,'итог '!$C21),SUMIFS(#REF!,#REF!,'итог '!$C21,#REF!,'итог '!$D21))</f>
        <v>#REF!</v>
      </c>
      <c r="AH21" s="8" t="e">
        <f>IF($D21=0,SUMIFS(#REF!,#REF!,'итог '!$C21),SUMIFS(#REF!,#REF!,'итог '!$C21,#REF!,'итог '!$D21))</f>
        <v>#REF!</v>
      </c>
      <c r="AI21" s="8" t="e">
        <f>IF($D21=0,SUMIFS(#REF!,#REF!,'итог '!$C21),SUMIFS(#REF!,#REF!,'итог '!$C21,#REF!,'итог '!$D21))</f>
        <v>#REF!</v>
      </c>
      <c r="AJ21" s="8" t="e">
        <f>IF($D21=0,SUMIFS(#REF!,#REF!,'итог '!$C21),SUMIFS(#REF!,#REF!,'итог '!$C21,#REF!,'итог '!$D21))</f>
        <v>#REF!</v>
      </c>
      <c r="AK21" s="8" t="e">
        <f>IF($D21=0,SUMIFS(#REF!,#REF!,'итог '!$C21),SUMIFS(#REF!,#REF!,'итог '!$C21,#REF!,'итог '!$D21))</f>
        <v>#REF!</v>
      </c>
      <c r="AL21" s="8" t="e">
        <f>IF($D21=0,SUMIFS(#REF!,#REF!,'итог '!$C21),SUMIFS(#REF!,#REF!,'итог '!$C21,#REF!,'итог '!$D21))</f>
        <v>#REF!</v>
      </c>
      <c r="AM21" s="8" t="e">
        <f>IF($D21=0,SUMIFS(#REF!,#REF!,'итог '!$C21),SUMIFS(#REF!,#REF!,'итог '!$C21,#REF!,'итог '!$D21))</f>
        <v>#REF!</v>
      </c>
    </row>
    <row r="22" spans="1:39" x14ac:dyDescent="0.25">
      <c r="A22" s="116" t="s">
        <v>23</v>
      </c>
      <c r="B22" s="116" t="s">
        <v>43</v>
      </c>
      <c r="C22" s="118" t="s">
        <v>44</v>
      </c>
      <c r="D22" s="118" t="s">
        <v>12</v>
      </c>
      <c r="E22" s="18" t="e">
        <f>IF(D22=0,SUMIFS(#REF!,#REF!,'итог '!C22),SUMIFS(#REF!,#REF!,'итог '!C22,#REF!,'итог '!D22))/12</f>
        <v>#REF!</v>
      </c>
      <c r="F22" s="6">
        <v>47277588</v>
      </c>
      <c r="G22" s="6">
        <v>2147340</v>
      </c>
      <c r="H22" s="115" t="s">
        <v>235</v>
      </c>
      <c r="I22" s="115" t="s">
        <v>236</v>
      </c>
      <c r="J22" s="7" t="e">
        <f>IF(D22=0,SUMIFS(#REF!,#REF!,'итог '!C22),SUMIFS(#REF!,#REF!,'итог '!C22,#REF!,'итог '!D22))/12/'итог '!E22</f>
        <v>#REF!</v>
      </c>
      <c r="K22" s="7">
        <v>3.6</v>
      </c>
      <c r="L22" s="20" t="e">
        <f t="shared" si="0"/>
        <v>#REF!</v>
      </c>
      <c r="M22" s="20" t="e">
        <f t="shared" si="8"/>
        <v>#REF!</v>
      </c>
      <c r="N22" s="121">
        <v>55300</v>
      </c>
      <c r="O22" s="124">
        <v>78.52</v>
      </c>
      <c r="P22" s="124">
        <v>76.94</v>
      </c>
      <c r="Q22" s="8">
        <v>83.000000000000014</v>
      </c>
      <c r="R22" s="8">
        <v>78.52</v>
      </c>
      <c r="S22" s="8">
        <v>1.07</v>
      </c>
      <c r="T22" s="25" t="e">
        <f t="shared" si="2"/>
        <v>#REF!</v>
      </c>
      <c r="U22" s="25" t="e">
        <f t="shared" si="3"/>
        <v>#REF!</v>
      </c>
      <c r="V22" s="19" t="e">
        <f>AL22</f>
        <v>#REF!</v>
      </c>
      <c r="W22" s="19">
        <f t="shared" si="9"/>
        <v>49424928</v>
      </c>
      <c r="X22" s="19">
        <f t="shared" si="4"/>
        <v>47277588</v>
      </c>
      <c r="Y22" s="19">
        <f t="shared" si="5"/>
        <v>2147340</v>
      </c>
      <c r="Z22" s="19">
        <f t="shared" si="6"/>
        <v>945551.76</v>
      </c>
      <c r="AA22" s="9"/>
      <c r="AB22" s="8" t="e">
        <f>IF($D22=0,SUMIFS(#REF!,#REF!,'итог '!$C22),SUMIFS(#REF!,#REF!,'итог '!$C22,#REF!,'итог '!$D22))</f>
        <v>#REF!</v>
      </c>
      <c r="AC22" s="8" t="e">
        <f>IF($D22=0,SUMIFS(#REF!,#REF!,'итог '!$C22),SUMIFS(#REF!,#REF!,'итог '!$C22,#REF!,'итог '!$D22))</f>
        <v>#REF!</v>
      </c>
      <c r="AD22" s="8" t="e">
        <f>IF($D22=0,SUMIFS(#REF!,#REF!,'итог '!$C22),SUMIFS(#REF!,#REF!,'итог '!$C22,#REF!,'итог '!$D22))</f>
        <v>#REF!</v>
      </c>
      <c r="AE22" s="8" t="e">
        <f>IF($D22=0,SUMIFS(#REF!,#REF!,'итог '!$C22),SUMIFS(#REF!,#REF!,'итог '!$C22,#REF!,'итог '!$D22))</f>
        <v>#REF!</v>
      </c>
      <c r="AF22" s="8" t="e">
        <f>IF($D22=0,SUMIFS(#REF!,#REF!,'итог '!$C22),SUMIFS(#REF!,#REF!,'итог '!$C22,#REF!,'итог '!$D22))</f>
        <v>#REF!</v>
      </c>
      <c r="AG22" s="8" t="e">
        <f>IF($D22=0,SUMIFS(#REF!,#REF!,'итог '!$C22),SUMIFS(#REF!,#REF!,'итог '!$C22,#REF!,'итог '!$D22))</f>
        <v>#REF!</v>
      </c>
      <c r="AH22" s="8" t="e">
        <f>IF($D22=0,SUMIFS(#REF!,#REF!,'итог '!$C22),SUMIFS(#REF!,#REF!,'итог '!$C22,#REF!,'итог '!$D22))</f>
        <v>#REF!</v>
      </c>
      <c r="AI22" s="8" t="e">
        <f>IF($D22=0,SUMIFS(#REF!,#REF!,'итог '!$C22),SUMIFS(#REF!,#REF!,'итог '!$C22,#REF!,'итог '!$D22))</f>
        <v>#REF!</v>
      </c>
      <c r="AJ22" s="8" t="e">
        <f>IF($D22=0,SUMIFS(#REF!,#REF!,'итог '!$C22),SUMIFS(#REF!,#REF!,'итог '!$C22,#REF!,'итог '!$D22))</f>
        <v>#REF!</v>
      </c>
      <c r="AK22" s="8" t="e">
        <f>IF($D22=0,SUMIFS(#REF!,#REF!,'итог '!$C22),SUMIFS(#REF!,#REF!,'итог '!$C22,#REF!,'итог '!$D22))</f>
        <v>#REF!</v>
      </c>
      <c r="AL22" s="8" t="e">
        <f>IF($D22=0,SUMIFS(#REF!,#REF!,'итог '!$C22),SUMIFS(#REF!,#REF!,'итог '!$C22,#REF!,'итог '!$D22))</f>
        <v>#REF!</v>
      </c>
      <c r="AM22" s="8" t="e">
        <f>IF($D22=0,SUMIFS(#REF!,#REF!,'итог '!$C22),SUMIFS(#REF!,#REF!,'итог '!$C22,#REF!,'итог '!$D22))</f>
        <v>#REF!</v>
      </c>
    </row>
    <row r="23" spans="1:39" x14ac:dyDescent="0.25">
      <c r="A23" s="116" t="s">
        <v>24</v>
      </c>
      <c r="B23" s="116" t="s">
        <v>43</v>
      </c>
      <c r="C23" s="118" t="s">
        <v>44</v>
      </c>
      <c r="D23" s="118" t="s">
        <v>18</v>
      </c>
      <c r="E23" s="18" t="e">
        <f>IF(D23=0,SUMIFS(#REF!,#REF!,'итог '!C23),SUMIFS(#REF!,#REF!,'итог '!C23,#REF!,'итог '!D23))/12</f>
        <v>#REF!</v>
      </c>
      <c r="F23" s="6">
        <v>49533797</v>
      </c>
      <c r="G23" s="6">
        <v>3762524</v>
      </c>
      <c r="H23" s="115" t="s">
        <v>235</v>
      </c>
      <c r="I23" s="115" t="s">
        <v>236</v>
      </c>
      <c r="J23" s="7" t="e">
        <f>IF(D23=0,SUMIFS(#REF!,#REF!,'итог '!C23),SUMIFS(#REF!,#REF!,'итог '!C23,#REF!,'итог '!D23))/12/'итог '!E23</f>
        <v>#REF!</v>
      </c>
      <c r="K23" s="7">
        <v>3.6</v>
      </c>
      <c r="L23" s="20" t="e">
        <f t="shared" si="0"/>
        <v>#REF!</v>
      </c>
      <c r="M23" s="20" t="e">
        <f t="shared" si="8"/>
        <v>#REF!</v>
      </c>
      <c r="N23" s="121">
        <v>51500</v>
      </c>
      <c r="O23" s="124">
        <v>93.41</v>
      </c>
      <c r="P23" s="124">
        <v>89.87</v>
      </c>
      <c r="Q23" s="8">
        <v>94.16</v>
      </c>
      <c r="R23" s="8">
        <v>93.41</v>
      </c>
      <c r="S23" s="8">
        <v>1.02</v>
      </c>
      <c r="T23" s="25" t="e">
        <f t="shared" si="2"/>
        <v>#REF!</v>
      </c>
      <c r="U23" s="25" t="e">
        <f t="shared" si="3"/>
        <v>#REF!</v>
      </c>
      <c r="V23" s="19" t="e">
        <f>AL23</f>
        <v>#REF!</v>
      </c>
      <c r="W23" s="19">
        <f t="shared" si="9"/>
        <v>53296321</v>
      </c>
      <c r="X23" s="19">
        <f t="shared" si="4"/>
        <v>49533797</v>
      </c>
      <c r="Y23" s="19">
        <f t="shared" si="5"/>
        <v>3762524</v>
      </c>
      <c r="Z23" s="19">
        <f t="shared" si="6"/>
        <v>990675.94000000006</v>
      </c>
      <c r="AA23" s="9"/>
      <c r="AB23" s="8" t="e">
        <f>IF($D23=0,SUMIFS(#REF!,#REF!,'итог '!$C23),SUMIFS(#REF!,#REF!,'итог '!$C23,#REF!,'итог '!$D23))</f>
        <v>#REF!</v>
      </c>
      <c r="AC23" s="8" t="e">
        <f>IF($D23=0,SUMIFS(#REF!,#REF!,'итог '!$C23),SUMIFS(#REF!,#REF!,'итог '!$C23,#REF!,'итог '!$D23))</f>
        <v>#REF!</v>
      </c>
      <c r="AD23" s="8" t="e">
        <f>IF($D23=0,SUMIFS(#REF!,#REF!,'итог '!$C23),SUMIFS(#REF!,#REF!,'итог '!$C23,#REF!,'итог '!$D23))</f>
        <v>#REF!</v>
      </c>
      <c r="AE23" s="8" t="e">
        <f>IF($D23=0,SUMIFS(#REF!,#REF!,'итог '!$C23),SUMIFS(#REF!,#REF!,'итог '!$C23,#REF!,'итог '!$D23))</f>
        <v>#REF!</v>
      </c>
      <c r="AF23" s="8" t="e">
        <f>IF($D23=0,SUMIFS(#REF!,#REF!,'итог '!$C23),SUMIFS(#REF!,#REF!,'итог '!$C23,#REF!,'итог '!$D23))</f>
        <v>#REF!</v>
      </c>
      <c r="AG23" s="8" t="e">
        <f>IF($D23=0,SUMIFS(#REF!,#REF!,'итог '!$C23),SUMIFS(#REF!,#REF!,'итог '!$C23,#REF!,'итог '!$D23))</f>
        <v>#REF!</v>
      </c>
      <c r="AH23" s="8" t="e">
        <f>IF($D23=0,SUMIFS(#REF!,#REF!,'итог '!$C23),SUMIFS(#REF!,#REF!,'итог '!$C23,#REF!,'итог '!$D23))</f>
        <v>#REF!</v>
      </c>
      <c r="AI23" s="8" t="e">
        <f>IF($D23=0,SUMIFS(#REF!,#REF!,'итог '!$C23),SUMIFS(#REF!,#REF!,'итог '!$C23,#REF!,'итог '!$D23))</f>
        <v>#REF!</v>
      </c>
      <c r="AJ23" s="8" t="e">
        <f>IF($D23=0,SUMIFS(#REF!,#REF!,'итог '!$C23),SUMIFS(#REF!,#REF!,'итог '!$C23,#REF!,'итог '!$D23))</f>
        <v>#REF!</v>
      </c>
      <c r="AK23" s="8" t="e">
        <f>IF($D23=0,SUMIFS(#REF!,#REF!,'итог '!$C23),SUMIFS(#REF!,#REF!,'итог '!$C23,#REF!,'итог '!$D23))</f>
        <v>#REF!</v>
      </c>
      <c r="AL23" s="8" t="e">
        <f>IF($D23=0,SUMIFS(#REF!,#REF!,'итог '!$C23),SUMIFS(#REF!,#REF!,'итог '!$C23,#REF!,'итог '!$D23))</f>
        <v>#REF!</v>
      </c>
      <c r="AM23" s="8" t="e">
        <f>IF($D23=0,SUMIFS(#REF!,#REF!,'итог '!$C23),SUMIFS(#REF!,#REF!,'итог '!$C23,#REF!,'итог '!$D23))</f>
        <v>#REF!</v>
      </c>
    </row>
    <row r="24" spans="1:39" x14ac:dyDescent="0.25">
      <c r="A24" s="116" t="s">
        <v>25</v>
      </c>
      <c r="B24" s="116" t="s">
        <v>47</v>
      </c>
      <c r="C24" s="118" t="s">
        <v>48</v>
      </c>
      <c r="D24" s="118" t="s">
        <v>21</v>
      </c>
      <c r="E24" s="18" t="e">
        <f>IF(D24=0,SUMIFS(#REF!,#REF!,'итог '!C24),SUMIFS(#REF!,#REF!,'итог '!C24,#REF!,'итог '!D24))/12</f>
        <v>#REF!</v>
      </c>
      <c r="F24" s="6">
        <v>28804859</v>
      </c>
      <c r="G24" s="6">
        <v>3476341</v>
      </c>
      <c r="H24" s="115" t="s">
        <v>237</v>
      </c>
      <c r="I24" s="115" t="s">
        <v>238</v>
      </c>
      <c r="J24" s="7" t="e">
        <f>IF(D24=0,SUMIFS(#REF!,#REF!,'итог '!C24),SUMIFS(#REF!,#REF!,'итог '!C24,#REF!,'итог '!D24))/12/'итог '!E24</f>
        <v>#REF!</v>
      </c>
      <c r="K24" s="7">
        <v>3.22</v>
      </c>
      <c r="L24" s="20" t="e">
        <f t="shared" si="0"/>
        <v>#REF!</v>
      </c>
      <c r="M24" s="20" t="e">
        <f t="shared" si="8"/>
        <v>#REF!</v>
      </c>
      <c r="N24" s="121">
        <v>54900</v>
      </c>
      <c r="O24" s="124">
        <v>43.12</v>
      </c>
      <c r="P24" s="124">
        <v>38.64</v>
      </c>
      <c r="Q24" s="8">
        <v>45.39</v>
      </c>
      <c r="R24" s="8">
        <v>43.12</v>
      </c>
      <c r="S24" s="8">
        <v>1.03</v>
      </c>
      <c r="T24" s="25" t="e">
        <f t="shared" si="2"/>
        <v>#REF!</v>
      </c>
      <c r="U24" s="25" t="e">
        <f t="shared" si="3"/>
        <v>#REF!</v>
      </c>
      <c r="V24" s="19" t="e">
        <f>AH24</f>
        <v>#REF!</v>
      </c>
      <c r="W24" s="19">
        <f t="shared" si="9"/>
        <v>32281200</v>
      </c>
      <c r="X24" s="19">
        <f t="shared" si="4"/>
        <v>28804859</v>
      </c>
      <c r="Y24" s="19">
        <f t="shared" si="5"/>
        <v>3476341</v>
      </c>
      <c r="Z24" s="19">
        <f t="shared" si="6"/>
        <v>576097.18000000005</v>
      </c>
      <c r="AA24" s="9"/>
      <c r="AB24" s="8" t="e">
        <f>IF($D24=0,SUMIFS(#REF!,#REF!,'итог '!$C24),SUMIFS(#REF!,#REF!,'итог '!$C24,#REF!,'итог '!$D24))</f>
        <v>#REF!</v>
      </c>
      <c r="AC24" s="8" t="e">
        <f>IF($D24=0,SUMIFS(#REF!,#REF!,'итог '!$C24),SUMIFS(#REF!,#REF!,'итог '!$C24,#REF!,'итог '!$D24))</f>
        <v>#REF!</v>
      </c>
      <c r="AD24" s="8" t="e">
        <f>IF($D24=0,SUMIFS(#REF!,#REF!,'итог '!$C24),SUMIFS(#REF!,#REF!,'итог '!$C24,#REF!,'итог '!$D24))</f>
        <v>#REF!</v>
      </c>
      <c r="AE24" s="8" t="e">
        <f>IF($D24=0,SUMIFS(#REF!,#REF!,'итог '!$C24),SUMIFS(#REF!,#REF!,'итог '!$C24,#REF!,'итог '!$D24))</f>
        <v>#REF!</v>
      </c>
      <c r="AF24" s="8" t="e">
        <f>IF($D24=0,SUMIFS(#REF!,#REF!,'итог '!$C24),SUMIFS(#REF!,#REF!,'итог '!$C24,#REF!,'итог '!$D24))</f>
        <v>#REF!</v>
      </c>
      <c r="AG24" s="8" t="e">
        <f>IF($D24=0,SUMIFS(#REF!,#REF!,'итог '!$C24),SUMIFS(#REF!,#REF!,'итог '!$C24,#REF!,'итог '!$D24))</f>
        <v>#REF!</v>
      </c>
      <c r="AH24" s="8" t="e">
        <f>IF($D24=0,SUMIFS(#REF!,#REF!,'итог '!$C24),SUMIFS(#REF!,#REF!,'итог '!$C24,#REF!,'итог '!$D24))</f>
        <v>#REF!</v>
      </c>
      <c r="AI24" s="8" t="e">
        <f>IF($D24=0,SUMIFS(#REF!,#REF!,'итог '!$C24),SUMIFS(#REF!,#REF!,'итог '!$C24,#REF!,'итог '!$D24))</f>
        <v>#REF!</v>
      </c>
      <c r="AJ24" s="8" t="e">
        <f>IF($D24=0,SUMIFS(#REF!,#REF!,'итог '!$C24),SUMIFS(#REF!,#REF!,'итог '!$C24,#REF!,'итог '!$D24))</f>
        <v>#REF!</v>
      </c>
      <c r="AK24" s="8" t="e">
        <f>IF($D24=0,SUMIFS(#REF!,#REF!,'итог '!$C24),SUMIFS(#REF!,#REF!,'итог '!$C24,#REF!,'итог '!$D24))</f>
        <v>#REF!</v>
      </c>
      <c r="AL24" s="8" t="e">
        <f>IF($D24=0,SUMIFS(#REF!,#REF!,'итог '!$C24),SUMIFS(#REF!,#REF!,'итог '!$C24,#REF!,'итог '!$D24))</f>
        <v>#REF!</v>
      </c>
      <c r="AM24" s="8" t="e">
        <f>IF($D24=0,SUMIFS(#REF!,#REF!,'итог '!$C24),SUMIFS(#REF!,#REF!,'итог '!$C24,#REF!,'итог '!$D24))</f>
        <v>#REF!</v>
      </c>
    </row>
    <row r="25" spans="1:39" x14ac:dyDescent="0.25">
      <c r="A25" s="116" t="s">
        <v>26</v>
      </c>
      <c r="B25" s="116" t="s">
        <v>47</v>
      </c>
      <c r="C25" s="118" t="s">
        <v>48</v>
      </c>
      <c r="D25" s="118" t="s">
        <v>31</v>
      </c>
      <c r="E25" s="18" t="e">
        <f>IF(D25=0,SUMIFS(#REF!,#REF!,'итог '!C25),SUMIFS(#REF!,#REF!,'итог '!C25,#REF!,'итог '!D25))/12</f>
        <v>#REF!</v>
      </c>
      <c r="F25" s="6">
        <v>29614920</v>
      </c>
      <c r="G25" s="6">
        <v>349080</v>
      </c>
      <c r="H25" s="115" t="s">
        <v>237</v>
      </c>
      <c r="I25" s="115" t="s">
        <v>238</v>
      </c>
      <c r="J25" s="7" t="e">
        <f>IF(D25=0,SUMIFS(#REF!,#REF!,'итог '!C25),SUMIFS(#REF!,#REF!,'итог '!C25,#REF!,'итог '!D25))/12/'итог '!E25</f>
        <v>#REF!</v>
      </c>
      <c r="K25" s="7">
        <v>3.22</v>
      </c>
      <c r="L25" s="20" t="e">
        <f t="shared" si="0"/>
        <v>#REF!</v>
      </c>
      <c r="M25" s="20" t="e">
        <f t="shared" si="8"/>
        <v>#REF!</v>
      </c>
      <c r="N25" s="121">
        <v>52000</v>
      </c>
      <c r="O25" s="124">
        <v>50.23</v>
      </c>
      <c r="P25" s="124">
        <v>43.16</v>
      </c>
      <c r="Q25" s="8">
        <v>50.430000000000007</v>
      </c>
      <c r="R25" s="8">
        <v>50.23</v>
      </c>
      <c r="S25" s="8">
        <v>1</v>
      </c>
      <c r="T25" s="25" t="e">
        <f t="shared" si="2"/>
        <v>#REF!</v>
      </c>
      <c r="U25" s="25" t="e">
        <f t="shared" si="3"/>
        <v>#REF!</v>
      </c>
      <c r="V25" s="19" t="e">
        <f>AL25</f>
        <v>#REF!</v>
      </c>
      <c r="W25" s="19">
        <f t="shared" si="9"/>
        <v>29964000</v>
      </c>
      <c r="X25" s="19">
        <f t="shared" si="4"/>
        <v>29614920</v>
      </c>
      <c r="Y25" s="19">
        <f t="shared" si="5"/>
        <v>349080</v>
      </c>
      <c r="Z25" s="19">
        <f t="shared" si="6"/>
        <v>592298.4</v>
      </c>
      <c r="AA25" s="9"/>
      <c r="AB25" s="8" t="e">
        <f>IF($D25=0,SUMIFS(#REF!,#REF!,'итог '!$C25),SUMIFS(#REF!,#REF!,'итог '!$C25,#REF!,'итог '!$D25))</f>
        <v>#REF!</v>
      </c>
      <c r="AC25" s="8" t="e">
        <f>IF($D25=0,SUMIFS(#REF!,#REF!,'итог '!$C25),SUMIFS(#REF!,#REF!,'итог '!$C25,#REF!,'итог '!$D25))</f>
        <v>#REF!</v>
      </c>
      <c r="AD25" s="8" t="e">
        <f>IF($D25=0,SUMIFS(#REF!,#REF!,'итог '!$C25),SUMIFS(#REF!,#REF!,'итог '!$C25,#REF!,'итог '!$D25))</f>
        <v>#REF!</v>
      </c>
      <c r="AE25" s="8" t="e">
        <f>IF($D25=0,SUMIFS(#REF!,#REF!,'итог '!$C25),SUMIFS(#REF!,#REF!,'итог '!$C25,#REF!,'итог '!$D25))</f>
        <v>#REF!</v>
      </c>
      <c r="AF25" s="8" t="e">
        <f>IF($D25=0,SUMIFS(#REF!,#REF!,'итог '!$C25),SUMIFS(#REF!,#REF!,'итог '!$C25,#REF!,'итог '!$D25))</f>
        <v>#REF!</v>
      </c>
      <c r="AG25" s="8" t="e">
        <f>IF($D25=0,SUMIFS(#REF!,#REF!,'итог '!$C25),SUMIFS(#REF!,#REF!,'итог '!$C25,#REF!,'итог '!$D25))</f>
        <v>#REF!</v>
      </c>
      <c r="AH25" s="8" t="e">
        <f>IF($D25=0,SUMIFS(#REF!,#REF!,'итог '!$C25),SUMIFS(#REF!,#REF!,'итог '!$C25,#REF!,'итог '!$D25))</f>
        <v>#REF!</v>
      </c>
      <c r="AI25" s="8" t="e">
        <f>IF($D25=0,SUMIFS(#REF!,#REF!,'итог '!$C25),SUMIFS(#REF!,#REF!,'итог '!$C25,#REF!,'итог '!$D25))</f>
        <v>#REF!</v>
      </c>
      <c r="AJ25" s="8" t="e">
        <f>IF($D25=0,SUMIFS(#REF!,#REF!,'итог '!$C25),SUMIFS(#REF!,#REF!,'итог '!$C25,#REF!,'итог '!$D25))</f>
        <v>#REF!</v>
      </c>
      <c r="AK25" s="8" t="e">
        <f>IF($D25=0,SUMIFS(#REF!,#REF!,'итог '!$C25),SUMIFS(#REF!,#REF!,'итог '!$C25,#REF!,'итог '!$D25))</f>
        <v>#REF!</v>
      </c>
      <c r="AL25" s="8" t="e">
        <f>IF($D25=0,SUMIFS(#REF!,#REF!,'итог '!$C25),SUMIFS(#REF!,#REF!,'итог '!$C25,#REF!,'итог '!$D25))</f>
        <v>#REF!</v>
      </c>
      <c r="AM25" s="8" t="e">
        <f>IF($D25=0,SUMIFS(#REF!,#REF!,'итог '!$C25),SUMIFS(#REF!,#REF!,'итог '!$C25,#REF!,'итог '!$D25))</f>
        <v>#REF!</v>
      </c>
    </row>
    <row r="26" spans="1:39" x14ac:dyDescent="0.25">
      <c r="A26" s="116" t="s">
        <v>27</v>
      </c>
      <c r="B26" s="116" t="s">
        <v>47</v>
      </c>
      <c r="C26" s="118" t="s">
        <v>48</v>
      </c>
      <c r="D26" s="118" t="s">
        <v>88</v>
      </c>
      <c r="E26" s="18" t="e">
        <f>IF(D26=0,SUMIFS(#REF!,#REF!,'итог '!C26),SUMIFS(#REF!,#REF!,'итог '!C26,#REF!,'итог '!D26))/12</f>
        <v>#REF!</v>
      </c>
      <c r="F26" s="6">
        <v>49440456</v>
      </c>
      <c r="G26" s="6">
        <v>-2660957</v>
      </c>
      <c r="H26" s="115" t="s">
        <v>237</v>
      </c>
      <c r="I26" s="115" t="s">
        <v>238</v>
      </c>
      <c r="J26" s="7" t="e">
        <f>IF(D26=0,SUMIFS(#REF!,#REF!,'итог '!C26),SUMIFS(#REF!,#REF!,'итог '!C26,#REF!,'итог '!D26))/12/'итог '!E26</f>
        <v>#REF!</v>
      </c>
      <c r="K26" s="7">
        <v>3.22</v>
      </c>
      <c r="L26" s="20" t="e">
        <f t="shared" si="0"/>
        <v>#REF!</v>
      </c>
      <c r="M26" s="20" t="e">
        <f t="shared" si="8"/>
        <v>#REF!</v>
      </c>
      <c r="N26" s="121">
        <v>48400</v>
      </c>
      <c r="O26" s="124">
        <v>29.41</v>
      </c>
      <c r="P26" s="124">
        <v>35.299999999999997</v>
      </c>
      <c r="Q26" s="22">
        <f>30.36+54.5</f>
        <v>84.86</v>
      </c>
      <c r="R26" s="22">
        <f>29.41+54.5</f>
        <v>83.91</v>
      </c>
      <c r="S26" s="8">
        <v>1</v>
      </c>
      <c r="T26" s="25" t="e">
        <f t="shared" si="2"/>
        <v>#REF!</v>
      </c>
      <c r="U26" s="25" t="e">
        <f t="shared" si="3"/>
        <v>#REF!</v>
      </c>
      <c r="V26" s="19" t="e">
        <f>AL26</f>
        <v>#REF!</v>
      </c>
      <c r="W26" s="19">
        <f t="shared" si="9"/>
        <v>46779499</v>
      </c>
      <c r="X26" s="19">
        <f t="shared" si="4"/>
        <v>49440456</v>
      </c>
      <c r="Y26" s="19">
        <f t="shared" si="5"/>
        <v>-2660957</v>
      </c>
      <c r="Z26" s="19">
        <f t="shared" si="6"/>
        <v>988809.12</v>
      </c>
      <c r="AA26" s="9"/>
      <c r="AB26" s="8" t="e">
        <f>IF($D26=0,SUMIFS(#REF!,#REF!,'итог '!$C26),SUMIFS(#REF!,#REF!,'итог '!$C26,#REF!,'итог '!$D26))</f>
        <v>#REF!</v>
      </c>
      <c r="AC26" s="8" t="e">
        <f>IF($D26=0,SUMIFS(#REF!,#REF!,'итог '!$C26),SUMIFS(#REF!,#REF!,'итог '!$C26,#REF!,'итог '!$D26))</f>
        <v>#REF!</v>
      </c>
      <c r="AD26" s="8" t="e">
        <f>IF($D26=0,SUMIFS(#REF!,#REF!,'итог '!$C26),SUMIFS(#REF!,#REF!,'итог '!$C26,#REF!,'итог '!$D26))</f>
        <v>#REF!</v>
      </c>
      <c r="AE26" s="8" t="e">
        <f>IF($D26=0,SUMIFS(#REF!,#REF!,'итог '!$C26),SUMIFS(#REF!,#REF!,'итог '!$C26,#REF!,'итог '!$D26))</f>
        <v>#REF!</v>
      </c>
      <c r="AF26" s="8" t="e">
        <f>IF($D26=0,SUMIFS(#REF!,#REF!,'итог '!$C26),SUMIFS(#REF!,#REF!,'итог '!$C26,#REF!,'итог '!$D26))</f>
        <v>#REF!</v>
      </c>
      <c r="AG26" s="8" t="e">
        <f>IF($D26=0,SUMIFS(#REF!,#REF!,'итог '!$C26),SUMIFS(#REF!,#REF!,'итог '!$C26,#REF!,'итог '!$D26))</f>
        <v>#REF!</v>
      </c>
      <c r="AH26" s="8" t="e">
        <f>IF($D26=0,SUMIFS(#REF!,#REF!,'итог '!$C26),SUMIFS(#REF!,#REF!,'итог '!$C26,#REF!,'итог '!$D26))</f>
        <v>#REF!</v>
      </c>
      <c r="AI26" s="8" t="e">
        <f>IF($D26=0,SUMIFS(#REF!,#REF!,'итог '!$C26),SUMIFS(#REF!,#REF!,'итог '!$C26,#REF!,'итог '!$D26))</f>
        <v>#REF!</v>
      </c>
      <c r="AJ26" s="8" t="e">
        <f>IF($D26=0,SUMIFS(#REF!,#REF!,'итог '!$C26),SUMIFS(#REF!,#REF!,'итог '!$C26,#REF!,'итог '!$D26))</f>
        <v>#REF!</v>
      </c>
      <c r="AK26" s="8" t="e">
        <f>IF($D26=0,SUMIFS(#REF!,#REF!,'итог '!$C26),SUMIFS(#REF!,#REF!,'итог '!$C26,#REF!,'итог '!$D26))</f>
        <v>#REF!</v>
      </c>
      <c r="AL26" s="8" t="e">
        <f>IF($D26=0,SUMIFS(#REF!,#REF!,'итог '!$C26),SUMIFS(#REF!,#REF!,'итог '!$C26,#REF!,'итог '!$D26))</f>
        <v>#REF!</v>
      </c>
      <c r="AM26" s="8" t="e">
        <f>IF($D26=0,SUMIFS(#REF!,#REF!,'итог '!$C26),SUMIFS(#REF!,#REF!,'итог '!$C26,#REF!,'итог '!$D26))</f>
        <v>#REF!</v>
      </c>
    </row>
    <row r="27" spans="1:39" x14ac:dyDescent="0.25">
      <c r="A27" s="116" t="s">
        <v>28</v>
      </c>
      <c r="B27" s="116" t="s">
        <v>47</v>
      </c>
      <c r="C27" s="118" t="s">
        <v>48</v>
      </c>
      <c r="D27" s="118" t="s">
        <v>89</v>
      </c>
      <c r="E27" s="18" t="e">
        <f>IF(D27=0,SUMIFS(#REF!,#REF!,'итог '!C27),SUMIFS(#REF!,#REF!,'итог '!C27,#REF!,'итог '!D27))/12</f>
        <v>#REF!</v>
      </c>
      <c r="F27" s="6">
        <v>25987847</v>
      </c>
      <c r="G27" s="6">
        <v>-1151109</v>
      </c>
      <c r="H27" s="115" t="s">
        <v>237</v>
      </c>
      <c r="I27" s="115" t="s">
        <v>238</v>
      </c>
      <c r="J27" s="7" t="e">
        <f>IF(D27=0,SUMIFS(#REF!,#REF!,'итог '!C27),SUMIFS(#REF!,#REF!,'итог '!C27,#REF!,'итог '!D27))/12/'итог '!E27</f>
        <v>#REF!</v>
      </c>
      <c r="K27" s="7">
        <v>3.22</v>
      </c>
      <c r="L27" s="20" t="e">
        <f t="shared" si="0"/>
        <v>#REF!</v>
      </c>
      <c r="M27" s="20" t="e">
        <f t="shared" si="8"/>
        <v>#REF!</v>
      </c>
      <c r="N27" s="121">
        <v>48100</v>
      </c>
      <c r="O27" s="124">
        <v>34.39</v>
      </c>
      <c r="P27" s="124">
        <v>30.92</v>
      </c>
      <c r="Q27" s="22">
        <f>34.87+10.5</f>
        <v>45.37</v>
      </c>
      <c r="R27" s="22">
        <f>34.39+10.5</f>
        <v>44.89</v>
      </c>
      <c r="S27" s="8">
        <v>1.07</v>
      </c>
      <c r="T27" s="25" t="e">
        <f t="shared" si="2"/>
        <v>#REF!</v>
      </c>
      <c r="U27" s="25" t="e">
        <f t="shared" si="3"/>
        <v>#REF!</v>
      </c>
      <c r="V27" s="19" t="e">
        <f>AL27</f>
        <v>#REF!</v>
      </c>
      <c r="W27" s="19">
        <f t="shared" si="9"/>
        <v>24836738</v>
      </c>
      <c r="X27" s="19">
        <f t="shared" si="4"/>
        <v>25987847</v>
      </c>
      <c r="Y27" s="19">
        <f t="shared" si="5"/>
        <v>-1151109</v>
      </c>
      <c r="Z27" s="19">
        <f t="shared" si="6"/>
        <v>519756.94</v>
      </c>
      <c r="AA27" s="9"/>
      <c r="AB27" s="8" t="e">
        <f>IF($D27=0,SUMIFS(#REF!,#REF!,'итог '!$C27),SUMIFS(#REF!,#REF!,'итог '!$C27,#REF!,'итог '!$D27))</f>
        <v>#REF!</v>
      </c>
      <c r="AC27" s="8" t="e">
        <f>IF($D27=0,SUMIFS(#REF!,#REF!,'итог '!$C27),SUMIFS(#REF!,#REF!,'итог '!$C27,#REF!,'итог '!$D27))</f>
        <v>#REF!</v>
      </c>
      <c r="AD27" s="8" t="e">
        <f>IF($D27=0,SUMIFS(#REF!,#REF!,'итог '!$C27),SUMIFS(#REF!,#REF!,'итог '!$C27,#REF!,'итог '!$D27))</f>
        <v>#REF!</v>
      </c>
      <c r="AE27" s="8" t="e">
        <f>IF($D27=0,SUMIFS(#REF!,#REF!,'итог '!$C27),SUMIFS(#REF!,#REF!,'итог '!$C27,#REF!,'итог '!$D27))</f>
        <v>#REF!</v>
      </c>
      <c r="AF27" s="8" t="e">
        <f>IF($D27=0,SUMIFS(#REF!,#REF!,'итог '!$C27),SUMIFS(#REF!,#REF!,'итог '!$C27,#REF!,'итог '!$D27))</f>
        <v>#REF!</v>
      </c>
      <c r="AG27" s="8" t="e">
        <f>IF($D27=0,SUMIFS(#REF!,#REF!,'итог '!$C27),SUMIFS(#REF!,#REF!,'итог '!$C27,#REF!,'итог '!$D27))</f>
        <v>#REF!</v>
      </c>
      <c r="AH27" s="8" t="e">
        <f>IF($D27=0,SUMIFS(#REF!,#REF!,'итог '!$C27),SUMIFS(#REF!,#REF!,'итог '!$C27,#REF!,'итог '!$D27))</f>
        <v>#REF!</v>
      </c>
      <c r="AI27" s="8" t="e">
        <f>IF($D27=0,SUMIFS(#REF!,#REF!,'итог '!$C27),SUMIFS(#REF!,#REF!,'итог '!$C27,#REF!,'итог '!$D27))</f>
        <v>#REF!</v>
      </c>
      <c r="AJ27" s="8" t="e">
        <f>IF($D27=0,SUMIFS(#REF!,#REF!,'итог '!$C27),SUMIFS(#REF!,#REF!,'итог '!$C27,#REF!,'итог '!$D27))</f>
        <v>#REF!</v>
      </c>
      <c r="AK27" s="8" t="e">
        <f>IF($D27=0,SUMIFS(#REF!,#REF!,'итог '!$C27),SUMIFS(#REF!,#REF!,'итог '!$C27,#REF!,'итог '!$D27))</f>
        <v>#REF!</v>
      </c>
      <c r="AL27" s="8" t="e">
        <f>IF($D27=0,SUMIFS(#REF!,#REF!,'итог '!$C27),SUMIFS(#REF!,#REF!,'итог '!$C27,#REF!,'итог '!$D27))</f>
        <v>#REF!</v>
      </c>
      <c r="AM27" s="8" t="e">
        <f>IF($D27=0,SUMIFS(#REF!,#REF!,'итог '!$C27),SUMIFS(#REF!,#REF!,'итог '!$C27,#REF!,'итог '!$D27))</f>
        <v>#REF!</v>
      </c>
    </row>
    <row r="28" spans="1:39" x14ac:dyDescent="0.25">
      <c r="A28" s="116" t="s">
        <v>29</v>
      </c>
      <c r="B28" s="116" t="s">
        <v>47</v>
      </c>
      <c r="C28" s="118" t="s">
        <v>48</v>
      </c>
      <c r="D28" s="118" t="s">
        <v>90</v>
      </c>
      <c r="E28" s="18" t="e">
        <f>IF(D28=0,SUMIFS(#REF!,#REF!,'итог '!C28),SUMIFS(#REF!,#REF!,'итог '!C28,#REF!,'итог '!D28))/12</f>
        <v>#REF!</v>
      </c>
      <c r="F28" s="6">
        <v>5485020</v>
      </c>
      <c r="G28" s="6">
        <v>16620</v>
      </c>
      <c r="H28" s="115" t="s">
        <v>237</v>
      </c>
      <c r="I28" s="115" t="s">
        <v>238</v>
      </c>
      <c r="J28" s="7" t="e">
        <f>IF(D28=0,SUMIFS(#REF!,#REF!,'итог '!C28),SUMIFS(#REF!,#REF!,'итог '!C28,#REF!,'итог '!D28))/12/'итог '!E28</f>
        <v>#REF!</v>
      </c>
      <c r="K28" s="7">
        <v>3.22</v>
      </c>
      <c r="L28" s="20" t="e">
        <f t="shared" si="0"/>
        <v>#REF!</v>
      </c>
      <c r="M28" s="20" t="e">
        <f t="shared" si="8"/>
        <v>#REF!</v>
      </c>
      <c r="N28" s="121">
        <v>54300</v>
      </c>
      <c r="O28" s="124">
        <v>5</v>
      </c>
      <c r="P28" s="124">
        <v>5</v>
      </c>
      <c r="Q28" s="8">
        <v>5</v>
      </c>
      <c r="R28" s="8"/>
      <c r="S28" s="8">
        <v>1.07</v>
      </c>
      <c r="T28" s="25" t="e">
        <f t="shared" si="2"/>
        <v>#REF!</v>
      </c>
      <c r="U28" s="25" t="e">
        <f t="shared" si="3"/>
        <v>#REF!</v>
      </c>
      <c r="V28" s="19" t="e">
        <f>AB28</f>
        <v>#REF!</v>
      </c>
      <c r="W28" s="19">
        <f t="shared" si="9"/>
        <v>5501640</v>
      </c>
      <c r="X28" s="19">
        <f t="shared" si="4"/>
        <v>5485020</v>
      </c>
      <c r="Y28" s="19">
        <f t="shared" si="5"/>
        <v>16620</v>
      </c>
      <c r="Z28" s="19">
        <f t="shared" si="6"/>
        <v>109700.40000000001</v>
      </c>
      <c r="AA28" s="9"/>
      <c r="AB28" s="8" t="e">
        <f>IF($D28=0,SUMIFS(#REF!,#REF!,'итог '!$C28),SUMIFS(#REF!,#REF!,'итог '!$C28,#REF!,'итог '!$D28))</f>
        <v>#REF!</v>
      </c>
      <c r="AC28" s="8" t="e">
        <f>IF($D28=0,SUMIFS(#REF!,#REF!,'итог '!$C28),SUMIFS(#REF!,#REF!,'итог '!$C28,#REF!,'итог '!$D28))</f>
        <v>#REF!</v>
      </c>
      <c r="AD28" s="8" t="e">
        <f>IF($D28=0,SUMIFS(#REF!,#REF!,'итог '!$C28),SUMIFS(#REF!,#REF!,'итог '!$C28,#REF!,'итог '!$D28))</f>
        <v>#REF!</v>
      </c>
      <c r="AE28" s="8" t="e">
        <f>IF($D28=0,SUMIFS(#REF!,#REF!,'итог '!$C28),SUMIFS(#REF!,#REF!,'итог '!$C28,#REF!,'итог '!$D28))</f>
        <v>#REF!</v>
      </c>
      <c r="AF28" s="8" t="e">
        <f>IF($D28=0,SUMIFS(#REF!,#REF!,'итог '!$C28),SUMIFS(#REF!,#REF!,'итог '!$C28,#REF!,'итог '!$D28))</f>
        <v>#REF!</v>
      </c>
      <c r="AG28" s="8" t="e">
        <f>IF($D28=0,SUMIFS(#REF!,#REF!,'итог '!$C28),SUMIFS(#REF!,#REF!,'итог '!$C28,#REF!,'итог '!$D28))</f>
        <v>#REF!</v>
      </c>
      <c r="AH28" s="8" t="e">
        <f>IF($D28=0,SUMIFS(#REF!,#REF!,'итог '!$C28),SUMIFS(#REF!,#REF!,'итог '!$C28,#REF!,'итог '!$D28))</f>
        <v>#REF!</v>
      </c>
      <c r="AI28" s="8" t="e">
        <f>IF($D28=0,SUMIFS(#REF!,#REF!,'итог '!$C28),SUMIFS(#REF!,#REF!,'итог '!$C28,#REF!,'итог '!$D28))</f>
        <v>#REF!</v>
      </c>
      <c r="AJ28" s="8" t="e">
        <f>IF($D28=0,SUMIFS(#REF!,#REF!,'итог '!$C28),SUMIFS(#REF!,#REF!,'итог '!$C28,#REF!,'итог '!$D28))</f>
        <v>#REF!</v>
      </c>
      <c r="AK28" s="8" t="e">
        <f>IF($D28=0,SUMIFS(#REF!,#REF!,'итог '!$C28),SUMIFS(#REF!,#REF!,'итог '!$C28,#REF!,'итог '!$D28))</f>
        <v>#REF!</v>
      </c>
      <c r="AL28" s="8" t="e">
        <f>IF($D28=0,SUMIFS(#REF!,#REF!,'итог '!$C28),SUMIFS(#REF!,#REF!,'итог '!$C28,#REF!,'итог '!$D28))</f>
        <v>#REF!</v>
      </c>
      <c r="AM28" s="8" t="e">
        <f>IF($D28=0,SUMIFS(#REF!,#REF!,'итог '!$C28),SUMIFS(#REF!,#REF!,'итог '!$C28,#REF!,'итог '!$D28))</f>
        <v>#REF!</v>
      </c>
    </row>
    <row r="29" spans="1:39" x14ac:dyDescent="0.25">
      <c r="A29" s="116" t="s">
        <v>30</v>
      </c>
      <c r="B29" s="116" t="s">
        <v>141</v>
      </c>
      <c r="C29" s="118" t="s">
        <v>91</v>
      </c>
      <c r="D29" s="118"/>
      <c r="E29" s="18" t="e">
        <f>IF(D29=0,SUMIFS(#REF!,#REF!,'итог '!C29),SUMIFS(#REF!,#REF!,'итог '!C29,#REF!,'итог '!D29))/12</f>
        <v>#REF!</v>
      </c>
      <c r="F29" s="6">
        <v>65450929</v>
      </c>
      <c r="G29" s="6">
        <v>723062</v>
      </c>
      <c r="H29" s="115" t="s">
        <v>239</v>
      </c>
      <c r="I29" s="115" t="s">
        <v>240</v>
      </c>
      <c r="J29" s="7" t="e">
        <f>IF(D29=0,SUMIFS(#REF!,#REF!,'итог '!C29),SUMIFS(#REF!,#REF!,'итог '!C29,#REF!,'итог '!D29))/12/'итог '!E29</f>
        <v>#REF!</v>
      </c>
      <c r="K29" s="7">
        <v>3.6</v>
      </c>
      <c r="L29" s="20" t="e">
        <f t="shared" si="0"/>
        <v>#REF!</v>
      </c>
      <c r="M29" s="20" t="e">
        <f t="shared" si="8"/>
        <v>#REF!</v>
      </c>
      <c r="N29" s="121">
        <v>57000</v>
      </c>
      <c r="O29" s="124">
        <v>98.54</v>
      </c>
      <c r="P29" s="124">
        <v>95.73</v>
      </c>
      <c r="Q29" s="8">
        <v>99.149999999999991</v>
      </c>
      <c r="R29" s="8">
        <v>99.54</v>
      </c>
      <c r="S29" s="8">
        <v>1.07</v>
      </c>
      <c r="T29" s="25" t="e">
        <f t="shared" si="2"/>
        <v>#REF!</v>
      </c>
      <c r="U29" s="25" t="e">
        <f t="shared" si="3"/>
        <v>#REF!</v>
      </c>
      <c r="V29" s="19" t="e">
        <f>AJ29</f>
        <v>#REF!</v>
      </c>
      <c r="W29" s="19">
        <f t="shared" si="9"/>
        <v>66173991</v>
      </c>
      <c r="X29" s="19">
        <f t="shared" si="4"/>
        <v>65450929</v>
      </c>
      <c r="Y29" s="19">
        <f t="shared" si="5"/>
        <v>723062</v>
      </c>
      <c r="Z29" s="19">
        <f t="shared" si="6"/>
        <v>1309018.58</v>
      </c>
      <c r="AA29" s="9"/>
      <c r="AB29" s="8" t="e">
        <f>IF($D29=0,SUMIFS(#REF!,#REF!,'итог '!$C29),SUMIFS(#REF!,#REF!,'итог '!$C29,#REF!,'итог '!$D29))</f>
        <v>#REF!</v>
      </c>
      <c r="AC29" s="8" t="e">
        <f>IF($D29=0,SUMIFS(#REF!,#REF!,'итог '!$C29),SUMIFS(#REF!,#REF!,'итог '!$C29,#REF!,'итог '!$D29))</f>
        <v>#REF!</v>
      </c>
      <c r="AD29" s="8" t="e">
        <f>IF($D29=0,SUMIFS(#REF!,#REF!,'итог '!$C29),SUMIFS(#REF!,#REF!,'итог '!$C29,#REF!,'итог '!$D29))</f>
        <v>#REF!</v>
      </c>
      <c r="AE29" s="8" t="e">
        <f>IF($D29=0,SUMIFS(#REF!,#REF!,'итог '!$C29),SUMIFS(#REF!,#REF!,'итог '!$C29,#REF!,'итог '!$D29))</f>
        <v>#REF!</v>
      </c>
      <c r="AF29" s="8" t="e">
        <f>IF($D29=0,SUMIFS(#REF!,#REF!,'итог '!$C29),SUMIFS(#REF!,#REF!,'итог '!$C29,#REF!,'итог '!$D29))</f>
        <v>#REF!</v>
      </c>
      <c r="AG29" s="8" t="e">
        <f>IF($D29=0,SUMIFS(#REF!,#REF!,'итог '!$C29),SUMIFS(#REF!,#REF!,'итог '!$C29,#REF!,'итог '!$D29))</f>
        <v>#REF!</v>
      </c>
      <c r="AH29" s="8" t="e">
        <f>IF($D29=0,SUMIFS(#REF!,#REF!,'итог '!$C29),SUMIFS(#REF!,#REF!,'итог '!$C29,#REF!,'итог '!$D29))</f>
        <v>#REF!</v>
      </c>
      <c r="AI29" s="8" t="e">
        <f>IF($D29=0,SUMIFS(#REF!,#REF!,'итог '!$C29),SUMIFS(#REF!,#REF!,'итог '!$C29,#REF!,'итог '!$D29))</f>
        <v>#REF!</v>
      </c>
      <c r="AJ29" s="8" t="e">
        <f>IF($D29=0,SUMIFS(#REF!,#REF!,'итог '!$C29),SUMIFS(#REF!,#REF!,'итог '!$C29,#REF!,'итог '!$D29))</f>
        <v>#REF!</v>
      </c>
      <c r="AK29" s="8" t="e">
        <f>IF($D29=0,SUMIFS(#REF!,#REF!,'итог '!$C29),SUMIFS(#REF!,#REF!,'итог '!$C29,#REF!,'итог '!$D29))</f>
        <v>#REF!</v>
      </c>
      <c r="AL29" s="8" t="e">
        <f>IF($D29=0,SUMIFS(#REF!,#REF!,'итог '!$C29),SUMIFS(#REF!,#REF!,'итог '!$C29,#REF!,'итог '!$D29))</f>
        <v>#REF!</v>
      </c>
      <c r="AM29" s="8" t="e">
        <f>IF($D29=0,SUMIFS(#REF!,#REF!,'итог '!$C29),SUMIFS(#REF!,#REF!,'итог '!$C29,#REF!,'итог '!$D29))</f>
        <v>#REF!</v>
      </c>
    </row>
    <row r="30" spans="1:39" ht="25.5" x14ac:dyDescent="0.25">
      <c r="A30" s="116" t="s">
        <v>31</v>
      </c>
      <c r="B30" s="116" t="s">
        <v>142</v>
      </c>
      <c r="C30" s="117" t="s">
        <v>51</v>
      </c>
      <c r="D30" s="118">
        <v>28</v>
      </c>
      <c r="E30" s="18" t="e">
        <f>IF(D30=0,SUMIFS(#REF!,#REF!,'итог '!C30),SUMIFS(#REF!,#REF!,'итог '!C30,#REF!,'итог '!D30))/12</f>
        <v>#REF!</v>
      </c>
      <c r="F30" s="6">
        <v>97452072</v>
      </c>
      <c r="G30" s="6">
        <v>3706272</v>
      </c>
      <c r="H30" s="115" t="s">
        <v>241</v>
      </c>
      <c r="I30" s="115" t="s">
        <v>242</v>
      </c>
      <c r="J30" s="7" t="e">
        <f>IF(D30=0,SUMIFS(#REF!,#REF!,'итог '!C30),SUMIFS(#REF!,#REF!,'итог '!C30,#REF!,'итог '!D30))/12/'итог '!E30</f>
        <v>#REF!</v>
      </c>
      <c r="K30" s="7">
        <v>3.22</v>
      </c>
      <c r="L30" s="20" t="e">
        <f t="shared" si="0"/>
        <v>#REF!</v>
      </c>
      <c r="M30" s="20" t="e">
        <f t="shared" si="8"/>
        <v>#REF!</v>
      </c>
      <c r="N30" s="121">
        <v>54100</v>
      </c>
      <c r="O30" s="124">
        <v>164.07</v>
      </c>
      <c r="P30" s="124">
        <v>143.38</v>
      </c>
      <c r="Q30" s="8">
        <v>172.15</v>
      </c>
      <c r="R30" s="8">
        <v>164.07</v>
      </c>
      <c r="S30" s="8">
        <v>1</v>
      </c>
      <c r="T30" s="25" t="e">
        <f t="shared" si="2"/>
        <v>#REF!</v>
      </c>
      <c r="U30" s="25" t="e">
        <f t="shared" si="3"/>
        <v>#REF!</v>
      </c>
      <c r="V30" s="19" t="e">
        <f>AK30</f>
        <v>#REF!</v>
      </c>
      <c r="W30" s="19">
        <f t="shared" si="9"/>
        <v>101158344</v>
      </c>
      <c r="X30" s="19">
        <f t="shared" si="4"/>
        <v>97452072</v>
      </c>
      <c r="Y30" s="19">
        <f t="shared" si="5"/>
        <v>3706272</v>
      </c>
      <c r="Z30" s="19">
        <f t="shared" si="6"/>
        <v>1949041.44</v>
      </c>
      <c r="AA30" s="9"/>
      <c r="AB30" s="8" t="e">
        <f>IF($D30=0,SUMIFS(#REF!,#REF!,'итог '!$C30),SUMIFS(#REF!,#REF!,'итог '!$C30,#REF!,'итог '!$D30))</f>
        <v>#REF!</v>
      </c>
      <c r="AC30" s="8" t="e">
        <f>IF($D30=0,SUMIFS(#REF!,#REF!,'итог '!$C30),SUMIFS(#REF!,#REF!,'итог '!$C30,#REF!,'итог '!$D30))</f>
        <v>#REF!</v>
      </c>
      <c r="AD30" s="8" t="e">
        <f>IF($D30=0,SUMIFS(#REF!,#REF!,'итог '!$C30),SUMIFS(#REF!,#REF!,'итог '!$C30,#REF!,'итог '!$D30))</f>
        <v>#REF!</v>
      </c>
      <c r="AE30" s="8" t="e">
        <f>IF($D30=0,SUMIFS(#REF!,#REF!,'итог '!$C30),SUMIFS(#REF!,#REF!,'итог '!$C30,#REF!,'итог '!$D30))</f>
        <v>#REF!</v>
      </c>
      <c r="AF30" s="8" t="e">
        <f>IF($D30=0,SUMIFS(#REF!,#REF!,'итог '!$C30),SUMIFS(#REF!,#REF!,'итог '!$C30,#REF!,'итог '!$D30))</f>
        <v>#REF!</v>
      </c>
      <c r="AG30" s="8" t="e">
        <f>IF($D30=0,SUMIFS(#REF!,#REF!,'итог '!$C30),SUMIFS(#REF!,#REF!,'итог '!$C30,#REF!,'итог '!$D30))</f>
        <v>#REF!</v>
      </c>
      <c r="AH30" s="8" t="e">
        <f>IF($D30=0,SUMIFS(#REF!,#REF!,'итог '!$C30),SUMIFS(#REF!,#REF!,'итог '!$C30,#REF!,'итог '!$D30))</f>
        <v>#REF!</v>
      </c>
      <c r="AI30" s="8" t="e">
        <f>IF($D30=0,SUMIFS(#REF!,#REF!,'итог '!$C30),SUMIFS(#REF!,#REF!,'итог '!$C30,#REF!,'итог '!$D30))</f>
        <v>#REF!</v>
      </c>
      <c r="AJ30" s="8" t="e">
        <f>IF($D30=0,SUMIFS(#REF!,#REF!,'итог '!$C30),SUMIFS(#REF!,#REF!,'итог '!$C30,#REF!,'итог '!$D30))</f>
        <v>#REF!</v>
      </c>
      <c r="AK30" s="8" t="e">
        <f>IF($D30=0,SUMIFS(#REF!,#REF!,'итог '!$C30),SUMIFS(#REF!,#REF!,'итог '!$C30,#REF!,'итог '!$D30))</f>
        <v>#REF!</v>
      </c>
      <c r="AL30" s="8" t="e">
        <f>IF($D30=0,SUMIFS(#REF!,#REF!,'итог '!$C30),SUMIFS(#REF!,#REF!,'итог '!$C30,#REF!,'итог '!$D30))</f>
        <v>#REF!</v>
      </c>
      <c r="AM30" s="8" t="e">
        <f>IF($D30=0,SUMIFS(#REF!,#REF!,'итог '!$C30),SUMIFS(#REF!,#REF!,'итог '!$C30,#REF!,'итог '!$D30))</f>
        <v>#REF!</v>
      </c>
    </row>
    <row r="31" spans="1:39" ht="25.5" x14ac:dyDescent="0.25">
      <c r="A31" s="116" t="s">
        <v>32</v>
      </c>
      <c r="B31" s="116" t="s">
        <v>142</v>
      </c>
      <c r="C31" s="117" t="s">
        <v>52</v>
      </c>
      <c r="D31" s="118" t="s">
        <v>53</v>
      </c>
      <c r="E31" s="18" t="e">
        <f>IF(D31=0,SUMIFS(#REF!,#REF!,'итог '!C31),SUMIFS(#REF!,#REF!,'итог '!C31,#REF!,'итог '!D31))/12</f>
        <v>#REF!</v>
      </c>
      <c r="F31" s="6">
        <v>87404791</v>
      </c>
      <c r="G31" s="6">
        <v>3871209</v>
      </c>
      <c r="H31" s="115" t="s">
        <v>241</v>
      </c>
      <c r="I31" s="115" t="s">
        <v>242</v>
      </c>
      <c r="J31" s="7" t="e">
        <f>IF(D31=0,SUMIFS(#REF!,#REF!,'итог '!C31),SUMIFS(#REF!,#REF!,'итог '!C31,#REF!,'итог '!D31))/12/'итог '!E31</f>
        <v>#REF!</v>
      </c>
      <c r="K31" s="7">
        <v>3.22</v>
      </c>
      <c r="L31" s="20" t="e">
        <f t="shared" si="0"/>
        <v>#REF!</v>
      </c>
      <c r="M31" s="20" t="e">
        <f t="shared" si="8"/>
        <v>#REF!</v>
      </c>
      <c r="N31" s="121">
        <v>53900</v>
      </c>
      <c r="O31" s="124">
        <v>131.49</v>
      </c>
      <c r="P31" s="124">
        <v>126.39</v>
      </c>
      <c r="Q31" s="8">
        <v>144.28</v>
      </c>
      <c r="R31" s="8">
        <v>131.49</v>
      </c>
      <c r="S31" s="8">
        <v>1.07</v>
      </c>
      <c r="T31" s="25" t="e">
        <f t="shared" si="2"/>
        <v>#REF!</v>
      </c>
      <c r="U31" s="25" t="e">
        <f t="shared" si="3"/>
        <v>#REF!</v>
      </c>
      <c r="V31" s="19" t="e">
        <f>AK31</f>
        <v>#REF!</v>
      </c>
      <c r="W31" s="19">
        <f t="shared" si="9"/>
        <v>91276000</v>
      </c>
      <c r="X31" s="19">
        <f t="shared" si="4"/>
        <v>87404791</v>
      </c>
      <c r="Y31" s="19">
        <f t="shared" si="5"/>
        <v>3871209</v>
      </c>
      <c r="Z31" s="19">
        <f t="shared" si="6"/>
        <v>1748095.82</v>
      </c>
      <c r="AA31" s="9"/>
      <c r="AB31" s="8" t="e">
        <f>IF($D31=0,SUMIFS(#REF!,#REF!,'итог '!$C31),SUMIFS(#REF!,#REF!,'итог '!$C31,#REF!,'итог '!$D31))</f>
        <v>#REF!</v>
      </c>
      <c r="AC31" s="8" t="e">
        <f>IF($D31=0,SUMIFS(#REF!,#REF!,'итог '!$C31),SUMIFS(#REF!,#REF!,'итог '!$C31,#REF!,'итог '!$D31))</f>
        <v>#REF!</v>
      </c>
      <c r="AD31" s="8" t="e">
        <f>IF($D31=0,SUMIFS(#REF!,#REF!,'итог '!$C31),SUMIFS(#REF!,#REF!,'итог '!$C31,#REF!,'итог '!$D31))</f>
        <v>#REF!</v>
      </c>
      <c r="AE31" s="8" t="e">
        <f>IF($D31=0,SUMIFS(#REF!,#REF!,'итог '!$C31),SUMIFS(#REF!,#REF!,'итог '!$C31,#REF!,'итог '!$D31))</f>
        <v>#REF!</v>
      </c>
      <c r="AF31" s="8" t="e">
        <f>IF($D31=0,SUMIFS(#REF!,#REF!,'итог '!$C31),SUMIFS(#REF!,#REF!,'итог '!$C31,#REF!,'итог '!$D31))</f>
        <v>#REF!</v>
      </c>
      <c r="AG31" s="8" t="e">
        <f>IF($D31=0,SUMIFS(#REF!,#REF!,'итог '!$C31),SUMIFS(#REF!,#REF!,'итог '!$C31,#REF!,'итог '!$D31))</f>
        <v>#REF!</v>
      </c>
      <c r="AH31" s="8" t="e">
        <f>IF($D31=0,SUMIFS(#REF!,#REF!,'итог '!$C31),SUMIFS(#REF!,#REF!,'итог '!$C31,#REF!,'итог '!$D31))</f>
        <v>#REF!</v>
      </c>
      <c r="AI31" s="8" t="e">
        <f>IF($D31=0,SUMIFS(#REF!,#REF!,'итог '!$C31),SUMIFS(#REF!,#REF!,'итог '!$C31,#REF!,'итог '!$D31))</f>
        <v>#REF!</v>
      </c>
      <c r="AJ31" s="8" t="e">
        <f>IF($D31=0,SUMIFS(#REF!,#REF!,'итог '!$C31),SUMIFS(#REF!,#REF!,'итог '!$C31,#REF!,'итог '!$D31))</f>
        <v>#REF!</v>
      </c>
      <c r="AK31" s="8" t="e">
        <f>IF($D31=0,SUMIFS(#REF!,#REF!,'итог '!$C31),SUMIFS(#REF!,#REF!,'итог '!$C31,#REF!,'итог '!$D31))</f>
        <v>#REF!</v>
      </c>
      <c r="AL31" s="8" t="e">
        <f>IF($D31=0,SUMIFS(#REF!,#REF!,'итог '!$C31),SUMIFS(#REF!,#REF!,'итог '!$C31,#REF!,'итог '!$D31))</f>
        <v>#REF!</v>
      </c>
      <c r="AM31" s="8" t="e">
        <f>IF($D31=0,SUMIFS(#REF!,#REF!,'итог '!$C31),SUMIFS(#REF!,#REF!,'итог '!$C31,#REF!,'итог '!$D31))</f>
        <v>#REF!</v>
      </c>
    </row>
    <row r="32" spans="1:39" x14ac:dyDescent="0.25">
      <c r="A32" s="116" t="s">
        <v>33</v>
      </c>
      <c r="B32" s="116" t="s">
        <v>143</v>
      </c>
      <c r="C32" s="119" t="s">
        <v>55</v>
      </c>
      <c r="D32" s="118"/>
      <c r="E32" s="18" t="e">
        <f>IF(D32=0,SUMIFS(#REF!,#REF!,'итог '!C32),SUMIFS(#REF!,#REF!,'итог '!C32,#REF!,'итог '!D32))/12</f>
        <v>#REF!</v>
      </c>
      <c r="F32" s="6">
        <v>79734007</v>
      </c>
      <c r="G32" s="6">
        <v>478917</v>
      </c>
      <c r="H32" s="115" t="s">
        <v>243</v>
      </c>
      <c r="I32" s="115" t="s">
        <v>244</v>
      </c>
      <c r="J32" s="7" t="e">
        <f>IF(D32=0,SUMIFS(#REF!,#REF!,'итог '!C32),SUMIFS(#REF!,#REF!,'итог '!C32,#REF!,'итог '!D32))/12/'итог '!E32</f>
        <v>#REF!</v>
      </c>
      <c r="K32" s="7">
        <v>3.22</v>
      </c>
      <c r="L32" s="20" t="e">
        <f t="shared" si="0"/>
        <v>#REF!</v>
      </c>
      <c r="M32" s="20" t="e">
        <f t="shared" si="8"/>
        <v>#REF!</v>
      </c>
      <c r="N32" s="121">
        <v>49900</v>
      </c>
      <c r="O32" s="124">
        <v>86.27</v>
      </c>
      <c r="P32" s="124">
        <v>66.25</v>
      </c>
      <c r="Q32" s="8">
        <f>91.61+54.5</f>
        <v>146.11000000000001</v>
      </c>
      <c r="R32" s="8">
        <v>86.27</v>
      </c>
      <c r="S32" s="8">
        <v>1</v>
      </c>
      <c r="T32" s="25" t="e">
        <f t="shared" si="2"/>
        <v>#REF!</v>
      </c>
      <c r="U32" s="25" t="e">
        <f t="shared" si="3"/>
        <v>#REF!</v>
      </c>
      <c r="V32" s="19" t="e">
        <f>AK32</f>
        <v>#REF!</v>
      </c>
      <c r="W32" s="19">
        <f t="shared" si="9"/>
        <v>80212924</v>
      </c>
      <c r="X32" s="19">
        <f t="shared" si="4"/>
        <v>79734007</v>
      </c>
      <c r="Y32" s="19">
        <f t="shared" si="5"/>
        <v>478917</v>
      </c>
      <c r="Z32" s="19">
        <f t="shared" si="6"/>
        <v>1594680.1400000001</v>
      </c>
      <c r="AA32" s="9"/>
      <c r="AB32" s="8" t="e">
        <f>IF($D32=0,SUMIFS(#REF!,#REF!,'итог '!$C32),SUMIFS(#REF!,#REF!,'итог '!$C32,#REF!,'итог '!$D32))</f>
        <v>#REF!</v>
      </c>
      <c r="AC32" s="8" t="e">
        <f>IF($D32=0,SUMIFS(#REF!,#REF!,'итог '!$C32),SUMIFS(#REF!,#REF!,'итог '!$C32,#REF!,'итог '!$D32))</f>
        <v>#REF!</v>
      </c>
      <c r="AD32" s="8" t="e">
        <f>IF($D32=0,SUMIFS(#REF!,#REF!,'итог '!$C32),SUMIFS(#REF!,#REF!,'итог '!$C32,#REF!,'итог '!$D32))</f>
        <v>#REF!</v>
      </c>
      <c r="AE32" s="8" t="e">
        <f>IF($D32=0,SUMIFS(#REF!,#REF!,'итог '!$C32),SUMIFS(#REF!,#REF!,'итог '!$C32,#REF!,'итог '!$D32))</f>
        <v>#REF!</v>
      </c>
      <c r="AF32" s="8" t="e">
        <f>IF($D32=0,SUMIFS(#REF!,#REF!,'итог '!$C32),SUMIFS(#REF!,#REF!,'итог '!$C32,#REF!,'итог '!$D32))</f>
        <v>#REF!</v>
      </c>
      <c r="AG32" s="8" t="e">
        <f>IF($D32=0,SUMIFS(#REF!,#REF!,'итог '!$C32),SUMIFS(#REF!,#REF!,'итог '!$C32,#REF!,'итог '!$D32))</f>
        <v>#REF!</v>
      </c>
      <c r="AH32" s="8" t="e">
        <f>IF($D32=0,SUMIFS(#REF!,#REF!,'итог '!$C32),SUMIFS(#REF!,#REF!,'итог '!$C32,#REF!,'итог '!$D32))</f>
        <v>#REF!</v>
      </c>
      <c r="AI32" s="8" t="e">
        <f>IF($D32=0,SUMIFS(#REF!,#REF!,'итог '!$C32),SUMIFS(#REF!,#REF!,'итог '!$C32,#REF!,'итог '!$D32))</f>
        <v>#REF!</v>
      </c>
      <c r="AJ32" s="8" t="e">
        <f>IF($D32=0,SUMIFS(#REF!,#REF!,'итог '!$C32),SUMIFS(#REF!,#REF!,'итог '!$C32,#REF!,'итог '!$D32))</f>
        <v>#REF!</v>
      </c>
      <c r="AK32" s="8" t="e">
        <f>IF($D32=0,SUMIFS(#REF!,#REF!,'итог '!$C32),SUMIFS(#REF!,#REF!,'итог '!$C32,#REF!,'итог '!$D32))</f>
        <v>#REF!</v>
      </c>
      <c r="AL32" s="8" t="e">
        <f>IF($D32=0,SUMIFS(#REF!,#REF!,'итог '!$C32),SUMIFS(#REF!,#REF!,'итог '!$C32,#REF!,'итог '!$D32))</f>
        <v>#REF!</v>
      </c>
      <c r="AM32" s="8" t="e">
        <f>IF($D32=0,SUMIFS(#REF!,#REF!,'итог '!$C32),SUMIFS(#REF!,#REF!,'итог '!$C32,#REF!,'итог '!$D32))</f>
        <v>#REF!</v>
      </c>
    </row>
    <row r="33" spans="1:39" x14ac:dyDescent="0.25">
      <c r="A33" s="116" t="s">
        <v>34</v>
      </c>
      <c r="B33" s="116" t="s">
        <v>144</v>
      </c>
      <c r="C33" s="117" t="s">
        <v>56</v>
      </c>
      <c r="D33" s="118">
        <v>11</v>
      </c>
      <c r="E33" s="18" t="e">
        <f>IF(D33=0,SUMIFS(#REF!,#REF!,'итог '!C33),SUMIFS(#REF!,#REF!,'итог '!C33,#REF!,'итог '!D33))/12</f>
        <v>#REF!</v>
      </c>
      <c r="F33" s="6">
        <v>131172761</v>
      </c>
      <c r="G33" s="6">
        <v>141239</v>
      </c>
      <c r="H33" s="171" t="s">
        <v>245</v>
      </c>
      <c r="I33" s="171" t="s">
        <v>246</v>
      </c>
      <c r="J33" s="7" t="e">
        <f>IF(D33=0,SUMIFS(#REF!,#REF!,'итог '!C33),SUMIFS(#REF!,#REF!,'итог '!C33,#REF!,'итог '!D33))/12/'итог '!E33</f>
        <v>#REF!</v>
      </c>
      <c r="K33" s="7">
        <v>3.22</v>
      </c>
      <c r="L33" s="20" t="e">
        <f t="shared" si="0"/>
        <v>#REF!</v>
      </c>
      <c r="M33" s="20" t="e">
        <f t="shared" si="8"/>
        <v>#REF!</v>
      </c>
      <c r="N33" s="121">
        <v>51300</v>
      </c>
      <c r="O33" s="124">
        <v>227.27</v>
      </c>
      <c r="P33" s="124">
        <v>237.24</v>
      </c>
      <c r="Q33" s="8">
        <v>230.05000000000004</v>
      </c>
      <c r="R33" s="8">
        <v>227.27</v>
      </c>
      <c r="S33" s="8">
        <v>1.07</v>
      </c>
      <c r="T33" s="25" t="e">
        <f t="shared" si="2"/>
        <v>#REF!</v>
      </c>
      <c r="U33" s="25" t="e">
        <f t="shared" si="3"/>
        <v>#REF!</v>
      </c>
      <c r="V33" s="19" t="e">
        <f>AJ33</f>
        <v>#REF!</v>
      </c>
      <c r="W33" s="19">
        <f t="shared" si="9"/>
        <v>131314000</v>
      </c>
      <c r="X33" s="19">
        <f t="shared" si="4"/>
        <v>131172761</v>
      </c>
      <c r="Y33" s="19">
        <f t="shared" si="5"/>
        <v>141239</v>
      </c>
      <c r="Z33" s="19">
        <f t="shared" si="6"/>
        <v>2623455.2200000002</v>
      </c>
      <c r="AA33" s="9">
        <v>8252979.8399999999</v>
      </c>
      <c r="AB33" s="8" t="e">
        <f>IF($D33=0,SUMIFS(#REF!,#REF!,'итог '!$C33),SUMIFS(#REF!,#REF!,'итог '!$C33,#REF!,'итог '!$D33))</f>
        <v>#REF!</v>
      </c>
      <c r="AC33" s="8" t="e">
        <f>IF($D33=0,SUMIFS(#REF!,#REF!,'итог '!$C33),SUMIFS(#REF!,#REF!,'итог '!$C33,#REF!,'итог '!$D33))</f>
        <v>#REF!</v>
      </c>
      <c r="AD33" s="8" t="e">
        <f>IF($D33=0,SUMIFS(#REF!,#REF!,'итог '!$C33),SUMIFS(#REF!,#REF!,'итог '!$C33,#REF!,'итог '!$D33))</f>
        <v>#REF!</v>
      </c>
      <c r="AE33" s="8" t="e">
        <f>IF($D33=0,SUMIFS(#REF!,#REF!,'итог '!$C33),SUMIFS(#REF!,#REF!,'итог '!$C33,#REF!,'итог '!$D33))</f>
        <v>#REF!</v>
      </c>
      <c r="AF33" s="8" t="e">
        <f>IF($D33=0,SUMIFS(#REF!,#REF!,'итог '!$C33),SUMIFS(#REF!,#REF!,'итог '!$C33,#REF!,'итог '!$D33))</f>
        <v>#REF!</v>
      </c>
      <c r="AG33" s="8" t="e">
        <f>IF($D33=0,SUMIFS(#REF!,#REF!,'итог '!$C33),SUMIFS(#REF!,#REF!,'итог '!$C33,#REF!,'итог '!$D33))</f>
        <v>#REF!</v>
      </c>
      <c r="AH33" s="8" t="e">
        <f>IF($D33=0,SUMIFS(#REF!,#REF!,'итог '!$C33),SUMIFS(#REF!,#REF!,'итог '!$C33,#REF!,'итог '!$D33))</f>
        <v>#REF!</v>
      </c>
      <c r="AI33" s="8" t="e">
        <f>IF($D33=0,SUMIFS(#REF!,#REF!,'итог '!$C33),SUMIFS(#REF!,#REF!,'итог '!$C33,#REF!,'итог '!$D33))</f>
        <v>#REF!</v>
      </c>
      <c r="AJ33" s="8" t="e">
        <f>IF($D33=0,SUMIFS(#REF!,#REF!,'итог '!$C33),SUMIFS(#REF!,#REF!,'итог '!$C33,#REF!,'итог '!$D33))</f>
        <v>#REF!</v>
      </c>
      <c r="AK33" s="8" t="e">
        <f>IF($D33=0,SUMIFS(#REF!,#REF!,'итог '!$C33),SUMIFS(#REF!,#REF!,'итог '!$C33,#REF!,'итог '!$D33))</f>
        <v>#REF!</v>
      </c>
      <c r="AL33" s="8" t="e">
        <f>IF($D33=0,SUMIFS(#REF!,#REF!,'итог '!$C33),SUMIFS(#REF!,#REF!,'итог '!$C33,#REF!,'итог '!$D33))</f>
        <v>#REF!</v>
      </c>
      <c r="AM33" s="8" t="e">
        <f>IF($D33=0,SUMIFS(#REF!,#REF!,'итог '!$C33),SUMIFS(#REF!,#REF!,'итог '!$C33,#REF!,'итог '!$D33))</f>
        <v>#REF!</v>
      </c>
    </row>
    <row r="34" spans="1:39" x14ac:dyDescent="0.25">
      <c r="A34" s="116" t="s">
        <v>35</v>
      </c>
      <c r="B34" s="116" t="s">
        <v>144</v>
      </c>
      <c r="C34" s="117" t="s">
        <v>57</v>
      </c>
      <c r="D34" s="118">
        <v>32</v>
      </c>
      <c r="E34" s="18" t="e">
        <f>IF(D34=0,SUMIFS(#REF!,#REF!,'итог '!C34),SUMIFS(#REF!,#REF!,'итог '!C34,#REF!,'итог '!D34))/12</f>
        <v>#REF!</v>
      </c>
      <c r="F34" s="6">
        <v>108804947</v>
      </c>
      <c r="G34" s="6">
        <v>5285869</v>
      </c>
      <c r="H34" s="172"/>
      <c r="I34" s="172"/>
      <c r="J34" s="7" t="e">
        <f>IF(D34=0,SUMIFS(#REF!,#REF!,'итог '!C34),SUMIFS(#REF!,#REF!,'итог '!C34,#REF!,'итог '!D34))/12/'итог '!E34</f>
        <v>#REF!</v>
      </c>
      <c r="K34" s="7">
        <v>3.22</v>
      </c>
      <c r="L34" s="20" t="e">
        <f t="shared" si="0"/>
        <v>#REF!</v>
      </c>
      <c r="M34" s="20" t="e">
        <f t="shared" si="8"/>
        <v>#REF!</v>
      </c>
      <c r="N34" s="121">
        <v>53600</v>
      </c>
      <c r="O34" s="124">
        <v>188.84</v>
      </c>
      <c r="P34" s="124">
        <v>193.27</v>
      </c>
      <c r="Q34" s="8">
        <v>191.89000000000001</v>
      </c>
      <c r="R34" s="8">
        <v>188.84</v>
      </c>
      <c r="S34" s="8">
        <v>1.07</v>
      </c>
      <c r="T34" s="25" t="e">
        <f t="shared" si="2"/>
        <v>#REF!</v>
      </c>
      <c r="U34" s="25" t="e">
        <f t="shared" si="3"/>
        <v>#REF!</v>
      </c>
      <c r="V34" s="19" t="e">
        <f>AK34</f>
        <v>#REF!</v>
      </c>
      <c r="W34" s="19">
        <f t="shared" si="9"/>
        <v>114090816</v>
      </c>
      <c r="X34" s="19">
        <f t="shared" si="4"/>
        <v>108804947</v>
      </c>
      <c r="Y34" s="19">
        <f t="shared" si="5"/>
        <v>5285869</v>
      </c>
      <c r="Z34" s="19">
        <f t="shared" si="6"/>
        <v>2176098.94</v>
      </c>
      <c r="AA34" s="9"/>
      <c r="AB34" s="8" t="e">
        <f>IF($D34=0,SUMIFS(#REF!,#REF!,'итог '!$C34),SUMIFS(#REF!,#REF!,'итог '!$C34,#REF!,'итог '!$D34))</f>
        <v>#REF!</v>
      </c>
      <c r="AC34" s="8" t="e">
        <f>IF($D34=0,SUMIFS(#REF!,#REF!,'итог '!$C34),SUMIFS(#REF!,#REF!,'итог '!$C34,#REF!,'итог '!$D34))</f>
        <v>#REF!</v>
      </c>
      <c r="AD34" s="8" t="e">
        <f>IF($D34=0,SUMIFS(#REF!,#REF!,'итог '!$C34),SUMIFS(#REF!,#REF!,'итог '!$C34,#REF!,'итог '!$D34))</f>
        <v>#REF!</v>
      </c>
      <c r="AE34" s="8" t="e">
        <f>IF($D34=0,SUMIFS(#REF!,#REF!,'итог '!$C34),SUMIFS(#REF!,#REF!,'итог '!$C34,#REF!,'итог '!$D34))</f>
        <v>#REF!</v>
      </c>
      <c r="AF34" s="8" t="e">
        <f>IF($D34=0,SUMIFS(#REF!,#REF!,'итог '!$C34),SUMIFS(#REF!,#REF!,'итог '!$C34,#REF!,'итог '!$D34))</f>
        <v>#REF!</v>
      </c>
      <c r="AG34" s="8" t="e">
        <f>IF($D34=0,SUMIFS(#REF!,#REF!,'итог '!$C34),SUMIFS(#REF!,#REF!,'итог '!$C34,#REF!,'итог '!$D34))</f>
        <v>#REF!</v>
      </c>
      <c r="AH34" s="8" t="e">
        <f>IF($D34=0,SUMIFS(#REF!,#REF!,'итог '!$C34),SUMIFS(#REF!,#REF!,'итог '!$C34,#REF!,'итог '!$D34))</f>
        <v>#REF!</v>
      </c>
      <c r="AI34" s="8" t="e">
        <f>IF($D34=0,SUMIFS(#REF!,#REF!,'итог '!$C34),SUMIFS(#REF!,#REF!,'итог '!$C34,#REF!,'итог '!$D34))</f>
        <v>#REF!</v>
      </c>
      <c r="AJ34" s="8" t="e">
        <f>IF($D34=0,SUMIFS(#REF!,#REF!,'итог '!$C34),SUMIFS(#REF!,#REF!,'итог '!$C34,#REF!,'итог '!$D34))</f>
        <v>#REF!</v>
      </c>
      <c r="AK34" s="8" t="e">
        <f>IF($D34=0,SUMIFS(#REF!,#REF!,'итог '!$C34),SUMIFS(#REF!,#REF!,'итог '!$C34,#REF!,'итог '!$D34))</f>
        <v>#REF!</v>
      </c>
      <c r="AL34" s="8" t="e">
        <f>IF($D34=0,SUMIFS(#REF!,#REF!,'итог '!$C34),SUMIFS(#REF!,#REF!,'итог '!$C34,#REF!,'итог '!$D34))</f>
        <v>#REF!</v>
      </c>
      <c r="AM34" s="8" t="e">
        <f>IF($D34=0,SUMIFS(#REF!,#REF!,'итог '!$C34),SUMIFS(#REF!,#REF!,'итог '!$C34,#REF!,'итог '!$D34))</f>
        <v>#REF!</v>
      </c>
    </row>
    <row r="35" spans="1:39" x14ac:dyDescent="0.25">
      <c r="A35" s="116" t="s">
        <v>36</v>
      </c>
      <c r="B35" s="116" t="s">
        <v>144</v>
      </c>
      <c r="C35" s="117" t="s">
        <v>56</v>
      </c>
      <c r="D35" s="118">
        <v>865</v>
      </c>
      <c r="E35" s="18" t="e">
        <f>IF(D35=0,SUMIFS(#REF!,#REF!,'итог '!C35),SUMIFS(#REF!,#REF!,'итог '!C35,#REF!,'итог '!D35))/12</f>
        <v>#REF!</v>
      </c>
      <c r="F35" s="6">
        <v>2524828</v>
      </c>
      <c r="G35" s="6">
        <v>202316</v>
      </c>
      <c r="H35" s="172"/>
      <c r="I35" s="172"/>
      <c r="J35" s="7" t="e">
        <f>IF(D35=0,SUMIFS(#REF!,#REF!,'итог '!C35),SUMIFS(#REF!,#REF!,'итог '!C35,#REF!,'итог '!D35))/12/'итог '!E35</f>
        <v>#REF!</v>
      </c>
      <c r="K35" s="7">
        <v>3.22</v>
      </c>
      <c r="L35" s="20" t="e">
        <f t="shared" si="0"/>
        <v>#REF!</v>
      </c>
      <c r="M35" s="20" t="e">
        <f t="shared" si="8"/>
        <v>#REF!</v>
      </c>
      <c r="N35" s="121">
        <v>77300</v>
      </c>
      <c r="O35" s="124">
        <v>3.18</v>
      </c>
      <c r="P35" s="124">
        <v>3.25</v>
      </c>
      <c r="Q35" s="8">
        <v>3.0700000000000003</v>
      </c>
      <c r="R35" s="8">
        <v>3.18</v>
      </c>
      <c r="S35" s="8">
        <v>1.07</v>
      </c>
      <c r="T35" s="25" t="e">
        <f t="shared" si="2"/>
        <v>#REF!</v>
      </c>
      <c r="U35" s="25" t="e">
        <f t="shared" si="3"/>
        <v>#REF!</v>
      </c>
      <c r="V35" s="19" t="e">
        <f>AH35</f>
        <v>#REF!</v>
      </c>
      <c r="W35" s="19">
        <f t="shared" si="9"/>
        <v>2727144</v>
      </c>
      <c r="X35" s="19">
        <f t="shared" si="4"/>
        <v>2524828</v>
      </c>
      <c r="Y35" s="19">
        <f t="shared" si="5"/>
        <v>202316</v>
      </c>
      <c r="Z35" s="19">
        <f t="shared" si="6"/>
        <v>50496.56</v>
      </c>
      <c r="AA35" s="9"/>
      <c r="AB35" s="8" t="e">
        <f>IF($D35=0,SUMIFS(#REF!,#REF!,'итог '!$C35),SUMIFS(#REF!,#REF!,'итог '!$C35,#REF!,'итог '!$D35))</f>
        <v>#REF!</v>
      </c>
      <c r="AC35" s="8" t="e">
        <f>IF($D35=0,SUMIFS(#REF!,#REF!,'итог '!$C35),SUMIFS(#REF!,#REF!,'итог '!$C35,#REF!,'итог '!$D35))</f>
        <v>#REF!</v>
      </c>
      <c r="AD35" s="8" t="e">
        <f>IF($D35=0,SUMIFS(#REF!,#REF!,'итог '!$C35),SUMIFS(#REF!,#REF!,'итог '!$C35,#REF!,'итог '!$D35))</f>
        <v>#REF!</v>
      </c>
      <c r="AE35" s="8" t="e">
        <f>IF($D35=0,SUMIFS(#REF!,#REF!,'итог '!$C35),SUMIFS(#REF!,#REF!,'итог '!$C35,#REF!,'итог '!$D35))</f>
        <v>#REF!</v>
      </c>
      <c r="AF35" s="8" t="e">
        <f>IF($D35=0,SUMIFS(#REF!,#REF!,'итог '!$C35),SUMIFS(#REF!,#REF!,'итог '!$C35,#REF!,'итог '!$D35))</f>
        <v>#REF!</v>
      </c>
      <c r="AG35" s="8" t="e">
        <f>IF($D35=0,SUMIFS(#REF!,#REF!,'итог '!$C35),SUMIFS(#REF!,#REF!,'итог '!$C35,#REF!,'итог '!$D35))</f>
        <v>#REF!</v>
      </c>
      <c r="AH35" s="8" t="e">
        <f>IF($D35=0,SUMIFS(#REF!,#REF!,'итог '!$C35),SUMIFS(#REF!,#REF!,'итог '!$C35,#REF!,'итог '!$D35))</f>
        <v>#REF!</v>
      </c>
      <c r="AI35" s="8" t="e">
        <f>IF($D35=0,SUMIFS(#REF!,#REF!,'итог '!$C35),SUMIFS(#REF!,#REF!,'итог '!$C35,#REF!,'итог '!$D35))</f>
        <v>#REF!</v>
      </c>
      <c r="AJ35" s="8" t="e">
        <f>IF($D35=0,SUMIFS(#REF!,#REF!,'итог '!$C35),SUMIFS(#REF!,#REF!,'итог '!$C35,#REF!,'итог '!$D35))</f>
        <v>#REF!</v>
      </c>
      <c r="AK35" s="8" t="e">
        <f>IF($D35=0,SUMIFS(#REF!,#REF!,'итог '!$C35),SUMIFS(#REF!,#REF!,'итог '!$C35,#REF!,'итог '!$D35))</f>
        <v>#REF!</v>
      </c>
      <c r="AL35" s="8" t="e">
        <f>IF($D35=0,SUMIFS(#REF!,#REF!,'итог '!$C35),SUMIFS(#REF!,#REF!,'итог '!$C35,#REF!,'итог '!$D35))</f>
        <v>#REF!</v>
      </c>
      <c r="AM35" s="8" t="e">
        <f>IF($D35=0,SUMIFS(#REF!,#REF!,'итог '!$C35),SUMIFS(#REF!,#REF!,'итог '!$C35,#REF!,'итог '!$D35))</f>
        <v>#REF!</v>
      </c>
    </row>
    <row r="36" spans="1:39" x14ac:dyDescent="0.25">
      <c r="A36" s="116" t="s">
        <v>37</v>
      </c>
      <c r="B36" s="116" t="s">
        <v>144</v>
      </c>
      <c r="C36" s="117" t="s">
        <v>57</v>
      </c>
      <c r="D36" s="118">
        <v>116</v>
      </c>
      <c r="E36" s="18" t="e">
        <f>IF(D36=0,SUMIFS(#REF!,#REF!,'итог '!C36),SUMIFS(#REF!,#REF!,'итог '!C36,#REF!,'итог '!D36))/12</f>
        <v>#REF!</v>
      </c>
      <c r="F36" s="6">
        <v>20382052</v>
      </c>
      <c r="G36" s="6">
        <v>1385708</v>
      </c>
      <c r="H36" s="173"/>
      <c r="I36" s="173"/>
      <c r="J36" s="7" t="e">
        <f>IF(D36=0,SUMIFS(#REF!,#REF!,'итог '!C36),SUMIFS(#REF!,#REF!,'итог '!C36,#REF!,'итог '!D36))/12/'итог '!E36</f>
        <v>#REF!</v>
      </c>
      <c r="K36" s="7">
        <v>3.22</v>
      </c>
      <c r="L36" s="20" t="e">
        <f t="shared" ref="L36:L53" si="10">E36</f>
        <v>#REF!</v>
      </c>
      <c r="M36" s="20" t="e">
        <f t="shared" si="8"/>
        <v>#REF!</v>
      </c>
      <c r="N36" s="121">
        <v>61700</v>
      </c>
      <c r="O36" s="124">
        <v>31.37</v>
      </c>
      <c r="P36" s="124">
        <v>31.74</v>
      </c>
      <c r="Q36" s="8">
        <v>31.600000000000005</v>
      </c>
      <c r="R36" s="8">
        <v>31.37</v>
      </c>
      <c r="S36" s="8">
        <v>1.07</v>
      </c>
      <c r="T36" s="25" t="e">
        <f t="shared" ref="T36:T54" si="11">Q36*K36/(L36*J36)*(12/11)</f>
        <v>#REF!</v>
      </c>
      <c r="U36" s="25" t="e">
        <f t="shared" ref="U36:U54" si="12">R36*K36/(L36*J36)*(12/11)</f>
        <v>#REF!</v>
      </c>
      <c r="V36" s="19" t="e">
        <f>AH36</f>
        <v>#REF!</v>
      </c>
      <c r="W36" s="19">
        <f t="shared" si="9"/>
        <v>21767760</v>
      </c>
      <c r="X36" s="19">
        <f t="shared" ref="X36:X53" si="13">F36</f>
        <v>20382052</v>
      </c>
      <c r="Y36" s="19">
        <f t="shared" si="5"/>
        <v>1385708</v>
      </c>
      <c r="Z36" s="19">
        <f t="shared" si="6"/>
        <v>407641.04000000004</v>
      </c>
      <c r="AA36" s="9"/>
      <c r="AB36" s="8" t="e">
        <f>IF($D36=0,SUMIFS(#REF!,#REF!,'итог '!$C36),SUMIFS(#REF!,#REF!,'итог '!$C36,#REF!,'итог '!$D36))</f>
        <v>#REF!</v>
      </c>
      <c r="AC36" s="8" t="e">
        <f>IF($D36=0,SUMIFS(#REF!,#REF!,'итог '!$C36),SUMIFS(#REF!,#REF!,'итог '!$C36,#REF!,'итог '!$D36))</f>
        <v>#REF!</v>
      </c>
      <c r="AD36" s="8" t="e">
        <f>IF($D36=0,SUMIFS(#REF!,#REF!,'итог '!$C36),SUMIFS(#REF!,#REF!,'итог '!$C36,#REF!,'итог '!$D36))</f>
        <v>#REF!</v>
      </c>
      <c r="AE36" s="8" t="e">
        <f>IF($D36=0,SUMIFS(#REF!,#REF!,'итог '!$C36),SUMIFS(#REF!,#REF!,'итог '!$C36,#REF!,'итог '!$D36))</f>
        <v>#REF!</v>
      </c>
      <c r="AF36" s="8" t="e">
        <f>IF($D36=0,SUMIFS(#REF!,#REF!,'итог '!$C36),SUMIFS(#REF!,#REF!,'итог '!$C36,#REF!,'итог '!$D36))</f>
        <v>#REF!</v>
      </c>
      <c r="AG36" s="8" t="e">
        <f>IF($D36=0,SUMIFS(#REF!,#REF!,'итог '!$C36),SUMIFS(#REF!,#REF!,'итог '!$C36,#REF!,'итог '!$D36))</f>
        <v>#REF!</v>
      </c>
      <c r="AH36" s="8" t="e">
        <f>IF($D36=0,SUMIFS(#REF!,#REF!,'итог '!$C36),SUMIFS(#REF!,#REF!,'итог '!$C36,#REF!,'итог '!$D36))</f>
        <v>#REF!</v>
      </c>
      <c r="AI36" s="8" t="e">
        <f>IF($D36=0,SUMIFS(#REF!,#REF!,'итог '!$C36),SUMIFS(#REF!,#REF!,'итог '!$C36,#REF!,'итог '!$D36))</f>
        <v>#REF!</v>
      </c>
      <c r="AJ36" s="8" t="e">
        <f>IF($D36=0,SUMIFS(#REF!,#REF!,'итог '!$C36),SUMIFS(#REF!,#REF!,'итог '!$C36,#REF!,'итог '!$D36))</f>
        <v>#REF!</v>
      </c>
      <c r="AK36" s="8" t="e">
        <f>IF($D36=0,SUMIFS(#REF!,#REF!,'итог '!$C36),SUMIFS(#REF!,#REF!,'итог '!$C36,#REF!,'итог '!$D36))</f>
        <v>#REF!</v>
      </c>
      <c r="AL36" s="8" t="e">
        <f>IF($D36=0,SUMIFS(#REF!,#REF!,'итог '!$C36),SUMIFS(#REF!,#REF!,'итог '!$C36,#REF!,'итог '!$D36))</f>
        <v>#REF!</v>
      </c>
      <c r="AM36" s="8" t="e">
        <f>IF($D36=0,SUMIFS(#REF!,#REF!,'итог '!$C36),SUMIFS(#REF!,#REF!,'итог '!$C36,#REF!,'итог '!$D36))</f>
        <v>#REF!</v>
      </c>
    </row>
    <row r="37" spans="1:39" ht="25.5" x14ac:dyDescent="0.25">
      <c r="A37" s="116" t="s">
        <v>38</v>
      </c>
      <c r="B37" s="116" t="s">
        <v>145</v>
      </c>
      <c r="C37" s="118" t="s">
        <v>58</v>
      </c>
      <c r="D37" s="118"/>
      <c r="E37" s="18" t="e">
        <f>IF(D37=0,SUMIFS(#REF!,#REF!,'итог '!C37),SUMIFS(#REF!,#REF!,'итог '!C37,#REF!,'итог '!D37))/12</f>
        <v>#REF!</v>
      </c>
      <c r="F37" s="6">
        <v>51293759</v>
      </c>
      <c r="G37" s="6">
        <v>77921</v>
      </c>
      <c r="H37" s="115" t="s">
        <v>247</v>
      </c>
      <c r="I37" s="115" t="s">
        <v>248</v>
      </c>
      <c r="J37" s="7" t="e">
        <f>IF(D37=0,SUMIFS(#REF!,#REF!,'итог '!C37),SUMIFS(#REF!,#REF!,'итог '!C37,#REF!,'итог '!D37))/12/'итог '!E37</f>
        <v>#REF!</v>
      </c>
      <c r="K37" s="7">
        <v>3.22</v>
      </c>
      <c r="L37" s="20" t="e">
        <f t="shared" si="10"/>
        <v>#REF!</v>
      </c>
      <c r="M37" s="20" t="e">
        <f t="shared" si="8"/>
        <v>#REF!</v>
      </c>
      <c r="N37" s="121">
        <v>54000</v>
      </c>
      <c r="O37" s="124">
        <v>83.96</v>
      </c>
      <c r="P37" s="124">
        <v>73.290000000000006</v>
      </c>
      <c r="Q37" s="8">
        <v>88.589999999999989</v>
      </c>
      <c r="R37" s="8">
        <v>83.96</v>
      </c>
      <c r="S37" s="8">
        <v>1</v>
      </c>
      <c r="T37" s="25" t="e">
        <f t="shared" si="11"/>
        <v>#REF!</v>
      </c>
      <c r="U37" s="25" t="e">
        <f t="shared" si="12"/>
        <v>#REF!</v>
      </c>
      <c r="V37" s="19" t="e">
        <f>AK37</f>
        <v>#REF!</v>
      </c>
      <c r="W37" s="19">
        <f t="shared" si="9"/>
        <v>51371680</v>
      </c>
      <c r="X37" s="19">
        <f t="shared" si="13"/>
        <v>51293759</v>
      </c>
      <c r="Y37" s="19">
        <f t="shared" si="5"/>
        <v>77921</v>
      </c>
      <c r="Z37" s="19">
        <f t="shared" si="6"/>
        <v>1025875.18</v>
      </c>
      <c r="AA37" s="9">
        <v>984312.00000000536</v>
      </c>
      <c r="AB37" s="8" t="e">
        <f>IF($D37=0,SUMIFS(#REF!,#REF!,'итог '!$C37),SUMIFS(#REF!,#REF!,'итог '!$C37,#REF!,'итог '!$D37))</f>
        <v>#REF!</v>
      </c>
      <c r="AC37" s="8" t="e">
        <f>IF($D37=0,SUMIFS(#REF!,#REF!,'итог '!$C37),SUMIFS(#REF!,#REF!,'итог '!$C37,#REF!,'итог '!$D37))</f>
        <v>#REF!</v>
      </c>
      <c r="AD37" s="8" t="e">
        <f>IF($D37=0,SUMIFS(#REF!,#REF!,'итог '!$C37),SUMIFS(#REF!,#REF!,'итог '!$C37,#REF!,'итог '!$D37))</f>
        <v>#REF!</v>
      </c>
      <c r="AE37" s="8" t="e">
        <f>IF($D37=0,SUMIFS(#REF!,#REF!,'итог '!$C37),SUMIFS(#REF!,#REF!,'итог '!$C37,#REF!,'итог '!$D37))</f>
        <v>#REF!</v>
      </c>
      <c r="AF37" s="8" t="e">
        <f>IF($D37=0,SUMIFS(#REF!,#REF!,'итог '!$C37),SUMIFS(#REF!,#REF!,'итог '!$C37,#REF!,'итог '!$D37))</f>
        <v>#REF!</v>
      </c>
      <c r="AG37" s="8" t="e">
        <f>IF($D37=0,SUMIFS(#REF!,#REF!,'итог '!$C37),SUMIFS(#REF!,#REF!,'итог '!$C37,#REF!,'итог '!$D37))</f>
        <v>#REF!</v>
      </c>
      <c r="AH37" s="8" t="e">
        <f>IF($D37=0,SUMIFS(#REF!,#REF!,'итог '!$C37),SUMIFS(#REF!,#REF!,'итог '!$C37,#REF!,'итог '!$D37))</f>
        <v>#REF!</v>
      </c>
      <c r="AI37" s="8" t="e">
        <f>IF($D37=0,SUMIFS(#REF!,#REF!,'итог '!$C37),SUMIFS(#REF!,#REF!,'итог '!$C37,#REF!,'итог '!$D37))</f>
        <v>#REF!</v>
      </c>
      <c r="AJ37" s="8" t="e">
        <f>IF($D37=0,SUMIFS(#REF!,#REF!,'итог '!$C37),SUMIFS(#REF!,#REF!,'итог '!$C37,#REF!,'итог '!$D37))</f>
        <v>#REF!</v>
      </c>
      <c r="AK37" s="8" t="e">
        <f>IF($D37=0,SUMIFS(#REF!,#REF!,'итог '!$C37),SUMIFS(#REF!,#REF!,'итог '!$C37,#REF!,'итог '!$D37))</f>
        <v>#REF!</v>
      </c>
      <c r="AL37" s="8" t="e">
        <f>IF($D37=0,SUMIFS(#REF!,#REF!,'итог '!$C37),SUMIFS(#REF!,#REF!,'итог '!$C37,#REF!,'итог '!$D37))</f>
        <v>#REF!</v>
      </c>
      <c r="AM37" s="8" t="e">
        <f>IF($D37=0,SUMIFS(#REF!,#REF!,'итог '!$C37),SUMIFS(#REF!,#REF!,'итог '!$C37,#REF!,'итог '!$D37))</f>
        <v>#REF!</v>
      </c>
    </row>
    <row r="38" spans="1:39" x14ac:dyDescent="0.25">
      <c r="A38" s="116" t="s">
        <v>92</v>
      </c>
      <c r="B38" s="116" t="s">
        <v>146</v>
      </c>
      <c r="C38" s="118" t="s">
        <v>59</v>
      </c>
      <c r="D38" s="118"/>
      <c r="E38" s="18" t="e">
        <f>IF(D38=0,SUMIFS(#REF!,#REF!,'итог '!C38),SUMIFS(#REF!,#REF!,'итог '!C38,#REF!,'итог '!D38))/12</f>
        <v>#REF!</v>
      </c>
      <c r="F38" s="6">
        <v>154152275</v>
      </c>
      <c r="G38" s="6">
        <v>543469</v>
      </c>
      <c r="H38" s="115" t="s">
        <v>249</v>
      </c>
      <c r="I38" s="115" t="s">
        <v>250</v>
      </c>
      <c r="J38" s="7" t="e">
        <f>IF(D38=0,SUMIFS(#REF!,#REF!,'итог '!C38),SUMIFS(#REF!,#REF!,'итог '!C38,#REF!,'итог '!D38))/12/'итог '!E38</f>
        <v>#REF!</v>
      </c>
      <c r="K38" s="7">
        <v>3.22</v>
      </c>
      <c r="L38" s="20" t="e">
        <f t="shared" si="10"/>
        <v>#REF!</v>
      </c>
      <c r="M38" s="20" t="e">
        <f t="shared" si="8"/>
        <v>#REF!</v>
      </c>
      <c r="N38" s="121">
        <v>52200</v>
      </c>
      <c r="O38" s="124">
        <v>258.39999999999998</v>
      </c>
      <c r="P38" s="124">
        <v>217.45</v>
      </c>
      <c r="Q38" s="8">
        <v>261.71000000000004</v>
      </c>
      <c r="R38" s="8">
        <v>258.39999999999998</v>
      </c>
      <c r="S38" s="8">
        <v>1</v>
      </c>
      <c r="T38" s="25" t="e">
        <f t="shared" si="11"/>
        <v>#REF!</v>
      </c>
      <c r="U38" s="25" t="e">
        <f t="shared" si="12"/>
        <v>#REF!</v>
      </c>
      <c r="V38" s="19" t="e">
        <f>AJ38</f>
        <v>#REF!</v>
      </c>
      <c r="W38" s="19">
        <f t="shared" si="9"/>
        <v>154695744</v>
      </c>
      <c r="X38" s="19">
        <f t="shared" si="13"/>
        <v>154152275</v>
      </c>
      <c r="Y38" s="19">
        <f t="shared" si="5"/>
        <v>543469</v>
      </c>
      <c r="Z38" s="19">
        <f t="shared" si="6"/>
        <v>3083045.5</v>
      </c>
      <c r="AA38" s="9"/>
      <c r="AB38" s="8" t="e">
        <f>IF($D38=0,SUMIFS(#REF!,#REF!,'итог '!$C38),SUMIFS(#REF!,#REF!,'итог '!$C38,#REF!,'итог '!$D38))</f>
        <v>#REF!</v>
      </c>
      <c r="AC38" s="8" t="e">
        <f>IF($D38=0,SUMIFS(#REF!,#REF!,'итог '!$C38),SUMIFS(#REF!,#REF!,'итог '!$C38,#REF!,'итог '!$D38))</f>
        <v>#REF!</v>
      </c>
      <c r="AD38" s="8" t="e">
        <f>IF($D38=0,SUMIFS(#REF!,#REF!,'итог '!$C38),SUMIFS(#REF!,#REF!,'итог '!$C38,#REF!,'итог '!$D38))</f>
        <v>#REF!</v>
      </c>
      <c r="AE38" s="8" t="e">
        <f>IF($D38=0,SUMIFS(#REF!,#REF!,'итог '!$C38),SUMIFS(#REF!,#REF!,'итог '!$C38,#REF!,'итог '!$D38))</f>
        <v>#REF!</v>
      </c>
      <c r="AF38" s="8" t="e">
        <f>IF($D38=0,SUMIFS(#REF!,#REF!,'итог '!$C38),SUMIFS(#REF!,#REF!,'итог '!$C38,#REF!,'итог '!$D38))</f>
        <v>#REF!</v>
      </c>
      <c r="AG38" s="8" t="e">
        <f>IF($D38=0,SUMIFS(#REF!,#REF!,'итог '!$C38),SUMIFS(#REF!,#REF!,'итог '!$C38,#REF!,'итог '!$D38))</f>
        <v>#REF!</v>
      </c>
      <c r="AH38" s="8" t="e">
        <f>IF($D38=0,SUMIFS(#REF!,#REF!,'итог '!$C38),SUMIFS(#REF!,#REF!,'итог '!$C38,#REF!,'итог '!$D38))</f>
        <v>#REF!</v>
      </c>
      <c r="AI38" s="8" t="e">
        <f>IF($D38=0,SUMIFS(#REF!,#REF!,'итог '!$C38),SUMIFS(#REF!,#REF!,'итог '!$C38,#REF!,'итог '!$D38))</f>
        <v>#REF!</v>
      </c>
      <c r="AJ38" s="8" t="e">
        <f>IF($D38=0,SUMIFS(#REF!,#REF!,'итог '!$C38),SUMIFS(#REF!,#REF!,'итог '!$C38,#REF!,'итог '!$D38))</f>
        <v>#REF!</v>
      </c>
      <c r="AK38" s="8" t="e">
        <f>IF($D38=0,SUMIFS(#REF!,#REF!,'итог '!$C38),SUMIFS(#REF!,#REF!,'итог '!$C38,#REF!,'итог '!$D38))</f>
        <v>#REF!</v>
      </c>
      <c r="AL38" s="8" t="e">
        <f>IF($D38=0,SUMIFS(#REF!,#REF!,'итог '!$C38),SUMIFS(#REF!,#REF!,'итог '!$C38,#REF!,'итог '!$D38))</f>
        <v>#REF!</v>
      </c>
      <c r="AM38" s="8" t="e">
        <f>IF($D38=0,SUMIFS(#REF!,#REF!,'итог '!$C38),SUMIFS(#REF!,#REF!,'итог '!$C38,#REF!,'итог '!$D38))</f>
        <v>#REF!</v>
      </c>
    </row>
    <row r="39" spans="1:39" ht="25.5" x14ac:dyDescent="0.25">
      <c r="A39" s="116" t="s">
        <v>93</v>
      </c>
      <c r="B39" s="116" t="s">
        <v>147</v>
      </c>
      <c r="C39" s="118" t="s">
        <v>61</v>
      </c>
      <c r="D39" s="118" t="s">
        <v>94</v>
      </c>
      <c r="E39" s="18" t="e">
        <f>IF(D39=0,SUMIFS(#REF!,#REF!,'итог '!C39),SUMIFS(#REF!,#REF!,'итог '!C39,#REF!,'итог '!D39))/12</f>
        <v>#REF!</v>
      </c>
      <c r="F39" s="6">
        <v>39564284</v>
      </c>
      <c r="G39" s="6">
        <v>4566292</v>
      </c>
      <c r="H39" s="115" t="s">
        <v>251</v>
      </c>
      <c r="I39" s="115" t="s">
        <v>252</v>
      </c>
      <c r="J39" s="7" t="e">
        <f>IF(D39=0,SUMIFS(#REF!,#REF!,'итог '!C39),SUMIFS(#REF!,#REF!,'итог '!C39,#REF!,'итог '!D39))/12/'итог '!E39</f>
        <v>#REF!</v>
      </c>
      <c r="K39" s="7">
        <v>3.6</v>
      </c>
      <c r="L39" s="20" t="e">
        <f t="shared" si="10"/>
        <v>#REF!</v>
      </c>
      <c r="M39" s="20" t="e">
        <f t="shared" si="8"/>
        <v>#REF!</v>
      </c>
      <c r="N39" s="121">
        <v>64700</v>
      </c>
      <c r="O39" s="124">
        <v>37.65</v>
      </c>
      <c r="P39" s="124">
        <v>56.19</v>
      </c>
      <c r="Q39" s="8">
        <v>63.15</v>
      </c>
      <c r="R39" s="8">
        <v>37.65</v>
      </c>
      <c r="S39" s="8">
        <v>1.07</v>
      </c>
      <c r="T39" s="25" t="e">
        <f t="shared" si="11"/>
        <v>#REF!</v>
      </c>
      <c r="U39" s="25" t="e">
        <f t="shared" si="12"/>
        <v>#REF!</v>
      </c>
      <c r="V39" s="19" t="e">
        <f>AJ39</f>
        <v>#REF!</v>
      </c>
      <c r="W39" s="19">
        <f t="shared" si="9"/>
        <v>44130576</v>
      </c>
      <c r="X39" s="19">
        <f t="shared" si="13"/>
        <v>39564284</v>
      </c>
      <c r="Y39" s="19">
        <f t="shared" si="5"/>
        <v>4566292</v>
      </c>
      <c r="Z39" s="19">
        <f t="shared" si="6"/>
        <v>791285.68</v>
      </c>
      <c r="AA39" s="9"/>
      <c r="AB39" s="8" t="e">
        <f>IF($D39=0,SUMIFS(#REF!,#REF!,'итог '!$C39),SUMIFS(#REF!,#REF!,'итог '!$C39,#REF!,'итог '!$D39))</f>
        <v>#REF!</v>
      </c>
      <c r="AC39" s="8" t="e">
        <f>IF($D39=0,SUMIFS(#REF!,#REF!,'итог '!$C39),SUMIFS(#REF!,#REF!,'итог '!$C39,#REF!,'итог '!$D39))</f>
        <v>#REF!</v>
      </c>
      <c r="AD39" s="8" t="e">
        <f>IF($D39=0,SUMIFS(#REF!,#REF!,'итог '!$C39),SUMIFS(#REF!,#REF!,'итог '!$C39,#REF!,'итог '!$D39))</f>
        <v>#REF!</v>
      </c>
      <c r="AE39" s="8" t="e">
        <f>IF($D39=0,SUMIFS(#REF!,#REF!,'итог '!$C39),SUMIFS(#REF!,#REF!,'итог '!$C39,#REF!,'итог '!$D39))</f>
        <v>#REF!</v>
      </c>
      <c r="AF39" s="8" t="e">
        <f>IF($D39=0,SUMIFS(#REF!,#REF!,'итог '!$C39),SUMIFS(#REF!,#REF!,'итог '!$C39,#REF!,'итог '!$D39))</f>
        <v>#REF!</v>
      </c>
      <c r="AG39" s="8" t="e">
        <f>IF($D39=0,SUMIFS(#REF!,#REF!,'итог '!$C39),SUMIFS(#REF!,#REF!,'итог '!$C39,#REF!,'итог '!$D39))</f>
        <v>#REF!</v>
      </c>
      <c r="AH39" s="8" t="e">
        <f>IF($D39=0,SUMIFS(#REF!,#REF!,'итог '!$C39),SUMIFS(#REF!,#REF!,'итог '!$C39,#REF!,'итог '!$D39))</f>
        <v>#REF!</v>
      </c>
      <c r="AI39" s="8" t="e">
        <f>IF($D39=0,SUMIFS(#REF!,#REF!,'итог '!$C39),SUMIFS(#REF!,#REF!,'итог '!$C39,#REF!,'итог '!$D39))</f>
        <v>#REF!</v>
      </c>
      <c r="AJ39" s="8" t="e">
        <f>IF($D39=0,SUMIFS(#REF!,#REF!,'итог '!$C39),SUMIFS(#REF!,#REF!,'итог '!$C39,#REF!,'итог '!$D39))</f>
        <v>#REF!</v>
      </c>
      <c r="AK39" s="8" t="e">
        <f>IF($D39=0,SUMIFS(#REF!,#REF!,'итог '!$C39),SUMIFS(#REF!,#REF!,'итог '!$C39,#REF!,'итог '!$D39))</f>
        <v>#REF!</v>
      </c>
      <c r="AL39" s="8" t="e">
        <f>IF($D39=0,SUMIFS(#REF!,#REF!,'итог '!$C39),SUMIFS(#REF!,#REF!,'итог '!$C39,#REF!,'итог '!$D39))</f>
        <v>#REF!</v>
      </c>
      <c r="AM39" s="8" t="e">
        <f>IF($D39=0,SUMIFS(#REF!,#REF!,'итог '!$C39),SUMIFS(#REF!,#REF!,'итог '!$C39,#REF!,'итог '!$D39))</f>
        <v>#REF!</v>
      </c>
    </row>
    <row r="40" spans="1:39" ht="25.5" x14ac:dyDescent="0.25">
      <c r="A40" s="116" t="s">
        <v>88</v>
      </c>
      <c r="B40" s="116" t="s">
        <v>147</v>
      </c>
      <c r="C40" s="118" t="s">
        <v>61</v>
      </c>
      <c r="D40" s="118" t="s">
        <v>95</v>
      </c>
      <c r="E40" s="18" t="e">
        <f>IF(D40=0,SUMIFS(#REF!,#REF!,'итог '!C40),SUMIFS(#REF!,#REF!,'итог '!C40,#REF!,'итог '!D40))/12</f>
        <v>#REF!</v>
      </c>
      <c r="F40" s="6">
        <v>27585047</v>
      </c>
      <c r="G40" s="6">
        <v>1125817</v>
      </c>
      <c r="H40" s="115" t="s">
        <v>251</v>
      </c>
      <c r="I40" s="115" t="s">
        <v>252</v>
      </c>
      <c r="J40" s="7" t="e">
        <f>IF(D40=0,SUMIFS(#REF!,#REF!,'итог '!C40),SUMIFS(#REF!,#REF!,'итог '!C40,#REF!,'итог '!D40))/12/'итог '!E40</f>
        <v>#REF!</v>
      </c>
      <c r="K40" s="7">
        <v>3.22</v>
      </c>
      <c r="L40" s="20" t="e">
        <f t="shared" si="10"/>
        <v>#REF!</v>
      </c>
      <c r="M40" s="20" t="e">
        <f t="shared" si="8"/>
        <v>#REF!</v>
      </c>
      <c r="N40" s="121">
        <v>62600</v>
      </c>
      <c r="O40" s="124">
        <v>31.22</v>
      </c>
      <c r="P40" s="124">
        <v>28.02</v>
      </c>
      <c r="Q40" s="8">
        <v>43.12</v>
      </c>
      <c r="R40" s="8">
        <v>31.22</v>
      </c>
      <c r="S40" s="8">
        <v>1</v>
      </c>
      <c r="T40" s="25" t="e">
        <f t="shared" si="11"/>
        <v>#REF!</v>
      </c>
      <c r="U40" s="25" t="e">
        <f t="shared" si="12"/>
        <v>#REF!</v>
      </c>
      <c r="V40" s="19" t="e">
        <f>AJ40</f>
        <v>#REF!</v>
      </c>
      <c r="W40" s="19">
        <f t="shared" si="9"/>
        <v>28710864</v>
      </c>
      <c r="X40" s="19">
        <f t="shared" si="13"/>
        <v>27585047</v>
      </c>
      <c r="Y40" s="19">
        <f t="shared" si="5"/>
        <v>1125817</v>
      </c>
      <c r="Z40" s="19">
        <f t="shared" si="6"/>
        <v>551700.94000000006</v>
      </c>
      <c r="AA40" s="9"/>
      <c r="AB40" s="8" t="e">
        <f>IF($D40=0,SUMIFS(#REF!,#REF!,'итог '!$C40),SUMIFS(#REF!,#REF!,'итог '!$C40,#REF!,'итог '!$D40))</f>
        <v>#REF!</v>
      </c>
      <c r="AC40" s="8" t="e">
        <f>IF($D40=0,SUMIFS(#REF!,#REF!,'итог '!$C40),SUMIFS(#REF!,#REF!,'итог '!$C40,#REF!,'итог '!$D40))</f>
        <v>#REF!</v>
      </c>
      <c r="AD40" s="8" t="e">
        <f>IF($D40=0,SUMIFS(#REF!,#REF!,'итог '!$C40),SUMIFS(#REF!,#REF!,'итог '!$C40,#REF!,'итог '!$D40))</f>
        <v>#REF!</v>
      </c>
      <c r="AE40" s="8" t="e">
        <f>IF($D40=0,SUMIFS(#REF!,#REF!,'итог '!$C40),SUMIFS(#REF!,#REF!,'итог '!$C40,#REF!,'итог '!$D40))</f>
        <v>#REF!</v>
      </c>
      <c r="AF40" s="8" t="e">
        <f>IF($D40=0,SUMIFS(#REF!,#REF!,'итог '!$C40),SUMIFS(#REF!,#REF!,'итог '!$C40,#REF!,'итог '!$D40))</f>
        <v>#REF!</v>
      </c>
      <c r="AG40" s="8" t="e">
        <f>IF($D40=0,SUMIFS(#REF!,#REF!,'итог '!$C40),SUMIFS(#REF!,#REF!,'итог '!$C40,#REF!,'итог '!$D40))</f>
        <v>#REF!</v>
      </c>
      <c r="AH40" s="8" t="e">
        <f>IF($D40=0,SUMIFS(#REF!,#REF!,'итог '!$C40),SUMIFS(#REF!,#REF!,'итог '!$C40,#REF!,'итог '!$D40))</f>
        <v>#REF!</v>
      </c>
      <c r="AI40" s="8" t="e">
        <f>IF($D40=0,SUMIFS(#REF!,#REF!,'итог '!$C40),SUMIFS(#REF!,#REF!,'итог '!$C40,#REF!,'итог '!$D40))</f>
        <v>#REF!</v>
      </c>
      <c r="AJ40" s="8" t="e">
        <f>IF($D40=0,SUMIFS(#REF!,#REF!,'итог '!$C40),SUMIFS(#REF!,#REF!,'итог '!$C40,#REF!,'итог '!$D40))</f>
        <v>#REF!</v>
      </c>
      <c r="AK40" s="8" t="e">
        <f>IF($D40=0,SUMIFS(#REF!,#REF!,'итог '!$C40),SUMIFS(#REF!,#REF!,'итог '!$C40,#REF!,'итог '!$D40))</f>
        <v>#REF!</v>
      </c>
      <c r="AL40" s="8" t="e">
        <f>IF($D40=0,SUMIFS(#REF!,#REF!,'итог '!$C40),SUMIFS(#REF!,#REF!,'итог '!$C40,#REF!,'итог '!$D40))</f>
        <v>#REF!</v>
      </c>
      <c r="AM40" s="8" t="e">
        <f>IF($D40=0,SUMIFS(#REF!,#REF!,'итог '!$C40),SUMIFS(#REF!,#REF!,'итог '!$C40,#REF!,'итог '!$D40))</f>
        <v>#REF!</v>
      </c>
    </row>
    <row r="41" spans="1:39" ht="25.5" x14ac:dyDescent="0.25">
      <c r="A41" s="116" t="s">
        <v>53</v>
      </c>
      <c r="B41" s="118" t="s">
        <v>96</v>
      </c>
      <c r="C41" s="118" t="s">
        <v>96</v>
      </c>
      <c r="D41" s="118" t="s">
        <v>96</v>
      </c>
      <c r="E41" s="18" t="e">
        <f>IF(D41=0,SUMIFS(#REF!,#REF!,'итог '!C41),SUMIFS(#REF!,#REF!,'итог '!C41,#REF!,'итог '!D41))/12</f>
        <v>#REF!</v>
      </c>
      <c r="F41" s="6">
        <v>13473961</v>
      </c>
      <c r="G41" s="6">
        <v>676847</v>
      </c>
      <c r="H41" s="115" t="s">
        <v>213</v>
      </c>
      <c r="I41" s="115" t="s">
        <v>214</v>
      </c>
      <c r="J41" s="7" t="e">
        <f>IF(D41=0,SUMIFS(#REF!,#REF!,'итог '!C41),SUMIFS(#REF!,#REF!,'итог '!C41,#REF!,'итог '!D41))/12/'итог '!E41</f>
        <v>#REF!</v>
      </c>
      <c r="K41" s="7">
        <v>3.22</v>
      </c>
      <c r="L41" s="20" t="e">
        <f t="shared" si="10"/>
        <v>#REF!</v>
      </c>
      <c r="M41" s="20" t="e">
        <f t="shared" si="8"/>
        <v>#REF!</v>
      </c>
      <c r="N41" s="121">
        <v>57300</v>
      </c>
      <c r="O41" s="124">
        <v>16.829999999999998</v>
      </c>
      <c r="P41" s="124">
        <v>14.96</v>
      </c>
      <c r="Q41" s="8">
        <v>23.120000000000005</v>
      </c>
      <c r="R41" s="8">
        <v>16.829999999999998</v>
      </c>
      <c r="S41" s="8">
        <v>1.07</v>
      </c>
      <c r="T41" s="25" t="e">
        <f t="shared" si="11"/>
        <v>#REF!</v>
      </c>
      <c r="U41" s="25" t="e">
        <f t="shared" si="12"/>
        <v>#REF!</v>
      </c>
      <c r="V41" s="19" t="e">
        <f>AM41</f>
        <v>#REF!</v>
      </c>
      <c r="W41" s="19">
        <f t="shared" si="9"/>
        <v>14150808</v>
      </c>
      <c r="X41" s="19">
        <f t="shared" si="13"/>
        <v>13473961</v>
      </c>
      <c r="Y41" s="19">
        <f t="shared" si="5"/>
        <v>676847</v>
      </c>
      <c r="Z41" s="19">
        <f t="shared" si="6"/>
        <v>269479.22000000003</v>
      </c>
      <c r="AA41" s="9"/>
      <c r="AB41" s="8" t="e">
        <f>IF($D41=0,SUMIFS(#REF!,#REF!,'итог '!$C41),SUMIFS(#REF!,#REF!,'итог '!$C41,#REF!,'итог '!$D41))</f>
        <v>#REF!</v>
      </c>
      <c r="AC41" s="8" t="e">
        <f>IF($D41=0,SUMIFS(#REF!,#REF!,'итог '!$C41),SUMIFS(#REF!,#REF!,'итог '!$C41,#REF!,'итог '!$D41))</f>
        <v>#REF!</v>
      </c>
      <c r="AD41" s="8" t="e">
        <f>IF($D41=0,SUMIFS(#REF!,#REF!,'итог '!$C41),SUMIFS(#REF!,#REF!,'итог '!$C41,#REF!,'итог '!$D41))</f>
        <v>#REF!</v>
      </c>
      <c r="AE41" s="8" t="e">
        <f>IF($D41=0,SUMIFS(#REF!,#REF!,'итог '!$C41),SUMIFS(#REF!,#REF!,'итог '!$C41,#REF!,'итог '!$D41))</f>
        <v>#REF!</v>
      </c>
      <c r="AF41" s="8" t="e">
        <f>IF($D41=0,SUMIFS(#REF!,#REF!,'итог '!$C41),SUMIFS(#REF!,#REF!,'итог '!$C41,#REF!,'итог '!$D41))</f>
        <v>#REF!</v>
      </c>
      <c r="AG41" s="8" t="e">
        <f>IF($D41=0,SUMIFS(#REF!,#REF!,'итог '!$C41),SUMIFS(#REF!,#REF!,'итог '!$C41,#REF!,'итог '!$D41))</f>
        <v>#REF!</v>
      </c>
      <c r="AH41" s="8" t="e">
        <f>IF($D41=0,SUMIFS(#REF!,#REF!,'итог '!$C41),SUMIFS(#REF!,#REF!,'итог '!$C41,#REF!,'итог '!$D41))</f>
        <v>#REF!</v>
      </c>
      <c r="AI41" s="8" t="e">
        <f>IF($D41=0,SUMIFS(#REF!,#REF!,'итог '!$C41),SUMIFS(#REF!,#REF!,'итог '!$C41,#REF!,'итог '!$D41))</f>
        <v>#REF!</v>
      </c>
      <c r="AJ41" s="8" t="e">
        <f>IF($D41=0,SUMIFS(#REF!,#REF!,'итог '!$C41),SUMIFS(#REF!,#REF!,'итог '!$C41,#REF!,'итог '!$D41))</f>
        <v>#REF!</v>
      </c>
      <c r="AK41" s="8" t="e">
        <f>IF($D41=0,SUMIFS(#REF!,#REF!,'итог '!$C41),SUMIFS(#REF!,#REF!,'итог '!$C41,#REF!,'итог '!$D41))</f>
        <v>#REF!</v>
      </c>
      <c r="AL41" s="8" t="e">
        <f>IF($D41=0,SUMIFS(#REF!,#REF!,'итог '!$C41),SUMIFS(#REF!,#REF!,'итог '!$C41,#REF!,'итог '!$D41))</f>
        <v>#REF!</v>
      </c>
      <c r="AM41" s="8" t="e">
        <f>IF($D41=0,SUMIFS(#REF!,#REF!,'итог '!$C41),SUMIFS(#REF!,#REF!,'итог '!$C41,#REF!,'итог '!$D41))</f>
        <v>#REF!</v>
      </c>
    </row>
    <row r="42" spans="1:39" ht="25.5" x14ac:dyDescent="0.25">
      <c r="A42" s="116" t="s">
        <v>97</v>
      </c>
      <c r="B42" s="118" t="s">
        <v>98</v>
      </c>
      <c r="C42" s="118" t="s">
        <v>98</v>
      </c>
      <c r="D42" s="118" t="s">
        <v>98</v>
      </c>
      <c r="E42" s="18" t="e">
        <f>IF(D42=0,SUMIFS(#REF!,#REF!,'итог '!C42),SUMIFS(#REF!,#REF!,'итог '!C42,#REF!,'итог '!D42))/12</f>
        <v>#REF!</v>
      </c>
      <c r="F42" s="6">
        <v>3032793</v>
      </c>
      <c r="G42" s="6">
        <v>-400793</v>
      </c>
      <c r="H42" s="115" t="s">
        <v>213</v>
      </c>
      <c r="I42" s="115" t="s">
        <v>214</v>
      </c>
      <c r="J42" s="7" t="e">
        <f>IF(D42=0,SUMIFS(#REF!,#REF!,'итог '!C42),SUMIFS(#REF!,#REF!,'итог '!C42,#REF!,'итог '!D42))/12/'итог '!E42</f>
        <v>#REF!</v>
      </c>
      <c r="K42" s="7">
        <v>3.22</v>
      </c>
      <c r="L42" s="20" t="e">
        <f t="shared" si="10"/>
        <v>#REF!</v>
      </c>
      <c r="M42" s="20" t="e">
        <f t="shared" si="8"/>
        <v>#REF!</v>
      </c>
      <c r="N42" s="121">
        <v>74600</v>
      </c>
      <c r="O42" s="124">
        <v>2.62</v>
      </c>
      <c r="P42" s="124">
        <v>3</v>
      </c>
      <c r="Q42" s="8">
        <v>3.42</v>
      </c>
      <c r="R42" s="8">
        <v>2.62</v>
      </c>
      <c r="S42" s="8">
        <v>1</v>
      </c>
      <c r="T42" s="25" t="e">
        <f t="shared" si="11"/>
        <v>#REF!</v>
      </c>
      <c r="U42" s="25" t="e">
        <f t="shared" si="12"/>
        <v>#REF!</v>
      </c>
      <c r="V42" s="19" t="e">
        <f>AK42</f>
        <v>#REF!</v>
      </c>
      <c r="W42" s="19">
        <f t="shared" si="9"/>
        <v>2632000</v>
      </c>
      <c r="X42" s="19">
        <f t="shared" si="13"/>
        <v>3032793</v>
      </c>
      <c r="Y42" s="19">
        <f t="shared" si="5"/>
        <v>-400793</v>
      </c>
      <c r="Z42" s="19">
        <f t="shared" si="6"/>
        <v>60655.86</v>
      </c>
      <c r="AA42" s="9">
        <v>263188.79999999946</v>
      </c>
      <c r="AB42" s="8" t="e">
        <f>IF($D42=0,SUMIFS(#REF!,#REF!,'итог '!$C42),SUMIFS(#REF!,#REF!,'итог '!$C42,#REF!,'итог '!$D42))</f>
        <v>#REF!</v>
      </c>
      <c r="AC42" s="8" t="e">
        <f>IF($D42=0,SUMIFS(#REF!,#REF!,'итог '!$C42),SUMIFS(#REF!,#REF!,'итог '!$C42,#REF!,'итог '!$D42))</f>
        <v>#REF!</v>
      </c>
      <c r="AD42" s="8" t="e">
        <f>IF($D42=0,SUMIFS(#REF!,#REF!,'итог '!$C42),SUMIFS(#REF!,#REF!,'итог '!$C42,#REF!,'итог '!$D42))</f>
        <v>#REF!</v>
      </c>
      <c r="AE42" s="8" t="e">
        <f>IF($D42=0,SUMIFS(#REF!,#REF!,'итог '!$C42),SUMIFS(#REF!,#REF!,'итог '!$C42,#REF!,'итог '!$D42))</f>
        <v>#REF!</v>
      </c>
      <c r="AF42" s="8" t="e">
        <f>IF($D42=0,SUMIFS(#REF!,#REF!,'итог '!$C42),SUMIFS(#REF!,#REF!,'итог '!$C42,#REF!,'итог '!$D42))</f>
        <v>#REF!</v>
      </c>
      <c r="AG42" s="8" t="e">
        <f>IF($D42=0,SUMIFS(#REF!,#REF!,'итог '!$C42),SUMIFS(#REF!,#REF!,'итог '!$C42,#REF!,'итог '!$D42))</f>
        <v>#REF!</v>
      </c>
      <c r="AH42" s="8" t="e">
        <f>IF($D42=0,SUMIFS(#REF!,#REF!,'итог '!$C42),SUMIFS(#REF!,#REF!,'итог '!$C42,#REF!,'итог '!$D42))</f>
        <v>#REF!</v>
      </c>
      <c r="AI42" s="8" t="e">
        <f>IF($D42=0,SUMIFS(#REF!,#REF!,'итог '!$C42),SUMIFS(#REF!,#REF!,'итог '!$C42,#REF!,'итог '!$D42))</f>
        <v>#REF!</v>
      </c>
      <c r="AJ42" s="8" t="e">
        <f>IF($D42=0,SUMIFS(#REF!,#REF!,'итог '!$C42),SUMIFS(#REF!,#REF!,'итог '!$C42,#REF!,'итог '!$D42))</f>
        <v>#REF!</v>
      </c>
      <c r="AK42" s="8" t="e">
        <f>IF($D42=0,SUMIFS(#REF!,#REF!,'итог '!$C42),SUMIFS(#REF!,#REF!,'итог '!$C42,#REF!,'итог '!$D42))</f>
        <v>#REF!</v>
      </c>
      <c r="AL42" s="8" t="e">
        <f>IF($D42=0,SUMIFS(#REF!,#REF!,'итог '!$C42),SUMIFS(#REF!,#REF!,'итог '!$C42,#REF!,'итог '!$D42))</f>
        <v>#REF!</v>
      </c>
      <c r="AM42" s="8" t="e">
        <f>IF($D42=0,SUMIFS(#REF!,#REF!,'итог '!$C42),SUMIFS(#REF!,#REF!,'итог '!$C42,#REF!,'итог '!$D42))</f>
        <v>#REF!</v>
      </c>
    </row>
    <row r="43" spans="1:39" x14ac:dyDescent="0.25">
      <c r="A43" s="116" t="s">
        <v>99</v>
      </c>
      <c r="B43" s="116" t="s">
        <v>148</v>
      </c>
      <c r="C43" s="118" t="s">
        <v>62</v>
      </c>
      <c r="D43" s="118"/>
      <c r="E43" s="18" t="e">
        <f>IF(D43=0,SUMIFS(#REF!,#REF!,'итог '!C43),SUMIFS(#REF!,#REF!,'итог '!C43,#REF!,'итог '!D43))/12</f>
        <v>#REF!</v>
      </c>
      <c r="F43" s="6">
        <v>18703570</v>
      </c>
      <c r="G43" s="6">
        <v>-128650</v>
      </c>
      <c r="H43" s="115" t="s">
        <v>253</v>
      </c>
      <c r="I43" s="115" t="s">
        <v>254</v>
      </c>
      <c r="J43" s="7" t="e">
        <f>IF(D43=0,SUMIFS(#REF!,#REF!,'итог '!C43),SUMIFS(#REF!,#REF!,'итог '!C43,#REF!,'итог '!D43))/12/'итог '!E43</f>
        <v>#REF!</v>
      </c>
      <c r="K43" s="7">
        <v>3.6</v>
      </c>
      <c r="L43" s="20" t="e">
        <f t="shared" si="10"/>
        <v>#REF!</v>
      </c>
      <c r="M43" s="20" t="e">
        <f t="shared" si="8"/>
        <v>#REF!</v>
      </c>
      <c r="N43" s="121">
        <v>58500</v>
      </c>
      <c r="O43" s="124">
        <v>28.9</v>
      </c>
      <c r="P43" s="124">
        <v>21.65</v>
      </c>
      <c r="Q43" s="8">
        <v>28.9</v>
      </c>
      <c r="R43" s="8">
        <f>Q43</f>
        <v>28.9</v>
      </c>
      <c r="S43" s="8">
        <v>1.05</v>
      </c>
      <c r="T43" s="25" t="e">
        <f t="shared" si="11"/>
        <v>#REF!</v>
      </c>
      <c r="U43" s="25" t="e">
        <f t="shared" si="12"/>
        <v>#REF!</v>
      </c>
      <c r="V43" s="19" t="e">
        <f>AE43</f>
        <v>#REF!</v>
      </c>
      <c r="W43" s="19">
        <f t="shared" si="9"/>
        <v>18574920</v>
      </c>
      <c r="X43" s="19">
        <f t="shared" si="13"/>
        <v>18703570</v>
      </c>
      <c r="Y43" s="19">
        <f t="shared" si="5"/>
        <v>-128650</v>
      </c>
      <c r="Z43" s="19">
        <f t="shared" si="6"/>
        <v>374071.4</v>
      </c>
      <c r="AA43" s="9">
        <v>1307124.0000000035</v>
      </c>
      <c r="AB43" s="8" t="e">
        <f>IF($D43=0,SUMIFS(#REF!,#REF!,'итог '!$C43),SUMIFS(#REF!,#REF!,'итог '!$C43,#REF!,'итог '!$D43))</f>
        <v>#REF!</v>
      </c>
      <c r="AC43" s="8" t="e">
        <f>IF($D43=0,SUMIFS(#REF!,#REF!,'итог '!$C43),SUMIFS(#REF!,#REF!,'итог '!$C43,#REF!,'итог '!$D43))</f>
        <v>#REF!</v>
      </c>
      <c r="AD43" s="8" t="e">
        <f>IF($D43=0,SUMIFS(#REF!,#REF!,'итог '!$C43),SUMIFS(#REF!,#REF!,'итог '!$C43,#REF!,'итог '!$D43))</f>
        <v>#REF!</v>
      </c>
      <c r="AE43" s="8" t="e">
        <f>IF($D43=0,SUMIFS(#REF!,#REF!,'итог '!$C43),SUMIFS(#REF!,#REF!,'итог '!$C43,#REF!,'итог '!$D43))</f>
        <v>#REF!</v>
      </c>
      <c r="AF43" s="8" t="e">
        <f>IF($D43=0,SUMIFS(#REF!,#REF!,'итог '!$C43),SUMIFS(#REF!,#REF!,'итог '!$C43,#REF!,'итог '!$D43))</f>
        <v>#REF!</v>
      </c>
      <c r="AG43" s="8" t="e">
        <f>IF($D43=0,SUMIFS(#REF!,#REF!,'итог '!$C43),SUMIFS(#REF!,#REF!,'итог '!$C43,#REF!,'итог '!$D43))</f>
        <v>#REF!</v>
      </c>
      <c r="AH43" s="8" t="e">
        <f>IF($D43=0,SUMIFS(#REF!,#REF!,'итог '!$C43),SUMIFS(#REF!,#REF!,'итог '!$C43,#REF!,'итог '!$D43))</f>
        <v>#REF!</v>
      </c>
      <c r="AI43" s="8" t="e">
        <f>IF($D43=0,SUMIFS(#REF!,#REF!,'итог '!$C43),SUMIFS(#REF!,#REF!,'итог '!$C43,#REF!,'итог '!$D43))</f>
        <v>#REF!</v>
      </c>
      <c r="AJ43" s="8" t="e">
        <f>IF($D43=0,SUMIFS(#REF!,#REF!,'итог '!$C43),SUMIFS(#REF!,#REF!,'итог '!$C43,#REF!,'итог '!$D43))</f>
        <v>#REF!</v>
      </c>
      <c r="AK43" s="8" t="e">
        <f>IF($D43=0,SUMIFS(#REF!,#REF!,'итог '!$C43),SUMIFS(#REF!,#REF!,'итог '!$C43,#REF!,'итог '!$D43))</f>
        <v>#REF!</v>
      </c>
      <c r="AL43" s="8" t="e">
        <f>IF($D43=0,SUMIFS(#REF!,#REF!,'итог '!$C43),SUMIFS(#REF!,#REF!,'итог '!$C43,#REF!,'итог '!$D43))</f>
        <v>#REF!</v>
      </c>
      <c r="AM43" s="8" t="e">
        <f>IF($D43=0,SUMIFS(#REF!,#REF!,'итог '!$C43),SUMIFS(#REF!,#REF!,'итог '!$C43,#REF!,'итог '!$D43))</f>
        <v>#REF!</v>
      </c>
    </row>
    <row r="44" spans="1:39" x14ac:dyDescent="0.25">
      <c r="A44" s="116" t="s">
        <v>100</v>
      </c>
      <c r="B44" s="116" t="s">
        <v>133</v>
      </c>
      <c r="C44" s="118" t="s">
        <v>66</v>
      </c>
      <c r="D44" s="118"/>
      <c r="E44" s="18" t="e">
        <f>IF(D44=0,SUMIFS(#REF!,#REF!,'итог '!C44),SUMIFS(#REF!,#REF!,'итог '!C44,#REF!,'итог '!D44))/12</f>
        <v>#REF!</v>
      </c>
      <c r="F44" s="6">
        <v>64033870</v>
      </c>
      <c r="G44" s="6">
        <v>1342130</v>
      </c>
      <c r="H44" s="115" t="s">
        <v>255</v>
      </c>
      <c r="I44" s="115" t="s">
        <v>256</v>
      </c>
      <c r="J44" s="7" t="e">
        <f>IF(D44=0,SUMIFS(#REF!,#REF!,'итог '!C44),SUMIFS(#REF!,#REF!,'итог '!C44,#REF!,'итог '!D44))/12/'итог '!E44</f>
        <v>#REF!</v>
      </c>
      <c r="K44" s="7">
        <v>3.6</v>
      </c>
      <c r="L44" s="20" t="e">
        <f t="shared" si="10"/>
        <v>#REF!</v>
      </c>
      <c r="M44" s="20" t="e">
        <f t="shared" si="8"/>
        <v>#REF!</v>
      </c>
      <c r="N44" s="121">
        <v>54100</v>
      </c>
      <c r="O44" s="124">
        <v>98.31</v>
      </c>
      <c r="P44" s="124">
        <v>82.84</v>
      </c>
      <c r="Q44" s="8">
        <v>106.7</v>
      </c>
      <c r="R44" s="8">
        <v>98.31</v>
      </c>
      <c r="S44" s="8">
        <v>1</v>
      </c>
      <c r="T44" s="25" t="e">
        <f t="shared" si="11"/>
        <v>#REF!</v>
      </c>
      <c r="U44" s="25" t="e">
        <f t="shared" si="12"/>
        <v>#REF!</v>
      </c>
      <c r="V44" s="26" t="e">
        <f>AJ44</f>
        <v>#REF!</v>
      </c>
      <c r="W44" s="19">
        <f t="shared" si="9"/>
        <v>65376000</v>
      </c>
      <c r="X44" s="19">
        <f t="shared" si="13"/>
        <v>64033870</v>
      </c>
      <c r="Y44" s="19">
        <f t="shared" si="5"/>
        <v>1342130</v>
      </c>
      <c r="Z44" s="19">
        <f t="shared" si="6"/>
        <v>1280677.4000000001</v>
      </c>
      <c r="AA44" s="9"/>
      <c r="AB44" s="8" t="e">
        <f>IF($D44=0,SUMIFS(#REF!,#REF!,'итог '!$C44),SUMIFS(#REF!,#REF!,'итог '!$C44,#REF!,'итог '!$D44))</f>
        <v>#REF!</v>
      </c>
      <c r="AC44" s="8" t="e">
        <f>IF($D44=0,SUMIFS(#REF!,#REF!,'итог '!$C44),SUMIFS(#REF!,#REF!,'итог '!$C44,#REF!,'итог '!$D44))</f>
        <v>#REF!</v>
      </c>
      <c r="AD44" s="8" t="e">
        <f>IF($D44=0,SUMIFS(#REF!,#REF!,'итог '!$C44),SUMIFS(#REF!,#REF!,'итог '!$C44,#REF!,'итог '!$D44))</f>
        <v>#REF!</v>
      </c>
      <c r="AE44" s="8" t="e">
        <f>IF($D44=0,SUMIFS(#REF!,#REF!,'итог '!$C44),SUMIFS(#REF!,#REF!,'итог '!$C44,#REF!,'итог '!$D44))</f>
        <v>#REF!</v>
      </c>
      <c r="AF44" s="8" t="e">
        <f>IF($D44=0,SUMIFS(#REF!,#REF!,'итог '!$C44),SUMIFS(#REF!,#REF!,'итог '!$C44,#REF!,'итог '!$D44))</f>
        <v>#REF!</v>
      </c>
      <c r="AG44" s="8" t="e">
        <f>IF($D44=0,SUMIFS(#REF!,#REF!,'итог '!$C44),SUMIFS(#REF!,#REF!,'итог '!$C44,#REF!,'итог '!$D44))</f>
        <v>#REF!</v>
      </c>
      <c r="AH44" s="8" t="e">
        <f>IF($D44=0,SUMIFS(#REF!,#REF!,'итог '!$C44),SUMIFS(#REF!,#REF!,'итог '!$C44,#REF!,'итог '!$D44))</f>
        <v>#REF!</v>
      </c>
      <c r="AI44" s="8" t="e">
        <f>IF($D44=0,SUMIFS(#REF!,#REF!,'итог '!$C44),SUMIFS(#REF!,#REF!,'итог '!$C44,#REF!,'итог '!$D44))</f>
        <v>#REF!</v>
      </c>
      <c r="AJ44" s="8" t="e">
        <f>IF($D44=0,SUMIFS(#REF!,#REF!,'итог '!$C44),SUMIFS(#REF!,#REF!,'итог '!$C44,#REF!,'итог '!$D44))</f>
        <v>#REF!</v>
      </c>
      <c r="AK44" s="8" t="e">
        <f>IF($D44=0,SUMIFS(#REF!,#REF!,'итог '!$C44),SUMIFS(#REF!,#REF!,'итог '!$C44,#REF!,'итог '!$D44))</f>
        <v>#REF!</v>
      </c>
      <c r="AL44" s="8" t="e">
        <f>IF($D44=0,SUMIFS(#REF!,#REF!,'итог '!$C44),SUMIFS(#REF!,#REF!,'итог '!$C44,#REF!,'итог '!$D44))</f>
        <v>#REF!</v>
      </c>
      <c r="AM44" s="8" t="e">
        <f>IF($D44=0,SUMIFS(#REF!,#REF!,'итог '!$C44),SUMIFS(#REF!,#REF!,'итог '!$C44,#REF!,'итог '!$D44))</f>
        <v>#REF!</v>
      </c>
    </row>
    <row r="45" spans="1:39" ht="17.25" customHeight="1" x14ac:dyDescent="0.25">
      <c r="A45" s="116" t="s">
        <v>101</v>
      </c>
      <c r="B45" s="116" t="s">
        <v>149</v>
      </c>
      <c r="C45" s="117" t="s">
        <v>67</v>
      </c>
      <c r="D45" s="118"/>
      <c r="E45" s="18" t="e">
        <f>IF(D45=0,SUMIFS(#REF!,#REF!,'итог '!C45),SUMIFS(#REF!,#REF!,'итог '!C45,#REF!,'итог '!D45))/12</f>
        <v>#REF!</v>
      </c>
      <c r="F45" s="6">
        <v>33958616</v>
      </c>
      <c r="G45" s="6">
        <v>909784</v>
      </c>
      <c r="H45" s="115" t="s">
        <v>257</v>
      </c>
      <c r="I45" s="115" t="s">
        <v>259</v>
      </c>
      <c r="J45" s="7" t="e">
        <f>IF(D45=0,SUMIFS(#REF!,#REF!,'итог '!C45),SUMIFS(#REF!,#REF!,'итог '!C45,#REF!,'итог '!D45))/12/'итог '!E45</f>
        <v>#REF!</v>
      </c>
      <c r="K45" s="7">
        <v>3.22</v>
      </c>
      <c r="L45" s="20" t="e">
        <f t="shared" si="10"/>
        <v>#REF!</v>
      </c>
      <c r="M45" s="20" t="e">
        <f t="shared" si="8"/>
        <v>#REF!</v>
      </c>
      <c r="N45" s="121">
        <v>59300</v>
      </c>
      <c r="O45" s="124">
        <v>52.77</v>
      </c>
      <c r="P45" s="124">
        <v>50.6</v>
      </c>
      <c r="Q45" s="8">
        <v>52.769999999999996</v>
      </c>
      <c r="R45" s="8">
        <f>Q45</f>
        <v>52.769999999999996</v>
      </c>
      <c r="S45" s="8">
        <v>1.07</v>
      </c>
      <c r="T45" s="25" t="e">
        <f t="shared" si="11"/>
        <v>#REF!</v>
      </c>
      <c r="U45" s="25" t="e">
        <f t="shared" si="12"/>
        <v>#REF!</v>
      </c>
      <c r="V45" s="19" t="e">
        <f>AJ45</f>
        <v>#REF!</v>
      </c>
      <c r="W45" s="19">
        <f t="shared" si="9"/>
        <v>34868400</v>
      </c>
      <c r="X45" s="19">
        <f t="shared" si="13"/>
        <v>33958616</v>
      </c>
      <c r="Y45" s="19">
        <f t="shared" si="5"/>
        <v>909784</v>
      </c>
      <c r="Z45" s="19">
        <f t="shared" si="6"/>
        <v>679172.32000000007</v>
      </c>
      <c r="AA45" s="9"/>
      <c r="AB45" s="8" t="e">
        <f>IF($D45=0,SUMIFS(#REF!,#REF!,'итог '!$C45),SUMIFS(#REF!,#REF!,'итог '!$C45,#REF!,'итог '!$D45))</f>
        <v>#REF!</v>
      </c>
      <c r="AC45" s="8" t="e">
        <f>IF($D45=0,SUMIFS(#REF!,#REF!,'итог '!$C45),SUMIFS(#REF!,#REF!,'итог '!$C45,#REF!,'итог '!$D45))</f>
        <v>#REF!</v>
      </c>
      <c r="AD45" s="8" t="e">
        <f>IF($D45=0,SUMIFS(#REF!,#REF!,'итог '!$C45),SUMIFS(#REF!,#REF!,'итог '!$C45,#REF!,'итог '!$D45))</f>
        <v>#REF!</v>
      </c>
      <c r="AE45" s="8" t="e">
        <f>IF($D45=0,SUMIFS(#REF!,#REF!,'итог '!$C45),SUMIFS(#REF!,#REF!,'итог '!$C45,#REF!,'итог '!$D45))</f>
        <v>#REF!</v>
      </c>
      <c r="AF45" s="8" t="e">
        <f>IF($D45=0,SUMIFS(#REF!,#REF!,'итог '!$C45),SUMIFS(#REF!,#REF!,'итог '!$C45,#REF!,'итог '!$D45))</f>
        <v>#REF!</v>
      </c>
      <c r="AG45" s="8" t="e">
        <f>IF($D45=0,SUMIFS(#REF!,#REF!,'итог '!$C45),SUMIFS(#REF!,#REF!,'итог '!$C45,#REF!,'итог '!$D45))</f>
        <v>#REF!</v>
      </c>
      <c r="AH45" s="8" t="e">
        <f>IF($D45=0,SUMIFS(#REF!,#REF!,'итог '!$C45),SUMIFS(#REF!,#REF!,'итог '!$C45,#REF!,'итог '!$D45))</f>
        <v>#REF!</v>
      </c>
      <c r="AI45" s="8" t="e">
        <f>IF($D45=0,SUMIFS(#REF!,#REF!,'итог '!$C45),SUMIFS(#REF!,#REF!,'итог '!$C45,#REF!,'итог '!$D45))</f>
        <v>#REF!</v>
      </c>
      <c r="AJ45" s="8" t="e">
        <f>IF($D45=0,SUMIFS(#REF!,#REF!,'итог '!$C45),SUMIFS(#REF!,#REF!,'итог '!$C45,#REF!,'итог '!$D45))</f>
        <v>#REF!</v>
      </c>
      <c r="AK45" s="8" t="e">
        <f>IF($D45=0,SUMIFS(#REF!,#REF!,'итог '!$C45),SUMIFS(#REF!,#REF!,'итог '!$C45,#REF!,'итог '!$D45))</f>
        <v>#REF!</v>
      </c>
      <c r="AL45" s="8" t="e">
        <f>IF($D45=0,SUMIFS(#REF!,#REF!,'итог '!$C45),SUMIFS(#REF!,#REF!,'итог '!$C45,#REF!,'итог '!$D45))</f>
        <v>#REF!</v>
      </c>
      <c r="AM45" s="8" t="e">
        <f>IF($D45=0,SUMIFS(#REF!,#REF!,'итог '!$C45),SUMIFS(#REF!,#REF!,'итог '!$C45,#REF!,'итог '!$D45))</f>
        <v>#REF!</v>
      </c>
    </row>
    <row r="46" spans="1:39" x14ac:dyDescent="0.25">
      <c r="A46" s="116" t="s">
        <v>102</v>
      </c>
      <c r="B46" s="116" t="s">
        <v>150</v>
      </c>
      <c r="C46" s="118" t="s">
        <v>68</v>
      </c>
      <c r="D46" s="118"/>
      <c r="E46" s="18" t="e">
        <f>IF(D46=0,SUMIFS(#REF!,#REF!,'итог '!C46),SUMIFS(#REF!,#REF!,'итог '!C46,#REF!,'итог '!D46))/12</f>
        <v>#REF!</v>
      </c>
      <c r="F46" s="6">
        <v>103058545</v>
      </c>
      <c r="G46" s="6">
        <v>949455</v>
      </c>
      <c r="H46" s="115" t="s">
        <v>258</v>
      </c>
      <c r="I46" s="115" t="s">
        <v>260</v>
      </c>
      <c r="J46" s="7" t="e">
        <f>IF(D46=0,SUMIFS(#REF!,#REF!,'итог '!C46),SUMIFS(#REF!,#REF!,'итог '!C46,#REF!,'итог '!D46))/12/'итог '!E46</f>
        <v>#REF!</v>
      </c>
      <c r="K46" s="7">
        <v>3.22</v>
      </c>
      <c r="L46" s="20" t="e">
        <f t="shared" si="10"/>
        <v>#REF!</v>
      </c>
      <c r="M46" s="20" t="e">
        <f t="shared" si="8"/>
        <v>#REF!</v>
      </c>
      <c r="N46" s="121">
        <v>55100</v>
      </c>
      <c r="O46" s="124">
        <v>173.29</v>
      </c>
      <c r="P46" s="124">
        <v>163.21</v>
      </c>
      <c r="Q46" s="8">
        <v>174.79999999999998</v>
      </c>
      <c r="R46" s="8">
        <v>173.29</v>
      </c>
      <c r="S46" s="8">
        <v>1.07</v>
      </c>
      <c r="T46" s="25" t="e">
        <f t="shared" si="11"/>
        <v>#REF!</v>
      </c>
      <c r="U46" s="25" t="e">
        <f t="shared" si="12"/>
        <v>#REF!</v>
      </c>
      <c r="V46" s="19" t="e">
        <f>AK46</f>
        <v>#REF!</v>
      </c>
      <c r="W46" s="19">
        <f t="shared" si="9"/>
        <v>104008000</v>
      </c>
      <c r="X46" s="19">
        <f t="shared" si="13"/>
        <v>103058545</v>
      </c>
      <c r="Y46" s="19">
        <f t="shared" si="5"/>
        <v>949455</v>
      </c>
      <c r="Z46" s="19">
        <f t="shared" si="6"/>
        <v>2061170.9000000001</v>
      </c>
      <c r="AA46" s="9"/>
      <c r="AB46" s="8" t="e">
        <f>IF($D46=0,SUMIFS(#REF!,#REF!,'итог '!$C46),SUMIFS(#REF!,#REF!,'итог '!$C46,#REF!,'итог '!$D46))</f>
        <v>#REF!</v>
      </c>
      <c r="AC46" s="8" t="e">
        <f>IF($D46=0,SUMIFS(#REF!,#REF!,'итог '!$C46),SUMIFS(#REF!,#REF!,'итог '!$C46,#REF!,'итог '!$D46))</f>
        <v>#REF!</v>
      </c>
      <c r="AD46" s="8" t="e">
        <f>IF($D46=0,SUMIFS(#REF!,#REF!,'итог '!$C46),SUMIFS(#REF!,#REF!,'итог '!$C46,#REF!,'итог '!$D46))</f>
        <v>#REF!</v>
      </c>
      <c r="AE46" s="8" t="e">
        <f>IF($D46=0,SUMIFS(#REF!,#REF!,'итог '!$C46),SUMIFS(#REF!,#REF!,'итог '!$C46,#REF!,'итог '!$D46))</f>
        <v>#REF!</v>
      </c>
      <c r="AF46" s="8" t="e">
        <f>IF($D46=0,SUMIFS(#REF!,#REF!,'итог '!$C46),SUMIFS(#REF!,#REF!,'итог '!$C46,#REF!,'итог '!$D46))</f>
        <v>#REF!</v>
      </c>
      <c r="AG46" s="8" t="e">
        <f>IF($D46=0,SUMIFS(#REF!,#REF!,'итог '!$C46),SUMIFS(#REF!,#REF!,'итог '!$C46,#REF!,'итог '!$D46))</f>
        <v>#REF!</v>
      </c>
      <c r="AH46" s="8" t="e">
        <f>IF($D46=0,SUMIFS(#REF!,#REF!,'итог '!$C46),SUMIFS(#REF!,#REF!,'итог '!$C46,#REF!,'итог '!$D46))</f>
        <v>#REF!</v>
      </c>
      <c r="AI46" s="8" t="e">
        <f>IF($D46=0,SUMIFS(#REF!,#REF!,'итог '!$C46),SUMIFS(#REF!,#REF!,'итог '!$C46,#REF!,'итог '!$D46))</f>
        <v>#REF!</v>
      </c>
      <c r="AJ46" s="8" t="e">
        <f>IF($D46=0,SUMIFS(#REF!,#REF!,'итог '!$C46),SUMIFS(#REF!,#REF!,'итог '!$C46,#REF!,'итог '!$D46))</f>
        <v>#REF!</v>
      </c>
      <c r="AK46" s="8" t="e">
        <f>IF($D46=0,SUMIFS(#REF!,#REF!,'итог '!$C46),SUMIFS(#REF!,#REF!,'итог '!$C46,#REF!,'итог '!$D46))</f>
        <v>#REF!</v>
      </c>
      <c r="AL46" s="8" t="e">
        <f>IF($D46=0,SUMIFS(#REF!,#REF!,'итог '!$C46),SUMIFS(#REF!,#REF!,'итог '!$C46,#REF!,'итог '!$D46))</f>
        <v>#REF!</v>
      </c>
      <c r="AM46" s="8" t="e">
        <f>IF($D46=0,SUMIFS(#REF!,#REF!,'итог '!$C46),SUMIFS(#REF!,#REF!,'итог '!$C46,#REF!,'итог '!$D46))</f>
        <v>#REF!</v>
      </c>
    </row>
    <row r="47" spans="1:39" ht="25.5" x14ac:dyDescent="0.25">
      <c r="A47" s="116" t="s">
        <v>104</v>
      </c>
      <c r="B47" s="116" t="s">
        <v>151</v>
      </c>
      <c r="C47" s="117" t="s">
        <v>60</v>
      </c>
      <c r="D47" s="118"/>
      <c r="E47" s="18" t="e">
        <f>IF(D47=0,SUMIFS(#REF!,#REF!,'итог '!C47),SUMIFS(#REF!,#REF!,'итог '!C47,#REF!,'итог '!D47))/12</f>
        <v>#REF!</v>
      </c>
      <c r="F47" s="6">
        <v>6759950</v>
      </c>
      <c r="G47" s="6">
        <v>154930</v>
      </c>
      <c r="H47" s="115" t="s">
        <v>213</v>
      </c>
      <c r="I47" s="115" t="s">
        <v>214</v>
      </c>
      <c r="J47" s="7" t="e">
        <f>IF(D47=0,SUMIFS(#REF!,#REF!,'итог '!C47),SUMIFS(#REF!,#REF!,'итог '!C47,#REF!,'итог '!D47))/12/'итог '!E47</f>
        <v>#REF!</v>
      </c>
      <c r="K47" s="7">
        <v>3.22</v>
      </c>
      <c r="L47" s="20" t="e">
        <f t="shared" si="10"/>
        <v>#REF!</v>
      </c>
      <c r="M47" s="20" t="e">
        <f t="shared" si="8"/>
        <v>#REF!</v>
      </c>
      <c r="N47" s="121">
        <v>84000</v>
      </c>
      <c r="O47" s="124">
        <v>7.1</v>
      </c>
      <c r="P47" s="124">
        <v>3.3</v>
      </c>
      <c r="Q47" s="8">
        <v>7.2</v>
      </c>
      <c r="R47" s="8">
        <v>7.1</v>
      </c>
      <c r="S47" s="8">
        <v>1.07</v>
      </c>
      <c r="T47" s="25" t="e">
        <f t="shared" si="11"/>
        <v>#REF!</v>
      </c>
      <c r="U47" s="25" t="e">
        <f t="shared" si="12"/>
        <v>#REF!</v>
      </c>
      <c r="V47" s="19" t="e">
        <f>AF47</f>
        <v>#REF!</v>
      </c>
      <c r="W47" s="19">
        <f t="shared" si="9"/>
        <v>6914880</v>
      </c>
      <c r="X47" s="19">
        <f t="shared" si="13"/>
        <v>6759950</v>
      </c>
      <c r="Y47" s="19">
        <f t="shared" si="5"/>
        <v>154930</v>
      </c>
      <c r="Z47" s="19">
        <f t="shared" si="6"/>
        <v>135199</v>
      </c>
      <c r="AA47" s="9"/>
      <c r="AB47" s="8" t="e">
        <f>IF($D47=0,SUMIFS(#REF!,#REF!,'итог '!$C47),SUMIFS(#REF!,#REF!,'итог '!$C47,#REF!,'итог '!$D47))</f>
        <v>#REF!</v>
      </c>
      <c r="AC47" s="8" t="e">
        <f>IF($D47=0,SUMIFS(#REF!,#REF!,'итог '!$C47),SUMIFS(#REF!,#REF!,'итог '!$C47,#REF!,'итог '!$D47))</f>
        <v>#REF!</v>
      </c>
      <c r="AD47" s="8" t="e">
        <f>IF($D47=0,SUMIFS(#REF!,#REF!,'итог '!$C47),SUMIFS(#REF!,#REF!,'итог '!$C47,#REF!,'итог '!$D47))</f>
        <v>#REF!</v>
      </c>
      <c r="AE47" s="8" t="e">
        <f>IF($D47=0,SUMIFS(#REF!,#REF!,'итог '!$C47),SUMIFS(#REF!,#REF!,'итог '!$C47,#REF!,'итог '!$D47))</f>
        <v>#REF!</v>
      </c>
      <c r="AF47" s="8" t="e">
        <f>IF($D47=0,SUMIFS(#REF!,#REF!,'итог '!$C47),SUMIFS(#REF!,#REF!,'итог '!$C47,#REF!,'итог '!$D47))</f>
        <v>#REF!</v>
      </c>
      <c r="AG47" s="8" t="e">
        <f>IF($D47=0,SUMIFS(#REF!,#REF!,'итог '!$C47),SUMIFS(#REF!,#REF!,'итог '!$C47,#REF!,'итог '!$D47))</f>
        <v>#REF!</v>
      </c>
      <c r="AH47" s="8" t="e">
        <f>IF($D47=0,SUMIFS(#REF!,#REF!,'итог '!$C47),SUMIFS(#REF!,#REF!,'итог '!$C47,#REF!,'итог '!$D47))</f>
        <v>#REF!</v>
      </c>
      <c r="AI47" s="8" t="e">
        <f>IF($D47=0,SUMIFS(#REF!,#REF!,'итог '!$C47),SUMIFS(#REF!,#REF!,'итог '!$C47,#REF!,'итог '!$D47))</f>
        <v>#REF!</v>
      </c>
      <c r="AJ47" s="8" t="e">
        <f>IF($D47=0,SUMIFS(#REF!,#REF!,'итог '!$C47),SUMIFS(#REF!,#REF!,'итог '!$C47,#REF!,'итог '!$D47))</f>
        <v>#REF!</v>
      </c>
      <c r="AK47" s="8" t="e">
        <f>IF($D47=0,SUMIFS(#REF!,#REF!,'итог '!$C47),SUMIFS(#REF!,#REF!,'итог '!$C47,#REF!,'итог '!$D47))</f>
        <v>#REF!</v>
      </c>
      <c r="AL47" s="8" t="e">
        <f>IF($D47=0,SUMIFS(#REF!,#REF!,'итог '!$C47),SUMIFS(#REF!,#REF!,'итог '!$C47,#REF!,'итог '!$D47))</f>
        <v>#REF!</v>
      </c>
      <c r="AM47" s="8" t="e">
        <f>IF($D47=0,SUMIFS(#REF!,#REF!,'итог '!$C47),SUMIFS(#REF!,#REF!,'итог '!$C47,#REF!,'итог '!$D47))</f>
        <v>#REF!</v>
      </c>
    </row>
    <row r="48" spans="1:39" x14ac:dyDescent="0.25">
      <c r="A48" s="4" t="s">
        <v>105</v>
      </c>
      <c r="B48" s="14" t="s">
        <v>65</v>
      </c>
      <c r="C48" s="27" t="s">
        <v>65</v>
      </c>
      <c r="D48" s="5"/>
      <c r="E48" s="18" t="e">
        <f>IF(D48=0,SUMIFS(#REF!,#REF!,'итог '!C48),SUMIFS(#REF!,#REF!,'итог '!C48,#REF!,'итог '!D48))/12</f>
        <v>#REF!</v>
      </c>
      <c r="F48" s="6">
        <v>3913164</v>
      </c>
      <c r="G48" s="6">
        <v>-24764</v>
      </c>
      <c r="H48" s="115"/>
      <c r="I48" s="115"/>
      <c r="J48" s="7" t="e">
        <f>IF(D48=0,SUMIFS(#REF!,#REF!,'итог '!C48),SUMIFS(#REF!,#REF!,'итог '!C48,#REF!,'итог '!D48))/12/'итог '!E48</f>
        <v>#REF!</v>
      </c>
      <c r="K48" s="7">
        <v>3.22</v>
      </c>
      <c r="L48" s="20" t="e">
        <f t="shared" si="10"/>
        <v>#REF!</v>
      </c>
      <c r="M48" s="20" t="e">
        <f t="shared" si="8"/>
        <v>#REF!</v>
      </c>
      <c r="N48" s="121">
        <v>59600</v>
      </c>
      <c r="O48" s="124">
        <v>0.88</v>
      </c>
      <c r="P48" s="124">
        <v>1.55</v>
      </c>
      <c r="Q48" s="22">
        <f>3.28+3</f>
        <v>6.2799999999999994</v>
      </c>
      <c r="R48" s="22">
        <v>0.88</v>
      </c>
      <c r="S48" s="8">
        <v>1.07</v>
      </c>
      <c r="T48" s="25" t="e">
        <f t="shared" si="11"/>
        <v>#REF!</v>
      </c>
      <c r="U48" s="25" t="e">
        <f t="shared" si="12"/>
        <v>#REF!</v>
      </c>
      <c r="V48" s="19" t="e">
        <f>AH48</f>
        <v>#REF!</v>
      </c>
      <c r="W48" s="19">
        <f t="shared" si="9"/>
        <v>3888400</v>
      </c>
      <c r="X48" s="19">
        <f t="shared" si="13"/>
        <v>3913164</v>
      </c>
      <c r="Y48" s="19">
        <f t="shared" si="5"/>
        <v>-24764</v>
      </c>
      <c r="Z48" s="19">
        <f t="shared" si="6"/>
        <v>78263.28</v>
      </c>
      <c r="AA48" s="9"/>
      <c r="AB48" s="8" t="e">
        <f>IF($D48=0,SUMIFS(#REF!,#REF!,'итог '!$C48),SUMIFS(#REF!,#REF!,'итог '!$C48,#REF!,'итог '!$D48))</f>
        <v>#REF!</v>
      </c>
      <c r="AC48" s="8" t="e">
        <f>IF($D48=0,SUMIFS(#REF!,#REF!,'итог '!$C48),SUMIFS(#REF!,#REF!,'итог '!$C48,#REF!,'итог '!$D48))</f>
        <v>#REF!</v>
      </c>
      <c r="AD48" s="8" t="e">
        <f>IF($D48=0,SUMIFS(#REF!,#REF!,'итог '!$C48),SUMIFS(#REF!,#REF!,'итог '!$C48,#REF!,'итог '!$D48))</f>
        <v>#REF!</v>
      </c>
      <c r="AE48" s="8" t="e">
        <f>IF($D48=0,SUMIFS(#REF!,#REF!,'итог '!$C48),SUMIFS(#REF!,#REF!,'итог '!$C48,#REF!,'итог '!$D48))</f>
        <v>#REF!</v>
      </c>
      <c r="AF48" s="8" t="e">
        <f>IF($D48=0,SUMIFS(#REF!,#REF!,'итог '!$C48),SUMIFS(#REF!,#REF!,'итог '!$C48,#REF!,'итог '!$D48))</f>
        <v>#REF!</v>
      </c>
      <c r="AG48" s="8" t="e">
        <f>IF($D48=0,SUMIFS(#REF!,#REF!,'итог '!$C48),SUMIFS(#REF!,#REF!,'итог '!$C48,#REF!,'итог '!$D48))</f>
        <v>#REF!</v>
      </c>
      <c r="AH48" s="8" t="e">
        <f>IF($D48=0,SUMIFS(#REF!,#REF!,'итог '!$C48),SUMIFS(#REF!,#REF!,'итог '!$C48,#REF!,'итог '!$D48))</f>
        <v>#REF!</v>
      </c>
      <c r="AI48" s="8" t="e">
        <f>IF($D48=0,SUMIFS(#REF!,#REF!,'итог '!$C48),SUMIFS(#REF!,#REF!,'итог '!$C48,#REF!,'итог '!$D48))</f>
        <v>#REF!</v>
      </c>
      <c r="AJ48" s="8" t="e">
        <f>IF($D48=0,SUMIFS(#REF!,#REF!,'итог '!$C48),SUMIFS(#REF!,#REF!,'итог '!$C48,#REF!,'итог '!$D48))</f>
        <v>#REF!</v>
      </c>
      <c r="AK48" s="8" t="e">
        <f>IF($D48=0,SUMIFS(#REF!,#REF!,'итог '!$C48),SUMIFS(#REF!,#REF!,'итог '!$C48,#REF!,'итог '!$D48))</f>
        <v>#REF!</v>
      </c>
      <c r="AL48" s="8" t="e">
        <f>IF($D48=0,SUMIFS(#REF!,#REF!,'итог '!$C48),SUMIFS(#REF!,#REF!,'итог '!$C48,#REF!,'итог '!$D48))</f>
        <v>#REF!</v>
      </c>
      <c r="AM48" s="8" t="e">
        <f>IF($D48=0,SUMIFS(#REF!,#REF!,'итог '!$C48),SUMIFS(#REF!,#REF!,'итог '!$C48,#REF!,'итог '!$D48))</f>
        <v>#REF!</v>
      </c>
    </row>
    <row r="49" spans="1:39" ht="25.5" x14ac:dyDescent="0.25">
      <c r="A49" s="116" t="s">
        <v>89</v>
      </c>
      <c r="B49" s="118" t="s">
        <v>69</v>
      </c>
      <c r="C49" s="118" t="s">
        <v>69</v>
      </c>
      <c r="D49" s="118"/>
      <c r="E49" s="18" t="e">
        <f>IF(D49=0,SUMIFS(#REF!,#REF!,'итог '!C49),SUMIFS(#REF!,#REF!,'итог '!C49,#REF!,'итог '!D49))/12</f>
        <v>#REF!</v>
      </c>
      <c r="F49" s="6">
        <v>2008700</v>
      </c>
      <c r="G49" s="6">
        <v>-209420</v>
      </c>
      <c r="H49" s="115" t="s">
        <v>213</v>
      </c>
      <c r="I49" s="115" t="s">
        <v>214</v>
      </c>
      <c r="J49" s="7" t="e">
        <f>IF(D49=0,SUMIFS(#REF!,#REF!,'итог '!C49),SUMIFS(#REF!,#REF!,'итог '!C49,#REF!,'итог '!D49))/12/'итог '!E49</f>
        <v>#REF!</v>
      </c>
      <c r="K49" s="7">
        <v>3.22</v>
      </c>
      <c r="L49" s="20" t="e">
        <f t="shared" si="10"/>
        <v>#REF!</v>
      </c>
      <c r="M49" s="20" t="e">
        <f t="shared" si="8"/>
        <v>#REF!</v>
      </c>
      <c r="N49" s="121">
        <v>153000</v>
      </c>
      <c r="O49" s="124">
        <v>1</v>
      </c>
      <c r="P49" s="124">
        <v>0.5</v>
      </c>
      <c r="Q49" s="8">
        <v>1</v>
      </c>
      <c r="R49" s="8">
        <v>1</v>
      </c>
      <c r="S49" s="8">
        <v>1</v>
      </c>
      <c r="T49" s="25" t="e">
        <f t="shared" si="11"/>
        <v>#REF!</v>
      </c>
      <c r="U49" s="25" t="e">
        <f t="shared" si="12"/>
        <v>#REF!</v>
      </c>
      <c r="V49" s="19" t="e">
        <f>AH49</f>
        <v>#REF!</v>
      </c>
      <c r="W49" s="19">
        <f t="shared" si="9"/>
        <v>1799280</v>
      </c>
      <c r="X49" s="19">
        <f t="shared" si="13"/>
        <v>2008700</v>
      </c>
      <c r="Y49" s="19">
        <f t="shared" si="5"/>
        <v>-209420</v>
      </c>
      <c r="Z49" s="19">
        <f t="shared" si="6"/>
        <v>40174</v>
      </c>
      <c r="AA49" s="9"/>
      <c r="AB49" s="8" t="e">
        <f>IF($D49=0,SUMIFS(#REF!,#REF!,'итог '!$C49),SUMIFS(#REF!,#REF!,'итог '!$C49,#REF!,'итог '!$D49))</f>
        <v>#REF!</v>
      </c>
      <c r="AC49" s="8" t="e">
        <f>IF($D49=0,SUMIFS(#REF!,#REF!,'итог '!$C49),SUMIFS(#REF!,#REF!,'итог '!$C49,#REF!,'итог '!$D49))</f>
        <v>#REF!</v>
      </c>
      <c r="AD49" s="8" t="e">
        <f>IF($D49=0,SUMIFS(#REF!,#REF!,'итог '!$C49),SUMIFS(#REF!,#REF!,'итог '!$C49,#REF!,'итог '!$D49))</f>
        <v>#REF!</v>
      </c>
      <c r="AE49" s="8" t="e">
        <f>IF($D49=0,SUMIFS(#REF!,#REF!,'итог '!$C49),SUMIFS(#REF!,#REF!,'итог '!$C49,#REF!,'итог '!$D49))</f>
        <v>#REF!</v>
      </c>
      <c r="AF49" s="8" t="e">
        <f>IF($D49=0,SUMIFS(#REF!,#REF!,'итог '!$C49),SUMIFS(#REF!,#REF!,'итог '!$C49,#REF!,'итог '!$D49))</f>
        <v>#REF!</v>
      </c>
      <c r="AG49" s="8" t="e">
        <f>IF($D49=0,SUMIFS(#REF!,#REF!,'итог '!$C49),SUMIFS(#REF!,#REF!,'итог '!$C49,#REF!,'итог '!$D49))</f>
        <v>#REF!</v>
      </c>
      <c r="AH49" s="8" t="e">
        <f>IF($D49=0,SUMIFS(#REF!,#REF!,'итог '!$C49),SUMIFS(#REF!,#REF!,'итог '!$C49,#REF!,'итог '!$D49))</f>
        <v>#REF!</v>
      </c>
      <c r="AI49" s="8" t="e">
        <f>IF($D49=0,SUMIFS(#REF!,#REF!,'итог '!$C49),SUMIFS(#REF!,#REF!,'итог '!$C49,#REF!,'итог '!$D49))</f>
        <v>#REF!</v>
      </c>
      <c r="AJ49" s="8" t="e">
        <f>IF($D49=0,SUMIFS(#REF!,#REF!,'итог '!$C49),SUMIFS(#REF!,#REF!,'итог '!$C49,#REF!,'итог '!$D49))</f>
        <v>#REF!</v>
      </c>
      <c r="AK49" s="8" t="e">
        <f>IF($D49=0,SUMIFS(#REF!,#REF!,'итог '!$C49),SUMIFS(#REF!,#REF!,'итог '!$C49,#REF!,'итог '!$D49))</f>
        <v>#REF!</v>
      </c>
      <c r="AL49" s="8" t="e">
        <f>IF($D49=0,SUMIFS(#REF!,#REF!,'итог '!$C49),SUMIFS(#REF!,#REF!,'итог '!$C49,#REF!,'итог '!$D49))</f>
        <v>#REF!</v>
      </c>
      <c r="AM49" s="8" t="e">
        <f>IF($D49=0,SUMIFS(#REF!,#REF!,'итог '!$C49),SUMIFS(#REF!,#REF!,'итог '!$C49,#REF!,'итог '!$D49))</f>
        <v>#REF!</v>
      </c>
    </row>
    <row r="50" spans="1:39" x14ac:dyDescent="0.25">
      <c r="A50" s="4" t="s">
        <v>107</v>
      </c>
      <c r="B50" s="4" t="s">
        <v>152</v>
      </c>
      <c r="C50" s="5" t="s">
        <v>64</v>
      </c>
      <c r="D50" s="5"/>
      <c r="E50" s="18" t="e">
        <f>IF(D50=0,SUMIFS(#REF!,#REF!,'итог '!C50),SUMIFS(#REF!,#REF!,'итог '!C50,#REF!,'итог '!D50))/12</f>
        <v>#REF!</v>
      </c>
      <c r="F50" s="6">
        <v>43235819</v>
      </c>
      <c r="G50" s="6">
        <v>-1530155</v>
      </c>
      <c r="H50" s="115" t="s">
        <v>261</v>
      </c>
      <c r="I50" s="115" t="s">
        <v>254</v>
      </c>
      <c r="J50" s="7" t="e">
        <f>IF(D50=0,SUMIFS(#REF!,#REF!,'итог '!C50),SUMIFS(#REF!,#REF!,'итог '!C50,#REF!,'итог '!D50))/12/'итог '!E50</f>
        <v>#REF!</v>
      </c>
      <c r="K50" s="7">
        <v>3.6</v>
      </c>
      <c r="L50" s="20" t="e">
        <f t="shared" si="10"/>
        <v>#REF!</v>
      </c>
      <c r="M50" s="20" t="e">
        <f t="shared" si="8"/>
        <v>#REF!</v>
      </c>
      <c r="N50" s="123">
        <v>57200</v>
      </c>
      <c r="O50" s="125">
        <v>60.45</v>
      </c>
      <c r="P50" s="125">
        <v>27.14</v>
      </c>
      <c r="Q50" s="8">
        <v>61.15</v>
      </c>
      <c r="R50" s="8">
        <v>60.45</v>
      </c>
      <c r="S50" s="8">
        <v>1</v>
      </c>
      <c r="T50" s="25" t="e">
        <f t="shared" si="11"/>
        <v>#REF!</v>
      </c>
      <c r="U50" s="25" t="e">
        <f t="shared" si="12"/>
        <v>#REF!</v>
      </c>
      <c r="V50" s="19" t="e">
        <f>AK50</f>
        <v>#REF!</v>
      </c>
      <c r="W50" s="19">
        <f t="shared" si="9"/>
        <v>41705664</v>
      </c>
      <c r="X50" s="19">
        <f t="shared" si="13"/>
        <v>43235819</v>
      </c>
      <c r="Y50" s="19">
        <f t="shared" si="5"/>
        <v>-1530155</v>
      </c>
      <c r="Z50" s="19">
        <f t="shared" si="6"/>
        <v>864716.38</v>
      </c>
      <c r="AA50" s="9"/>
      <c r="AB50" s="8" t="e">
        <f>IF($D50=0,SUMIFS(#REF!,#REF!,'итог '!$C50),SUMIFS(#REF!,#REF!,'итог '!$C50,#REF!,'итог '!$D50))</f>
        <v>#REF!</v>
      </c>
      <c r="AC50" s="8" t="e">
        <f>IF($D50=0,SUMIFS(#REF!,#REF!,'итог '!$C50),SUMIFS(#REF!,#REF!,'итог '!$C50,#REF!,'итог '!$D50))</f>
        <v>#REF!</v>
      </c>
      <c r="AD50" s="8" t="e">
        <f>IF($D50=0,SUMIFS(#REF!,#REF!,'итог '!$C50),SUMIFS(#REF!,#REF!,'итог '!$C50,#REF!,'итог '!$D50))</f>
        <v>#REF!</v>
      </c>
      <c r="AE50" s="8" t="e">
        <f>IF($D50=0,SUMIFS(#REF!,#REF!,'итог '!$C50),SUMIFS(#REF!,#REF!,'итог '!$C50,#REF!,'итог '!$D50))</f>
        <v>#REF!</v>
      </c>
      <c r="AF50" s="8" t="e">
        <f>IF($D50=0,SUMIFS(#REF!,#REF!,'итог '!$C50),SUMIFS(#REF!,#REF!,'итог '!$C50,#REF!,'итог '!$D50))</f>
        <v>#REF!</v>
      </c>
      <c r="AG50" s="8" t="e">
        <f>IF($D50=0,SUMIFS(#REF!,#REF!,'итог '!$C50),SUMIFS(#REF!,#REF!,'итог '!$C50,#REF!,'итог '!$D50))</f>
        <v>#REF!</v>
      </c>
      <c r="AH50" s="8" t="e">
        <f>IF($D50=0,SUMIFS(#REF!,#REF!,'итог '!$C50),SUMIFS(#REF!,#REF!,'итог '!$C50,#REF!,'итог '!$D50))</f>
        <v>#REF!</v>
      </c>
      <c r="AI50" s="8" t="e">
        <f>IF($D50=0,SUMIFS(#REF!,#REF!,'итог '!$C50),SUMIFS(#REF!,#REF!,'итог '!$C50,#REF!,'итог '!$D50))</f>
        <v>#REF!</v>
      </c>
      <c r="AJ50" s="8" t="e">
        <f>IF($D50=0,SUMIFS(#REF!,#REF!,'итог '!$C50),SUMIFS(#REF!,#REF!,'итог '!$C50,#REF!,'итог '!$D50))</f>
        <v>#REF!</v>
      </c>
      <c r="AK50" s="8" t="e">
        <f>IF($D50=0,SUMIFS(#REF!,#REF!,'итог '!$C50),SUMIFS(#REF!,#REF!,'итог '!$C50,#REF!,'итог '!$D50))</f>
        <v>#REF!</v>
      </c>
      <c r="AL50" s="8" t="e">
        <f>IF($D50=0,SUMIFS(#REF!,#REF!,'итог '!$C50),SUMIFS(#REF!,#REF!,'итог '!$C50,#REF!,'итог '!$D50))</f>
        <v>#REF!</v>
      </c>
      <c r="AM50" s="8" t="e">
        <f>IF($D50=0,SUMIFS(#REF!,#REF!,'итог '!$C50),SUMIFS(#REF!,#REF!,'итог '!$C50,#REF!,'итог '!$D50))</f>
        <v>#REF!</v>
      </c>
    </row>
    <row r="51" spans="1:39" x14ac:dyDescent="0.25">
      <c r="A51" s="4" t="s">
        <v>108</v>
      </c>
      <c r="B51" s="4" t="s">
        <v>5</v>
      </c>
      <c r="C51" s="5" t="s">
        <v>2</v>
      </c>
      <c r="D51" s="5"/>
      <c r="E51" s="18" t="e">
        <f>IF(D51=0,SUMIFS(#REF!,#REF!,'итог '!C51),SUMIFS(#REF!,#REF!,'итог '!C51,#REF!,'итог '!D51))/12</f>
        <v>#REF!</v>
      </c>
      <c r="F51" s="6">
        <v>129965936</v>
      </c>
      <c r="G51" s="6">
        <v>-6610936</v>
      </c>
      <c r="H51" s="115"/>
      <c r="I51" s="115"/>
      <c r="J51" s="7" t="e">
        <f>IF(D51=0,SUMIFS(#REF!,#REF!,'итог '!C51),SUMIFS(#REF!,#REF!,'итог '!C51,#REF!,'итог '!D51))/12/'итог '!E51</f>
        <v>#REF!</v>
      </c>
      <c r="K51" s="7">
        <v>3.22</v>
      </c>
      <c r="L51" s="20" t="e">
        <f t="shared" si="10"/>
        <v>#REF!</v>
      </c>
      <c r="M51" s="20" t="e">
        <f t="shared" si="8"/>
        <v>#REF!</v>
      </c>
      <c r="N51" s="121">
        <v>67800</v>
      </c>
      <c r="O51" s="124">
        <v>143.05000000000001</v>
      </c>
      <c r="P51" s="124">
        <v>155.91999999999999</v>
      </c>
      <c r="Q51" s="8">
        <v>154.71</v>
      </c>
      <c r="R51" s="8">
        <v>143.05000000000001</v>
      </c>
      <c r="S51" s="8"/>
      <c r="T51" s="25" t="e">
        <f t="shared" si="11"/>
        <v>#REF!</v>
      </c>
      <c r="U51" s="25" t="e">
        <f t="shared" si="12"/>
        <v>#REF!</v>
      </c>
      <c r="V51" s="19" t="e">
        <f>AL51</f>
        <v>#REF!</v>
      </c>
      <c r="W51" s="19">
        <f t="shared" si="9"/>
        <v>123355000</v>
      </c>
      <c r="X51" s="19">
        <f t="shared" si="13"/>
        <v>129965936</v>
      </c>
      <c r="Y51" s="19">
        <f t="shared" si="5"/>
        <v>-6610936</v>
      </c>
      <c r="Z51" s="19">
        <f t="shared" si="6"/>
        <v>2599318.7200000002</v>
      </c>
      <c r="AA51" s="9"/>
      <c r="AB51" s="8" t="e">
        <f>IF($D51=0,SUMIFS(#REF!,#REF!,'итог '!$C51),SUMIFS(#REF!,#REF!,'итог '!$C51,#REF!,'итог '!$D51))</f>
        <v>#REF!</v>
      </c>
      <c r="AC51" s="8" t="e">
        <f>IF($D51=0,SUMIFS(#REF!,#REF!,'итог '!$C51),SUMIFS(#REF!,#REF!,'итог '!$C51,#REF!,'итог '!$D51))</f>
        <v>#REF!</v>
      </c>
      <c r="AD51" s="8" t="e">
        <f>IF($D51=0,SUMIFS(#REF!,#REF!,'итог '!$C51),SUMIFS(#REF!,#REF!,'итог '!$C51,#REF!,'итог '!$D51))</f>
        <v>#REF!</v>
      </c>
      <c r="AE51" s="8" t="e">
        <f>IF($D51=0,SUMIFS(#REF!,#REF!,'итог '!$C51),SUMIFS(#REF!,#REF!,'итог '!$C51,#REF!,'итог '!$D51))</f>
        <v>#REF!</v>
      </c>
      <c r="AF51" s="8" t="e">
        <f>IF($D51=0,SUMIFS(#REF!,#REF!,'итог '!$C51),SUMIFS(#REF!,#REF!,'итог '!$C51,#REF!,'итог '!$D51))</f>
        <v>#REF!</v>
      </c>
      <c r="AG51" s="8" t="e">
        <f>IF($D51=0,SUMIFS(#REF!,#REF!,'итог '!$C51),SUMIFS(#REF!,#REF!,'итог '!$C51,#REF!,'итог '!$D51))</f>
        <v>#REF!</v>
      </c>
      <c r="AH51" s="8" t="e">
        <f>IF($D51=0,SUMIFS(#REF!,#REF!,'итог '!$C51),SUMIFS(#REF!,#REF!,'итог '!$C51,#REF!,'итог '!$D51))</f>
        <v>#REF!</v>
      </c>
      <c r="AI51" s="8" t="e">
        <f>IF($D51=0,SUMIFS(#REF!,#REF!,'итог '!$C51),SUMIFS(#REF!,#REF!,'итог '!$C51,#REF!,'итог '!$D51))</f>
        <v>#REF!</v>
      </c>
      <c r="AJ51" s="8" t="e">
        <f>IF($D51=0,SUMIFS(#REF!,#REF!,'итог '!$C51),SUMIFS(#REF!,#REF!,'итог '!$C51,#REF!,'итог '!$D51))</f>
        <v>#REF!</v>
      </c>
      <c r="AK51" s="8" t="e">
        <f>IF($D51=0,SUMIFS(#REF!,#REF!,'итог '!$C51),SUMIFS(#REF!,#REF!,'итог '!$C51,#REF!,'итог '!$D51))</f>
        <v>#REF!</v>
      </c>
      <c r="AL51" s="8" t="e">
        <f>IF($D51=0,SUMIFS(#REF!,#REF!,'итог '!$C51),SUMIFS(#REF!,#REF!,'итог '!$C51,#REF!,'итог '!$D51))</f>
        <v>#REF!</v>
      </c>
      <c r="AM51" s="8" t="e">
        <f>IF($D51=0,SUMIFS(#REF!,#REF!,'итог '!$C51),SUMIFS(#REF!,#REF!,'итог '!$C51,#REF!,'итог '!$D51))</f>
        <v>#REF!</v>
      </c>
    </row>
    <row r="52" spans="1:39" s="1" customFormat="1" ht="17.25" customHeight="1" x14ac:dyDescent="0.25">
      <c r="A52" s="4" t="s">
        <v>106</v>
      </c>
      <c r="B52" s="5" t="s">
        <v>45</v>
      </c>
      <c r="C52" s="5" t="s">
        <v>45</v>
      </c>
      <c r="D52" s="5"/>
      <c r="E52" s="18" t="e">
        <f>IF(D52=0,SUMIFS(#REF!,#REF!,'итог '!C52),SUMIFS(#REF!,#REF!,'итог '!C52,#REF!,'итог '!D52))/12</f>
        <v>#REF!</v>
      </c>
      <c r="F52" s="6">
        <v>21077270</v>
      </c>
      <c r="G52" s="6">
        <v>1830040</v>
      </c>
      <c r="H52" s="115" t="s">
        <v>263</v>
      </c>
      <c r="I52" s="115" t="s">
        <v>264</v>
      </c>
      <c r="J52" s="7" t="e">
        <f>IF(D52=0,SUMIFS(#REF!,#REF!,'итог '!C52),SUMIFS(#REF!,#REF!,'итог '!C52,#REF!,'итог '!D52))/12/'итог '!E52</f>
        <v>#REF!</v>
      </c>
      <c r="K52" s="7">
        <v>3.22</v>
      </c>
      <c r="L52" s="28" t="e">
        <f t="shared" si="10"/>
        <v>#REF!</v>
      </c>
      <c r="M52" s="28" t="e">
        <f t="shared" si="8"/>
        <v>#REF!</v>
      </c>
      <c r="N52" s="121"/>
      <c r="O52" s="124">
        <v>27.74</v>
      </c>
      <c r="P52" s="124">
        <v>15.17</v>
      </c>
      <c r="Q52" s="8">
        <v>28.24</v>
      </c>
      <c r="R52" s="8">
        <v>27.74</v>
      </c>
      <c r="S52" s="29"/>
      <c r="T52" s="25" t="e">
        <f t="shared" si="11"/>
        <v>#REF!</v>
      </c>
      <c r="U52" s="25" t="e">
        <f t="shared" si="12"/>
        <v>#REF!</v>
      </c>
      <c r="V52" s="30" t="e">
        <f>AH52</f>
        <v>#REF!</v>
      </c>
      <c r="W52" s="30">
        <f t="shared" si="9"/>
        <v>22907310</v>
      </c>
      <c r="X52" s="30">
        <f t="shared" si="13"/>
        <v>21077270</v>
      </c>
      <c r="Y52" s="19">
        <f t="shared" si="5"/>
        <v>1830040</v>
      </c>
      <c r="Z52" s="19">
        <f t="shared" si="6"/>
        <v>421545.4</v>
      </c>
      <c r="AA52" s="6"/>
      <c r="AB52" s="29" t="e">
        <f>IF($D52=0,SUMIFS(#REF!,#REF!,'итог '!$C52),SUMIFS(#REF!,#REF!,'итог '!$C52,#REF!,'итог '!$D52))</f>
        <v>#REF!</v>
      </c>
      <c r="AC52" s="29" t="e">
        <f>IF($D52=0,SUMIFS(#REF!,#REF!,'итог '!$C52),SUMIFS(#REF!,#REF!,'итог '!$C52,#REF!,'итог '!$D52))</f>
        <v>#REF!</v>
      </c>
      <c r="AD52" s="29" t="e">
        <f>IF($D52=0,SUMIFS(#REF!,#REF!,'итог '!$C52),SUMIFS(#REF!,#REF!,'итог '!$C52,#REF!,'итог '!$D52))</f>
        <v>#REF!</v>
      </c>
      <c r="AE52" s="29" t="e">
        <f>IF($D52=0,SUMIFS(#REF!,#REF!,'итог '!$C52),SUMIFS(#REF!,#REF!,'итог '!$C52,#REF!,'итог '!$D52))</f>
        <v>#REF!</v>
      </c>
      <c r="AF52" s="29" t="e">
        <f>IF($D52=0,SUMIFS(#REF!,#REF!,'итог '!$C52),SUMIFS(#REF!,#REF!,'итог '!$C52,#REF!,'итог '!$D52))</f>
        <v>#REF!</v>
      </c>
      <c r="AG52" s="29" t="e">
        <f>IF($D52=0,SUMIFS(#REF!,#REF!,'итог '!$C52),SUMIFS(#REF!,#REF!,'итог '!$C52,#REF!,'итог '!$D52))</f>
        <v>#REF!</v>
      </c>
      <c r="AH52" s="29" t="e">
        <f>IF($D52=0,SUMIFS(#REF!,#REF!,'итог '!$C52),SUMIFS(#REF!,#REF!,'итог '!$C52,#REF!,'итог '!$D52))</f>
        <v>#REF!</v>
      </c>
      <c r="AI52" s="29" t="e">
        <f>IF($D52=0,SUMIFS(#REF!,#REF!,'итог '!$C52),SUMIFS(#REF!,#REF!,'итог '!$C52,#REF!,'итог '!$D52))</f>
        <v>#REF!</v>
      </c>
      <c r="AJ52" s="29" t="e">
        <f>IF($D52=0,SUMIFS(#REF!,#REF!,'итог '!$C52),SUMIFS(#REF!,#REF!,'итог '!$C52,#REF!,'итог '!$D52))</f>
        <v>#REF!</v>
      </c>
      <c r="AK52" s="29" t="e">
        <f>IF($D52=0,SUMIFS(#REF!,#REF!,'итог '!$C52),SUMIFS(#REF!,#REF!,'итог '!$C52,#REF!,'итог '!$D52))</f>
        <v>#REF!</v>
      </c>
      <c r="AL52" s="29" t="e">
        <f>IF($D52=0,SUMIFS(#REF!,#REF!,'итог '!$C52),SUMIFS(#REF!,#REF!,'итог '!$C52,#REF!,'итог '!$D52))</f>
        <v>#REF!</v>
      </c>
      <c r="AM52" s="29" t="e">
        <f>IF($D52=0,SUMIFS(#REF!,#REF!,'итог '!$C52),SUMIFS(#REF!,#REF!,'итог '!$C52,#REF!,'итог '!$D52))</f>
        <v>#REF!</v>
      </c>
    </row>
    <row r="53" spans="1:39" s="1" customFormat="1" ht="15.75" customHeight="1" x14ac:dyDescent="0.25">
      <c r="A53" s="4" t="s">
        <v>103</v>
      </c>
      <c r="B53" s="27" t="s">
        <v>50</v>
      </c>
      <c r="C53" s="27" t="s">
        <v>50</v>
      </c>
      <c r="D53" s="5"/>
      <c r="E53" s="18" t="e">
        <f>IF(D53=0,SUMIFS(#REF!,#REF!,'итог '!C53),SUMIFS(#REF!,#REF!,'итог '!C53,#REF!,'итог '!D53))/12</f>
        <v>#REF!</v>
      </c>
      <c r="F53" s="6">
        <v>15971062</v>
      </c>
      <c r="G53" s="6">
        <v>492938</v>
      </c>
      <c r="H53" s="115" t="s">
        <v>262</v>
      </c>
      <c r="I53" s="115">
        <v>31354</v>
      </c>
      <c r="J53" s="7" t="e">
        <f>IF(D53=0,SUMIFS(#REF!,#REF!,'итог '!C53),SUMIFS(#REF!,#REF!,'итог '!C53,#REF!,'итог '!D53))/12/'итог '!E53</f>
        <v>#REF!</v>
      </c>
      <c r="K53" s="7">
        <v>3.22</v>
      </c>
      <c r="L53" s="28" t="e">
        <f t="shared" si="10"/>
        <v>#REF!</v>
      </c>
      <c r="M53" s="28" t="e">
        <f t="shared" si="8"/>
        <v>#REF!</v>
      </c>
      <c r="N53" s="121">
        <v>56000</v>
      </c>
      <c r="O53" s="124">
        <v>26.65</v>
      </c>
      <c r="P53" s="124">
        <v>24.34</v>
      </c>
      <c r="Q53" s="8">
        <v>26.65</v>
      </c>
      <c r="R53" s="8">
        <v>26.65</v>
      </c>
      <c r="S53" s="29"/>
      <c r="T53" s="25" t="e">
        <f t="shared" si="11"/>
        <v>#REF!</v>
      </c>
      <c r="U53" s="25" t="e">
        <f t="shared" si="12"/>
        <v>#REF!</v>
      </c>
      <c r="V53" s="30" t="e">
        <f>AM53</f>
        <v>#REF!</v>
      </c>
      <c r="W53" s="30">
        <f t="shared" si="9"/>
        <v>16464000</v>
      </c>
      <c r="X53" s="30">
        <f t="shared" si="13"/>
        <v>15971062</v>
      </c>
      <c r="Y53" s="19">
        <f t="shared" si="5"/>
        <v>492938</v>
      </c>
      <c r="Z53" s="19">
        <f>X53*0.02</f>
        <v>319421.24</v>
      </c>
      <c r="AA53" s="6"/>
      <c r="AB53" s="29" t="e">
        <f>IF($D53=0,SUMIFS(#REF!,#REF!,'итог '!$C53),SUMIFS(#REF!,#REF!,'итог '!$C53,#REF!,'итог '!$D53))</f>
        <v>#REF!</v>
      </c>
      <c r="AC53" s="29" t="e">
        <f>IF($D53=0,SUMIFS(#REF!,#REF!,'итог '!$C53),SUMIFS(#REF!,#REF!,'итог '!$C53,#REF!,'итог '!$D53))</f>
        <v>#REF!</v>
      </c>
      <c r="AD53" s="29" t="e">
        <f>IF($D53=0,SUMIFS(#REF!,#REF!,'итог '!$C53),SUMIFS(#REF!,#REF!,'итог '!$C53,#REF!,'итог '!$D53))</f>
        <v>#REF!</v>
      </c>
      <c r="AE53" s="29" t="e">
        <f>IF($D53=0,SUMIFS(#REF!,#REF!,'итог '!$C53),SUMIFS(#REF!,#REF!,'итог '!$C53,#REF!,'итог '!$D53))</f>
        <v>#REF!</v>
      </c>
      <c r="AF53" s="29" t="e">
        <f>IF($D53=0,SUMIFS(#REF!,#REF!,'итог '!$C53),SUMIFS(#REF!,#REF!,'итог '!$C53,#REF!,'итог '!$D53))</f>
        <v>#REF!</v>
      </c>
      <c r="AG53" s="29" t="e">
        <f>IF($D53=0,SUMIFS(#REF!,#REF!,'итог '!$C53),SUMIFS(#REF!,#REF!,'итог '!$C53,#REF!,'итог '!$D53))</f>
        <v>#REF!</v>
      </c>
      <c r="AH53" s="29" t="e">
        <f>IF($D53=0,SUMIFS(#REF!,#REF!,'итог '!$C53),SUMIFS(#REF!,#REF!,'итог '!$C53,#REF!,'итог '!$D53))</f>
        <v>#REF!</v>
      </c>
      <c r="AI53" s="29" t="e">
        <f>IF($D53=0,SUMIFS(#REF!,#REF!,'итог '!$C53),SUMIFS(#REF!,#REF!,'итог '!$C53,#REF!,'итог '!$D53))</f>
        <v>#REF!</v>
      </c>
      <c r="AJ53" s="29" t="e">
        <f>IF($D53=0,SUMIFS(#REF!,#REF!,'итог '!$C53),SUMIFS(#REF!,#REF!,'итог '!$C53,#REF!,'итог '!$D53))</f>
        <v>#REF!</v>
      </c>
      <c r="AK53" s="29" t="e">
        <f>IF($D53=0,SUMIFS(#REF!,#REF!,'итог '!$C53),SUMIFS(#REF!,#REF!,'итог '!$C53,#REF!,'итог '!$D53))</f>
        <v>#REF!</v>
      </c>
      <c r="AL53" s="29" t="e">
        <f>IF($D53=0,SUMIFS(#REF!,#REF!,'итог '!$C53),SUMIFS(#REF!,#REF!,'итог '!$C53,#REF!,'итог '!$D53))</f>
        <v>#REF!</v>
      </c>
      <c r="AM53" s="29" t="e">
        <f>IF($D53=0,SUMIFS(#REF!,#REF!,'итог '!$C53),SUMIFS(#REF!,#REF!,'итог '!$C53,#REF!,'итог '!$D53))</f>
        <v>#REF!</v>
      </c>
    </row>
    <row r="54" spans="1:39" s="1" customFormat="1" ht="15.75" customHeight="1" x14ac:dyDescent="0.25">
      <c r="A54" s="101" t="s">
        <v>104</v>
      </c>
      <c r="B54" s="3">
        <v>207</v>
      </c>
      <c r="C54" s="3">
        <v>207</v>
      </c>
      <c r="D54" s="102"/>
      <c r="E54" s="18" t="e">
        <f>IF(D54=0,SUMIFS(#REF!,#REF!,'итог '!C54),SUMIFS(#REF!,#REF!,'итог '!C54,#REF!,'итог '!D54))/12</f>
        <v>#REF!</v>
      </c>
      <c r="F54" s="6"/>
      <c r="G54" s="6"/>
      <c r="H54" s="6"/>
      <c r="I54" s="6"/>
      <c r="J54" s="7" t="e">
        <f>IF(D54=0,SUMIFS(#REF!,#REF!,'итог '!C54),SUMIFS(#REF!,#REF!,'итог '!C54,#REF!,'итог '!D54))/12/'итог '!E54</f>
        <v>#REF!</v>
      </c>
      <c r="K54" s="7">
        <v>3.22</v>
      </c>
      <c r="L54" s="28">
        <v>3</v>
      </c>
      <c r="M54" s="28">
        <f>X54/L54/12</f>
        <v>45866.666666666664</v>
      </c>
      <c r="N54" s="121">
        <v>45000</v>
      </c>
      <c r="O54" s="124">
        <v>3</v>
      </c>
      <c r="P54" s="124">
        <v>3</v>
      </c>
      <c r="Q54" s="8">
        <v>3</v>
      </c>
      <c r="R54" s="8">
        <v>3</v>
      </c>
      <c r="S54" s="29">
        <f>Q54/L54</f>
        <v>1</v>
      </c>
      <c r="T54" s="25" t="e">
        <f t="shared" si="11"/>
        <v>#REF!</v>
      </c>
      <c r="U54" s="25" t="e">
        <f t="shared" si="12"/>
        <v>#REF!</v>
      </c>
      <c r="V54" s="30" t="e">
        <f>AM54</f>
        <v>#REF!</v>
      </c>
      <c r="W54" s="30">
        <f>1587.6*1000</f>
        <v>1587600</v>
      </c>
      <c r="X54" s="30">
        <v>1651200</v>
      </c>
      <c r="Y54" s="19">
        <f t="shared" ref="Y54" si="14">W54-X54</f>
        <v>-63600</v>
      </c>
      <c r="Z54" s="19">
        <f>X54*0.02</f>
        <v>33024</v>
      </c>
      <c r="AA54" s="6"/>
      <c r="AB54" s="29" t="e">
        <f>IF($D54=0,SUMIFS(#REF!,#REF!,'итог '!$C54),SUMIFS(#REF!,#REF!,'итог '!$C54,#REF!,'итог '!$D54))</f>
        <v>#REF!</v>
      </c>
      <c r="AC54" s="29" t="e">
        <f>IF($D54=0,SUMIFS(#REF!,#REF!,'итог '!$C54),SUMIFS(#REF!,#REF!,'итог '!$C54,#REF!,'итог '!$D54))</f>
        <v>#REF!</v>
      </c>
      <c r="AD54" s="29" t="e">
        <f>IF($D54=0,SUMIFS(#REF!,#REF!,'итог '!$C54),SUMIFS(#REF!,#REF!,'итог '!$C54,#REF!,'итог '!$D54))</f>
        <v>#REF!</v>
      </c>
      <c r="AE54" s="29" t="e">
        <f>IF($D54=0,SUMIFS(#REF!,#REF!,'итог '!$C54),SUMIFS(#REF!,#REF!,'итог '!$C54,#REF!,'итог '!$D54))</f>
        <v>#REF!</v>
      </c>
      <c r="AF54" s="29" t="e">
        <f>IF($D54=0,SUMIFS(#REF!,#REF!,'итог '!$C54),SUMIFS(#REF!,#REF!,'итог '!$C54,#REF!,'итог '!$D54))</f>
        <v>#REF!</v>
      </c>
      <c r="AG54" s="29" t="e">
        <f>IF($D54=0,SUMIFS(#REF!,#REF!,'итог '!$C54),SUMIFS(#REF!,#REF!,'итог '!$C54,#REF!,'итог '!$D54))</f>
        <v>#REF!</v>
      </c>
      <c r="AH54" s="29" t="e">
        <f>IF($D54=0,SUMIFS(#REF!,#REF!,'итог '!$C54),SUMIFS(#REF!,#REF!,'итог '!$C54,#REF!,'итог '!$D54))</f>
        <v>#REF!</v>
      </c>
      <c r="AI54" s="29" t="e">
        <f>IF($D54=0,SUMIFS(#REF!,#REF!,'итог '!$C54),SUMIFS(#REF!,#REF!,'итог '!$C54,#REF!,'итог '!$D54))</f>
        <v>#REF!</v>
      </c>
      <c r="AJ54" s="29" t="e">
        <f>IF($D54=0,SUMIFS(#REF!,#REF!,'итог '!$C54),SUMIFS(#REF!,#REF!,'итог '!$C54,#REF!,'итог '!$D54))</f>
        <v>#REF!</v>
      </c>
      <c r="AK54" s="29" t="e">
        <f>IF($D54=0,SUMIFS(#REF!,#REF!,'итог '!$C54),SUMIFS(#REF!,#REF!,'итог '!$C54,#REF!,'итог '!$D54))</f>
        <v>#REF!</v>
      </c>
      <c r="AL54" s="29" t="e">
        <f>IF($D54=0,SUMIFS(#REF!,#REF!,'итог '!$C54),SUMIFS(#REF!,#REF!,'итог '!$C54,#REF!,'итог '!$D54))</f>
        <v>#REF!</v>
      </c>
      <c r="AM54" s="29" t="e">
        <f>IF($D54=0,SUMIFS(#REF!,#REF!,'итог '!$C54),SUMIFS(#REF!,#REF!,'итог '!$C54,#REF!,'итог '!$D54))</f>
        <v>#REF!</v>
      </c>
    </row>
    <row r="55" spans="1:39" x14ac:dyDescent="0.25">
      <c r="A55" s="165" t="s">
        <v>109</v>
      </c>
      <c r="B55" s="166"/>
      <c r="C55" s="166"/>
      <c r="D55" s="167"/>
      <c r="E55" s="10" t="e">
        <f>SUM(E4:E52)</f>
        <v>#REF!</v>
      </c>
      <c r="F55" s="11"/>
      <c r="G55" s="12"/>
      <c r="H55" s="12"/>
      <c r="I55" s="12"/>
      <c r="J55" s="13" t="e">
        <f>AVERAGE(J4:J52)</f>
        <v>#REF!</v>
      </c>
      <c r="K55" s="13">
        <f>AVERAGE(K4:K54)</f>
        <v>3.369019607843136</v>
      </c>
      <c r="L55" s="13" t="e">
        <f>SUM(L4:L52)</f>
        <v>#REF!</v>
      </c>
      <c r="M55" s="13" t="e">
        <f t="shared" ref="M55:V55" si="15">AVERAGE(M4:M52)</f>
        <v>#REF!</v>
      </c>
      <c r="N55" s="13">
        <f t="shared" si="15"/>
        <v>60056.25</v>
      </c>
      <c r="O55" s="13">
        <f>SUM(O4:O54)</f>
        <v>3932.27</v>
      </c>
      <c r="P55" s="13">
        <f>SUM(P4:P54)</f>
        <v>3556.87</v>
      </c>
      <c r="Q55" s="13">
        <f>SUM(Q4:Q52)</f>
        <v>4239.7200000000012</v>
      </c>
      <c r="R55" s="13"/>
      <c r="S55" s="13">
        <f>SUM(S4:S52)</f>
        <v>141.64999999999986</v>
      </c>
      <c r="T55" s="13"/>
      <c r="U55" s="13"/>
      <c r="V55" s="13" t="e">
        <f t="shared" si="15"/>
        <v>#REF!</v>
      </c>
      <c r="W55" s="13">
        <f>SUM(W4:W53)</f>
        <v>2641962354</v>
      </c>
      <c r="X55" s="13">
        <f t="shared" ref="X55:AM55" si="16">SUM(X4:X53)</f>
        <v>2573901236.6795506</v>
      </c>
      <c r="Y55" s="13">
        <f t="shared" si="16"/>
        <v>68061117.320449248</v>
      </c>
      <c r="Z55" s="13"/>
      <c r="AA55" s="13">
        <f>AVERAGE(AA4:AA52)</f>
        <v>2250355.9679999994</v>
      </c>
      <c r="AB55" s="13" t="e">
        <f t="shared" si="16"/>
        <v>#REF!</v>
      </c>
      <c r="AC55" s="13" t="e">
        <f t="shared" si="16"/>
        <v>#REF!</v>
      </c>
      <c r="AD55" s="13" t="e">
        <f t="shared" si="16"/>
        <v>#REF!</v>
      </c>
      <c r="AE55" s="13" t="e">
        <f t="shared" si="16"/>
        <v>#REF!</v>
      </c>
      <c r="AF55" s="13" t="e">
        <f t="shared" si="16"/>
        <v>#REF!</v>
      </c>
      <c r="AG55" s="13" t="e">
        <f t="shared" si="16"/>
        <v>#REF!</v>
      </c>
      <c r="AH55" s="13" t="e">
        <f t="shared" si="16"/>
        <v>#REF!</v>
      </c>
      <c r="AI55" s="13" t="e">
        <f t="shared" si="16"/>
        <v>#REF!</v>
      </c>
      <c r="AJ55" s="13" t="e">
        <f t="shared" si="16"/>
        <v>#REF!</v>
      </c>
      <c r="AK55" s="13" t="e">
        <f t="shared" si="16"/>
        <v>#REF!</v>
      </c>
      <c r="AL55" s="13" t="e">
        <f t="shared" si="16"/>
        <v>#REF!</v>
      </c>
      <c r="AM55" s="13" t="e">
        <f t="shared" si="16"/>
        <v>#REF!</v>
      </c>
    </row>
    <row r="56" spans="1:39" x14ac:dyDescent="0.25">
      <c r="G56" s="2"/>
      <c r="H56" s="2"/>
      <c r="I56" s="2"/>
      <c r="J56" s="2"/>
      <c r="K56" s="2"/>
    </row>
    <row r="57" spans="1:39" x14ac:dyDescent="0.25">
      <c r="G57" s="2"/>
      <c r="H57" s="2"/>
      <c r="I57" s="2"/>
      <c r="J57" s="2"/>
      <c r="K57" s="2"/>
    </row>
    <row r="58" spans="1:39" x14ac:dyDescent="0.25">
      <c r="G58" s="2"/>
      <c r="H58" s="2"/>
      <c r="I58" s="2"/>
      <c r="J58" s="2"/>
      <c r="K58" s="2"/>
    </row>
    <row r="59" spans="1:39" x14ac:dyDescent="0.25">
      <c r="A59" s="120" t="s">
        <v>265</v>
      </c>
      <c r="B59" s="120"/>
      <c r="C59" s="120"/>
      <c r="D59" s="120"/>
      <c r="G59" s="2"/>
      <c r="H59" s="2"/>
      <c r="I59" s="2"/>
      <c r="J59" s="2"/>
      <c r="K59" s="2"/>
    </row>
    <row r="60" spans="1:39" x14ac:dyDescent="0.25">
      <c r="G60" s="2"/>
      <c r="H60" s="2"/>
      <c r="I60" s="2"/>
      <c r="J60" s="2"/>
      <c r="K60" s="2"/>
    </row>
    <row r="61" spans="1:39" x14ac:dyDescent="0.25">
      <c r="G61" s="2"/>
      <c r="H61" s="2"/>
      <c r="I61" s="2"/>
      <c r="J61" s="2"/>
      <c r="K61" s="2"/>
    </row>
    <row r="62" spans="1:39" x14ac:dyDescent="0.25">
      <c r="G62" s="2"/>
      <c r="H62" s="2"/>
      <c r="I62" s="2"/>
      <c r="J62" s="2"/>
      <c r="K62" s="2"/>
    </row>
    <row r="63" spans="1:39" x14ac:dyDescent="0.25">
      <c r="G63" s="2"/>
      <c r="H63" s="2"/>
      <c r="I63" s="2"/>
      <c r="J63" s="2"/>
      <c r="K63" s="2"/>
    </row>
    <row r="64" spans="1:39" x14ac:dyDescent="0.25">
      <c r="G64" s="2"/>
      <c r="H64" s="2"/>
      <c r="I64" s="2"/>
      <c r="J64" s="2"/>
      <c r="K64" s="2"/>
    </row>
    <row r="65" spans="7:11" x14ac:dyDescent="0.25">
      <c r="G65" s="2"/>
      <c r="H65" s="2"/>
      <c r="I65" s="2"/>
      <c r="J65" s="2"/>
      <c r="K65" s="2"/>
    </row>
    <row r="66" spans="7:11" x14ac:dyDescent="0.25">
      <c r="G66" s="2"/>
      <c r="H66" s="2"/>
      <c r="I66" s="2"/>
      <c r="J66" s="2"/>
      <c r="K66" s="2"/>
    </row>
    <row r="67" spans="7:11" x14ac:dyDescent="0.25">
      <c r="G67" s="2"/>
      <c r="H67" s="2"/>
      <c r="I67" s="2"/>
      <c r="J67" s="2"/>
      <c r="K67" s="2"/>
    </row>
    <row r="68" spans="7:11" x14ac:dyDescent="0.25">
      <c r="G68" s="2"/>
      <c r="H68" s="2"/>
      <c r="I68" s="2"/>
      <c r="J68" s="2"/>
      <c r="K68" s="2"/>
    </row>
    <row r="69" spans="7:11" x14ac:dyDescent="0.25">
      <c r="G69" s="2"/>
      <c r="H69" s="2"/>
      <c r="I69" s="2"/>
      <c r="J69" s="2"/>
      <c r="K69" s="2"/>
    </row>
    <row r="70" spans="7:11" x14ac:dyDescent="0.25">
      <c r="G70" s="2"/>
      <c r="H70" s="2"/>
      <c r="I70" s="2"/>
      <c r="J70" s="2"/>
      <c r="K70" s="2"/>
    </row>
    <row r="71" spans="7:11" x14ac:dyDescent="0.25">
      <c r="G71" s="2"/>
      <c r="H71" s="2"/>
      <c r="I71" s="2"/>
      <c r="J71" s="2"/>
      <c r="K71" s="2"/>
    </row>
    <row r="72" spans="7:11" x14ac:dyDescent="0.25">
      <c r="G72" s="2"/>
      <c r="H72" s="2"/>
      <c r="I72" s="2"/>
      <c r="J72" s="2"/>
      <c r="K72" s="2"/>
    </row>
    <row r="73" spans="7:11" x14ac:dyDescent="0.25">
      <c r="G73" s="2"/>
      <c r="H73" s="2"/>
      <c r="I73" s="2"/>
      <c r="J73" s="2"/>
      <c r="K73" s="2"/>
    </row>
    <row r="74" spans="7:11" x14ac:dyDescent="0.25">
      <c r="G74" s="2"/>
      <c r="H74" s="2"/>
      <c r="I74" s="2"/>
      <c r="J74" s="2"/>
      <c r="K74" s="2"/>
    </row>
    <row r="75" spans="7:11" x14ac:dyDescent="0.25">
      <c r="G75" s="2"/>
      <c r="H75" s="2"/>
      <c r="I75" s="2"/>
      <c r="J75" s="2"/>
      <c r="K75" s="2"/>
    </row>
    <row r="76" spans="7:11" x14ac:dyDescent="0.25">
      <c r="G76" s="2"/>
      <c r="H76" s="2"/>
      <c r="I76" s="2"/>
      <c r="J76" s="2"/>
      <c r="K76" s="2"/>
    </row>
    <row r="77" spans="7:11" x14ac:dyDescent="0.25">
      <c r="G77" s="2"/>
      <c r="H77" s="2"/>
      <c r="I77" s="2"/>
      <c r="J77" s="2"/>
      <c r="K77" s="2"/>
    </row>
    <row r="78" spans="7:11" x14ac:dyDescent="0.25">
      <c r="G78" s="2"/>
      <c r="H78" s="2"/>
      <c r="I78" s="2"/>
      <c r="J78" s="2"/>
      <c r="K78" s="2"/>
    </row>
    <row r="79" spans="7:11" x14ac:dyDescent="0.25">
      <c r="G79" s="2"/>
      <c r="H79" s="2"/>
      <c r="I79" s="2"/>
      <c r="J79" s="2"/>
      <c r="K79" s="2"/>
    </row>
    <row r="80" spans="7:11" x14ac:dyDescent="0.25">
      <c r="G80" s="2"/>
      <c r="H80" s="2"/>
      <c r="I80" s="2"/>
      <c r="J80" s="2"/>
      <c r="K80" s="2"/>
    </row>
    <row r="81" spans="7:11" x14ac:dyDescent="0.25">
      <c r="G81" s="2"/>
      <c r="H81" s="2"/>
      <c r="I81" s="2"/>
      <c r="J81" s="2"/>
      <c r="K81" s="2"/>
    </row>
    <row r="82" spans="7:11" x14ac:dyDescent="0.25">
      <c r="G82" s="2"/>
      <c r="H82" s="2"/>
      <c r="I82" s="2"/>
      <c r="J82" s="2"/>
      <c r="K82" s="2"/>
    </row>
    <row r="83" spans="7:11" x14ac:dyDescent="0.25">
      <c r="G83" s="2"/>
      <c r="H83" s="2"/>
      <c r="I83" s="2"/>
      <c r="J83" s="2"/>
      <c r="K83" s="2"/>
    </row>
    <row r="84" spans="7:11" x14ac:dyDescent="0.25">
      <c r="G84" s="2"/>
      <c r="H84" s="2"/>
      <c r="I84" s="2"/>
      <c r="J84" s="2"/>
      <c r="K84" s="2"/>
    </row>
    <row r="85" spans="7:11" x14ac:dyDescent="0.25">
      <c r="G85" s="2"/>
      <c r="H85" s="2"/>
      <c r="I85" s="2"/>
      <c r="J85" s="2"/>
      <c r="K85" s="2"/>
    </row>
    <row r="86" spans="7:11" x14ac:dyDescent="0.25">
      <c r="G86" s="2"/>
      <c r="H86" s="2"/>
      <c r="I86" s="2"/>
      <c r="J86" s="2"/>
      <c r="K86" s="2"/>
    </row>
    <row r="87" spans="7:11" x14ac:dyDescent="0.25">
      <c r="G87" s="2"/>
      <c r="H87" s="2"/>
      <c r="I87" s="2"/>
      <c r="J87" s="2"/>
      <c r="K87" s="2"/>
    </row>
    <row r="88" spans="7:11" x14ac:dyDescent="0.25">
      <c r="G88" s="2"/>
      <c r="H88" s="2"/>
      <c r="I88" s="2"/>
      <c r="J88" s="2"/>
      <c r="K88" s="2"/>
    </row>
    <row r="89" spans="7:11" x14ac:dyDescent="0.25">
      <c r="G89" s="2"/>
      <c r="H89" s="2"/>
      <c r="I89" s="2"/>
      <c r="J89" s="2"/>
      <c r="K89" s="2"/>
    </row>
    <row r="90" spans="7:11" x14ac:dyDescent="0.25">
      <c r="G90" s="2"/>
      <c r="H90" s="2"/>
      <c r="I90" s="2"/>
      <c r="J90" s="2"/>
      <c r="K90" s="2"/>
    </row>
    <row r="91" spans="7:11" x14ac:dyDescent="0.25">
      <c r="G91" s="2"/>
      <c r="H91" s="2"/>
      <c r="I91" s="2"/>
      <c r="J91" s="2"/>
      <c r="K91" s="2"/>
    </row>
    <row r="92" spans="7:11" x14ac:dyDescent="0.25">
      <c r="G92" s="2"/>
      <c r="H92" s="2"/>
      <c r="I92" s="2"/>
      <c r="J92" s="2"/>
      <c r="K92" s="2"/>
    </row>
    <row r="93" spans="7:11" x14ac:dyDescent="0.25">
      <c r="G93" s="2"/>
      <c r="H93" s="2"/>
      <c r="I93" s="2"/>
      <c r="J93" s="2"/>
      <c r="K93" s="2"/>
    </row>
    <row r="94" spans="7:11" x14ac:dyDescent="0.25">
      <c r="G94" s="2"/>
      <c r="H94" s="2"/>
      <c r="I94" s="2"/>
      <c r="J94" s="2"/>
      <c r="K94" s="2"/>
    </row>
    <row r="95" spans="7:11" x14ac:dyDescent="0.25">
      <c r="G95" s="2"/>
      <c r="H95" s="2"/>
      <c r="I95" s="2"/>
      <c r="J95" s="2"/>
      <c r="K95" s="2"/>
    </row>
    <row r="96" spans="7:11" x14ac:dyDescent="0.25">
      <c r="G96" s="2"/>
      <c r="H96" s="2"/>
      <c r="I96" s="2"/>
      <c r="J96" s="2"/>
      <c r="K96" s="2"/>
    </row>
    <row r="97" spans="7:11" x14ac:dyDescent="0.25">
      <c r="G97" s="2"/>
      <c r="H97" s="2"/>
      <c r="I97" s="2"/>
      <c r="J97" s="2"/>
      <c r="K97" s="2"/>
    </row>
    <row r="98" spans="7:11" x14ac:dyDescent="0.25">
      <c r="G98" s="2"/>
      <c r="H98" s="2"/>
      <c r="I98" s="2"/>
      <c r="J98" s="2"/>
      <c r="K98" s="2"/>
    </row>
    <row r="99" spans="7:11" x14ac:dyDescent="0.25">
      <c r="G99" s="2"/>
      <c r="H99" s="2"/>
      <c r="I99" s="2"/>
      <c r="J99" s="2"/>
      <c r="K99" s="2"/>
    </row>
    <row r="100" spans="7:11" x14ac:dyDescent="0.25">
      <c r="G100" s="2"/>
      <c r="H100" s="2"/>
      <c r="I100" s="2"/>
      <c r="J100" s="2"/>
      <c r="K100" s="2"/>
    </row>
    <row r="101" spans="7:11" x14ac:dyDescent="0.25">
      <c r="G101" s="2"/>
      <c r="H101" s="2"/>
      <c r="I101" s="2"/>
      <c r="J101" s="2"/>
      <c r="K101" s="2"/>
    </row>
    <row r="102" spans="7:11" x14ac:dyDescent="0.25">
      <c r="G102" s="2"/>
      <c r="H102" s="2"/>
      <c r="I102" s="2"/>
      <c r="J102" s="2"/>
      <c r="K102" s="2"/>
    </row>
    <row r="103" spans="7:11" x14ac:dyDescent="0.25">
      <c r="G103" s="2"/>
      <c r="H103" s="2"/>
      <c r="I103" s="2"/>
      <c r="J103" s="2"/>
      <c r="K103" s="2"/>
    </row>
    <row r="104" spans="7:11" x14ac:dyDescent="0.25">
      <c r="G104" s="2"/>
      <c r="H104" s="2"/>
      <c r="I104" s="2"/>
      <c r="J104" s="2"/>
      <c r="K104" s="2"/>
    </row>
    <row r="105" spans="7:11" x14ac:dyDescent="0.25">
      <c r="G105" s="2"/>
      <c r="H105" s="2"/>
      <c r="I105" s="2"/>
      <c r="J105" s="2"/>
      <c r="K105" s="2"/>
    </row>
    <row r="106" spans="7:11" x14ac:dyDescent="0.25">
      <c r="G106" s="2"/>
      <c r="H106" s="2"/>
      <c r="I106" s="2"/>
      <c r="J106" s="2"/>
      <c r="K106" s="2"/>
    </row>
    <row r="107" spans="7:11" x14ac:dyDescent="0.25">
      <c r="G107" s="2"/>
      <c r="H107" s="2"/>
      <c r="I107" s="2"/>
      <c r="J107" s="2"/>
      <c r="K107" s="2"/>
    </row>
    <row r="108" spans="7:11" x14ac:dyDescent="0.25">
      <c r="G108" s="2"/>
      <c r="H108" s="2"/>
      <c r="I108" s="2"/>
      <c r="J108" s="2"/>
      <c r="K108" s="2"/>
    </row>
    <row r="109" spans="7:11" x14ac:dyDescent="0.25">
      <c r="G109" s="2"/>
      <c r="H109" s="2"/>
      <c r="I109" s="2"/>
      <c r="J109" s="2"/>
      <c r="K109" s="2"/>
    </row>
    <row r="110" spans="7:11" x14ac:dyDescent="0.25">
      <c r="G110" s="2"/>
      <c r="H110" s="2"/>
      <c r="I110" s="2"/>
      <c r="J110" s="2"/>
      <c r="K110" s="2"/>
    </row>
    <row r="111" spans="7:11" x14ac:dyDescent="0.25">
      <c r="G111" s="2"/>
      <c r="H111" s="2"/>
      <c r="I111" s="2"/>
      <c r="J111" s="2"/>
      <c r="K111" s="2"/>
    </row>
    <row r="112" spans="7:11" x14ac:dyDescent="0.25">
      <c r="G112" s="2"/>
      <c r="H112" s="2"/>
      <c r="I112" s="2"/>
      <c r="J112" s="2"/>
      <c r="K112" s="2"/>
    </row>
    <row r="113" spans="7:11" x14ac:dyDescent="0.25">
      <c r="G113" s="2"/>
      <c r="H113" s="2"/>
      <c r="I113" s="2"/>
      <c r="J113" s="2"/>
      <c r="K113" s="2"/>
    </row>
    <row r="114" spans="7:11" x14ac:dyDescent="0.25">
      <c r="G114" s="2"/>
      <c r="H114" s="2"/>
      <c r="I114" s="2"/>
      <c r="J114" s="2"/>
      <c r="K114" s="2"/>
    </row>
    <row r="115" spans="7:11" x14ac:dyDescent="0.25">
      <c r="G115" s="2"/>
      <c r="H115" s="2"/>
      <c r="I115" s="2"/>
      <c r="J115" s="2"/>
      <c r="K115" s="2"/>
    </row>
    <row r="116" spans="7:11" x14ac:dyDescent="0.25">
      <c r="G116" s="2"/>
      <c r="H116" s="2"/>
      <c r="I116" s="2"/>
      <c r="J116" s="2"/>
      <c r="K116" s="2"/>
    </row>
    <row r="117" spans="7:11" x14ac:dyDescent="0.25">
      <c r="G117" s="2"/>
      <c r="H117" s="2"/>
      <c r="I117" s="2"/>
      <c r="J117" s="2"/>
      <c r="K117" s="2"/>
    </row>
    <row r="118" spans="7:11" x14ac:dyDescent="0.25">
      <c r="G118" s="2"/>
      <c r="H118" s="2"/>
      <c r="I118" s="2"/>
      <c r="J118" s="2"/>
      <c r="K118" s="2"/>
    </row>
    <row r="119" spans="7:11" x14ac:dyDescent="0.25">
      <c r="G119" s="2"/>
      <c r="H119" s="2"/>
      <c r="I119" s="2"/>
      <c r="J119" s="2"/>
      <c r="K119" s="2"/>
    </row>
    <row r="120" spans="7:11" x14ac:dyDescent="0.25">
      <c r="G120" s="2"/>
      <c r="H120" s="2"/>
      <c r="I120" s="2"/>
      <c r="J120" s="2"/>
      <c r="K120" s="2"/>
    </row>
    <row r="121" spans="7:11" x14ac:dyDescent="0.25">
      <c r="G121" s="2"/>
      <c r="H121" s="2"/>
      <c r="I121" s="2"/>
      <c r="J121" s="2"/>
      <c r="K121" s="2"/>
    </row>
    <row r="122" spans="7:11" x14ac:dyDescent="0.25">
      <c r="G122" s="2"/>
      <c r="H122" s="2"/>
      <c r="I122" s="2"/>
      <c r="J122" s="2"/>
      <c r="K122" s="2"/>
    </row>
    <row r="123" spans="7:11" x14ac:dyDescent="0.25">
      <c r="G123" s="2"/>
      <c r="H123" s="2"/>
      <c r="I123" s="2"/>
      <c r="J123" s="2"/>
      <c r="K123" s="2"/>
    </row>
    <row r="124" spans="7:11" x14ac:dyDescent="0.25">
      <c r="G124" s="2"/>
      <c r="H124" s="2"/>
      <c r="I124" s="2"/>
      <c r="J124" s="2"/>
      <c r="K124" s="2"/>
    </row>
    <row r="125" spans="7:11" x14ac:dyDescent="0.25">
      <c r="G125" s="2"/>
      <c r="H125" s="2"/>
      <c r="I125" s="2"/>
      <c r="J125" s="2"/>
      <c r="K125" s="2"/>
    </row>
    <row r="126" spans="7:11" x14ac:dyDescent="0.25">
      <c r="G126" s="2"/>
      <c r="H126" s="2"/>
      <c r="I126" s="2"/>
      <c r="J126" s="2"/>
      <c r="K126" s="2"/>
    </row>
    <row r="127" spans="7:11" x14ac:dyDescent="0.25">
      <c r="G127" s="2"/>
      <c r="H127" s="2"/>
      <c r="I127" s="2"/>
      <c r="J127" s="2"/>
      <c r="K127" s="2"/>
    </row>
    <row r="128" spans="7:11" x14ac:dyDescent="0.25">
      <c r="G128" s="2"/>
      <c r="H128" s="2"/>
      <c r="I128" s="2"/>
      <c r="J128" s="2"/>
      <c r="K128" s="2"/>
    </row>
    <row r="129" spans="7:11" x14ac:dyDescent="0.25">
      <c r="G129" s="2"/>
      <c r="H129" s="2"/>
      <c r="I129" s="2"/>
      <c r="J129" s="2"/>
      <c r="K129" s="2"/>
    </row>
    <row r="130" spans="7:11" x14ac:dyDescent="0.25">
      <c r="G130" s="2"/>
      <c r="H130" s="2"/>
      <c r="I130" s="2"/>
      <c r="J130" s="2"/>
      <c r="K130" s="2"/>
    </row>
    <row r="131" spans="7:11" x14ac:dyDescent="0.25">
      <c r="G131" s="2"/>
      <c r="H131" s="2"/>
      <c r="I131" s="2"/>
      <c r="J131" s="2"/>
      <c r="K131" s="2"/>
    </row>
    <row r="132" spans="7:11" x14ac:dyDescent="0.25">
      <c r="G132" s="2"/>
      <c r="H132" s="2"/>
      <c r="I132" s="2"/>
      <c r="J132" s="2"/>
      <c r="K132" s="2"/>
    </row>
    <row r="133" spans="7:11" x14ac:dyDescent="0.25">
      <c r="G133" s="2"/>
      <c r="H133" s="2"/>
      <c r="I133" s="2"/>
      <c r="J133" s="2"/>
      <c r="K133" s="2"/>
    </row>
    <row r="134" spans="7:11" x14ac:dyDescent="0.25">
      <c r="G134" s="2"/>
      <c r="H134" s="2"/>
      <c r="I134" s="2"/>
      <c r="J134" s="2"/>
      <c r="K134" s="2"/>
    </row>
    <row r="135" spans="7:11" x14ac:dyDescent="0.25">
      <c r="G135" s="2"/>
      <c r="H135" s="2"/>
      <c r="I135" s="2"/>
      <c r="J135" s="2"/>
      <c r="K135" s="2"/>
    </row>
    <row r="136" spans="7:11" x14ac:dyDescent="0.25">
      <c r="G136" s="2"/>
      <c r="H136" s="2"/>
      <c r="I136" s="2"/>
      <c r="J136" s="2"/>
      <c r="K136" s="2"/>
    </row>
    <row r="137" spans="7:11" x14ac:dyDescent="0.25">
      <c r="G137" s="2"/>
      <c r="H137" s="2"/>
      <c r="I137" s="2"/>
      <c r="J137" s="2"/>
      <c r="K137" s="2"/>
    </row>
    <row r="138" spans="7:11" x14ac:dyDescent="0.25">
      <c r="G138" s="2"/>
      <c r="H138" s="2"/>
      <c r="I138" s="2"/>
      <c r="J138" s="2"/>
      <c r="K138" s="2"/>
    </row>
    <row r="139" spans="7:11" x14ac:dyDescent="0.25">
      <c r="G139" s="2"/>
      <c r="H139" s="2"/>
      <c r="I139" s="2"/>
      <c r="J139" s="2"/>
      <c r="K139" s="2"/>
    </row>
    <row r="140" spans="7:11" x14ac:dyDescent="0.25">
      <c r="G140" s="2"/>
      <c r="H140" s="2"/>
      <c r="I140" s="2"/>
      <c r="J140" s="2"/>
      <c r="K140" s="2"/>
    </row>
    <row r="141" spans="7:11" x14ac:dyDescent="0.25">
      <c r="G141" s="2"/>
      <c r="H141" s="2"/>
      <c r="I141" s="2"/>
      <c r="J141" s="2"/>
      <c r="K141" s="2"/>
    </row>
    <row r="142" spans="7:11" x14ac:dyDescent="0.25">
      <c r="G142" s="2"/>
      <c r="H142" s="2"/>
      <c r="I142" s="2"/>
      <c r="J142" s="2"/>
      <c r="K142" s="2"/>
    </row>
    <row r="143" spans="7:11" x14ac:dyDescent="0.25">
      <c r="G143" s="2"/>
      <c r="H143" s="2"/>
      <c r="I143" s="2"/>
      <c r="J143" s="2"/>
      <c r="K143" s="2"/>
    </row>
    <row r="144" spans="7:11" x14ac:dyDescent="0.25">
      <c r="G144" s="2"/>
      <c r="H144" s="2"/>
      <c r="I144" s="2"/>
      <c r="J144" s="2"/>
      <c r="K144" s="2"/>
    </row>
    <row r="145" spans="7:11" x14ac:dyDescent="0.25">
      <c r="G145" s="2"/>
      <c r="H145" s="2"/>
      <c r="I145" s="2"/>
      <c r="J145" s="2"/>
      <c r="K145" s="2"/>
    </row>
    <row r="146" spans="7:11" x14ac:dyDescent="0.25">
      <c r="G146" s="2"/>
      <c r="H146" s="2"/>
      <c r="I146" s="2"/>
      <c r="J146" s="2"/>
      <c r="K146" s="2"/>
    </row>
    <row r="147" spans="7:11" x14ac:dyDescent="0.25">
      <c r="G147" s="2"/>
      <c r="H147" s="2"/>
      <c r="I147" s="2"/>
      <c r="J147" s="2"/>
      <c r="K147" s="2"/>
    </row>
    <row r="148" spans="7:11" x14ac:dyDescent="0.25">
      <c r="G148" s="2"/>
      <c r="H148" s="2"/>
      <c r="I148" s="2"/>
      <c r="J148" s="2"/>
      <c r="K148" s="2"/>
    </row>
    <row r="149" spans="7:11" x14ac:dyDescent="0.25">
      <c r="G149" s="2"/>
      <c r="H149" s="2"/>
      <c r="I149" s="2"/>
      <c r="J149" s="2"/>
      <c r="K149" s="2"/>
    </row>
    <row r="150" spans="7:11" x14ac:dyDescent="0.25">
      <c r="G150" s="2"/>
      <c r="H150" s="2"/>
      <c r="I150" s="2"/>
      <c r="J150" s="2"/>
      <c r="K150" s="2"/>
    </row>
    <row r="151" spans="7:11" x14ac:dyDescent="0.25">
      <c r="G151" s="2"/>
      <c r="H151" s="2"/>
      <c r="I151" s="2"/>
      <c r="J151" s="2"/>
      <c r="K151" s="2"/>
    </row>
    <row r="152" spans="7:11" x14ac:dyDescent="0.25">
      <c r="G152" s="2"/>
      <c r="H152" s="2"/>
      <c r="I152" s="2"/>
      <c r="J152" s="2"/>
      <c r="K152" s="2"/>
    </row>
    <row r="153" spans="7:11" x14ac:dyDescent="0.25">
      <c r="G153" s="2"/>
      <c r="H153" s="2"/>
      <c r="I153" s="2"/>
      <c r="J153" s="2"/>
      <c r="K153" s="2"/>
    </row>
    <row r="154" spans="7:11" x14ac:dyDescent="0.25">
      <c r="G154" s="2"/>
      <c r="H154" s="2"/>
      <c r="I154" s="2"/>
      <c r="J154" s="2"/>
      <c r="K154" s="2"/>
    </row>
    <row r="155" spans="7:11" x14ac:dyDescent="0.25">
      <c r="G155" s="2"/>
      <c r="H155" s="2"/>
      <c r="I155" s="2"/>
      <c r="J155" s="2"/>
      <c r="K155" s="2"/>
    </row>
    <row r="156" spans="7:11" x14ac:dyDescent="0.25">
      <c r="G156" s="2"/>
      <c r="H156" s="2"/>
      <c r="I156" s="2"/>
      <c r="J156" s="2"/>
      <c r="K156" s="2"/>
    </row>
    <row r="157" spans="7:11" x14ac:dyDescent="0.25">
      <c r="G157" s="2"/>
      <c r="H157" s="2"/>
      <c r="I157" s="2"/>
      <c r="J157" s="2"/>
      <c r="K157" s="2"/>
    </row>
    <row r="158" spans="7:11" x14ac:dyDescent="0.25">
      <c r="G158" s="2"/>
      <c r="H158" s="2"/>
      <c r="I158" s="2"/>
      <c r="J158" s="2"/>
      <c r="K158" s="2"/>
    </row>
    <row r="159" spans="7:11" x14ac:dyDescent="0.25">
      <c r="G159" s="2"/>
      <c r="H159" s="2"/>
      <c r="I159" s="2"/>
      <c r="J159" s="2"/>
      <c r="K159" s="2"/>
    </row>
    <row r="160" spans="7:11" x14ac:dyDescent="0.25">
      <c r="G160" s="2"/>
      <c r="H160" s="2"/>
      <c r="I160" s="2"/>
      <c r="J160" s="2"/>
      <c r="K160" s="2"/>
    </row>
    <row r="161" spans="7:11" x14ac:dyDescent="0.25">
      <c r="G161" s="2"/>
      <c r="H161" s="2"/>
      <c r="I161" s="2"/>
      <c r="J161" s="2"/>
      <c r="K161" s="2"/>
    </row>
  </sheetData>
  <autoFilter ref="A3:AM55"/>
  <customSheetViews>
    <customSheetView guid="{E2D89713-329E-4646-96A4-DF85EB814D99}" showAutoFilter="1" hiddenColumns="1">
      <pane xSplit="11" ySplit="3" topLeftCell="M28" activePane="bottomRight" state="frozen"/>
      <selection pane="bottomRight" activeCell="AH44" sqref="AH44"/>
      <pageMargins left="0.7" right="0.7" top="0.75" bottom="0.75" header="0.3" footer="0.3"/>
      <pageSetup paperSize="9" orientation="portrait" r:id="rId1"/>
      <autoFilter ref="A3:BE54"/>
    </customSheetView>
    <customSheetView guid="{00BFEA53-DE9B-4168-86F9-051EA2F14C76}" showAutoFilter="1" hiddenColumns="1">
      <pane xSplit="11" ySplit="3" topLeftCell="M28" activePane="bottomRight" state="frozen"/>
      <selection pane="bottomRight" activeCell="AH44" sqref="AH44"/>
      <pageMargins left="0.7" right="0.7" top="0.75" bottom="0.75" header="0.3" footer="0.3"/>
      <pageSetup paperSize="9" orientation="portrait" r:id="rId2"/>
      <autoFilter ref="A3:BE54"/>
    </customSheetView>
    <customSheetView guid="{A85C9AEB-D1CC-4007-B352-4A6F96D3EAB7}" showAutoFilter="1" hiddenColumns="1">
      <pane xSplit="11" ySplit="3" topLeftCell="M28" activePane="bottomRight" state="frozen"/>
      <selection pane="bottomRight" activeCell="AH44" sqref="AH44"/>
      <pageMargins left="0.7" right="0.7" top="0.75" bottom="0.75" header="0.3" footer="0.3"/>
      <pageSetup paperSize="9" orientation="portrait" r:id="rId3"/>
      <autoFilter ref="A3:BE54"/>
    </customSheetView>
  </customSheetViews>
  <mergeCells count="26">
    <mergeCell ref="H9:H12"/>
    <mergeCell ref="I9:I12"/>
    <mergeCell ref="H33:H36"/>
    <mergeCell ref="I33:I36"/>
    <mergeCell ref="AB2:AM2"/>
    <mergeCell ref="V2:V3"/>
    <mergeCell ref="W2:Y2"/>
    <mergeCell ref="J1:J3"/>
    <mergeCell ref="K1:K3"/>
    <mergeCell ref="L1:Y1"/>
    <mergeCell ref="S2:S3"/>
    <mergeCell ref="AA1:AA3"/>
    <mergeCell ref="L2:L3"/>
    <mergeCell ref="M2:M3"/>
    <mergeCell ref="Q2:R2"/>
    <mergeCell ref="T2:U2"/>
    <mergeCell ref="N2:N3"/>
    <mergeCell ref="O2:O3"/>
    <mergeCell ref="P2:P3"/>
    <mergeCell ref="F1:F3"/>
    <mergeCell ref="G1:G3"/>
    <mergeCell ref="A55:D55"/>
    <mergeCell ref="A1:A3"/>
    <mergeCell ref="C1:C3"/>
    <mergeCell ref="D1:D3"/>
    <mergeCell ref="E1:E3"/>
  </mergeCells>
  <conditionalFormatting sqref="AB56:AM1048576 AB1:AM1 AB2 AB3:AM54">
    <cfRule type="duplicateValues" dxfId="3" priority="9"/>
    <cfRule type="duplicateValues" dxfId="2" priority="10"/>
  </conditionalFormatting>
  <conditionalFormatting sqref="Y1:Y1048576">
    <cfRule type="cellIs" dxfId="1" priority="1" operator="lessThan">
      <formula>0</formula>
    </cfRule>
  </conditionalFormatting>
  <pageMargins left="0.7" right="0.7" top="0.75" bottom="0.75" header="0.3" footer="0.3"/>
  <pageSetup paperSize="9" scale="76" orientation="portrait"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XFD590"/>
  <sheetViews>
    <sheetView view="pageBreakPreview" topLeftCell="A318" zoomScale="80" zoomScaleNormal="110" zoomScaleSheetLayoutView="80" workbookViewId="0">
      <selection activeCell="N4" sqref="N4"/>
    </sheetView>
  </sheetViews>
  <sheetFormatPr defaultRowHeight="18.75" outlineLevelRow="1" x14ac:dyDescent="0.3"/>
  <cols>
    <col min="1" max="1" width="20.7109375" style="32" customWidth="1"/>
    <col min="2" max="2" width="20.7109375" style="45" customWidth="1"/>
    <col min="3" max="3" width="20.7109375" style="32" customWidth="1"/>
    <col min="4" max="4" width="24.28515625" style="32" customWidth="1"/>
    <col min="5" max="5" width="17.5703125" style="48" customWidth="1"/>
    <col min="6" max="6" width="31.5703125" style="45" customWidth="1"/>
    <col min="7" max="7" width="26" style="45" customWidth="1"/>
    <col min="8" max="8" width="22" style="45" customWidth="1"/>
    <col min="9" max="9" width="21.7109375" style="45" customWidth="1"/>
    <col min="10" max="10" width="20.7109375" style="32" customWidth="1"/>
    <col min="11" max="11" width="11.5703125" style="32" bestFit="1" customWidth="1"/>
    <col min="12" max="12" width="9.140625" style="32"/>
    <col min="13" max="13" width="11.5703125" style="32" customWidth="1"/>
    <col min="14" max="16384" width="9.140625" style="32"/>
  </cols>
  <sheetData>
    <row r="1" spans="1:12" x14ac:dyDescent="0.3">
      <c r="I1" s="45" t="str">
        <f>IF(I7&lt;0,"Приложение №1","")</f>
        <v/>
      </c>
    </row>
    <row r="2" spans="1:12" s="50" customFormat="1" ht="30" customHeight="1" x14ac:dyDescent="0.4">
      <c r="A2" s="201" t="s">
        <v>132</v>
      </c>
      <c r="B2" s="201"/>
      <c r="C2" s="201"/>
      <c r="D2" s="201"/>
      <c r="E2" s="201"/>
      <c r="F2" s="201"/>
      <c r="G2" s="201"/>
      <c r="H2" s="201"/>
      <c r="I2" s="201"/>
      <c r="L2" s="50">
        <v>30</v>
      </c>
    </row>
    <row r="3" spans="1:12" s="50" customFormat="1" ht="30" customHeight="1" x14ac:dyDescent="0.4">
      <c r="A3" s="201" t="s">
        <v>46</v>
      </c>
      <c r="B3" s="201"/>
      <c r="C3" s="201"/>
      <c r="D3" s="201"/>
      <c r="E3" s="201"/>
      <c r="F3" s="201"/>
      <c r="G3" s="201"/>
      <c r="H3" s="201"/>
      <c r="I3" s="201"/>
      <c r="L3" s="50">
        <v>30</v>
      </c>
    </row>
    <row r="4" spans="1:12" ht="18" customHeight="1" x14ac:dyDescent="0.3">
      <c r="A4" s="202"/>
      <c r="B4" s="202"/>
      <c r="C4" s="202"/>
      <c r="D4" s="202"/>
      <c r="E4" s="202"/>
      <c r="F4" s="202"/>
      <c r="G4" s="202"/>
      <c r="H4" s="202"/>
      <c r="I4" s="202"/>
    </row>
    <row r="5" spans="1:12" s="24" customFormat="1" ht="60" customHeight="1" x14ac:dyDescent="0.25">
      <c r="A5" s="185" t="s">
        <v>125</v>
      </c>
      <c r="B5" s="200" t="s">
        <v>126</v>
      </c>
      <c r="C5" s="203" t="s">
        <v>199</v>
      </c>
      <c r="D5" s="185" t="s">
        <v>128</v>
      </c>
      <c r="E5" s="213" t="s">
        <v>129</v>
      </c>
      <c r="F5" s="214" t="s">
        <v>130</v>
      </c>
      <c r="G5" s="200" t="s">
        <v>131</v>
      </c>
      <c r="H5" s="200"/>
      <c r="I5" s="200"/>
      <c r="L5" s="24">
        <v>60</v>
      </c>
    </row>
    <row r="6" spans="1:12" s="24" customFormat="1" ht="60" customHeight="1" x14ac:dyDescent="0.25">
      <c r="A6" s="185"/>
      <c r="B6" s="200"/>
      <c r="C6" s="203"/>
      <c r="D6" s="185"/>
      <c r="E6" s="213"/>
      <c r="F6" s="214"/>
      <c r="G6" s="98" t="s">
        <v>112</v>
      </c>
      <c r="H6" s="98" t="s">
        <v>110</v>
      </c>
      <c r="I6" s="98" t="s">
        <v>111</v>
      </c>
      <c r="L6" s="24">
        <v>60</v>
      </c>
    </row>
    <row r="7" spans="1:12" ht="20.25" customHeight="1" x14ac:dyDescent="0.3">
      <c r="A7" s="34" t="e">
        <f>IF(ПРИЛОЖЕНИЕ!$A4=0,SUMIFS('итог '!L:L,'итог '!$B:$B,ПРИЛОЖЕНИЕ!$A3),SUMIFS('итог '!L:L,'итог '!$B:$B,ПРИЛОЖЕНИЕ!$A3,'итог '!$D:$D,ПРИЛОЖЕНИЕ!$A4))</f>
        <v>#REF!</v>
      </c>
      <c r="B7" s="35" t="e">
        <f>IF(ПРИЛОЖЕНИЕ!$A4=0,SUMIFS('итог '!M:M,'итог '!$B:$B,ПРИЛОЖЕНИЕ!$A3),SUMIFS('итог '!M:M,'итог '!$B:$B,ПРИЛОЖЕНИЕ!$A3,'итог '!$D:$D,ПРИЛОЖЕНИЕ!$A4))</f>
        <v>#REF!</v>
      </c>
      <c r="C7" s="34">
        <f>IF(ПРИЛОЖЕНИЕ!$A4=0,SUMIFS('итог '!Q:Q,'итог '!$B:$B,ПРИЛОЖЕНИЕ!$A3),SUMIFS('итог '!Q:Q,'итог '!$B:$B,ПРИЛОЖЕНИЕ!$A3,'итог '!$D:$D,ПРИЛОЖЕНИЕ!$A4))</f>
        <v>33.17</v>
      </c>
      <c r="D7" s="34">
        <f>IF(ПРИЛОЖЕНИЕ!$A4=0,SUMIFS('итог '!S:S,'итог '!$B:$B,ПРИЛОЖЕНИЕ!$A3),SUMIFS('итог '!S:S,'итог '!$B:$B,ПРИЛОЖЕНИЕ!$A3,'итог '!$D:$D,ПРИЛОЖЕНИЕ!$A4))</f>
        <v>16</v>
      </c>
      <c r="E7" s="36" t="e">
        <f>IF(ПРИЛОЖЕНИЕ!$A4=0,SUMIFS('итог '!T:T,'итог '!$B:$B,ПРИЛОЖЕНИЕ!$A3),SUMIFS('итог '!T:T,'итог '!$B:$B,ПРИЛОЖЕНИЕ!$A3,'итог '!$D:$D,ПРИЛОЖЕНИЕ!$A4))</f>
        <v>#REF!</v>
      </c>
      <c r="F7" s="35" t="e">
        <f>IF(ПРИЛОЖЕНИЕ!$A4=0,SUMIFS('итог '!V:V,'итог '!$B:$B,ПРИЛОЖЕНИЕ!$A3),SUMIFS('итог '!V:V,'итог '!$B:$B,ПРИЛОЖЕНИЕ!$A3,'итог '!$D:$D,ПРИЛОЖЕНИЕ!$A4))</f>
        <v>#REF!</v>
      </c>
      <c r="G7" s="35">
        <f>IF(ПРИЛОЖЕНИЕ!$A4=0,SUMIFS('итог '!W:W,'итог '!$B:$B,ПРИЛОЖЕНИЕ!$A3),SUMIFS('итог '!W:W,'итог '!$B:$B,ПРИЛОЖЕНИЕ!$A3,'итог '!$D:$D,ПРИЛОЖЕНИЕ!$A4))</f>
        <v>24580620</v>
      </c>
      <c r="H7" s="35">
        <f>IF(ПРИЛОЖЕНИЕ!$A4=0,SUMIFS('итог '!X:X,'итог '!$B:$B,ПРИЛОЖЕНИЕ!$A3),SUMIFS('итог '!X:X,'итог '!$B:$B,ПРИЛОЖЕНИЕ!$A3,'итог '!$D:$D,ПРИЛОЖЕНИЕ!$A4))</f>
        <v>24107620</v>
      </c>
      <c r="I7" s="35">
        <f>IF(ПРИЛОЖЕНИЕ!$A4=0,SUMIFS('итог '!Y:Y,'итог '!$B:$B,ПРИЛОЖЕНИЕ!$A3),SUMIFS('итог '!Y:Y,'итог '!$B:$B,ПРИЛОЖЕНИЕ!$A3,'итог '!$D:$D,ПРИЛОЖЕНИЕ!$A4))</f>
        <v>473000</v>
      </c>
    </row>
    <row r="8" spans="1:12" x14ac:dyDescent="0.3">
      <c r="A8" s="34" t="e">
        <f>A7</f>
        <v>#REF!</v>
      </c>
      <c r="B8" s="35" t="e">
        <f>B7</f>
        <v>#REF!</v>
      </c>
      <c r="C8" s="34">
        <v>26.32</v>
      </c>
      <c r="D8" s="34">
        <v>9.1</v>
      </c>
      <c r="E8" s="36" t="e">
        <f>IF(ПРИЛОЖЕНИЕ!$A4=0,SUMIFS('итог '!U:U,'итог '!$B:$B,ПРИЛОЖЕНИЕ!$A3),SUMIFS('итог '!U:U,'итог '!$B:$B,ПРИЛОЖЕНИЕ!$A3,'итог '!$D:$D,ПРИЛОЖЕНИЕ!$A4))</f>
        <v>#REF!</v>
      </c>
      <c r="F8" s="35" t="e">
        <f>F7*(G8/G7)</f>
        <v>#REF!</v>
      </c>
      <c r="G8" s="35">
        <f>20428.5*1000</f>
        <v>20428500</v>
      </c>
      <c r="H8" s="35">
        <f>H7</f>
        <v>24107620</v>
      </c>
      <c r="I8" s="35">
        <f>G8-H8</f>
        <v>-3679120</v>
      </c>
    </row>
    <row r="9" spans="1:12" x14ac:dyDescent="0.3">
      <c r="A9" s="37"/>
      <c r="B9" s="40" t="s">
        <v>134</v>
      </c>
      <c r="C9" s="37"/>
      <c r="D9" s="37"/>
      <c r="E9" s="39"/>
      <c r="F9" s="38"/>
      <c r="G9" s="38"/>
      <c r="H9" s="38"/>
      <c r="I9" s="38"/>
    </row>
    <row r="10" spans="1:12" x14ac:dyDescent="0.3">
      <c r="A10" s="37"/>
      <c r="B10" s="38" t="s">
        <v>135</v>
      </c>
      <c r="C10" s="37"/>
      <c r="D10" s="37"/>
      <c r="E10" s="39"/>
      <c r="F10" s="38"/>
      <c r="G10" s="41"/>
      <c r="H10" s="38" t="s">
        <v>136</v>
      </c>
      <c r="I10" s="38"/>
    </row>
    <row r="12" spans="1:12" outlineLevel="1" x14ac:dyDescent="0.3">
      <c r="I12" s="45" t="str">
        <f>IF(I18&lt;0,"Приложение №1","")</f>
        <v/>
      </c>
    </row>
    <row r="13" spans="1:12" s="50" customFormat="1" ht="30" customHeight="1" outlineLevel="1" x14ac:dyDescent="0.4">
      <c r="A13" s="201" t="s">
        <v>132</v>
      </c>
      <c r="B13" s="201"/>
      <c r="C13" s="201"/>
      <c r="D13" s="201"/>
      <c r="E13" s="201"/>
      <c r="F13" s="201"/>
      <c r="G13" s="201"/>
      <c r="H13" s="201"/>
      <c r="I13" s="201"/>
    </row>
    <row r="14" spans="1:12" s="50" customFormat="1" ht="30" customHeight="1" outlineLevel="1" x14ac:dyDescent="0.4">
      <c r="A14" s="201" t="s">
        <v>133</v>
      </c>
      <c r="B14" s="201"/>
      <c r="C14" s="201"/>
      <c r="D14" s="201"/>
      <c r="E14" s="201"/>
      <c r="F14" s="201"/>
      <c r="G14" s="201"/>
      <c r="H14" s="201"/>
      <c r="I14" s="201"/>
    </row>
    <row r="15" spans="1:12" outlineLevel="1" x14ac:dyDescent="0.3">
      <c r="A15" s="202"/>
      <c r="B15" s="202"/>
      <c r="C15" s="202"/>
      <c r="D15" s="202"/>
      <c r="E15" s="202"/>
      <c r="F15" s="202"/>
      <c r="G15" s="202"/>
      <c r="H15" s="202"/>
      <c r="I15" s="202"/>
    </row>
    <row r="16" spans="1:12" s="24" customFormat="1" ht="60" customHeight="1" outlineLevel="1" x14ac:dyDescent="0.25">
      <c r="A16" s="185" t="s">
        <v>125</v>
      </c>
      <c r="B16" s="200" t="s">
        <v>126</v>
      </c>
      <c r="C16" s="203" t="s">
        <v>199</v>
      </c>
      <c r="D16" s="185" t="s">
        <v>128</v>
      </c>
      <c r="E16" s="213" t="s">
        <v>129</v>
      </c>
      <c r="F16" s="214" t="s">
        <v>130</v>
      </c>
      <c r="G16" s="200" t="s">
        <v>131</v>
      </c>
      <c r="H16" s="200"/>
      <c r="I16" s="200"/>
    </row>
    <row r="17" spans="1:9" s="24" customFormat="1" ht="60" customHeight="1" outlineLevel="1" x14ac:dyDescent="0.25">
      <c r="A17" s="185"/>
      <c r="B17" s="200"/>
      <c r="C17" s="203"/>
      <c r="D17" s="185"/>
      <c r="E17" s="213"/>
      <c r="F17" s="214"/>
      <c r="G17" s="49" t="s">
        <v>112</v>
      </c>
      <c r="H17" s="49" t="s">
        <v>110</v>
      </c>
      <c r="I17" s="49" t="s">
        <v>111</v>
      </c>
    </row>
    <row r="18" spans="1:9" ht="20.25" customHeight="1" outlineLevel="1" x14ac:dyDescent="0.3">
      <c r="A18" s="34" t="e">
        <f>IF(ПРИЛОЖЕНИЕ!$A15=0,SUMIFS('итог '!L:L,'итог '!$B:$B,ПРИЛОЖЕНИЕ!$A14),SUMIFS('итог '!L:L,'итог '!$B:$B,ПРИЛОЖЕНИЕ!$A14,'итог '!$D:$D,ПРИЛОЖЕНИЕ!$A15))</f>
        <v>#REF!</v>
      </c>
      <c r="B18" s="35" t="e">
        <f>IF(ПРИЛОЖЕНИЕ!$A15=0,SUMIFS('итог '!M:M,'итог '!$B:$B,ПРИЛОЖЕНИЕ!$A14),SUMIFS('итог '!M:M,'итог '!$B:$B,ПРИЛОЖЕНИЕ!$A14,'итог '!$D:$D,ПРИЛОЖЕНИЕ!$A15))</f>
        <v>#REF!</v>
      </c>
      <c r="C18" s="34">
        <f>IF(ПРИЛОЖЕНИЕ!$A15=0,SUMIFS('итог '!Q:Q,'итог '!$B:$B,ПРИЛОЖЕНИЕ!$A14),SUMIFS('итог '!Q:Q,'итог '!$B:$B,ПРИЛОЖЕНИЕ!$A14,'итог '!$D:$D,ПРИЛОЖЕНИЕ!$A15))</f>
        <v>106.7</v>
      </c>
      <c r="D18" s="34">
        <f>IF(ПРИЛОЖЕНИЕ!$A15=0,SUMIFS('итог '!S:S,'итог '!$B:$B,ПРИЛОЖЕНИЕ!$A14),SUMIFS('итог '!S:S,'итог '!$B:$B,ПРИЛОЖЕНИЕ!$A14,'итог '!$D:$D,ПРИЛОЖЕНИЕ!$A15))</f>
        <v>1</v>
      </c>
      <c r="E18" s="36" t="e">
        <f>IF(ПРИЛОЖЕНИЕ!$A15=0,SUMIFS('итог '!T:T,'итог '!$B:$B,ПРИЛОЖЕНИЕ!$A14),SUMIFS('итог '!T:T,'итог '!$B:$B,ПРИЛОЖЕНИЕ!$A14,'итог '!$D:$D,ПРИЛОЖЕНИЕ!$A15))</f>
        <v>#REF!</v>
      </c>
      <c r="F18" s="35" t="e">
        <f>IF(ПРИЛОЖЕНИЕ!$A15=0,SUMIFS('итог '!V:V,'итог '!$B:$B,ПРИЛОЖЕНИЕ!$A14),SUMIFS('итог '!V:V,'итог '!$B:$B,ПРИЛОЖЕНИЕ!$A14,'итог '!$D:$D,ПРИЛОЖЕНИЕ!$A15))</f>
        <v>#REF!</v>
      </c>
      <c r="G18" s="35">
        <f>IF(ПРИЛОЖЕНИЕ!$A15=0,SUMIFS('итог '!W:W,'итог '!$B:$B,ПРИЛОЖЕНИЕ!$A14),SUMIFS('итог '!W:W,'итог '!$B:$B,ПРИЛОЖЕНИЕ!$A14,'итог '!$D:$D,ПРИЛОЖЕНИЕ!$A15))</f>
        <v>65376000</v>
      </c>
      <c r="H18" s="35">
        <f>IF(ПРИЛОЖЕНИЕ!$A15=0,SUMIFS('итог '!X:X,'итог '!$B:$B,ПРИЛОЖЕНИЕ!$A14),SUMIFS('итог '!X:X,'итог '!$B:$B,ПРИЛОЖЕНИЕ!$A14,'итог '!$D:$D,ПРИЛОЖЕНИЕ!$A15))</f>
        <v>64033870</v>
      </c>
      <c r="I18" s="35">
        <f>IF(ПРИЛОЖЕНИЕ!$A15=0,SUMIFS('итог '!Y:Y,'итог '!$B:$B,ПРИЛОЖЕНИЕ!$A14),SUMIFS('итог '!Y:Y,'итог '!$B:$B,ПРИЛОЖЕНИЕ!$A14,'итог '!$D:$D,ПРИЛОЖЕНИЕ!$A15))</f>
        <v>1342130</v>
      </c>
    </row>
    <row r="19" spans="1:9" outlineLevel="1" x14ac:dyDescent="0.3">
      <c r="A19" s="37"/>
      <c r="B19" s="38"/>
      <c r="C19" s="37"/>
      <c r="D19" s="37"/>
      <c r="E19" s="39"/>
      <c r="F19" s="38"/>
      <c r="G19" s="38"/>
      <c r="H19" s="38"/>
      <c r="I19" s="38"/>
    </row>
    <row r="20" spans="1:9" ht="30" customHeight="1" outlineLevel="1" x14ac:dyDescent="0.3">
      <c r="B20" s="40" t="s">
        <v>134</v>
      </c>
      <c r="C20" s="37"/>
      <c r="D20" s="37"/>
      <c r="E20" s="39"/>
      <c r="F20" s="38"/>
      <c r="G20" s="38"/>
      <c r="H20" s="38"/>
      <c r="I20" s="38"/>
    </row>
    <row r="21" spans="1:9" outlineLevel="1" x14ac:dyDescent="0.3">
      <c r="B21" s="38" t="s">
        <v>135</v>
      </c>
      <c r="C21" s="37"/>
      <c r="D21" s="37"/>
      <c r="E21" s="39"/>
      <c r="F21" s="38"/>
      <c r="G21" s="41"/>
      <c r="H21" s="38" t="s">
        <v>136</v>
      </c>
      <c r="I21" s="38"/>
    </row>
    <row r="22" spans="1:9" outlineLevel="1" x14ac:dyDescent="0.3">
      <c r="A22" s="37"/>
      <c r="B22" s="42"/>
      <c r="C22" s="43"/>
      <c r="D22" s="43"/>
      <c r="E22" s="44"/>
      <c r="F22" s="38"/>
      <c r="G22" s="38"/>
      <c r="H22" s="38"/>
      <c r="I22" s="38"/>
    </row>
    <row r="23" spans="1:9" s="89" customFormat="1" outlineLevel="1" x14ac:dyDescent="0.3">
      <c r="A23" s="32"/>
      <c r="B23" s="45"/>
      <c r="C23" s="32"/>
      <c r="D23" s="32"/>
      <c r="E23" s="48"/>
      <c r="F23" s="45"/>
      <c r="G23" s="45"/>
      <c r="H23" s="45"/>
      <c r="I23" s="45" t="str">
        <f>IF(I29&lt;0,"Приложение №1","")</f>
        <v/>
      </c>
    </row>
    <row r="24" spans="1:9" s="50" customFormat="1" ht="30" customHeight="1" outlineLevel="1" x14ac:dyDescent="0.4">
      <c r="A24" s="201" t="s">
        <v>132</v>
      </c>
      <c r="B24" s="201"/>
      <c r="C24" s="201"/>
      <c r="D24" s="201"/>
      <c r="E24" s="201"/>
      <c r="F24" s="201"/>
      <c r="G24" s="201"/>
      <c r="H24" s="201"/>
      <c r="I24" s="201"/>
    </row>
    <row r="25" spans="1:9" s="50" customFormat="1" ht="30" customHeight="1" outlineLevel="1" x14ac:dyDescent="0.4">
      <c r="A25" s="201" t="s">
        <v>140</v>
      </c>
      <c r="B25" s="201"/>
      <c r="C25" s="201"/>
      <c r="D25" s="201"/>
      <c r="E25" s="201"/>
      <c r="F25" s="201"/>
      <c r="G25" s="201"/>
      <c r="H25" s="201"/>
      <c r="I25" s="201"/>
    </row>
    <row r="26" spans="1:9" outlineLevel="1" x14ac:dyDescent="0.3">
      <c r="A26" s="197">
        <v>31</v>
      </c>
      <c r="B26" s="197"/>
      <c r="C26" s="197"/>
      <c r="D26" s="197"/>
      <c r="E26" s="197"/>
      <c r="F26" s="197"/>
      <c r="G26" s="197"/>
      <c r="H26" s="197"/>
      <c r="I26" s="197"/>
    </row>
    <row r="27" spans="1:9" s="24" customFormat="1" ht="60" customHeight="1" outlineLevel="1" x14ac:dyDescent="0.25">
      <c r="A27" s="190" t="s">
        <v>125</v>
      </c>
      <c r="B27" s="186" t="s">
        <v>126</v>
      </c>
      <c r="C27" s="190" t="s">
        <v>199</v>
      </c>
      <c r="D27" s="190" t="s">
        <v>128</v>
      </c>
      <c r="E27" s="192" t="s">
        <v>129</v>
      </c>
      <c r="F27" s="198" t="s">
        <v>130</v>
      </c>
      <c r="G27" s="200" t="s">
        <v>131</v>
      </c>
      <c r="H27" s="200"/>
      <c r="I27" s="200"/>
    </row>
    <row r="28" spans="1:9" s="24" customFormat="1" ht="60" customHeight="1" outlineLevel="1" x14ac:dyDescent="0.25">
      <c r="A28" s="191"/>
      <c r="B28" s="187"/>
      <c r="C28" s="191"/>
      <c r="D28" s="191"/>
      <c r="E28" s="193"/>
      <c r="F28" s="199"/>
      <c r="G28" s="86" t="s">
        <v>112</v>
      </c>
      <c r="H28" s="86" t="s">
        <v>110</v>
      </c>
      <c r="I28" s="86" t="s">
        <v>111</v>
      </c>
    </row>
    <row r="29" spans="1:9" ht="20.25" customHeight="1" outlineLevel="1" x14ac:dyDescent="0.3">
      <c r="A29" s="34" t="e">
        <f>IF(ПРИЛОЖЕНИЕ!$A26=0,SUMIFS('итог '!L:L,'итог '!$B:$B,ПРИЛОЖЕНИЕ!$A25),SUMIFS('итог '!L:L,'итог '!$B:$B,ПРИЛОЖЕНИЕ!$A25,'итог '!$D:$D,ПРИЛОЖЕНИЕ!$A26))</f>
        <v>#REF!</v>
      </c>
      <c r="B29" s="35" t="e">
        <f>IF(ПРИЛОЖЕНИЕ!$A26=0,SUMIFS('итог '!M:M,'итог '!$B:$B,ПРИЛОЖЕНИЕ!$A25),SUMIFS('итог '!M:M,'итог '!$B:$B,ПРИЛОЖЕНИЕ!$A25,'итог '!$D:$D,ПРИЛОЖЕНИЕ!$A26))</f>
        <v>#REF!</v>
      </c>
      <c r="C29" s="34">
        <f>IF(ПРИЛОЖЕНИЕ!$A26=0,SUMIFS('итог '!Q:Q,'итог '!$B:$B,ПРИЛОЖЕНИЕ!$A25),SUMIFS('итог '!Q:Q,'итог '!$B:$B,ПРИЛОЖЕНИЕ!$A25,'итог '!$D:$D,ПРИЛОЖЕНИЕ!$A26))</f>
        <v>153.58000000000001</v>
      </c>
      <c r="D29" s="34">
        <f>IF(ПРИЛОЖЕНИЕ!$A26=0,SUMIFS('итог '!S:S,'итог '!$B:$B,ПРИЛОЖЕНИЕ!$A25),SUMIFS('итог '!S:S,'итог '!$B:$B,ПРИЛОЖЕНИЕ!$A25,'итог '!$D:$D,ПРИЛОЖЕНИЕ!$A26))</f>
        <v>1.02</v>
      </c>
      <c r="E29" s="36" t="e">
        <f>IF(ПРИЛОЖЕНИЕ!$A26=0,SUMIFS('итог '!T:T,'итог '!$B:$B,ПРИЛОЖЕНИЕ!$A25),SUMIFS('итог '!T:T,'итог '!$B:$B,ПРИЛОЖЕНИЕ!$A25,'итог '!$D:$D,ПРИЛОЖЕНИЕ!$A26))</f>
        <v>#REF!</v>
      </c>
      <c r="F29" s="35" t="e">
        <f>IF(ПРИЛОЖЕНИЕ!$A26=0,SUMIFS('итог '!V:V,'итог '!$B:$B,ПРИЛОЖЕНИЕ!$A25),SUMIFS('итог '!V:V,'итог '!$B:$B,ПРИЛОЖЕНИЕ!$A25,'итог '!$D:$D,ПРИЛОЖЕНИЕ!$A26))</f>
        <v>#REF!</v>
      </c>
      <c r="G29" s="35">
        <f>IF(ПРИЛОЖЕНИЕ!$A26=0,SUMIFS('итог '!W:W,'итог '!$B:$B,ПРИЛОЖЕНИЕ!$A25),SUMIFS('итог '!W:W,'итог '!$B:$B,ПРИЛОЖЕНИЕ!$A25,'итог '!$D:$D,ПРИЛОЖЕНИЕ!$A26))</f>
        <v>86635920</v>
      </c>
      <c r="H29" s="35">
        <f>IF(ПРИЛОЖЕНИЕ!$A26=0,SUMIFS('итог '!X:X,'итог '!$B:$B,ПРИЛОЖЕНИЕ!$A25),SUMIFS('итог '!X:X,'итог '!$B:$B,ПРИЛОЖЕНИЕ!$A25,'итог '!$D:$D,ПРИЛОЖЕНИЕ!$A26))</f>
        <v>83689630.358408138</v>
      </c>
      <c r="I29" s="35">
        <f>IF(ПРИЛОЖЕНИЕ!$A26=0,SUMIFS('итог '!Y:Y,'итог '!$B:$B,ПРИЛОЖЕНИЕ!$A25),SUMIFS('итог '!Y:Y,'итог '!$B:$B,ПРИЛОЖЕНИЕ!$A25,'итог '!$D:$D,ПРИЛОЖЕНИЕ!$A26))</f>
        <v>2946289.6415918618</v>
      </c>
    </row>
    <row r="30" spans="1:9" outlineLevel="1" x14ac:dyDescent="0.3">
      <c r="A30" s="34" t="e">
        <f>A29</f>
        <v>#REF!</v>
      </c>
      <c r="B30" s="35" t="e">
        <f>B29</f>
        <v>#REF!</v>
      </c>
      <c r="C30" s="34">
        <v>138.22</v>
      </c>
      <c r="D30" s="34">
        <f>IF(ПРИЛОЖЕНИЕ!$A27=0,SUMIFS('итог '!S:S,'итог '!$B:$B,ПРИЛОЖЕНИЕ!$A26),SUMIFS('итог '!S:S,'итог '!$B:$B,ПРИЛОЖЕНИЕ!$A26,'итог '!$D:$D,ПРИЛОЖЕНИЕ!$A27))</f>
        <v>0</v>
      </c>
      <c r="E30" s="36" t="e">
        <f>'итог '!U19</f>
        <v>#REF!</v>
      </c>
      <c r="F30" s="35">
        <f>IF(ПРИЛОЖЕНИЕ!$A27=0,SUMIFS('итог '!V:V,'итог '!$B:$B,ПРИЛОЖЕНИЕ!$A26),SUMIFS('итог '!V:V,'итог '!$B:$B,ПРИЛОЖЕНИЕ!$A26,'итог '!$D:$D,ПРИЛОЖЕНИЕ!$A27))</f>
        <v>0</v>
      </c>
      <c r="G30" s="35">
        <f>86149760</f>
        <v>86149760</v>
      </c>
      <c r="H30" s="35">
        <f>H29</f>
        <v>83689630.358408138</v>
      </c>
      <c r="I30" s="35">
        <f>G30-H30</f>
        <v>2460129.6415918618</v>
      </c>
    </row>
    <row r="31" spans="1:9" outlineLevel="1" x14ac:dyDescent="0.3">
      <c r="A31" s="37"/>
      <c r="B31" s="40" t="s">
        <v>134</v>
      </c>
      <c r="C31" s="37"/>
      <c r="D31" s="37"/>
      <c r="E31" s="39"/>
      <c r="F31" s="38"/>
      <c r="G31" s="38"/>
      <c r="H31" s="38"/>
      <c r="I31" s="38"/>
    </row>
    <row r="32" spans="1:9" outlineLevel="1" x14ac:dyDescent="0.3">
      <c r="A32" s="37"/>
      <c r="B32" s="38" t="s">
        <v>135</v>
      </c>
      <c r="C32" s="37"/>
      <c r="D32" s="37"/>
      <c r="E32" s="39"/>
      <c r="F32" s="38"/>
      <c r="G32" s="41"/>
      <c r="H32" s="38" t="s">
        <v>136</v>
      </c>
      <c r="I32" s="38"/>
    </row>
    <row r="33" spans="1:10" outlineLevel="1" x14ac:dyDescent="0.3"/>
    <row r="34" spans="1:10" x14ac:dyDescent="0.3">
      <c r="A34" s="89"/>
      <c r="B34" s="88"/>
      <c r="C34" s="89"/>
      <c r="D34" s="89"/>
      <c r="E34" s="90"/>
      <c r="F34" s="88"/>
      <c r="G34" s="88"/>
      <c r="H34" s="88"/>
      <c r="J34" s="88" t="str">
        <f>IF(J40&lt;0,"Приложение №1","")</f>
        <v>Приложение №1</v>
      </c>
    </row>
    <row r="35" spans="1:10" ht="25.5" x14ac:dyDescent="0.3">
      <c r="A35" s="201" t="s">
        <v>132</v>
      </c>
      <c r="B35" s="201"/>
      <c r="C35" s="201"/>
      <c r="D35" s="201"/>
      <c r="E35" s="201"/>
      <c r="F35" s="201"/>
      <c r="G35" s="201"/>
      <c r="H35" s="201"/>
      <c r="I35" s="201"/>
      <c r="J35" s="201"/>
    </row>
    <row r="36" spans="1:10" s="50" customFormat="1" ht="30" customHeight="1" x14ac:dyDescent="0.4">
      <c r="A36" s="201" t="s">
        <v>47</v>
      </c>
      <c r="B36" s="201"/>
      <c r="C36" s="201"/>
      <c r="D36" s="201"/>
      <c r="E36" s="201"/>
      <c r="F36" s="201"/>
      <c r="G36" s="201"/>
      <c r="H36" s="201"/>
      <c r="I36" s="201"/>
      <c r="J36" s="201"/>
    </row>
    <row r="37" spans="1:10" s="50" customFormat="1" ht="30" customHeight="1" x14ac:dyDescent="0.4">
      <c r="A37" s="227">
        <v>37</v>
      </c>
      <c r="B37" s="227"/>
      <c r="C37" s="227"/>
      <c r="D37" s="227"/>
      <c r="E37" s="227"/>
      <c r="F37" s="227"/>
      <c r="G37" s="227"/>
      <c r="H37" s="227"/>
      <c r="I37" s="227"/>
      <c r="J37" s="227"/>
    </row>
    <row r="38" spans="1:10" ht="60" customHeight="1" x14ac:dyDescent="0.3">
      <c r="A38" s="185" t="s">
        <v>200</v>
      </c>
      <c r="B38" s="185" t="s">
        <v>125</v>
      </c>
      <c r="C38" s="186" t="s">
        <v>126</v>
      </c>
      <c r="D38" s="188" t="s">
        <v>199</v>
      </c>
      <c r="E38" s="190" t="s">
        <v>128</v>
      </c>
      <c r="F38" s="192" t="s">
        <v>129</v>
      </c>
      <c r="G38" s="198" t="s">
        <v>130</v>
      </c>
      <c r="H38" s="194" t="s">
        <v>131</v>
      </c>
      <c r="I38" s="195"/>
      <c r="J38" s="196"/>
    </row>
    <row r="39" spans="1:10" s="24" customFormat="1" ht="60" customHeight="1" x14ac:dyDescent="0.25">
      <c r="A39" s="185"/>
      <c r="B39" s="185"/>
      <c r="C39" s="187"/>
      <c r="D39" s="189"/>
      <c r="E39" s="191"/>
      <c r="F39" s="193"/>
      <c r="G39" s="199"/>
      <c r="H39" s="98" t="s">
        <v>112</v>
      </c>
      <c r="I39" s="98" t="s">
        <v>110</v>
      </c>
      <c r="J39" s="98" t="s">
        <v>111</v>
      </c>
    </row>
    <row r="40" spans="1:10" s="24" customFormat="1" ht="30" customHeight="1" x14ac:dyDescent="0.25">
      <c r="A40" s="98" t="s">
        <v>201</v>
      </c>
      <c r="B40" s="34" t="e">
        <f>IF(ПРИЛОЖЕНИЕ!$A37=0,SUMIFS('итог '!L:L,'итог '!$B:$B,ПРИЛОЖЕНИЕ!$A36),SUMIFS('итог '!L:L,'итог '!$B:$B,ПРИЛОЖЕНИЕ!$A36,'итог '!$D:$D,ПРИЛОЖЕНИЕ!$A37))</f>
        <v>#REF!</v>
      </c>
      <c r="C40" s="35" t="e">
        <f>IF(ПРИЛОЖЕНИЕ!$A37=0,SUMIFS('итог '!M:M,'итог '!$B:$B,ПРИЛОЖЕНИЕ!$A36),SUMIFS('итог '!M:M,'итог '!$B:$B,ПРИЛОЖЕНИЕ!$A36,'итог '!$D:$D,ПРИЛОЖЕНИЕ!$A37))</f>
        <v>#REF!</v>
      </c>
      <c r="D40" s="34">
        <f>IF(ПРИЛОЖЕНИЕ!$A37=0,SUMIFS('итог '!Q:Q,'итог '!$B:$B,ПРИЛОЖЕНИЕ!$A36),SUMIFS('итог '!Q:Q,'итог '!$B:$B,ПРИЛОЖЕНИЕ!$A36,'итог '!$D:$D,ПРИЛОЖЕНИЕ!$A37))</f>
        <v>84.86</v>
      </c>
      <c r="E40" s="34">
        <f>IF(ПРИЛОЖЕНИЕ!$A37=0,SUMIFS('итог '!S:S,'итог '!$B:$B,ПРИЛОЖЕНИЕ!$A36),SUMIFS('итог '!S:S,'итог '!$B:$B,ПРИЛОЖЕНИЕ!$A36,'итог '!$D:$D,ПРИЛОЖЕНИЕ!$A37))</f>
        <v>1</v>
      </c>
      <c r="F40" s="36" t="e">
        <f>IF(ПРИЛОЖЕНИЕ!$A37=0,SUMIFS('итог '!T:T,'итог '!$B:$B,ПРИЛОЖЕНИЕ!$A36),SUMIFS('итог '!T:T,'итог '!$B:$B,ПРИЛОЖЕНИЕ!$A36,'итог '!$D:$D,ПРИЛОЖЕНИЕ!$A37))</f>
        <v>#REF!</v>
      </c>
      <c r="G40" s="35" t="e">
        <f>IF(ПРИЛОЖЕНИЕ!$A37=0,SUMIFS('итог '!V:V,'итог '!$B:$B,ПРИЛОЖЕНИЕ!$A36),SUMIFS('итог '!V:V,'итог '!$B:$B,ПРИЛОЖЕНИЕ!$A36,'итог '!$D:$D,ПРИЛОЖЕНИЕ!$A37))</f>
        <v>#REF!</v>
      </c>
      <c r="H40" s="35">
        <f>IF(ПРИЛОЖЕНИЕ!$A37=0,SUMIFS('итог '!W:W,'итог '!$B:$B,ПРИЛОЖЕНИЕ!$A36),SUMIFS('итог '!W:W,'итог '!$B:$B,ПРИЛОЖЕНИЕ!$A36,'итог '!$D:$D,ПРИЛОЖЕНИЕ!$A37))</f>
        <v>46779499</v>
      </c>
      <c r="I40" s="35">
        <f>IF(ПРИЛОЖЕНИЕ!$A37=0,SUMIFS('итог '!X:X,'итог '!$B:$B,ПРИЛОЖЕНИЕ!$A36),SUMIFS('итог '!X:X,'итог '!$B:$B,ПРИЛОЖЕНИЕ!$A36,'итог '!$D:$D,ПРИЛОЖЕНИЕ!$A37))</f>
        <v>49440456</v>
      </c>
      <c r="J40" s="35">
        <f>IF(ПРИЛОЖЕНИЕ!$A37=0,SUMIFS('итог '!Y:Y,'итог '!$B:$B,ПРИЛОЖЕНИЕ!$A36),SUMIFS('итог '!Y:Y,'итог '!$B:$B,ПРИЛОЖЕНИЕ!$A36,'итог '!$D:$D,ПРИЛОЖЕНИЕ!$A37))</f>
        <v>-2660957</v>
      </c>
    </row>
    <row r="41" spans="1:10" ht="30" customHeight="1" x14ac:dyDescent="0.3">
      <c r="A41" s="98" t="s">
        <v>202</v>
      </c>
      <c r="B41" s="105" t="e">
        <f>B40</f>
        <v>#REF!</v>
      </c>
      <c r="C41" s="105" t="e">
        <f>C40</f>
        <v>#REF!</v>
      </c>
      <c r="D41" s="106">
        <v>83.91</v>
      </c>
      <c r="E41" s="109">
        <f>29.41/44</f>
        <v>0.66840909090909095</v>
      </c>
      <c r="F41" s="36" t="e">
        <f>IF(ПРИЛОЖЕНИЕ!$A37=0,SUMIFS('итог '!U:U,'итог '!$B:$B,ПРИЛОЖЕНИЕ!$A36),SUMIFS('итог '!U:U,'итог '!$B:$B,ПРИЛОЖЕНИЕ!$A36,'итог '!$D:$D,ПРИЛОЖЕНИЕ!$A37))</f>
        <v>#REF!</v>
      </c>
      <c r="G41" s="105" t="e">
        <f>G40*(H41/H40)</f>
        <v>#REF!</v>
      </c>
      <c r="H41" s="105">
        <f>16739.7*1000+27129*1000</f>
        <v>43868700</v>
      </c>
      <c r="I41" s="105">
        <f>I40</f>
        <v>49440456</v>
      </c>
      <c r="J41" s="35">
        <f>H41-I41</f>
        <v>-5571756</v>
      </c>
    </row>
    <row r="42" spans="1:10" x14ac:dyDescent="0.3">
      <c r="C42" s="37"/>
      <c r="D42" s="37"/>
      <c r="E42" s="39"/>
      <c r="F42" s="38"/>
      <c r="G42" s="38"/>
      <c r="H42" s="38"/>
      <c r="I42" s="38"/>
    </row>
    <row r="43" spans="1:10" x14ac:dyDescent="0.3">
      <c r="A43" s="87" t="s">
        <v>198</v>
      </c>
      <c r="C43" s="37"/>
      <c r="D43" s="37"/>
      <c r="E43" s="39"/>
      <c r="F43" s="38"/>
      <c r="G43" s="38"/>
      <c r="H43" s="38"/>
      <c r="I43" s="38"/>
    </row>
    <row r="44" spans="1:10" ht="39.75" customHeight="1" x14ac:dyDescent="0.3">
      <c r="A44" s="38" t="s">
        <v>135</v>
      </c>
      <c r="C44" s="37"/>
      <c r="D44" s="37"/>
      <c r="E44" s="39"/>
      <c r="F44" s="38"/>
      <c r="G44" s="41"/>
      <c r="H44" s="38" t="s">
        <v>136</v>
      </c>
      <c r="I44" s="38"/>
    </row>
    <row r="45" spans="1:10" x14ac:dyDescent="0.3">
      <c r="A45" s="37"/>
      <c r="B45" s="38"/>
      <c r="C45" s="37"/>
      <c r="D45" s="37"/>
      <c r="E45" s="39"/>
      <c r="F45" s="38"/>
      <c r="G45" s="38"/>
      <c r="H45" s="38"/>
      <c r="I45" s="38"/>
    </row>
    <row r="46" spans="1:10" x14ac:dyDescent="0.3">
      <c r="A46" s="37"/>
      <c r="B46" s="38"/>
      <c r="C46" s="37"/>
      <c r="D46" s="37"/>
      <c r="E46" s="39"/>
      <c r="F46" s="38"/>
      <c r="G46" s="38"/>
      <c r="H46" s="38"/>
      <c r="I46" s="91" t="s">
        <v>197</v>
      </c>
    </row>
    <row r="47" spans="1:10" ht="25.5" x14ac:dyDescent="0.3">
      <c r="A47" s="201" t="s">
        <v>132</v>
      </c>
      <c r="B47" s="201"/>
      <c r="C47" s="201"/>
      <c r="D47" s="201"/>
      <c r="E47" s="201"/>
      <c r="F47" s="201"/>
      <c r="G47" s="201"/>
      <c r="H47" s="201"/>
      <c r="I47" s="201"/>
      <c r="J47" s="201"/>
    </row>
    <row r="48" spans="1:10" ht="25.5" x14ac:dyDescent="0.3">
      <c r="A48" s="201" t="s">
        <v>47</v>
      </c>
      <c r="B48" s="201"/>
      <c r="C48" s="201"/>
      <c r="D48" s="201"/>
      <c r="E48" s="201"/>
      <c r="F48" s="201"/>
      <c r="G48" s="201"/>
      <c r="H48" s="201"/>
      <c r="I48" s="201"/>
      <c r="J48" s="201"/>
    </row>
    <row r="49" spans="1:10" s="50" customFormat="1" ht="30" customHeight="1" x14ac:dyDescent="0.4">
      <c r="A49" s="202">
        <v>47</v>
      </c>
      <c r="B49" s="202"/>
      <c r="C49" s="202"/>
      <c r="D49" s="202"/>
      <c r="E49" s="202"/>
      <c r="F49" s="202"/>
      <c r="G49" s="202"/>
      <c r="H49" s="202"/>
      <c r="I49" s="202"/>
      <c r="J49" s="202"/>
    </row>
    <row r="50" spans="1:10" s="50" customFormat="1" ht="60" customHeight="1" x14ac:dyDescent="0.4">
      <c r="A50" s="185" t="s">
        <v>200</v>
      </c>
      <c r="B50" s="185" t="s">
        <v>125</v>
      </c>
      <c r="C50" s="186" t="s">
        <v>126</v>
      </c>
      <c r="D50" s="186" t="s">
        <v>199</v>
      </c>
      <c r="E50" s="186" t="s">
        <v>128</v>
      </c>
      <c r="F50" s="186" t="s">
        <v>129</v>
      </c>
      <c r="G50" s="186" t="s">
        <v>130</v>
      </c>
      <c r="H50" s="194" t="s">
        <v>131</v>
      </c>
      <c r="I50" s="195"/>
      <c r="J50" s="196"/>
    </row>
    <row r="51" spans="1:10" ht="60" customHeight="1" x14ac:dyDescent="0.3">
      <c r="A51" s="185"/>
      <c r="B51" s="185"/>
      <c r="C51" s="187"/>
      <c r="D51" s="187"/>
      <c r="E51" s="187"/>
      <c r="F51" s="187"/>
      <c r="G51" s="187"/>
      <c r="H51" s="98" t="s">
        <v>112</v>
      </c>
      <c r="I51" s="98" t="s">
        <v>110</v>
      </c>
      <c r="J51" s="98" t="s">
        <v>111</v>
      </c>
    </row>
    <row r="52" spans="1:10" s="24" customFormat="1" ht="30" customHeight="1" x14ac:dyDescent="0.25">
      <c r="A52" s="98" t="s">
        <v>201</v>
      </c>
      <c r="B52" s="34" t="e">
        <f>IF(ПРИЛОЖЕНИЕ!$A49=0,SUMIFS('итог '!L:L,'итог '!$B:$B,ПРИЛОЖЕНИЕ!$A48),SUMIFS('итог '!L:L,'итог '!$B:$B,ПРИЛОЖЕНИЕ!$A48,'итог '!$D:$D,ПРИЛОЖЕНИЕ!$A49))</f>
        <v>#REF!</v>
      </c>
      <c r="C52" s="35" t="e">
        <f>IF(ПРИЛОЖЕНИЕ!$A49=0,SUMIFS('итог '!M:M,'итог '!$B:$B,ПРИЛОЖЕНИЕ!$A48),SUMIFS('итог '!M:M,'итог '!$B:$B,ПРИЛОЖЕНИЕ!$A48,'итог '!$D:$D,ПРИЛОЖЕНИЕ!$A49))</f>
        <v>#REF!</v>
      </c>
      <c r="D52" s="34">
        <f>IF(ПРИЛОЖЕНИЕ!$A49=0,SUMIFS('итог '!Q:Q,'итог '!$B:$B,ПРИЛОЖЕНИЕ!$A48),SUMIFS('итог '!Q:Q,'итог '!$B:$B,ПРИЛОЖЕНИЕ!$A48,'итог '!$D:$D,ПРИЛОЖЕНИЕ!$A49))</f>
        <v>45.37</v>
      </c>
      <c r="E52" s="34">
        <f>IF(ПРИЛОЖЕНИЕ!$A49=0,SUMIFS('итог '!S:S,'итог '!$B:$B,ПРИЛОЖЕНИЕ!$A48),SUMIFS('итог '!S:S,'итог '!$B:$B,ПРИЛОЖЕНИЕ!$A48,'итог '!$D:$D,ПРИЛОЖЕНИЕ!$A49))</f>
        <v>1.07</v>
      </c>
      <c r="F52" s="36" t="e">
        <f>IF(ПРИЛОЖЕНИЕ!$A49=0,SUMIFS('итог '!T:T,'итог '!$B:$B,ПРИЛОЖЕНИЕ!$A48),SUMIFS('итог '!T:T,'итог '!$B:$B,ПРИЛОЖЕНИЕ!$A48,'итог '!$D:$D,ПРИЛОЖЕНИЕ!$A49))</f>
        <v>#REF!</v>
      </c>
      <c r="G52" s="35" t="e">
        <f>IF(ПРИЛОЖЕНИЕ!$A49=0,SUMIFS('итог '!V:V,'итог '!$B:$B,ПРИЛОЖЕНИЕ!$A48),SUMIFS('итог '!V:V,'итог '!$B:$B,ПРИЛОЖЕНИЕ!$A48,'итог '!$D:$D,ПРИЛОЖЕНИЕ!$A49))</f>
        <v>#REF!</v>
      </c>
      <c r="H52" s="35">
        <f>IF(ПРИЛОЖЕНИЕ!$A49=0,SUMIFS('итог '!W:W,'итог '!$B:$B,ПРИЛОЖЕНИЕ!$A48),SUMIFS('итог '!W:W,'итог '!$B:$B,ПРИЛОЖЕНИЕ!$A48,'итог '!$D:$D,ПРИЛОЖЕНИЕ!$A49))</f>
        <v>24836738</v>
      </c>
      <c r="I52" s="35">
        <f>IF(ПРИЛОЖЕНИЕ!$A49=0,SUMIFS('итог '!X:X,'итог '!$B:$B,ПРИЛОЖЕНИЕ!$A48),SUMIFS('итог '!X:X,'итог '!$B:$B,ПРИЛОЖЕНИЕ!$A48,'итог '!$D:$D,ПРИЛОЖЕНИЕ!$A49))</f>
        <v>25987847</v>
      </c>
      <c r="J52" s="35">
        <f>IF(ПРИЛОЖЕНИЕ!$A49=0,SUMIFS('итог '!Y:Y,'итог '!$B:$B,ПРИЛОЖЕНИЕ!$A48),SUMIFS('итог '!Y:Y,'итог '!$B:$B,ПРИЛОЖЕНИЕ!$A48,'итог '!$D:$D,ПРИЛОЖЕНИЕ!$A49))</f>
        <v>-1151109</v>
      </c>
    </row>
    <row r="53" spans="1:10" s="24" customFormat="1" ht="30" customHeight="1" x14ac:dyDescent="0.25">
      <c r="A53" s="98" t="s">
        <v>202</v>
      </c>
      <c r="B53" s="105" t="e">
        <f>B52</f>
        <v>#REF!</v>
      </c>
      <c r="C53" s="105" t="e">
        <f>C52</f>
        <v>#REF!</v>
      </c>
      <c r="D53" s="106">
        <v>44.89</v>
      </c>
      <c r="E53" s="109">
        <f>34.39/35</f>
        <v>0.98257142857142854</v>
      </c>
      <c r="F53" s="36" t="e">
        <f>IF(ПРИЛОЖЕНИЕ!$A49=0,SUMIFS('итог '!U:U,'итог '!$B:$B,ПРИЛОЖЕНИЕ!$A48),SUMIFS('итог '!U:U,'итог '!$B:$B,ПРИЛОЖЕНИЕ!$A48,'итог '!$D:$D,ПРИЛОЖЕНИЕ!$A49))</f>
        <v>#REF!</v>
      </c>
      <c r="G53" s="105" t="e">
        <f>G52*(H53/H52)</f>
        <v>#REF!</v>
      </c>
      <c r="H53" s="105">
        <f>19452.9*1000+5101*1000</f>
        <v>24553900</v>
      </c>
      <c r="I53" s="105">
        <f>I52</f>
        <v>25987847</v>
      </c>
      <c r="J53" s="35">
        <f>H53-I53</f>
        <v>-1433947</v>
      </c>
    </row>
    <row r="54" spans="1:10" ht="35.25" customHeight="1" x14ac:dyDescent="0.3">
      <c r="A54" s="40" t="s">
        <v>198</v>
      </c>
      <c r="B54" s="32"/>
      <c r="C54" s="37"/>
      <c r="D54" s="37"/>
      <c r="E54" s="39"/>
      <c r="F54" s="38"/>
      <c r="G54" s="38"/>
      <c r="H54" s="38"/>
      <c r="I54" s="38"/>
    </row>
    <row r="55" spans="1:10" ht="27" customHeight="1" x14ac:dyDescent="0.3">
      <c r="A55" s="38" t="s">
        <v>135</v>
      </c>
      <c r="B55" s="32"/>
      <c r="C55" s="37"/>
      <c r="D55" s="37"/>
      <c r="E55" s="39"/>
      <c r="F55" s="38"/>
      <c r="G55" s="41"/>
      <c r="H55" s="38" t="s">
        <v>136</v>
      </c>
      <c r="I55" s="38"/>
    </row>
    <row r="56" spans="1:10" outlineLevel="1" x14ac:dyDescent="0.3">
      <c r="B56" s="40"/>
      <c r="C56" s="37"/>
      <c r="D56" s="37"/>
      <c r="E56" s="39"/>
      <c r="F56" s="38"/>
      <c r="G56" s="38"/>
      <c r="H56" s="38"/>
      <c r="I56" s="38"/>
    </row>
    <row r="57" spans="1:10" outlineLevel="1" x14ac:dyDescent="0.3">
      <c r="B57" s="38"/>
      <c r="C57" s="37"/>
      <c r="D57" s="37"/>
      <c r="E57" s="39"/>
      <c r="I57" s="38"/>
    </row>
    <row r="58" spans="1:10" outlineLevel="1" x14ac:dyDescent="0.3"/>
    <row r="59" spans="1:10" outlineLevel="1" x14ac:dyDescent="0.3">
      <c r="I59" s="45" t="str">
        <f>IF(I65&lt;0,"Приложение №1","")</f>
        <v/>
      </c>
    </row>
    <row r="60" spans="1:10" s="50" customFormat="1" ht="30" customHeight="1" outlineLevel="1" x14ac:dyDescent="0.4">
      <c r="A60" s="201" t="s">
        <v>132</v>
      </c>
      <c r="B60" s="201"/>
      <c r="C60" s="201"/>
      <c r="D60" s="201"/>
      <c r="E60" s="201"/>
      <c r="F60" s="201"/>
      <c r="G60" s="201"/>
      <c r="H60" s="201"/>
      <c r="I60" s="201"/>
    </row>
    <row r="61" spans="1:10" s="50" customFormat="1" ht="30" customHeight="1" outlineLevel="1" x14ac:dyDescent="0.4">
      <c r="A61" s="201" t="s">
        <v>70</v>
      </c>
      <c r="B61" s="201"/>
      <c r="C61" s="201"/>
      <c r="D61" s="201"/>
      <c r="E61" s="201"/>
      <c r="F61" s="201"/>
      <c r="G61" s="201"/>
      <c r="H61" s="201"/>
      <c r="I61" s="201"/>
    </row>
    <row r="62" spans="1:10" outlineLevel="1" x14ac:dyDescent="0.3">
      <c r="A62" s="202"/>
      <c r="B62" s="202"/>
      <c r="C62" s="202"/>
      <c r="D62" s="202"/>
      <c r="E62" s="202"/>
      <c r="F62" s="202"/>
      <c r="G62" s="202"/>
      <c r="H62" s="202"/>
      <c r="I62" s="202"/>
    </row>
    <row r="63" spans="1:10" ht="60" customHeight="1" outlineLevel="1" x14ac:dyDescent="0.3">
      <c r="A63" s="185" t="s">
        <v>125</v>
      </c>
      <c r="B63" s="200" t="s">
        <v>126</v>
      </c>
      <c r="C63" s="203" t="s">
        <v>199</v>
      </c>
      <c r="D63" s="185" t="s">
        <v>128</v>
      </c>
      <c r="E63" s="213" t="s">
        <v>129</v>
      </c>
      <c r="F63" s="214" t="s">
        <v>130</v>
      </c>
      <c r="G63" s="200" t="s">
        <v>131</v>
      </c>
      <c r="H63" s="200"/>
      <c r="I63" s="200"/>
    </row>
    <row r="64" spans="1:10" ht="60" customHeight="1" outlineLevel="1" x14ac:dyDescent="0.3">
      <c r="A64" s="185"/>
      <c r="B64" s="200"/>
      <c r="C64" s="203"/>
      <c r="D64" s="185"/>
      <c r="E64" s="213"/>
      <c r="F64" s="214"/>
      <c r="G64" s="49" t="s">
        <v>112</v>
      </c>
      <c r="H64" s="49" t="s">
        <v>110</v>
      </c>
      <c r="I64" s="49" t="s">
        <v>111</v>
      </c>
    </row>
    <row r="65" spans="1:9" ht="20.25" customHeight="1" outlineLevel="1" x14ac:dyDescent="0.3">
      <c r="A65" s="34" t="e">
        <f>IF(ПРИЛОЖЕНИЕ!$A62=0,SUMIFS('итог '!L:L,'итог '!$B:$B,ПРИЛОЖЕНИЕ!$A61),SUMIFS('итог '!L:L,'итог '!$B:$B,ПРИЛОЖЕНИЕ!$A61,'итог '!$D:$D,ПРИЛОЖЕНИЕ!$A62))</f>
        <v>#REF!</v>
      </c>
      <c r="B65" s="35" t="e">
        <f>IF(ПРИЛОЖЕНИЕ!$A62=0,SUMIFS('итог '!M:M,'итог '!$B:$B,ПРИЛОЖЕНИЕ!$A61),SUMIFS('итог '!M:M,'итог '!$B:$B,ПРИЛОЖЕНИЕ!$A61,'итог '!$D:$D,ПРИЛОЖЕНИЕ!$A62))</f>
        <v>#REF!</v>
      </c>
      <c r="C65" s="34">
        <f>IF(ПРИЛОЖЕНИЕ!$A62=0,SUMIFS('итог '!Q:Q,'итог '!$B:$B,ПРИЛОЖЕНИЕ!$A61),SUMIFS('итог '!Q:Q,'итог '!$B:$B,ПРИЛОЖЕНИЕ!$A61,'итог '!$D:$D,ПРИЛОЖЕНИЕ!$A62))</f>
        <v>62.33</v>
      </c>
      <c r="D65" s="34">
        <f>IF(ПРИЛОЖЕНИЕ!$A62=0,SUMIFS('итог '!S:S,'итог '!$B:$B,ПРИЛОЖЕНИЕ!$A61),SUMIFS('итог '!S:S,'итог '!$B:$B,ПРИЛОЖЕНИЕ!$A61,'итог '!$D:$D,ПРИЛОЖЕНИЕ!$A62))</f>
        <v>22.5</v>
      </c>
      <c r="E65" s="36" t="e">
        <f>IF(ПРИЛОЖЕНИЕ!$A62=0,SUMIFS('итог '!T:T,'итог '!$B:$B,ПРИЛОЖЕНИЕ!$A61),SUMIFS('итог '!T:T,'итог '!$B:$B,ПРИЛОЖЕНИЕ!$A61,'итог '!$D:$D,ПРИЛОЖЕНИЕ!$A62))</f>
        <v>#REF!</v>
      </c>
      <c r="F65" s="46" t="e">
        <f>IF(ПРИЛОЖЕНИЕ!$A62=0,SUMIFS('итог '!V:V,'итог '!$B:$B,ПРИЛОЖЕНИЕ!$A61),SUMIFS('итог '!V:V,'итог '!$B:$B,ПРИЛОЖЕНИЕ!$A61,'итог '!$D:$D,ПРИЛОЖЕНИЕ!$A62))</f>
        <v>#REF!</v>
      </c>
      <c r="G65" s="46">
        <f>IF(ПРИЛОЖЕНИЕ!$A62=0,SUMIFS('итог '!W:W,'итог '!$B:$B,ПРИЛОЖЕНИЕ!$A61),SUMIFS('итог '!W:W,'итог '!$B:$B,ПРИЛОЖЕНИЕ!$A61,'итог '!$D:$D,ПРИЛОЖЕНИЕ!$A62))</f>
        <v>46834200</v>
      </c>
      <c r="H65" s="46">
        <f>IF(ПРИЛОЖЕНИЕ!$A62=0,SUMIFS('итог '!X:X,'итог '!$B:$B,ПРИЛОЖЕНИЕ!$A61),SUMIFS('итог '!X:X,'итог '!$B:$B,ПРИЛОЖЕНИЕ!$A61,'итог '!$D:$D,ПРИЛОЖЕНИЕ!$A62))</f>
        <v>43186614</v>
      </c>
      <c r="I65" s="46">
        <f>IF(ПРИЛОЖЕНИЕ!$A62=0,SUMIFS('итог '!Y:Y,'итог '!$B:$B,ПРИЛОЖЕНИЕ!$A61),SUMIFS('итог '!Y:Y,'итог '!$B:$B,ПРИЛОЖЕНИЕ!$A61,'итог '!$D:$D,ПРИЛОЖЕНИЕ!$A62))</f>
        <v>3647586</v>
      </c>
    </row>
    <row r="66" spans="1:9" outlineLevel="1" x14ac:dyDescent="0.3">
      <c r="A66" s="37"/>
      <c r="B66" s="38"/>
      <c r="C66" s="37"/>
      <c r="D66" s="37"/>
      <c r="E66" s="39"/>
      <c r="F66" s="38"/>
      <c r="G66" s="38"/>
      <c r="H66" s="38"/>
      <c r="I66" s="38"/>
    </row>
    <row r="67" spans="1:9" outlineLevel="1" x14ac:dyDescent="0.3">
      <c r="A67" s="37"/>
      <c r="B67" s="40" t="s">
        <v>134</v>
      </c>
      <c r="C67" s="37"/>
      <c r="D67" s="37"/>
      <c r="E67" s="39"/>
      <c r="F67" s="38"/>
      <c r="G67" s="38"/>
      <c r="H67" s="38"/>
      <c r="I67" s="38"/>
    </row>
    <row r="68" spans="1:9" ht="33.75" customHeight="1" outlineLevel="1" x14ac:dyDescent="0.3">
      <c r="A68" s="37"/>
      <c r="B68" s="38" t="s">
        <v>135</v>
      </c>
      <c r="C68" s="37"/>
      <c r="D68" s="37"/>
      <c r="E68" s="39"/>
      <c r="F68" s="38"/>
      <c r="G68" s="41"/>
      <c r="H68" s="38" t="s">
        <v>136</v>
      </c>
      <c r="I68" s="38"/>
    </row>
    <row r="69" spans="1:9" outlineLevel="1" x14ac:dyDescent="0.3"/>
    <row r="70" spans="1:9" outlineLevel="1" x14ac:dyDescent="0.3">
      <c r="I70" s="88" t="str">
        <f>IF(I76&lt;0,"Приложение №1","")</f>
        <v>Приложение №1</v>
      </c>
    </row>
    <row r="71" spans="1:9" s="50" customFormat="1" ht="30" customHeight="1" outlineLevel="1" x14ac:dyDescent="0.4">
      <c r="A71" s="201" t="s">
        <v>132</v>
      </c>
      <c r="B71" s="201"/>
      <c r="C71" s="201"/>
      <c r="D71" s="201"/>
      <c r="E71" s="201"/>
      <c r="F71" s="201"/>
      <c r="G71" s="201"/>
      <c r="H71" s="201"/>
      <c r="I71" s="201"/>
    </row>
    <row r="72" spans="1:9" s="50" customFormat="1" ht="30" customHeight="1" outlineLevel="1" x14ac:dyDescent="0.4">
      <c r="A72" s="201" t="s">
        <v>6</v>
      </c>
      <c r="B72" s="201"/>
      <c r="C72" s="201"/>
      <c r="D72" s="201"/>
      <c r="E72" s="201"/>
      <c r="F72" s="201"/>
      <c r="G72" s="201"/>
      <c r="H72" s="201"/>
      <c r="I72" s="201"/>
    </row>
    <row r="73" spans="1:9" outlineLevel="1" x14ac:dyDescent="0.3">
      <c r="A73" s="202"/>
      <c r="B73" s="202"/>
      <c r="C73" s="202"/>
      <c r="D73" s="202"/>
      <c r="E73" s="202"/>
      <c r="F73" s="202"/>
      <c r="G73" s="202"/>
      <c r="H73" s="202"/>
      <c r="I73" s="202"/>
    </row>
    <row r="74" spans="1:9" ht="60" customHeight="1" outlineLevel="1" x14ac:dyDescent="0.3">
      <c r="A74" s="203" t="s">
        <v>125</v>
      </c>
      <c r="B74" s="204" t="s">
        <v>126</v>
      </c>
      <c r="C74" s="188" t="s">
        <v>199</v>
      </c>
      <c r="D74" s="188" t="s">
        <v>128</v>
      </c>
      <c r="E74" s="206" t="s">
        <v>129</v>
      </c>
      <c r="F74" s="208" t="s">
        <v>130</v>
      </c>
      <c r="G74" s="210" t="s">
        <v>131</v>
      </c>
      <c r="H74" s="211"/>
      <c r="I74" s="212"/>
    </row>
    <row r="75" spans="1:9" ht="60" customHeight="1" outlineLevel="1" x14ac:dyDescent="0.3">
      <c r="A75" s="203"/>
      <c r="B75" s="205"/>
      <c r="C75" s="189"/>
      <c r="D75" s="189"/>
      <c r="E75" s="207"/>
      <c r="F75" s="209"/>
      <c r="G75" s="96" t="s">
        <v>112</v>
      </c>
      <c r="H75" s="96" t="s">
        <v>110</v>
      </c>
      <c r="I75" s="96" t="s">
        <v>111</v>
      </c>
    </row>
    <row r="76" spans="1:9" ht="24" customHeight="1" outlineLevel="1" x14ac:dyDescent="0.3">
      <c r="A76" s="34" t="e">
        <f>IF(ПРИЛОЖЕНИЕ!$A73=0,SUMIFS('итог '!L:L,'итог '!$B:$B,ПРИЛОЖЕНИЕ!$A72),SUMIFS('итог '!L:L,'итог '!$B:$B,ПРИЛОЖЕНИЕ!$A72,'итог '!$D:$D,ПРИЛОЖЕНИЕ!$A73))</f>
        <v>#REF!</v>
      </c>
      <c r="B76" s="35" t="e">
        <f>IF(ПРИЛОЖЕНИЕ!$A73=0,SUMIFS('итог '!M:M,'итог '!$B:$B,ПРИЛОЖЕНИЕ!$A72),SUMIFS('итог '!M:M,'итог '!$B:$B,ПРИЛОЖЕНИЕ!$A72,'итог '!$D:$D,ПРИЛОЖЕНИЕ!$A73))</f>
        <v>#REF!</v>
      </c>
      <c r="C76" s="34">
        <f>IF(ПРИЛОЖЕНИЕ!$A73=0,SUMIFS('итог '!Q:Q,'итог '!$B:$B,ПРИЛОЖЕНИЕ!$A72),SUMIFS('итог '!Q:Q,'итог '!$B:$B,ПРИЛОЖЕНИЕ!$A72,'итог '!$D:$D,ПРИЛОЖЕНИЕ!$A73))</f>
        <v>52.660000000000004</v>
      </c>
      <c r="D76" s="34">
        <f>IF(ПРИЛОЖЕНИЕ!$A73=0,SUMIFS('итог '!S:S,'итог '!$B:$B,ПРИЛОЖЕНИЕ!$A72),SUMIFS('итог '!S:S,'итог '!$B:$B,ПРИЛОЖЕНИЕ!$A72,'итог '!$D:$D,ПРИЛОЖЕНИЕ!$A73))</f>
        <v>16</v>
      </c>
      <c r="E76" s="36" t="e">
        <f>IF(ПРИЛОЖЕНИЕ!$A73=0,SUMIFS('итог '!T:T,'итог '!$B:$B,ПРИЛОЖЕНИЕ!$A72),SUMIFS('итог '!T:T,'итог '!$B:$B,ПРИЛОЖЕНИЕ!$A72,'итог '!$D:$D,ПРИЛОЖЕНИЕ!$A73))</f>
        <v>#REF!</v>
      </c>
      <c r="F76" s="35" t="e">
        <f>IF(ПРИЛОЖЕНИЕ!$A73=0,SUMIFS('итог '!V:V,'итог '!$B:$B,ПРИЛОЖЕНИЕ!$A72),SUMIFS('итог '!V:V,'итог '!$B:$B,ПРИЛОЖЕНИЕ!$A72,'итог '!$D:$D,ПРИЛОЖЕНИЕ!$A73))</f>
        <v>#REF!</v>
      </c>
      <c r="G76" s="35">
        <f>IF(ПРИЛОЖЕНИЕ!$A73=0,SUMIFS('итог '!W:W,'итог '!$B:$B,ПРИЛОЖЕНИЕ!$A72),SUMIFS('итог '!W:W,'итог '!$B:$B,ПРИЛОЖЕНИЕ!$A72,'итог '!$D:$D,ПРИЛОЖЕНИЕ!$A73))</f>
        <v>35957376</v>
      </c>
      <c r="H76" s="35">
        <f>IF(ПРИЛОЖЕНИЕ!$A73=0,SUMIFS('итог '!X:X,'итог '!$B:$B,ПРИЛОЖЕНИЕ!$A72),SUMIFS('итог '!X:X,'итог '!$B:$B,ПРИЛОЖЕНИЕ!$A72,'итог '!$D:$D,ПРИЛОЖЕНИЕ!$A73))</f>
        <v>36695697</v>
      </c>
      <c r="I76" s="35">
        <f>IF(ПРИЛОЖЕНИЕ!$A73=0,SUMIFS('итог '!Y:Y,'итог '!$B:$B,ПРИЛОЖЕНИЕ!$A72),SUMIFS('итог '!Y:Y,'итог '!$B:$B,ПРИЛОЖЕНИЕ!$A72,'итог '!$D:$D,ПРИЛОЖЕНИЕ!$A73))</f>
        <v>-738321</v>
      </c>
    </row>
    <row r="77" spans="1:9" ht="24" customHeight="1" outlineLevel="1" x14ac:dyDescent="0.3">
      <c r="A77" s="37"/>
      <c r="B77" s="38"/>
      <c r="C77" s="37"/>
      <c r="D77" s="37"/>
      <c r="E77" s="39"/>
      <c r="F77" s="38"/>
      <c r="G77" s="38"/>
      <c r="H77" s="38"/>
      <c r="I77" s="38"/>
    </row>
    <row r="78" spans="1:9" ht="33.75" customHeight="1" outlineLevel="1" x14ac:dyDescent="0.3">
      <c r="A78" s="87" t="s">
        <v>198</v>
      </c>
      <c r="C78" s="37"/>
      <c r="D78" s="37"/>
      <c r="E78" s="39"/>
      <c r="F78" s="38"/>
      <c r="G78" s="38"/>
      <c r="H78" s="38"/>
      <c r="I78" s="38"/>
    </row>
    <row r="79" spans="1:9" ht="23.25" customHeight="1" outlineLevel="1" x14ac:dyDescent="0.3">
      <c r="A79" s="38" t="s">
        <v>135</v>
      </c>
      <c r="C79" s="37"/>
      <c r="D79" s="37"/>
      <c r="E79" s="39"/>
      <c r="F79" s="38"/>
      <c r="G79" s="41"/>
      <c r="H79" s="38" t="s">
        <v>136</v>
      </c>
      <c r="I79" s="38"/>
    </row>
    <row r="80" spans="1:9" outlineLevel="1" x14ac:dyDescent="0.3"/>
    <row r="81" spans="1:16384" outlineLevel="1" x14ac:dyDescent="0.3">
      <c r="I81" s="45" t="str">
        <f>IF(J87&lt;0,"Приложение №1","")</f>
        <v/>
      </c>
      <c r="J81" s="88" t="s">
        <v>197</v>
      </c>
    </row>
    <row r="82" spans="1:16384" s="50" customFormat="1" ht="30" customHeight="1" outlineLevel="1" x14ac:dyDescent="0.4">
      <c r="A82" s="201" t="s">
        <v>132</v>
      </c>
      <c r="B82" s="201"/>
      <c r="C82" s="201"/>
      <c r="D82" s="201"/>
      <c r="E82" s="201"/>
      <c r="F82" s="201"/>
      <c r="G82" s="201"/>
      <c r="H82" s="201"/>
      <c r="I82" s="201"/>
      <c r="J82" s="201"/>
    </row>
    <row r="83" spans="1:16384" s="50" customFormat="1" ht="30" customHeight="1" outlineLevel="1" x14ac:dyDescent="0.4">
      <c r="A83" s="201" t="s">
        <v>46</v>
      </c>
      <c r="B83" s="201"/>
      <c r="C83" s="201"/>
      <c r="D83" s="201"/>
      <c r="E83" s="201"/>
      <c r="F83" s="201"/>
      <c r="G83" s="201"/>
      <c r="H83" s="201"/>
      <c r="I83" s="201"/>
      <c r="J83" s="201"/>
    </row>
    <row r="84" spans="1:16384" outlineLevel="1" x14ac:dyDescent="0.3">
      <c r="A84" s="202"/>
      <c r="B84" s="202"/>
      <c r="C84" s="202"/>
      <c r="D84" s="202"/>
      <c r="E84" s="202"/>
      <c r="F84" s="202"/>
      <c r="G84" s="202"/>
      <c r="H84" s="202"/>
      <c r="I84" s="202"/>
    </row>
    <row r="85" spans="1:16384" s="24" customFormat="1" ht="60" customHeight="1" x14ac:dyDescent="0.25">
      <c r="A85" s="185" t="s">
        <v>200</v>
      </c>
      <c r="B85" s="185" t="s">
        <v>125</v>
      </c>
      <c r="C85" s="186" t="s">
        <v>126</v>
      </c>
      <c r="D85" s="188" t="s">
        <v>199</v>
      </c>
      <c r="E85" s="190" t="s">
        <v>128</v>
      </c>
      <c r="F85" s="192" t="s">
        <v>129</v>
      </c>
      <c r="G85" s="198" t="s">
        <v>130</v>
      </c>
      <c r="H85" s="194" t="s">
        <v>131</v>
      </c>
      <c r="I85" s="195"/>
      <c r="J85" s="196"/>
    </row>
    <row r="86" spans="1:16384" s="24" customFormat="1" ht="60" customHeight="1" x14ac:dyDescent="0.25">
      <c r="A86" s="185"/>
      <c r="B86" s="185"/>
      <c r="C86" s="187"/>
      <c r="D86" s="189"/>
      <c r="E86" s="191"/>
      <c r="F86" s="193"/>
      <c r="G86" s="199"/>
      <c r="H86" s="98" t="s">
        <v>112</v>
      </c>
      <c r="I86" s="98" t="s">
        <v>110</v>
      </c>
      <c r="J86" s="98" t="s">
        <v>111</v>
      </c>
    </row>
    <row r="87" spans="1:16384" ht="30" customHeight="1" x14ac:dyDescent="0.3">
      <c r="A87" s="98" t="s">
        <v>201</v>
      </c>
      <c r="B87" s="34" t="e">
        <f>IF(ПРИЛОЖЕНИЕ!$A84=0,SUMIFS('итог '!L:L,'итог '!$B:$B,ПРИЛОЖЕНИЕ!$A83),SUMIFS('итог '!L:L,'итог '!$B:$B,ПРИЛОЖЕНИЕ!$A83,'итог '!$D:$D,ПРИЛОЖЕНИЕ!$A84))</f>
        <v>#REF!</v>
      </c>
      <c r="C87" s="35" t="e">
        <f>IF(ПРИЛОЖЕНИЕ!$A84=0,SUMIFS('итог '!M:M,'итог '!$B:$B,ПРИЛОЖЕНИЕ!$A83),SUMIFS('итог '!M:M,'итог '!$B:$B,ПРИЛОЖЕНИЕ!$A83,'итог '!$D:$D,ПРИЛОЖЕНИЕ!$A84))</f>
        <v>#REF!</v>
      </c>
      <c r="D87" s="34">
        <f>IF(ПРИЛОЖЕНИЕ!$A84=0,SUMIFS('итог '!Q:Q,'итог '!$B:$B,ПРИЛОЖЕНИЕ!$A83),SUMIFS('итог '!Q:Q,'итог '!$B:$B,ПРИЛОЖЕНИЕ!$A83,'итог '!$D:$D,ПРИЛОЖЕНИЕ!$A84))</f>
        <v>33.17</v>
      </c>
      <c r="E87" s="34">
        <f>IF(ПРИЛОЖЕНИЕ!$A84=0,SUMIFS('итог '!S:S,'итог '!$B:$B,ПРИЛОЖЕНИЕ!$A83),SUMIFS('итог '!S:S,'итог '!$B:$B,ПРИЛОЖЕНИЕ!$A83,'итог '!$D:$D,ПРИЛОЖЕНИЕ!$A84))</f>
        <v>16</v>
      </c>
      <c r="F87" s="36" t="e">
        <f>IF(ПРИЛОЖЕНИЕ!$A84=0,SUMIFS('итог '!T:T,'итог '!$B:$B,ПРИЛОЖЕНИЕ!$A83),SUMIFS('итог '!T:T,'итог '!$B:$B,ПРИЛОЖЕНИЕ!$A83,'итог '!$D:$D,ПРИЛОЖЕНИЕ!$A84))</f>
        <v>#REF!</v>
      </c>
      <c r="G87" s="35" t="e">
        <f>IF(ПРИЛОЖЕНИЕ!$A84=0,SUMIFS('итог '!V:V,'итог '!$B:$B,ПРИЛОЖЕНИЕ!$A83),SUMIFS('итог '!V:V,'итог '!$B:$B,ПРИЛОЖЕНИЕ!$A83,'итог '!$D:$D,ПРИЛОЖЕНИЕ!$A84))</f>
        <v>#REF!</v>
      </c>
      <c r="H87" s="35">
        <f>IF(ПРИЛОЖЕНИЕ!$A84=0,SUMIFS('итог '!W:W,'итог '!$B:$B,ПРИЛОЖЕНИЕ!$A83),SUMIFS('итог '!W:W,'итог '!$B:$B,ПРИЛОЖЕНИЕ!$A83,'итог '!$D:$D,ПРИЛОЖЕНИЕ!$A84))</f>
        <v>24580620</v>
      </c>
      <c r="I87" s="35">
        <f>IF(ПРИЛОЖЕНИЕ!$A84=0,SUMIFS('итог '!X:X,'итог '!$B:$B,ПРИЛОЖЕНИЕ!$A83),SUMIFS('итог '!X:X,'итог '!$B:$B,ПРИЛОЖЕНИЕ!$A83,'итог '!$D:$D,ПРИЛОЖЕНИЕ!$A84))</f>
        <v>24107620</v>
      </c>
      <c r="J87" s="35">
        <f>IF(ПРИЛОЖЕНИЕ!$A84=0,SUMIFS('итог '!Y:Y,'итог '!$B:$B,ПРИЛОЖЕНИЕ!$A83),SUMIFS('итог '!Y:Y,'итог '!$B:$B,ПРИЛОЖЕНИЕ!$A83,'итог '!$D:$D,ПРИЛОЖЕНИЕ!$A84))</f>
        <v>473000</v>
      </c>
    </row>
    <row r="88" spans="1:16384" ht="30" customHeight="1" x14ac:dyDescent="0.3">
      <c r="A88" s="98" t="s">
        <v>202</v>
      </c>
      <c r="B88" s="34" t="e">
        <f>B87</f>
        <v>#REF!</v>
      </c>
      <c r="C88" s="35" t="e">
        <f>C87</f>
        <v>#REF!</v>
      </c>
      <c r="D88" s="34">
        <v>26.32</v>
      </c>
      <c r="E88" s="34">
        <v>9.1</v>
      </c>
      <c r="F88" s="36" t="e">
        <f>IF(ПРИЛОЖЕНИЕ!$A84=0,SUMIFS('итог '!U:U,'итог '!$B:$B,ПРИЛОЖЕНИЕ!$A83),SUMIFS('итог '!U:U,'итог '!$B:$B,ПРИЛОЖЕНИЕ!$A83,'итог '!$D:$D,ПРИЛОЖЕНИЕ!$A84))</f>
        <v>#REF!</v>
      </c>
      <c r="G88" s="35" t="e">
        <f>G87*(H88/H87)</f>
        <v>#REF!</v>
      </c>
      <c r="H88" s="35">
        <f>20428.5*1000</f>
        <v>20428500</v>
      </c>
      <c r="I88" s="35">
        <f>I87</f>
        <v>24107620</v>
      </c>
      <c r="J88" s="35">
        <f>H88-I88</f>
        <v>-3679120</v>
      </c>
    </row>
    <row r="89" spans="1:16384" ht="30.75" customHeight="1" x14ac:dyDescent="0.3">
      <c r="A89" s="40" t="s">
        <v>203</v>
      </c>
      <c r="C89" s="37"/>
      <c r="D89" s="37"/>
      <c r="E89" s="39"/>
      <c r="F89" s="38"/>
      <c r="G89" s="38"/>
      <c r="H89" s="38"/>
      <c r="I89" s="38"/>
    </row>
    <row r="90" spans="1:16384" ht="32.25" customHeight="1" x14ac:dyDescent="0.3">
      <c r="A90" s="38" t="s">
        <v>135</v>
      </c>
      <c r="C90" s="37"/>
      <c r="D90" s="37"/>
      <c r="E90" s="39"/>
      <c r="F90" s="38"/>
      <c r="G90" s="41"/>
      <c r="H90" s="38" t="s">
        <v>136</v>
      </c>
      <c r="I90" s="38"/>
    </row>
    <row r="91" spans="1:16384" outlineLevel="1" x14ac:dyDescent="0.3"/>
    <row r="92" spans="1:16384" outlineLevel="1" x14ac:dyDescent="0.3">
      <c r="I92" s="88" t="str">
        <f>IF(I98&lt;0,"Приложение №1","")</f>
        <v/>
      </c>
    </row>
    <row r="93" spans="1:16384" ht="30" customHeight="1" outlineLevel="1" x14ac:dyDescent="0.3">
      <c r="A93" s="201" t="s">
        <v>132</v>
      </c>
      <c r="B93" s="201"/>
      <c r="C93" s="201"/>
      <c r="D93" s="201"/>
      <c r="E93" s="201"/>
      <c r="F93" s="201"/>
      <c r="G93" s="201"/>
      <c r="H93" s="201"/>
      <c r="I93" s="201"/>
      <c r="J93" s="201"/>
      <c r="K93" s="201"/>
      <c r="L93" s="201"/>
      <c r="M93" s="201"/>
      <c r="N93" s="201"/>
      <c r="O93" s="201"/>
      <c r="P93" s="201"/>
      <c r="Q93" s="201"/>
      <c r="R93" s="201"/>
      <c r="S93" s="201"/>
      <c r="T93" s="201"/>
      <c r="U93" s="201"/>
      <c r="V93" s="201"/>
      <c r="W93" s="201"/>
      <c r="X93" s="201"/>
      <c r="Y93" s="201"/>
      <c r="Z93" s="201"/>
      <c r="AA93" s="201"/>
      <c r="AB93" s="201"/>
      <c r="AC93" s="201"/>
      <c r="AD93" s="201"/>
      <c r="AE93" s="201"/>
      <c r="AF93" s="201"/>
      <c r="AG93" s="201"/>
      <c r="AH93" s="201"/>
      <c r="AI93" s="201"/>
      <c r="AJ93" s="201"/>
      <c r="AK93" s="201"/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  <c r="BY93" s="201"/>
      <c r="BZ93" s="201"/>
      <c r="CA93" s="201"/>
      <c r="CB93" s="201"/>
      <c r="CC93" s="201"/>
      <c r="CD93" s="201"/>
      <c r="CE93" s="201"/>
      <c r="CF93" s="201"/>
      <c r="CG93" s="201"/>
      <c r="CH93" s="201"/>
      <c r="CI93" s="201"/>
      <c r="CJ93" s="201"/>
      <c r="CK93" s="201"/>
      <c r="CL93" s="201"/>
      <c r="CM93" s="201"/>
      <c r="CN93" s="201"/>
      <c r="CO93" s="201"/>
      <c r="CP93" s="201"/>
      <c r="CQ93" s="201"/>
      <c r="CR93" s="201"/>
      <c r="CS93" s="201"/>
      <c r="CT93" s="201"/>
      <c r="CU93" s="201"/>
      <c r="CV93" s="201"/>
      <c r="CW93" s="201"/>
      <c r="CX93" s="201"/>
      <c r="CY93" s="201"/>
      <c r="CZ93" s="201"/>
      <c r="DA93" s="201"/>
      <c r="DB93" s="201"/>
      <c r="DC93" s="201"/>
      <c r="DD93" s="201"/>
      <c r="DE93" s="201"/>
      <c r="DF93" s="201"/>
      <c r="DG93" s="201"/>
      <c r="DH93" s="201"/>
      <c r="DI93" s="201"/>
      <c r="DJ93" s="201"/>
      <c r="DK93" s="201"/>
      <c r="DL93" s="201"/>
      <c r="DM93" s="201"/>
      <c r="DN93" s="201"/>
      <c r="DO93" s="201"/>
      <c r="DP93" s="201"/>
      <c r="DQ93" s="201"/>
      <c r="DR93" s="201"/>
      <c r="DS93" s="201"/>
      <c r="DT93" s="201"/>
      <c r="DU93" s="201"/>
      <c r="DV93" s="201"/>
      <c r="DW93" s="201"/>
      <c r="DX93" s="201"/>
      <c r="DY93" s="201"/>
      <c r="DZ93" s="201"/>
      <c r="EA93" s="201"/>
      <c r="EB93" s="201"/>
      <c r="EC93" s="201"/>
      <c r="ED93" s="201"/>
      <c r="EE93" s="201"/>
      <c r="EF93" s="201"/>
      <c r="EG93" s="201"/>
      <c r="EH93" s="201"/>
      <c r="EI93" s="201"/>
      <c r="EJ93" s="201"/>
      <c r="EK93" s="201"/>
      <c r="EL93" s="201"/>
      <c r="EM93" s="201"/>
      <c r="EN93" s="201"/>
      <c r="EO93" s="201"/>
      <c r="EP93" s="201"/>
      <c r="EQ93" s="201"/>
      <c r="ER93" s="201"/>
      <c r="ES93" s="201"/>
      <c r="ET93" s="201"/>
      <c r="EU93" s="201"/>
      <c r="EV93" s="201"/>
      <c r="EW93" s="201"/>
      <c r="EX93" s="201"/>
      <c r="EY93" s="201"/>
      <c r="EZ93" s="201"/>
      <c r="FA93" s="201"/>
      <c r="FB93" s="201"/>
      <c r="FC93" s="201"/>
      <c r="FD93" s="201"/>
      <c r="FE93" s="201"/>
      <c r="FF93" s="201"/>
      <c r="FG93" s="201"/>
      <c r="FH93" s="201"/>
      <c r="FI93" s="201"/>
      <c r="FJ93" s="201"/>
      <c r="FK93" s="201"/>
      <c r="FL93" s="201"/>
      <c r="FM93" s="201"/>
      <c r="FN93" s="201"/>
      <c r="FO93" s="201"/>
      <c r="FP93" s="201"/>
      <c r="FQ93" s="201"/>
      <c r="FR93" s="201"/>
      <c r="FS93" s="201"/>
      <c r="FT93" s="201"/>
      <c r="FU93" s="201"/>
      <c r="FV93" s="201"/>
      <c r="FW93" s="201"/>
      <c r="FX93" s="201"/>
      <c r="FY93" s="201"/>
      <c r="FZ93" s="201"/>
      <c r="GA93" s="201"/>
      <c r="GB93" s="201"/>
      <c r="GC93" s="201"/>
      <c r="GD93" s="201"/>
      <c r="GE93" s="201"/>
      <c r="GF93" s="201"/>
      <c r="GG93" s="201"/>
      <c r="GH93" s="201"/>
      <c r="GI93" s="201"/>
      <c r="GJ93" s="201"/>
      <c r="GK93" s="201"/>
      <c r="GL93" s="201"/>
      <c r="GM93" s="201"/>
      <c r="GN93" s="201"/>
      <c r="GO93" s="201"/>
      <c r="GP93" s="201"/>
      <c r="GQ93" s="201"/>
      <c r="GR93" s="201"/>
      <c r="GS93" s="201"/>
      <c r="GT93" s="201"/>
      <c r="GU93" s="201"/>
      <c r="GV93" s="201"/>
      <c r="GW93" s="201"/>
      <c r="GX93" s="201"/>
      <c r="GY93" s="201"/>
      <c r="GZ93" s="201"/>
      <c r="HA93" s="201"/>
      <c r="HB93" s="201"/>
      <c r="HC93" s="201"/>
      <c r="HD93" s="201"/>
      <c r="HE93" s="201"/>
      <c r="HF93" s="201"/>
      <c r="HG93" s="201"/>
      <c r="HH93" s="201"/>
      <c r="HI93" s="201"/>
      <c r="HJ93" s="201"/>
      <c r="HK93" s="201"/>
      <c r="HL93" s="201"/>
      <c r="HM93" s="201"/>
      <c r="HN93" s="201"/>
      <c r="HO93" s="201"/>
      <c r="HP93" s="201"/>
      <c r="HQ93" s="201"/>
      <c r="HR93" s="201"/>
      <c r="HS93" s="201"/>
      <c r="HT93" s="201"/>
      <c r="HU93" s="201"/>
      <c r="HV93" s="201"/>
      <c r="HW93" s="201"/>
      <c r="HX93" s="201"/>
      <c r="HY93" s="201"/>
      <c r="HZ93" s="201"/>
      <c r="IA93" s="201"/>
      <c r="IB93" s="201"/>
      <c r="IC93" s="201"/>
      <c r="ID93" s="201"/>
      <c r="IE93" s="201"/>
      <c r="IF93" s="201"/>
      <c r="IG93" s="201"/>
      <c r="IH93" s="201"/>
      <c r="II93" s="201"/>
      <c r="IJ93" s="201"/>
      <c r="IK93" s="201"/>
      <c r="IL93" s="201"/>
      <c r="IM93" s="201"/>
      <c r="IN93" s="201"/>
      <c r="IO93" s="201"/>
      <c r="IP93" s="201"/>
      <c r="IQ93" s="201"/>
      <c r="IR93" s="201"/>
      <c r="IS93" s="201"/>
      <c r="IT93" s="201"/>
      <c r="IU93" s="201"/>
      <c r="IV93" s="201"/>
      <c r="IW93" s="201"/>
      <c r="IX93" s="201"/>
      <c r="IY93" s="201"/>
      <c r="IZ93" s="201"/>
      <c r="JA93" s="201"/>
      <c r="JB93" s="201"/>
      <c r="JC93" s="201"/>
      <c r="JD93" s="201"/>
      <c r="JE93" s="201"/>
      <c r="JF93" s="201"/>
      <c r="JG93" s="201"/>
      <c r="JH93" s="201"/>
      <c r="JI93" s="201"/>
      <c r="JJ93" s="201"/>
      <c r="JK93" s="201"/>
      <c r="JL93" s="201"/>
      <c r="JM93" s="201"/>
      <c r="JN93" s="201"/>
      <c r="JO93" s="201"/>
      <c r="JP93" s="201"/>
      <c r="JQ93" s="201"/>
      <c r="JR93" s="201"/>
      <c r="JS93" s="201"/>
      <c r="JT93" s="201"/>
      <c r="JU93" s="201"/>
      <c r="JV93" s="201"/>
      <c r="JW93" s="201"/>
      <c r="JX93" s="201"/>
      <c r="JY93" s="201"/>
      <c r="JZ93" s="201"/>
      <c r="KA93" s="201"/>
      <c r="KB93" s="201"/>
      <c r="KC93" s="201"/>
      <c r="KD93" s="201"/>
      <c r="KE93" s="201"/>
      <c r="KF93" s="201"/>
      <c r="KG93" s="201"/>
      <c r="KH93" s="201"/>
      <c r="KI93" s="201"/>
      <c r="KJ93" s="201"/>
      <c r="KK93" s="201"/>
      <c r="KL93" s="201"/>
      <c r="KM93" s="201"/>
      <c r="KN93" s="201"/>
      <c r="KO93" s="201"/>
      <c r="KP93" s="201"/>
      <c r="KQ93" s="201"/>
      <c r="KR93" s="201"/>
      <c r="KS93" s="201"/>
      <c r="KT93" s="201"/>
      <c r="KU93" s="201"/>
      <c r="KV93" s="201"/>
      <c r="KW93" s="201"/>
      <c r="KX93" s="201"/>
      <c r="KY93" s="201"/>
      <c r="KZ93" s="201"/>
      <c r="LA93" s="201"/>
      <c r="LB93" s="201"/>
      <c r="LC93" s="201"/>
      <c r="LD93" s="201"/>
      <c r="LE93" s="201"/>
      <c r="LF93" s="201"/>
      <c r="LG93" s="201"/>
      <c r="LH93" s="201"/>
      <c r="LI93" s="201"/>
      <c r="LJ93" s="201"/>
      <c r="LK93" s="201"/>
      <c r="LL93" s="201"/>
      <c r="LM93" s="201"/>
      <c r="LN93" s="201"/>
      <c r="LO93" s="201"/>
      <c r="LP93" s="201"/>
      <c r="LQ93" s="201"/>
      <c r="LR93" s="201"/>
      <c r="LS93" s="201"/>
      <c r="LT93" s="201"/>
      <c r="LU93" s="201"/>
      <c r="LV93" s="201"/>
      <c r="LW93" s="201"/>
      <c r="LX93" s="201"/>
      <c r="LY93" s="201"/>
      <c r="LZ93" s="201"/>
      <c r="MA93" s="201"/>
      <c r="MB93" s="201"/>
      <c r="MC93" s="201"/>
      <c r="MD93" s="201"/>
      <c r="ME93" s="201"/>
      <c r="MF93" s="201"/>
      <c r="MG93" s="201"/>
      <c r="MH93" s="201"/>
      <c r="MI93" s="201"/>
      <c r="MJ93" s="201"/>
      <c r="MK93" s="201"/>
      <c r="ML93" s="201"/>
      <c r="MM93" s="201"/>
      <c r="MN93" s="201"/>
      <c r="MO93" s="201"/>
      <c r="MP93" s="201"/>
      <c r="MQ93" s="201"/>
      <c r="MR93" s="201"/>
      <c r="MS93" s="201"/>
      <c r="MT93" s="201"/>
      <c r="MU93" s="201"/>
      <c r="MV93" s="201"/>
      <c r="MW93" s="201"/>
      <c r="MX93" s="201"/>
      <c r="MY93" s="201"/>
      <c r="MZ93" s="201"/>
      <c r="NA93" s="201"/>
      <c r="NB93" s="201"/>
      <c r="NC93" s="201"/>
      <c r="ND93" s="201"/>
      <c r="NE93" s="201"/>
      <c r="NF93" s="201"/>
      <c r="NG93" s="201"/>
      <c r="NH93" s="201"/>
      <c r="NI93" s="201"/>
      <c r="NJ93" s="201"/>
      <c r="NK93" s="201"/>
      <c r="NL93" s="201"/>
      <c r="NM93" s="201"/>
      <c r="NN93" s="201"/>
      <c r="NO93" s="201"/>
      <c r="NP93" s="201"/>
      <c r="NQ93" s="201"/>
      <c r="NR93" s="201"/>
      <c r="NS93" s="201"/>
      <c r="NT93" s="201"/>
      <c r="NU93" s="201"/>
      <c r="NV93" s="201"/>
      <c r="NW93" s="201"/>
      <c r="NX93" s="201"/>
      <c r="NY93" s="201"/>
      <c r="NZ93" s="201"/>
      <c r="OA93" s="201"/>
      <c r="OB93" s="201"/>
      <c r="OC93" s="201"/>
      <c r="OD93" s="201"/>
      <c r="OE93" s="201"/>
      <c r="OF93" s="201"/>
      <c r="OG93" s="201"/>
      <c r="OH93" s="201"/>
      <c r="OI93" s="201"/>
      <c r="OJ93" s="201"/>
      <c r="OK93" s="201"/>
      <c r="OL93" s="201"/>
      <c r="OM93" s="201"/>
      <c r="ON93" s="201"/>
      <c r="OO93" s="201"/>
      <c r="OP93" s="201"/>
      <c r="OQ93" s="201"/>
      <c r="OR93" s="201"/>
      <c r="OS93" s="201"/>
      <c r="OT93" s="201"/>
      <c r="OU93" s="201"/>
      <c r="OV93" s="201"/>
      <c r="OW93" s="201"/>
      <c r="OX93" s="201"/>
      <c r="OY93" s="201"/>
      <c r="OZ93" s="201"/>
      <c r="PA93" s="201"/>
      <c r="PB93" s="201"/>
      <c r="PC93" s="201"/>
      <c r="PD93" s="201"/>
      <c r="PE93" s="201"/>
      <c r="PF93" s="201"/>
      <c r="PG93" s="201"/>
      <c r="PH93" s="201"/>
      <c r="PI93" s="201"/>
      <c r="PJ93" s="201"/>
      <c r="PK93" s="201"/>
      <c r="PL93" s="201"/>
      <c r="PM93" s="201"/>
      <c r="PN93" s="201"/>
      <c r="PO93" s="201"/>
      <c r="PP93" s="201"/>
      <c r="PQ93" s="201"/>
      <c r="PR93" s="201"/>
      <c r="PS93" s="201"/>
      <c r="PT93" s="201"/>
      <c r="PU93" s="201"/>
      <c r="PV93" s="201"/>
      <c r="PW93" s="201"/>
      <c r="PX93" s="201"/>
      <c r="PY93" s="201"/>
      <c r="PZ93" s="201"/>
      <c r="QA93" s="201"/>
      <c r="QB93" s="201"/>
      <c r="QC93" s="201"/>
      <c r="QD93" s="201"/>
      <c r="QE93" s="201"/>
      <c r="QF93" s="201"/>
      <c r="QG93" s="201"/>
      <c r="QH93" s="201"/>
      <c r="QI93" s="201"/>
      <c r="QJ93" s="201"/>
      <c r="QK93" s="201"/>
      <c r="QL93" s="201"/>
      <c r="QM93" s="201"/>
      <c r="QN93" s="201"/>
      <c r="QO93" s="201"/>
      <c r="QP93" s="201"/>
      <c r="QQ93" s="201"/>
      <c r="QR93" s="201"/>
      <c r="QS93" s="201"/>
      <c r="QT93" s="201"/>
      <c r="QU93" s="201"/>
      <c r="QV93" s="201"/>
      <c r="QW93" s="201"/>
      <c r="QX93" s="201"/>
      <c r="QY93" s="201"/>
      <c r="QZ93" s="201"/>
      <c r="RA93" s="201"/>
      <c r="RB93" s="201"/>
      <c r="RC93" s="201"/>
      <c r="RD93" s="201"/>
      <c r="RE93" s="201"/>
      <c r="RF93" s="201"/>
      <c r="RG93" s="201"/>
      <c r="RH93" s="201"/>
      <c r="RI93" s="201"/>
      <c r="RJ93" s="201"/>
      <c r="RK93" s="201"/>
      <c r="RL93" s="201"/>
      <c r="RM93" s="201"/>
      <c r="RN93" s="201"/>
      <c r="RO93" s="201"/>
      <c r="RP93" s="201"/>
      <c r="RQ93" s="201"/>
      <c r="RR93" s="201"/>
      <c r="RS93" s="201"/>
      <c r="RT93" s="201"/>
      <c r="RU93" s="201"/>
      <c r="RV93" s="201"/>
      <c r="RW93" s="201"/>
      <c r="RX93" s="201"/>
      <c r="RY93" s="201"/>
      <c r="RZ93" s="201"/>
      <c r="SA93" s="201"/>
      <c r="SB93" s="201"/>
      <c r="SC93" s="201"/>
      <c r="SD93" s="201"/>
      <c r="SE93" s="201"/>
      <c r="SF93" s="201"/>
      <c r="SG93" s="201"/>
      <c r="SH93" s="201"/>
      <c r="SI93" s="201"/>
      <c r="SJ93" s="201"/>
      <c r="SK93" s="201"/>
      <c r="SL93" s="201"/>
      <c r="SM93" s="201"/>
      <c r="SN93" s="201"/>
      <c r="SO93" s="201"/>
      <c r="SP93" s="201"/>
      <c r="SQ93" s="201"/>
      <c r="SR93" s="201"/>
      <c r="SS93" s="201"/>
      <c r="ST93" s="201"/>
      <c r="SU93" s="201"/>
      <c r="SV93" s="201"/>
      <c r="SW93" s="201"/>
      <c r="SX93" s="201"/>
      <c r="SY93" s="201"/>
      <c r="SZ93" s="201"/>
      <c r="TA93" s="201"/>
      <c r="TB93" s="201"/>
      <c r="TC93" s="201"/>
      <c r="TD93" s="201"/>
      <c r="TE93" s="201"/>
      <c r="TF93" s="201"/>
      <c r="TG93" s="201"/>
      <c r="TH93" s="201"/>
      <c r="TI93" s="201"/>
      <c r="TJ93" s="201"/>
      <c r="TK93" s="201"/>
      <c r="TL93" s="201"/>
      <c r="TM93" s="201"/>
      <c r="TN93" s="201"/>
      <c r="TO93" s="201"/>
      <c r="TP93" s="201"/>
      <c r="TQ93" s="201"/>
      <c r="TR93" s="201"/>
      <c r="TS93" s="201"/>
      <c r="TT93" s="201"/>
      <c r="TU93" s="201"/>
      <c r="TV93" s="201"/>
      <c r="TW93" s="201"/>
      <c r="TX93" s="201"/>
      <c r="TY93" s="201"/>
      <c r="TZ93" s="201"/>
      <c r="UA93" s="201"/>
      <c r="UB93" s="201"/>
      <c r="UC93" s="201"/>
      <c r="UD93" s="201"/>
      <c r="UE93" s="201"/>
      <c r="UF93" s="201"/>
      <c r="UG93" s="201"/>
      <c r="UH93" s="201"/>
      <c r="UI93" s="201"/>
      <c r="UJ93" s="201"/>
      <c r="UK93" s="201"/>
      <c r="UL93" s="201"/>
      <c r="UM93" s="201"/>
      <c r="UN93" s="201"/>
      <c r="UO93" s="201"/>
      <c r="UP93" s="201"/>
      <c r="UQ93" s="201"/>
      <c r="UR93" s="201"/>
      <c r="US93" s="201"/>
      <c r="UT93" s="201"/>
      <c r="UU93" s="201"/>
      <c r="UV93" s="201"/>
      <c r="UW93" s="201"/>
      <c r="UX93" s="201"/>
      <c r="UY93" s="201"/>
      <c r="UZ93" s="201"/>
      <c r="VA93" s="201"/>
      <c r="VB93" s="201"/>
      <c r="VC93" s="201"/>
      <c r="VD93" s="201"/>
      <c r="VE93" s="201"/>
      <c r="VF93" s="201"/>
      <c r="VG93" s="201"/>
      <c r="VH93" s="201"/>
      <c r="VI93" s="201"/>
      <c r="VJ93" s="201"/>
      <c r="VK93" s="201"/>
      <c r="VL93" s="201"/>
      <c r="VM93" s="201"/>
      <c r="VN93" s="201"/>
      <c r="VO93" s="201"/>
      <c r="VP93" s="201"/>
      <c r="VQ93" s="201"/>
      <c r="VR93" s="201"/>
      <c r="VS93" s="201"/>
      <c r="VT93" s="201"/>
      <c r="VU93" s="201"/>
      <c r="VV93" s="201"/>
      <c r="VW93" s="201"/>
      <c r="VX93" s="201"/>
      <c r="VY93" s="201"/>
      <c r="VZ93" s="201"/>
      <c r="WA93" s="201"/>
      <c r="WB93" s="201"/>
      <c r="WC93" s="201"/>
      <c r="WD93" s="201"/>
      <c r="WE93" s="201"/>
      <c r="WF93" s="201"/>
      <c r="WG93" s="201"/>
      <c r="WH93" s="201"/>
      <c r="WI93" s="201"/>
      <c r="WJ93" s="201"/>
      <c r="WK93" s="201"/>
      <c r="WL93" s="201"/>
      <c r="WM93" s="201"/>
      <c r="WN93" s="201"/>
      <c r="WO93" s="201"/>
      <c r="WP93" s="201"/>
      <c r="WQ93" s="201"/>
      <c r="WR93" s="201"/>
      <c r="WS93" s="201"/>
      <c r="WT93" s="201"/>
      <c r="WU93" s="201"/>
      <c r="WV93" s="201"/>
      <c r="WW93" s="201"/>
      <c r="WX93" s="201"/>
      <c r="WY93" s="201"/>
      <c r="WZ93" s="201"/>
      <c r="XA93" s="201"/>
      <c r="XB93" s="201"/>
      <c r="XC93" s="201"/>
      <c r="XD93" s="201"/>
      <c r="XE93" s="201"/>
      <c r="XF93" s="201"/>
      <c r="XG93" s="201"/>
      <c r="XH93" s="201"/>
      <c r="XI93" s="201"/>
      <c r="XJ93" s="201"/>
      <c r="XK93" s="201"/>
      <c r="XL93" s="201"/>
      <c r="XM93" s="201"/>
      <c r="XN93" s="201"/>
      <c r="XO93" s="201"/>
      <c r="XP93" s="201"/>
      <c r="XQ93" s="201"/>
      <c r="XR93" s="201"/>
      <c r="XS93" s="201"/>
      <c r="XT93" s="201"/>
      <c r="XU93" s="201"/>
      <c r="XV93" s="201"/>
      <c r="XW93" s="201"/>
      <c r="XX93" s="201"/>
      <c r="XY93" s="201"/>
      <c r="XZ93" s="201"/>
      <c r="YA93" s="201"/>
      <c r="YB93" s="201"/>
      <c r="YC93" s="201"/>
      <c r="YD93" s="201"/>
      <c r="YE93" s="201"/>
      <c r="YF93" s="201"/>
      <c r="YG93" s="201"/>
      <c r="YH93" s="201"/>
      <c r="YI93" s="201"/>
      <c r="YJ93" s="201"/>
      <c r="YK93" s="201"/>
      <c r="YL93" s="201"/>
      <c r="YM93" s="201"/>
      <c r="YN93" s="201"/>
      <c r="YO93" s="201"/>
      <c r="YP93" s="201"/>
      <c r="YQ93" s="201"/>
      <c r="YR93" s="201"/>
      <c r="YS93" s="201"/>
      <c r="YT93" s="201"/>
      <c r="YU93" s="201"/>
      <c r="YV93" s="201"/>
      <c r="YW93" s="201"/>
      <c r="YX93" s="201"/>
      <c r="YY93" s="201"/>
      <c r="YZ93" s="201"/>
      <c r="ZA93" s="201"/>
      <c r="ZB93" s="201"/>
      <c r="ZC93" s="201"/>
      <c r="ZD93" s="201"/>
      <c r="ZE93" s="201"/>
      <c r="ZF93" s="201"/>
      <c r="ZG93" s="201"/>
      <c r="ZH93" s="201"/>
      <c r="ZI93" s="201"/>
      <c r="ZJ93" s="201"/>
      <c r="ZK93" s="201"/>
      <c r="ZL93" s="201"/>
      <c r="ZM93" s="201"/>
      <c r="ZN93" s="201"/>
      <c r="ZO93" s="201"/>
      <c r="ZP93" s="201"/>
      <c r="ZQ93" s="201"/>
      <c r="ZR93" s="201"/>
      <c r="ZS93" s="201"/>
      <c r="ZT93" s="201"/>
      <c r="ZU93" s="201"/>
      <c r="ZV93" s="201"/>
      <c r="ZW93" s="201"/>
      <c r="ZX93" s="201"/>
      <c r="ZY93" s="201"/>
      <c r="ZZ93" s="201"/>
      <c r="AAA93" s="201"/>
      <c r="AAB93" s="201"/>
      <c r="AAC93" s="201"/>
      <c r="AAD93" s="201"/>
      <c r="AAE93" s="201"/>
      <c r="AAF93" s="201"/>
      <c r="AAG93" s="201"/>
      <c r="AAH93" s="201"/>
      <c r="AAI93" s="201"/>
      <c r="AAJ93" s="201"/>
      <c r="AAK93" s="201"/>
      <c r="AAL93" s="201"/>
      <c r="AAM93" s="201"/>
      <c r="AAN93" s="201"/>
      <c r="AAO93" s="201"/>
      <c r="AAP93" s="201"/>
      <c r="AAQ93" s="201"/>
      <c r="AAR93" s="201"/>
      <c r="AAS93" s="201"/>
      <c r="AAT93" s="201"/>
      <c r="AAU93" s="201"/>
      <c r="AAV93" s="201"/>
      <c r="AAW93" s="201"/>
      <c r="AAX93" s="201"/>
      <c r="AAY93" s="201"/>
      <c r="AAZ93" s="201"/>
      <c r="ABA93" s="201"/>
      <c r="ABB93" s="201"/>
      <c r="ABC93" s="201"/>
      <c r="ABD93" s="201"/>
      <c r="ABE93" s="201"/>
      <c r="ABF93" s="201"/>
      <c r="ABG93" s="201"/>
      <c r="ABH93" s="201"/>
      <c r="ABI93" s="201"/>
      <c r="ABJ93" s="201"/>
      <c r="ABK93" s="201"/>
      <c r="ABL93" s="201"/>
      <c r="ABM93" s="201"/>
      <c r="ABN93" s="201"/>
      <c r="ABO93" s="201"/>
      <c r="ABP93" s="201"/>
      <c r="ABQ93" s="201"/>
      <c r="ABR93" s="201"/>
      <c r="ABS93" s="201"/>
      <c r="ABT93" s="201"/>
      <c r="ABU93" s="201"/>
      <c r="ABV93" s="201"/>
      <c r="ABW93" s="201"/>
      <c r="ABX93" s="201"/>
      <c r="ABY93" s="201"/>
      <c r="ABZ93" s="201"/>
      <c r="ACA93" s="201"/>
      <c r="ACB93" s="201"/>
      <c r="ACC93" s="201"/>
      <c r="ACD93" s="201"/>
      <c r="ACE93" s="201"/>
      <c r="ACF93" s="201"/>
      <c r="ACG93" s="201"/>
      <c r="ACH93" s="201"/>
      <c r="ACI93" s="201"/>
      <c r="ACJ93" s="201"/>
      <c r="ACK93" s="201"/>
      <c r="ACL93" s="201"/>
      <c r="ACM93" s="201"/>
      <c r="ACN93" s="201"/>
      <c r="ACO93" s="201"/>
      <c r="ACP93" s="201"/>
      <c r="ACQ93" s="201"/>
      <c r="ACR93" s="201"/>
      <c r="ACS93" s="201"/>
      <c r="ACT93" s="201"/>
      <c r="ACU93" s="201"/>
      <c r="ACV93" s="201"/>
      <c r="ACW93" s="201"/>
      <c r="ACX93" s="201"/>
      <c r="ACY93" s="201"/>
      <c r="ACZ93" s="201"/>
      <c r="ADA93" s="201"/>
      <c r="ADB93" s="201"/>
      <c r="ADC93" s="201"/>
      <c r="ADD93" s="201"/>
      <c r="ADE93" s="201"/>
      <c r="ADF93" s="201"/>
      <c r="ADG93" s="201"/>
      <c r="ADH93" s="201"/>
      <c r="ADI93" s="201"/>
      <c r="ADJ93" s="201"/>
      <c r="ADK93" s="201"/>
      <c r="ADL93" s="201"/>
      <c r="ADM93" s="201"/>
      <c r="ADN93" s="201"/>
      <c r="ADO93" s="201"/>
      <c r="ADP93" s="201"/>
      <c r="ADQ93" s="201"/>
      <c r="ADR93" s="201"/>
      <c r="ADS93" s="201"/>
      <c r="ADT93" s="201"/>
      <c r="ADU93" s="201"/>
      <c r="ADV93" s="201"/>
      <c r="ADW93" s="201"/>
      <c r="ADX93" s="201"/>
      <c r="ADY93" s="201"/>
      <c r="ADZ93" s="201"/>
      <c r="AEA93" s="201"/>
      <c r="AEB93" s="201"/>
      <c r="AEC93" s="201"/>
      <c r="AED93" s="201"/>
      <c r="AEE93" s="201"/>
      <c r="AEF93" s="201"/>
      <c r="AEG93" s="201"/>
      <c r="AEH93" s="201"/>
      <c r="AEI93" s="201"/>
      <c r="AEJ93" s="201"/>
      <c r="AEK93" s="201"/>
      <c r="AEL93" s="201"/>
      <c r="AEM93" s="201"/>
      <c r="AEN93" s="201"/>
      <c r="AEO93" s="201"/>
      <c r="AEP93" s="201"/>
      <c r="AEQ93" s="201"/>
      <c r="AER93" s="201"/>
      <c r="AES93" s="201"/>
      <c r="AET93" s="201"/>
      <c r="AEU93" s="201"/>
      <c r="AEV93" s="201"/>
      <c r="AEW93" s="201"/>
      <c r="AEX93" s="201"/>
      <c r="AEY93" s="201"/>
      <c r="AEZ93" s="201"/>
      <c r="AFA93" s="201"/>
      <c r="AFB93" s="201"/>
      <c r="AFC93" s="201"/>
      <c r="AFD93" s="201"/>
      <c r="AFE93" s="201"/>
      <c r="AFF93" s="201"/>
      <c r="AFG93" s="201"/>
      <c r="AFH93" s="201"/>
      <c r="AFI93" s="201"/>
      <c r="AFJ93" s="201"/>
      <c r="AFK93" s="201"/>
      <c r="AFL93" s="201"/>
      <c r="AFM93" s="201"/>
      <c r="AFN93" s="201"/>
      <c r="AFO93" s="201"/>
      <c r="AFP93" s="201"/>
      <c r="AFQ93" s="201"/>
      <c r="AFR93" s="201"/>
      <c r="AFS93" s="201"/>
      <c r="AFT93" s="201"/>
      <c r="AFU93" s="201"/>
      <c r="AFV93" s="201"/>
      <c r="AFW93" s="201"/>
      <c r="AFX93" s="201"/>
      <c r="AFY93" s="201"/>
      <c r="AFZ93" s="201"/>
      <c r="AGA93" s="201"/>
      <c r="AGB93" s="201"/>
      <c r="AGC93" s="201"/>
      <c r="AGD93" s="201"/>
      <c r="AGE93" s="201"/>
      <c r="AGF93" s="201"/>
      <c r="AGG93" s="201"/>
      <c r="AGH93" s="201"/>
      <c r="AGI93" s="201"/>
      <c r="AGJ93" s="201"/>
      <c r="AGK93" s="201"/>
      <c r="AGL93" s="201"/>
      <c r="AGM93" s="201"/>
      <c r="AGN93" s="201"/>
      <c r="AGO93" s="201"/>
      <c r="AGP93" s="201"/>
      <c r="AGQ93" s="201"/>
      <c r="AGR93" s="201"/>
      <c r="AGS93" s="201"/>
      <c r="AGT93" s="201"/>
      <c r="AGU93" s="201"/>
      <c r="AGV93" s="201"/>
      <c r="AGW93" s="201"/>
      <c r="AGX93" s="201"/>
      <c r="AGY93" s="201"/>
      <c r="AGZ93" s="201"/>
      <c r="AHA93" s="201"/>
      <c r="AHB93" s="201"/>
      <c r="AHC93" s="201"/>
      <c r="AHD93" s="201"/>
      <c r="AHE93" s="201"/>
      <c r="AHF93" s="201"/>
      <c r="AHG93" s="201"/>
      <c r="AHH93" s="201"/>
      <c r="AHI93" s="201"/>
      <c r="AHJ93" s="201"/>
      <c r="AHK93" s="201"/>
      <c r="AHL93" s="201"/>
      <c r="AHM93" s="201"/>
      <c r="AHN93" s="201"/>
      <c r="AHO93" s="201"/>
      <c r="AHP93" s="201"/>
      <c r="AHQ93" s="201"/>
      <c r="AHR93" s="201"/>
      <c r="AHS93" s="201"/>
      <c r="AHT93" s="201"/>
      <c r="AHU93" s="201"/>
      <c r="AHV93" s="201"/>
      <c r="AHW93" s="201"/>
      <c r="AHX93" s="201"/>
      <c r="AHY93" s="201"/>
      <c r="AHZ93" s="201"/>
      <c r="AIA93" s="201"/>
      <c r="AIB93" s="201"/>
      <c r="AIC93" s="201"/>
      <c r="AID93" s="201"/>
      <c r="AIE93" s="201"/>
      <c r="AIF93" s="201"/>
      <c r="AIG93" s="201"/>
      <c r="AIH93" s="201"/>
      <c r="AII93" s="201"/>
      <c r="AIJ93" s="201"/>
      <c r="AIK93" s="201"/>
      <c r="AIL93" s="201"/>
      <c r="AIM93" s="201"/>
      <c r="AIN93" s="201"/>
      <c r="AIO93" s="201"/>
      <c r="AIP93" s="201"/>
      <c r="AIQ93" s="201"/>
      <c r="AIR93" s="201"/>
      <c r="AIS93" s="201"/>
      <c r="AIT93" s="201"/>
      <c r="AIU93" s="201"/>
      <c r="AIV93" s="201"/>
      <c r="AIW93" s="201"/>
      <c r="AIX93" s="201"/>
      <c r="AIY93" s="201"/>
      <c r="AIZ93" s="201"/>
      <c r="AJA93" s="201"/>
      <c r="AJB93" s="201"/>
      <c r="AJC93" s="201"/>
      <c r="AJD93" s="201"/>
      <c r="AJE93" s="201"/>
      <c r="AJF93" s="201"/>
      <c r="AJG93" s="201"/>
      <c r="AJH93" s="201"/>
      <c r="AJI93" s="201"/>
      <c r="AJJ93" s="201"/>
      <c r="AJK93" s="201"/>
      <c r="AJL93" s="201"/>
      <c r="AJM93" s="201"/>
      <c r="AJN93" s="201"/>
      <c r="AJO93" s="201"/>
      <c r="AJP93" s="201"/>
      <c r="AJQ93" s="201"/>
      <c r="AJR93" s="201"/>
      <c r="AJS93" s="201"/>
      <c r="AJT93" s="201"/>
      <c r="AJU93" s="201"/>
      <c r="AJV93" s="201"/>
      <c r="AJW93" s="201"/>
      <c r="AJX93" s="201"/>
      <c r="AJY93" s="201"/>
      <c r="AJZ93" s="201"/>
      <c r="AKA93" s="201"/>
      <c r="AKB93" s="201"/>
      <c r="AKC93" s="201"/>
      <c r="AKD93" s="201"/>
      <c r="AKE93" s="201"/>
      <c r="AKF93" s="201"/>
      <c r="AKG93" s="201"/>
      <c r="AKH93" s="201"/>
      <c r="AKI93" s="201"/>
      <c r="AKJ93" s="201"/>
      <c r="AKK93" s="201"/>
      <c r="AKL93" s="201"/>
      <c r="AKM93" s="201"/>
      <c r="AKN93" s="201"/>
      <c r="AKO93" s="201"/>
      <c r="AKP93" s="201"/>
      <c r="AKQ93" s="201"/>
      <c r="AKR93" s="201"/>
      <c r="AKS93" s="201"/>
      <c r="AKT93" s="201"/>
      <c r="AKU93" s="201"/>
      <c r="AKV93" s="201"/>
      <c r="AKW93" s="201"/>
      <c r="AKX93" s="201"/>
      <c r="AKY93" s="201"/>
      <c r="AKZ93" s="201"/>
      <c r="ALA93" s="201"/>
      <c r="ALB93" s="201"/>
      <c r="ALC93" s="201"/>
      <c r="ALD93" s="201"/>
      <c r="ALE93" s="201"/>
      <c r="ALF93" s="201"/>
      <c r="ALG93" s="201"/>
      <c r="ALH93" s="201"/>
      <c r="ALI93" s="201"/>
      <c r="ALJ93" s="201"/>
      <c r="ALK93" s="201"/>
      <c r="ALL93" s="201"/>
      <c r="ALM93" s="201"/>
      <c r="ALN93" s="201"/>
      <c r="ALO93" s="201"/>
      <c r="ALP93" s="201"/>
      <c r="ALQ93" s="201"/>
      <c r="ALR93" s="201"/>
      <c r="ALS93" s="201"/>
      <c r="ALT93" s="201"/>
      <c r="ALU93" s="201"/>
      <c r="ALV93" s="201"/>
      <c r="ALW93" s="201"/>
      <c r="ALX93" s="201"/>
      <c r="ALY93" s="201"/>
      <c r="ALZ93" s="201"/>
      <c r="AMA93" s="201"/>
      <c r="AMB93" s="201"/>
      <c r="AMC93" s="201"/>
      <c r="AMD93" s="201"/>
      <c r="AME93" s="201"/>
      <c r="AMF93" s="201"/>
      <c r="AMG93" s="201"/>
      <c r="AMH93" s="201"/>
      <c r="AMI93" s="201"/>
      <c r="AMJ93" s="201"/>
      <c r="AMK93" s="201"/>
      <c r="AML93" s="201"/>
      <c r="AMM93" s="201"/>
      <c r="AMN93" s="201"/>
      <c r="AMO93" s="201"/>
      <c r="AMP93" s="201"/>
      <c r="AMQ93" s="201"/>
      <c r="AMR93" s="201"/>
      <c r="AMS93" s="201"/>
      <c r="AMT93" s="201"/>
      <c r="AMU93" s="201"/>
      <c r="AMV93" s="201"/>
      <c r="AMW93" s="201"/>
      <c r="AMX93" s="201"/>
      <c r="AMY93" s="201"/>
      <c r="AMZ93" s="201"/>
      <c r="ANA93" s="201"/>
      <c r="ANB93" s="201"/>
      <c r="ANC93" s="201"/>
      <c r="AND93" s="201"/>
      <c r="ANE93" s="201"/>
      <c r="ANF93" s="201"/>
      <c r="ANG93" s="201"/>
      <c r="ANH93" s="201"/>
      <c r="ANI93" s="201"/>
      <c r="ANJ93" s="201"/>
      <c r="ANK93" s="201"/>
      <c r="ANL93" s="201"/>
      <c r="ANM93" s="201"/>
      <c r="ANN93" s="201"/>
      <c r="ANO93" s="201"/>
      <c r="ANP93" s="201"/>
      <c r="ANQ93" s="201"/>
      <c r="ANR93" s="201"/>
      <c r="ANS93" s="201"/>
      <c r="ANT93" s="201"/>
      <c r="ANU93" s="201"/>
      <c r="ANV93" s="201"/>
      <c r="ANW93" s="201"/>
      <c r="ANX93" s="201"/>
      <c r="ANY93" s="201"/>
      <c r="ANZ93" s="201"/>
      <c r="AOA93" s="201"/>
      <c r="AOB93" s="201"/>
      <c r="AOC93" s="201"/>
      <c r="AOD93" s="201"/>
      <c r="AOE93" s="201"/>
      <c r="AOF93" s="201"/>
      <c r="AOG93" s="201"/>
      <c r="AOH93" s="201"/>
      <c r="AOI93" s="201"/>
      <c r="AOJ93" s="201"/>
      <c r="AOK93" s="201"/>
      <c r="AOL93" s="201"/>
      <c r="AOM93" s="201"/>
      <c r="AON93" s="201"/>
      <c r="AOO93" s="201"/>
      <c r="AOP93" s="201"/>
      <c r="AOQ93" s="201"/>
      <c r="AOR93" s="201"/>
      <c r="AOS93" s="201"/>
      <c r="AOT93" s="201"/>
      <c r="AOU93" s="201"/>
      <c r="AOV93" s="201"/>
      <c r="AOW93" s="201"/>
      <c r="AOX93" s="201"/>
      <c r="AOY93" s="201"/>
      <c r="AOZ93" s="201"/>
      <c r="APA93" s="201"/>
      <c r="APB93" s="201"/>
      <c r="APC93" s="201"/>
      <c r="APD93" s="201"/>
      <c r="APE93" s="201"/>
      <c r="APF93" s="201"/>
      <c r="APG93" s="201"/>
      <c r="APH93" s="201"/>
      <c r="API93" s="201"/>
      <c r="APJ93" s="201"/>
      <c r="APK93" s="201"/>
      <c r="APL93" s="201"/>
      <c r="APM93" s="201"/>
      <c r="APN93" s="201"/>
      <c r="APO93" s="201"/>
      <c r="APP93" s="201"/>
      <c r="APQ93" s="201"/>
      <c r="APR93" s="201"/>
      <c r="APS93" s="201"/>
      <c r="APT93" s="201"/>
      <c r="APU93" s="201"/>
      <c r="APV93" s="201"/>
      <c r="APW93" s="201"/>
      <c r="APX93" s="201"/>
      <c r="APY93" s="201"/>
      <c r="APZ93" s="201"/>
      <c r="AQA93" s="201"/>
      <c r="AQB93" s="201"/>
      <c r="AQC93" s="201"/>
      <c r="AQD93" s="201"/>
      <c r="AQE93" s="201"/>
      <c r="AQF93" s="201"/>
      <c r="AQG93" s="201"/>
      <c r="AQH93" s="201"/>
      <c r="AQI93" s="201"/>
      <c r="AQJ93" s="201"/>
      <c r="AQK93" s="201"/>
      <c r="AQL93" s="201"/>
      <c r="AQM93" s="201"/>
      <c r="AQN93" s="201"/>
      <c r="AQO93" s="201"/>
      <c r="AQP93" s="201"/>
      <c r="AQQ93" s="201"/>
      <c r="AQR93" s="201"/>
      <c r="AQS93" s="201"/>
      <c r="AQT93" s="201"/>
      <c r="AQU93" s="201"/>
      <c r="AQV93" s="201"/>
      <c r="AQW93" s="201"/>
      <c r="AQX93" s="201"/>
      <c r="AQY93" s="201"/>
      <c r="AQZ93" s="201"/>
      <c r="ARA93" s="201"/>
      <c r="ARB93" s="201"/>
      <c r="ARC93" s="201"/>
      <c r="ARD93" s="201"/>
      <c r="ARE93" s="201"/>
      <c r="ARF93" s="201"/>
      <c r="ARG93" s="201"/>
      <c r="ARH93" s="201"/>
      <c r="ARI93" s="201"/>
      <c r="ARJ93" s="201"/>
      <c r="ARK93" s="201"/>
      <c r="ARL93" s="201"/>
      <c r="ARM93" s="201"/>
      <c r="ARN93" s="201"/>
      <c r="ARO93" s="201"/>
      <c r="ARP93" s="201"/>
      <c r="ARQ93" s="201"/>
      <c r="ARR93" s="201"/>
      <c r="ARS93" s="201"/>
      <c r="ART93" s="201"/>
      <c r="ARU93" s="201"/>
      <c r="ARV93" s="201"/>
      <c r="ARW93" s="201"/>
      <c r="ARX93" s="201"/>
      <c r="ARY93" s="201"/>
      <c r="ARZ93" s="201"/>
      <c r="ASA93" s="201"/>
      <c r="ASB93" s="201"/>
      <c r="ASC93" s="201"/>
      <c r="ASD93" s="201"/>
      <c r="ASE93" s="201"/>
      <c r="ASF93" s="201"/>
      <c r="ASG93" s="201"/>
      <c r="ASH93" s="201"/>
      <c r="ASI93" s="201"/>
      <c r="ASJ93" s="201"/>
      <c r="ASK93" s="201"/>
      <c r="ASL93" s="201"/>
      <c r="ASM93" s="201"/>
      <c r="ASN93" s="201"/>
      <c r="ASO93" s="201"/>
      <c r="ASP93" s="201"/>
      <c r="ASQ93" s="201"/>
      <c r="ASR93" s="201"/>
      <c r="ASS93" s="201"/>
      <c r="AST93" s="201"/>
      <c r="ASU93" s="201"/>
      <c r="ASV93" s="201"/>
      <c r="ASW93" s="201"/>
      <c r="ASX93" s="201"/>
      <c r="ASY93" s="201"/>
      <c r="ASZ93" s="201"/>
      <c r="ATA93" s="201"/>
      <c r="ATB93" s="201"/>
      <c r="ATC93" s="201"/>
      <c r="ATD93" s="201"/>
      <c r="ATE93" s="201"/>
      <c r="ATF93" s="201"/>
      <c r="ATG93" s="201"/>
      <c r="ATH93" s="201"/>
      <c r="ATI93" s="201"/>
      <c r="ATJ93" s="201"/>
      <c r="ATK93" s="201"/>
      <c r="ATL93" s="201"/>
      <c r="ATM93" s="201"/>
      <c r="ATN93" s="201"/>
      <c r="ATO93" s="201"/>
      <c r="ATP93" s="201"/>
      <c r="ATQ93" s="201"/>
      <c r="ATR93" s="201"/>
      <c r="ATS93" s="201"/>
      <c r="ATT93" s="201"/>
      <c r="ATU93" s="201"/>
      <c r="ATV93" s="201"/>
      <c r="ATW93" s="201"/>
      <c r="ATX93" s="201"/>
      <c r="ATY93" s="201"/>
      <c r="ATZ93" s="201"/>
      <c r="AUA93" s="201"/>
      <c r="AUB93" s="201"/>
      <c r="AUC93" s="201"/>
      <c r="AUD93" s="201"/>
      <c r="AUE93" s="201"/>
      <c r="AUF93" s="201"/>
      <c r="AUG93" s="201"/>
      <c r="AUH93" s="201"/>
      <c r="AUI93" s="201"/>
      <c r="AUJ93" s="201"/>
      <c r="AUK93" s="201"/>
      <c r="AUL93" s="201"/>
      <c r="AUM93" s="201"/>
      <c r="AUN93" s="201"/>
      <c r="AUO93" s="201"/>
      <c r="AUP93" s="201"/>
      <c r="AUQ93" s="201"/>
      <c r="AUR93" s="201"/>
      <c r="AUS93" s="201"/>
      <c r="AUT93" s="201"/>
      <c r="AUU93" s="201"/>
      <c r="AUV93" s="201"/>
      <c r="AUW93" s="201"/>
      <c r="AUX93" s="201"/>
      <c r="AUY93" s="201"/>
      <c r="AUZ93" s="201"/>
      <c r="AVA93" s="201"/>
      <c r="AVB93" s="201"/>
      <c r="AVC93" s="201"/>
      <c r="AVD93" s="201"/>
      <c r="AVE93" s="201"/>
      <c r="AVF93" s="201"/>
      <c r="AVG93" s="201"/>
      <c r="AVH93" s="201"/>
      <c r="AVI93" s="201"/>
      <c r="AVJ93" s="201"/>
      <c r="AVK93" s="201"/>
      <c r="AVL93" s="201"/>
      <c r="AVM93" s="201"/>
      <c r="AVN93" s="201"/>
      <c r="AVO93" s="201"/>
      <c r="AVP93" s="201"/>
      <c r="AVQ93" s="201"/>
      <c r="AVR93" s="201"/>
      <c r="AVS93" s="201"/>
      <c r="AVT93" s="201"/>
      <c r="AVU93" s="201"/>
      <c r="AVV93" s="201"/>
      <c r="AVW93" s="201"/>
      <c r="AVX93" s="201"/>
      <c r="AVY93" s="201"/>
      <c r="AVZ93" s="201"/>
      <c r="AWA93" s="201"/>
      <c r="AWB93" s="201"/>
      <c r="AWC93" s="201"/>
      <c r="AWD93" s="201"/>
      <c r="AWE93" s="201"/>
      <c r="AWF93" s="201"/>
      <c r="AWG93" s="201"/>
      <c r="AWH93" s="201"/>
      <c r="AWI93" s="201"/>
      <c r="AWJ93" s="201"/>
      <c r="AWK93" s="201"/>
      <c r="AWL93" s="201"/>
      <c r="AWM93" s="201"/>
      <c r="AWN93" s="201"/>
      <c r="AWO93" s="201"/>
      <c r="AWP93" s="201"/>
      <c r="AWQ93" s="201"/>
      <c r="AWR93" s="201"/>
      <c r="AWS93" s="201"/>
      <c r="AWT93" s="201"/>
      <c r="AWU93" s="201"/>
      <c r="AWV93" s="201"/>
      <c r="AWW93" s="201"/>
      <c r="AWX93" s="201"/>
      <c r="AWY93" s="201"/>
      <c r="AWZ93" s="201"/>
      <c r="AXA93" s="201"/>
      <c r="AXB93" s="201"/>
      <c r="AXC93" s="201"/>
      <c r="AXD93" s="201"/>
      <c r="AXE93" s="201"/>
      <c r="AXF93" s="201"/>
      <c r="AXG93" s="201"/>
      <c r="AXH93" s="201"/>
      <c r="AXI93" s="201"/>
      <c r="AXJ93" s="201"/>
      <c r="AXK93" s="201"/>
      <c r="AXL93" s="201"/>
      <c r="AXM93" s="201"/>
      <c r="AXN93" s="201"/>
      <c r="AXO93" s="201"/>
      <c r="AXP93" s="201"/>
      <c r="AXQ93" s="201"/>
      <c r="AXR93" s="201"/>
      <c r="AXS93" s="201"/>
      <c r="AXT93" s="201"/>
      <c r="AXU93" s="201"/>
      <c r="AXV93" s="201"/>
      <c r="AXW93" s="201"/>
      <c r="AXX93" s="201"/>
      <c r="AXY93" s="201"/>
      <c r="AXZ93" s="201"/>
      <c r="AYA93" s="201"/>
      <c r="AYB93" s="201"/>
      <c r="AYC93" s="201"/>
      <c r="AYD93" s="201"/>
      <c r="AYE93" s="201"/>
      <c r="AYF93" s="201"/>
      <c r="AYG93" s="201"/>
      <c r="AYH93" s="201"/>
      <c r="AYI93" s="201"/>
      <c r="AYJ93" s="201"/>
      <c r="AYK93" s="201"/>
      <c r="AYL93" s="201"/>
      <c r="AYM93" s="201"/>
      <c r="AYN93" s="201"/>
      <c r="AYO93" s="201"/>
      <c r="AYP93" s="201"/>
      <c r="AYQ93" s="201"/>
      <c r="AYR93" s="201"/>
      <c r="AYS93" s="201"/>
      <c r="AYT93" s="201"/>
      <c r="AYU93" s="201"/>
      <c r="AYV93" s="201"/>
      <c r="AYW93" s="201"/>
      <c r="AYX93" s="201"/>
      <c r="AYY93" s="201"/>
      <c r="AYZ93" s="201"/>
      <c r="AZA93" s="201"/>
      <c r="AZB93" s="201"/>
      <c r="AZC93" s="201"/>
      <c r="AZD93" s="201"/>
      <c r="AZE93" s="201"/>
      <c r="AZF93" s="201"/>
      <c r="AZG93" s="201"/>
      <c r="AZH93" s="201"/>
      <c r="AZI93" s="201"/>
      <c r="AZJ93" s="201"/>
      <c r="AZK93" s="201"/>
      <c r="AZL93" s="201"/>
      <c r="AZM93" s="201"/>
      <c r="AZN93" s="201"/>
      <c r="AZO93" s="201"/>
      <c r="AZP93" s="201"/>
      <c r="AZQ93" s="201"/>
      <c r="AZR93" s="201"/>
      <c r="AZS93" s="201"/>
      <c r="AZT93" s="201"/>
      <c r="AZU93" s="201"/>
      <c r="AZV93" s="201"/>
      <c r="AZW93" s="201"/>
      <c r="AZX93" s="201"/>
      <c r="AZY93" s="201"/>
      <c r="AZZ93" s="201"/>
      <c r="BAA93" s="201"/>
      <c r="BAB93" s="201"/>
      <c r="BAC93" s="201"/>
      <c r="BAD93" s="201"/>
      <c r="BAE93" s="201"/>
      <c r="BAF93" s="201"/>
      <c r="BAG93" s="201"/>
      <c r="BAH93" s="201"/>
      <c r="BAI93" s="201"/>
      <c r="BAJ93" s="201"/>
      <c r="BAK93" s="201"/>
      <c r="BAL93" s="201"/>
      <c r="BAM93" s="201"/>
      <c r="BAN93" s="201"/>
      <c r="BAO93" s="201"/>
      <c r="BAP93" s="201"/>
      <c r="BAQ93" s="201"/>
      <c r="BAR93" s="201"/>
      <c r="BAS93" s="201"/>
      <c r="BAT93" s="201"/>
      <c r="BAU93" s="201"/>
      <c r="BAV93" s="201"/>
      <c r="BAW93" s="201"/>
      <c r="BAX93" s="201"/>
      <c r="BAY93" s="201"/>
      <c r="BAZ93" s="201"/>
      <c r="BBA93" s="201"/>
      <c r="BBB93" s="201"/>
      <c r="BBC93" s="201"/>
      <c r="BBD93" s="201"/>
      <c r="BBE93" s="201"/>
      <c r="BBF93" s="201"/>
      <c r="BBG93" s="201"/>
      <c r="BBH93" s="201"/>
      <c r="BBI93" s="201"/>
      <c r="BBJ93" s="201"/>
      <c r="BBK93" s="201"/>
      <c r="BBL93" s="201"/>
      <c r="BBM93" s="201"/>
      <c r="BBN93" s="201"/>
      <c r="BBO93" s="201"/>
      <c r="BBP93" s="201"/>
      <c r="BBQ93" s="201"/>
      <c r="BBR93" s="201"/>
      <c r="BBS93" s="201"/>
      <c r="BBT93" s="201"/>
      <c r="BBU93" s="201"/>
      <c r="BBV93" s="201"/>
      <c r="BBW93" s="201"/>
      <c r="BBX93" s="201"/>
      <c r="BBY93" s="201"/>
      <c r="BBZ93" s="201"/>
      <c r="BCA93" s="201"/>
      <c r="BCB93" s="201"/>
      <c r="BCC93" s="201"/>
      <c r="BCD93" s="201"/>
      <c r="BCE93" s="201"/>
      <c r="BCF93" s="201"/>
      <c r="BCG93" s="201"/>
      <c r="BCH93" s="201"/>
      <c r="BCI93" s="201"/>
      <c r="BCJ93" s="201"/>
      <c r="BCK93" s="201"/>
      <c r="BCL93" s="201"/>
      <c r="BCM93" s="201"/>
      <c r="BCN93" s="201"/>
      <c r="BCO93" s="201"/>
      <c r="BCP93" s="201"/>
      <c r="BCQ93" s="201"/>
      <c r="BCR93" s="201"/>
      <c r="BCS93" s="201"/>
      <c r="BCT93" s="201"/>
      <c r="BCU93" s="201"/>
      <c r="BCV93" s="201"/>
      <c r="BCW93" s="201"/>
      <c r="BCX93" s="201"/>
      <c r="BCY93" s="201"/>
      <c r="BCZ93" s="201"/>
      <c r="BDA93" s="201"/>
      <c r="BDB93" s="201"/>
      <c r="BDC93" s="201"/>
      <c r="BDD93" s="201"/>
      <c r="BDE93" s="201"/>
      <c r="BDF93" s="201"/>
      <c r="BDG93" s="201"/>
      <c r="BDH93" s="201"/>
      <c r="BDI93" s="201"/>
      <c r="BDJ93" s="201"/>
      <c r="BDK93" s="201"/>
      <c r="BDL93" s="201"/>
      <c r="BDM93" s="201"/>
      <c r="BDN93" s="201"/>
      <c r="BDO93" s="201"/>
      <c r="BDP93" s="201"/>
      <c r="BDQ93" s="201"/>
      <c r="BDR93" s="201"/>
      <c r="BDS93" s="201"/>
      <c r="BDT93" s="201"/>
      <c r="BDU93" s="201"/>
      <c r="BDV93" s="201"/>
      <c r="BDW93" s="201"/>
      <c r="BDX93" s="201"/>
      <c r="BDY93" s="201"/>
      <c r="BDZ93" s="201"/>
      <c r="BEA93" s="201"/>
      <c r="BEB93" s="201"/>
      <c r="BEC93" s="201"/>
      <c r="BED93" s="201"/>
      <c r="BEE93" s="201"/>
      <c r="BEF93" s="201"/>
      <c r="BEG93" s="201"/>
      <c r="BEH93" s="201"/>
      <c r="BEI93" s="201"/>
      <c r="BEJ93" s="201"/>
      <c r="BEK93" s="201"/>
      <c r="BEL93" s="201"/>
      <c r="BEM93" s="201"/>
      <c r="BEN93" s="201"/>
      <c r="BEO93" s="201"/>
      <c r="BEP93" s="201"/>
      <c r="BEQ93" s="201"/>
      <c r="BER93" s="201"/>
      <c r="BES93" s="201"/>
      <c r="BET93" s="201"/>
      <c r="BEU93" s="201"/>
      <c r="BEV93" s="201"/>
      <c r="BEW93" s="201"/>
      <c r="BEX93" s="201"/>
      <c r="BEY93" s="201"/>
      <c r="BEZ93" s="201"/>
      <c r="BFA93" s="201"/>
      <c r="BFB93" s="201"/>
      <c r="BFC93" s="201"/>
      <c r="BFD93" s="201"/>
      <c r="BFE93" s="201"/>
      <c r="BFF93" s="201"/>
      <c r="BFG93" s="201"/>
      <c r="BFH93" s="201"/>
      <c r="BFI93" s="201"/>
      <c r="BFJ93" s="201"/>
      <c r="BFK93" s="201"/>
      <c r="BFL93" s="201"/>
      <c r="BFM93" s="201"/>
      <c r="BFN93" s="201"/>
      <c r="BFO93" s="201"/>
      <c r="BFP93" s="201"/>
      <c r="BFQ93" s="201"/>
      <c r="BFR93" s="201"/>
      <c r="BFS93" s="201"/>
      <c r="BFT93" s="201"/>
      <c r="BFU93" s="201"/>
      <c r="BFV93" s="201"/>
      <c r="BFW93" s="201"/>
      <c r="BFX93" s="201"/>
      <c r="BFY93" s="201"/>
      <c r="BFZ93" s="201"/>
      <c r="BGA93" s="201"/>
      <c r="BGB93" s="201"/>
      <c r="BGC93" s="201"/>
      <c r="BGD93" s="201"/>
      <c r="BGE93" s="201"/>
      <c r="BGF93" s="201"/>
      <c r="BGG93" s="201"/>
      <c r="BGH93" s="201"/>
      <c r="BGI93" s="201"/>
      <c r="BGJ93" s="201"/>
      <c r="BGK93" s="201"/>
      <c r="BGL93" s="201"/>
      <c r="BGM93" s="201"/>
      <c r="BGN93" s="201"/>
      <c r="BGO93" s="201"/>
      <c r="BGP93" s="201"/>
      <c r="BGQ93" s="201"/>
      <c r="BGR93" s="201"/>
      <c r="BGS93" s="201"/>
      <c r="BGT93" s="201"/>
      <c r="BGU93" s="201"/>
      <c r="BGV93" s="201"/>
      <c r="BGW93" s="201"/>
      <c r="BGX93" s="201"/>
      <c r="BGY93" s="201"/>
      <c r="BGZ93" s="201"/>
      <c r="BHA93" s="201"/>
      <c r="BHB93" s="201"/>
      <c r="BHC93" s="201"/>
      <c r="BHD93" s="201"/>
      <c r="BHE93" s="201"/>
      <c r="BHF93" s="201"/>
      <c r="BHG93" s="201"/>
      <c r="BHH93" s="201"/>
      <c r="BHI93" s="201"/>
      <c r="BHJ93" s="201"/>
      <c r="BHK93" s="201"/>
      <c r="BHL93" s="201"/>
      <c r="BHM93" s="201"/>
      <c r="BHN93" s="201"/>
      <c r="BHO93" s="201"/>
      <c r="BHP93" s="201"/>
      <c r="BHQ93" s="201"/>
      <c r="BHR93" s="201"/>
      <c r="BHS93" s="201"/>
      <c r="BHT93" s="201"/>
      <c r="BHU93" s="201"/>
      <c r="BHV93" s="201"/>
      <c r="BHW93" s="201"/>
      <c r="BHX93" s="201"/>
      <c r="BHY93" s="201"/>
      <c r="BHZ93" s="201"/>
      <c r="BIA93" s="201"/>
      <c r="BIB93" s="201"/>
      <c r="BIC93" s="201"/>
      <c r="BID93" s="201"/>
      <c r="BIE93" s="201"/>
      <c r="BIF93" s="201"/>
      <c r="BIG93" s="201"/>
      <c r="BIH93" s="201"/>
      <c r="BII93" s="201"/>
      <c r="BIJ93" s="201"/>
      <c r="BIK93" s="201"/>
      <c r="BIL93" s="201"/>
      <c r="BIM93" s="201"/>
      <c r="BIN93" s="201"/>
      <c r="BIO93" s="201"/>
      <c r="BIP93" s="201"/>
      <c r="BIQ93" s="201"/>
      <c r="BIR93" s="201"/>
      <c r="BIS93" s="201"/>
      <c r="BIT93" s="201"/>
      <c r="BIU93" s="201"/>
      <c r="BIV93" s="201"/>
      <c r="BIW93" s="201"/>
      <c r="BIX93" s="201"/>
      <c r="BIY93" s="201"/>
      <c r="BIZ93" s="201"/>
      <c r="BJA93" s="201"/>
      <c r="BJB93" s="201"/>
      <c r="BJC93" s="201"/>
      <c r="BJD93" s="201"/>
      <c r="BJE93" s="201"/>
      <c r="BJF93" s="201"/>
      <c r="BJG93" s="201"/>
      <c r="BJH93" s="201"/>
      <c r="BJI93" s="201"/>
      <c r="BJJ93" s="201"/>
      <c r="BJK93" s="201"/>
      <c r="BJL93" s="201"/>
      <c r="BJM93" s="201"/>
      <c r="BJN93" s="201"/>
      <c r="BJO93" s="201"/>
      <c r="BJP93" s="201"/>
      <c r="BJQ93" s="201"/>
      <c r="BJR93" s="201"/>
      <c r="BJS93" s="201"/>
      <c r="BJT93" s="201"/>
      <c r="BJU93" s="201"/>
      <c r="BJV93" s="201"/>
      <c r="BJW93" s="201"/>
      <c r="BJX93" s="201"/>
      <c r="BJY93" s="201"/>
      <c r="BJZ93" s="201"/>
      <c r="BKA93" s="201"/>
      <c r="BKB93" s="201"/>
      <c r="BKC93" s="201"/>
      <c r="BKD93" s="201"/>
      <c r="BKE93" s="201"/>
      <c r="BKF93" s="201"/>
      <c r="BKG93" s="201"/>
      <c r="BKH93" s="201"/>
      <c r="BKI93" s="201"/>
      <c r="BKJ93" s="201"/>
      <c r="BKK93" s="201"/>
      <c r="BKL93" s="201"/>
      <c r="BKM93" s="201"/>
      <c r="BKN93" s="201"/>
      <c r="BKO93" s="201"/>
      <c r="BKP93" s="201"/>
      <c r="BKQ93" s="201"/>
      <c r="BKR93" s="201"/>
      <c r="BKS93" s="201"/>
      <c r="BKT93" s="201"/>
      <c r="BKU93" s="201"/>
      <c r="BKV93" s="201"/>
      <c r="BKW93" s="201"/>
      <c r="BKX93" s="201"/>
      <c r="BKY93" s="201"/>
      <c r="BKZ93" s="201"/>
      <c r="BLA93" s="201"/>
      <c r="BLB93" s="201"/>
      <c r="BLC93" s="201"/>
      <c r="BLD93" s="201"/>
      <c r="BLE93" s="201"/>
      <c r="BLF93" s="201"/>
      <c r="BLG93" s="201"/>
      <c r="BLH93" s="201"/>
      <c r="BLI93" s="201"/>
      <c r="BLJ93" s="201"/>
      <c r="BLK93" s="201"/>
      <c r="BLL93" s="201"/>
      <c r="BLM93" s="201"/>
      <c r="BLN93" s="201"/>
      <c r="BLO93" s="201"/>
      <c r="BLP93" s="201"/>
      <c r="BLQ93" s="201"/>
      <c r="BLR93" s="201"/>
      <c r="BLS93" s="201"/>
      <c r="BLT93" s="201"/>
      <c r="BLU93" s="201"/>
      <c r="BLV93" s="201"/>
      <c r="BLW93" s="201"/>
      <c r="BLX93" s="201"/>
      <c r="BLY93" s="201"/>
      <c r="BLZ93" s="201"/>
      <c r="BMA93" s="201"/>
      <c r="BMB93" s="201"/>
      <c r="BMC93" s="201"/>
      <c r="BMD93" s="201"/>
      <c r="BME93" s="201"/>
      <c r="BMF93" s="201"/>
      <c r="BMG93" s="201"/>
      <c r="BMH93" s="201"/>
      <c r="BMI93" s="201"/>
      <c r="BMJ93" s="201"/>
      <c r="BMK93" s="201"/>
      <c r="BML93" s="201"/>
      <c r="BMM93" s="201"/>
      <c r="BMN93" s="201"/>
      <c r="BMO93" s="201"/>
      <c r="BMP93" s="201"/>
      <c r="BMQ93" s="201"/>
      <c r="BMR93" s="201"/>
      <c r="BMS93" s="201"/>
      <c r="BMT93" s="201"/>
      <c r="BMU93" s="201"/>
      <c r="BMV93" s="201"/>
      <c r="BMW93" s="201"/>
      <c r="BMX93" s="201"/>
      <c r="BMY93" s="201"/>
      <c r="BMZ93" s="201"/>
      <c r="BNA93" s="201"/>
      <c r="BNB93" s="201"/>
      <c r="BNC93" s="201"/>
      <c r="BND93" s="201"/>
      <c r="BNE93" s="201"/>
      <c r="BNF93" s="201"/>
      <c r="BNG93" s="201"/>
      <c r="BNH93" s="201"/>
      <c r="BNI93" s="201"/>
      <c r="BNJ93" s="201"/>
      <c r="BNK93" s="201"/>
      <c r="BNL93" s="201"/>
      <c r="BNM93" s="201"/>
      <c r="BNN93" s="201"/>
      <c r="BNO93" s="201"/>
      <c r="BNP93" s="201"/>
      <c r="BNQ93" s="201"/>
      <c r="BNR93" s="201"/>
      <c r="BNS93" s="201"/>
      <c r="BNT93" s="201"/>
      <c r="BNU93" s="201"/>
      <c r="BNV93" s="201"/>
      <c r="BNW93" s="201"/>
      <c r="BNX93" s="201"/>
      <c r="BNY93" s="201"/>
      <c r="BNZ93" s="201"/>
      <c r="BOA93" s="201"/>
      <c r="BOB93" s="201"/>
      <c r="BOC93" s="201"/>
      <c r="BOD93" s="201"/>
      <c r="BOE93" s="201"/>
      <c r="BOF93" s="201"/>
      <c r="BOG93" s="201"/>
      <c r="BOH93" s="201"/>
      <c r="BOI93" s="201"/>
      <c r="BOJ93" s="201"/>
      <c r="BOK93" s="201"/>
      <c r="BOL93" s="201"/>
      <c r="BOM93" s="201"/>
      <c r="BON93" s="201"/>
      <c r="BOO93" s="201"/>
      <c r="BOP93" s="201"/>
      <c r="BOQ93" s="201"/>
      <c r="BOR93" s="201"/>
      <c r="BOS93" s="201"/>
      <c r="BOT93" s="201"/>
      <c r="BOU93" s="201"/>
      <c r="BOV93" s="201"/>
      <c r="BOW93" s="201"/>
      <c r="BOX93" s="201"/>
      <c r="BOY93" s="201"/>
      <c r="BOZ93" s="201"/>
      <c r="BPA93" s="201"/>
      <c r="BPB93" s="201"/>
      <c r="BPC93" s="201"/>
      <c r="BPD93" s="201"/>
      <c r="BPE93" s="201"/>
      <c r="BPF93" s="201"/>
      <c r="BPG93" s="201"/>
      <c r="BPH93" s="201"/>
      <c r="BPI93" s="201"/>
      <c r="BPJ93" s="201"/>
      <c r="BPK93" s="201"/>
      <c r="BPL93" s="201"/>
      <c r="BPM93" s="201"/>
      <c r="BPN93" s="201"/>
      <c r="BPO93" s="201"/>
      <c r="BPP93" s="201"/>
      <c r="BPQ93" s="201"/>
      <c r="BPR93" s="201"/>
      <c r="BPS93" s="201"/>
      <c r="BPT93" s="201"/>
      <c r="BPU93" s="201"/>
      <c r="BPV93" s="201"/>
      <c r="BPW93" s="201"/>
      <c r="BPX93" s="201"/>
      <c r="BPY93" s="201"/>
      <c r="BPZ93" s="201"/>
      <c r="BQA93" s="201"/>
      <c r="BQB93" s="201"/>
      <c r="BQC93" s="201"/>
      <c r="BQD93" s="201"/>
      <c r="BQE93" s="201"/>
      <c r="BQF93" s="201"/>
      <c r="BQG93" s="201"/>
      <c r="BQH93" s="201"/>
      <c r="BQI93" s="201"/>
      <c r="BQJ93" s="201"/>
      <c r="BQK93" s="201"/>
      <c r="BQL93" s="201"/>
      <c r="BQM93" s="201"/>
      <c r="BQN93" s="201"/>
      <c r="BQO93" s="201"/>
      <c r="BQP93" s="201"/>
      <c r="BQQ93" s="201"/>
      <c r="BQR93" s="201"/>
      <c r="BQS93" s="201"/>
      <c r="BQT93" s="201"/>
      <c r="BQU93" s="201"/>
      <c r="BQV93" s="201"/>
      <c r="BQW93" s="201"/>
      <c r="BQX93" s="201"/>
      <c r="BQY93" s="201"/>
      <c r="BQZ93" s="201"/>
      <c r="BRA93" s="201"/>
      <c r="BRB93" s="201"/>
      <c r="BRC93" s="201"/>
      <c r="BRD93" s="201"/>
      <c r="BRE93" s="201"/>
      <c r="BRF93" s="201"/>
      <c r="BRG93" s="201"/>
      <c r="BRH93" s="201"/>
      <c r="BRI93" s="201"/>
      <c r="BRJ93" s="201"/>
      <c r="BRK93" s="201"/>
      <c r="BRL93" s="201"/>
      <c r="BRM93" s="201"/>
      <c r="BRN93" s="201"/>
      <c r="BRO93" s="201"/>
      <c r="BRP93" s="201"/>
      <c r="BRQ93" s="201"/>
      <c r="BRR93" s="201"/>
      <c r="BRS93" s="201"/>
      <c r="BRT93" s="201"/>
      <c r="BRU93" s="201"/>
      <c r="BRV93" s="201"/>
      <c r="BRW93" s="201"/>
      <c r="BRX93" s="201"/>
      <c r="BRY93" s="201"/>
      <c r="BRZ93" s="201"/>
      <c r="BSA93" s="201"/>
      <c r="BSB93" s="201"/>
      <c r="BSC93" s="201"/>
      <c r="BSD93" s="201"/>
      <c r="BSE93" s="201"/>
      <c r="BSF93" s="201"/>
      <c r="BSG93" s="201"/>
      <c r="BSH93" s="201"/>
      <c r="BSI93" s="201"/>
      <c r="BSJ93" s="201"/>
      <c r="BSK93" s="201"/>
      <c r="BSL93" s="201"/>
      <c r="BSM93" s="201"/>
      <c r="BSN93" s="201"/>
      <c r="BSO93" s="201"/>
      <c r="BSP93" s="201"/>
      <c r="BSQ93" s="201"/>
      <c r="BSR93" s="201"/>
      <c r="BSS93" s="201"/>
      <c r="BST93" s="201"/>
      <c r="BSU93" s="201"/>
      <c r="BSV93" s="201"/>
      <c r="BSW93" s="201"/>
      <c r="BSX93" s="201"/>
      <c r="BSY93" s="201"/>
      <c r="BSZ93" s="201"/>
      <c r="BTA93" s="201"/>
      <c r="BTB93" s="201"/>
      <c r="BTC93" s="201"/>
      <c r="BTD93" s="201"/>
      <c r="BTE93" s="201"/>
      <c r="BTF93" s="201"/>
      <c r="BTG93" s="201"/>
      <c r="BTH93" s="201"/>
      <c r="BTI93" s="201"/>
      <c r="BTJ93" s="201"/>
      <c r="BTK93" s="201"/>
      <c r="BTL93" s="201"/>
      <c r="BTM93" s="201"/>
      <c r="BTN93" s="201"/>
      <c r="BTO93" s="201"/>
      <c r="BTP93" s="201"/>
      <c r="BTQ93" s="201"/>
      <c r="BTR93" s="201"/>
      <c r="BTS93" s="201"/>
      <c r="BTT93" s="201"/>
      <c r="BTU93" s="201"/>
      <c r="BTV93" s="201"/>
      <c r="BTW93" s="201"/>
      <c r="BTX93" s="201"/>
      <c r="BTY93" s="201"/>
      <c r="BTZ93" s="201"/>
      <c r="BUA93" s="201"/>
      <c r="BUB93" s="201"/>
      <c r="BUC93" s="201"/>
      <c r="BUD93" s="201"/>
      <c r="BUE93" s="201"/>
      <c r="BUF93" s="201"/>
      <c r="BUG93" s="201"/>
      <c r="BUH93" s="201"/>
      <c r="BUI93" s="201"/>
      <c r="BUJ93" s="201"/>
      <c r="BUK93" s="201"/>
      <c r="BUL93" s="201"/>
      <c r="BUM93" s="201"/>
      <c r="BUN93" s="201"/>
      <c r="BUO93" s="201"/>
      <c r="BUP93" s="201"/>
      <c r="BUQ93" s="201"/>
      <c r="BUR93" s="201"/>
      <c r="BUS93" s="201"/>
      <c r="BUT93" s="201"/>
      <c r="BUU93" s="201"/>
      <c r="BUV93" s="201"/>
      <c r="BUW93" s="201"/>
      <c r="BUX93" s="201"/>
      <c r="BUY93" s="201"/>
      <c r="BUZ93" s="201"/>
      <c r="BVA93" s="201"/>
      <c r="BVB93" s="201"/>
      <c r="BVC93" s="201"/>
      <c r="BVD93" s="201"/>
      <c r="BVE93" s="201"/>
      <c r="BVF93" s="201"/>
      <c r="BVG93" s="201"/>
      <c r="BVH93" s="201"/>
      <c r="BVI93" s="201"/>
      <c r="BVJ93" s="201"/>
      <c r="BVK93" s="201"/>
      <c r="BVL93" s="201"/>
      <c r="BVM93" s="201"/>
      <c r="BVN93" s="201"/>
      <c r="BVO93" s="201"/>
      <c r="BVP93" s="201"/>
      <c r="BVQ93" s="201"/>
      <c r="BVR93" s="201"/>
      <c r="BVS93" s="201"/>
      <c r="BVT93" s="201"/>
      <c r="BVU93" s="201"/>
      <c r="BVV93" s="201"/>
      <c r="BVW93" s="201"/>
      <c r="BVX93" s="201"/>
      <c r="BVY93" s="201"/>
      <c r="BVZ93" s="201"/>
      <c r="BWA93" s="201"/>
      <c r="BWB93" s="201"/>
      <c r="BWC93" s="201"/>
      <c r="BWD93" s="201"/>
      <c r="BWE93" s="201"/>
      <c r="BWF93" s="201"/>
      <c r="BWG93" s="201"/>
      <c r="BWH93" s="201"/>
      <c r="BWI93" s="201"/>
      <c r="BWJ93" s="201"/>
      <c r="BWK93" s="201"/>
      <c r="BWL93" s="201"/>
      <c r="BWM93" s="201"/>
      <c r="BWN93" s="201"/>
      <c r="BWO93" s="201"/>
      <c r="BWP93" s="201"/>
      <c r="BWQ93" s="201"/>
      <c r="BWR93" s="201"/>
      <c r="BWS93" s="201"/>
      <c r="BWT93" s="201"/>
      <c r="BWU93" s="201"/>
      <c r="BWV93" s="201"/>
      <c r="BWW93" s="201"/>
      <c r="BWX93" s="201"/>
      <c r="BWY93" s="201"/>
      <c r="BWZ93" s="201"/>
      <c r="BXA93" s="201"/>
      <c r="BXB93" s="201"/>
      <c r="BXC93" s="201"/>
      <c r="BXD93" s="201"/>
      <c r="BXE93" s="201"/>
      <c r="BXF93" s="201"/>
      <c r="BXG93" s="201"/>
      <c r="BXH93" s="201"/>
      <c r="BXI93" s="201"/>
      <c r="BXJ93" s="201"/>
      <c r="BXK93" s="201"/>
      <c r="BXL93" s="201"/>
      <c r="BXM93" s="201"/>
      <c r="BXN93" s="201"/>
      <c r="BXO93" s="201"/>
      <c r="BXP93" s="201"/>
      <c r="BXQ93" s="201"/>
      <c r="BXR93" s="201"/>
      <c r="BXS93" s="201"/>
      <c r="BXT93" s="201"/>
      <c r="BXU93" s="201"/>
      <c r="BXV93" s="201"/>
      <c r="BXW93" s="201"/>
      <c r="BXX93" s="201"/>
      <c r="BXY93" s="201"/>
      <c r="BXZ93" s="201"/>
      <c r="BYA93" s="201"/>
      <c r="BYB93" s="201"/>
      <c r="BYC93" s="201"/>
      <c r="BYD93" s="201"/>
      <c r="BYE93" s="201"/>
      <c r="BYF93" s="201"/>
      <c r="BYG93" s="201"/>
      <c r="BYH93" s="201"/>
      <c r="BYI93" s="201"/>
      <c r="BYJ93" s="201"/>
      <c r="BYK93" s="201"/>
      <c r="BYL93" s="201"/>
      <c r="BYM93" s="201"/>
      <c r="BYN93" s="201"/>
      <c r="BYO93" s="201"/>
      <c r="BYP93" s="201"/>
      <c r="BYQ93" s="201"/>
      <c r="BYR93" s="201"/>
      <c r="BYS93" s="201"/>
      <c r="BYT93" s="201"/>
      <c r="BYU93" s="201"/>
      <c r="BYV93" s="201"/>
      <c r="BYW93" s="201"/>
      <c r="BYX93" s="201"/>
      <c r="BYY93" s="201"/>
      <c r="BYZ93" s="201"/>
      <c r="BZA93" s="201"/>
      <c r="BZB93" s="201"/>
      <c r="BZC93" s="201"/>
      <c r="BZD93" s="201"/>
      <c r="BZE93" s="201"/>
      <c r="BZF93" s="201"/>
      <c r="BZG93" s="201"/>
      <c r="BZH93" s="201"/>
      <c r="BZI93" s="201"/>
      <c r="BZJ93" s="201"/>
      <c r="BZK93" s="201"/>
      <c r="BZL93" s="201"/>
      <c r="BZM93" s="201"/>
      <c r="BZN93" s="201"/>
      <c r="BZO93" s="201"/>
      <c r="BZP93" s="201"/>
      <c r="BZQ93" s="201"/>
      <c r="BZR93" s="201"/>
      <c r="BZS93" s="201"/>
      <c r="BZT93" s="201"/>
      <c r="BZU93" s="201"/>
      <c r="BZV93" s="201"/>
      <c r="BZW93" s="201"/>
      <c r="BZX93" s="201"/>
      <c r="BZY93" s="201"/>
      <c r="BZZ93" s="201"/>
      <c r="CAA93" s="201"/>
      <c r="CAB93" s="201"/>
      <c r="CAC93" s="201"/>
      <c r="CAD93" s="201"/>
      <c r="CAE93" s="201"/>
      <c r="CAF93" s="201"/>
      <c r="CAG93" s="201"/>
      <c r="CAH93" s="201"/>
      <c r="CAI93" s="201"/>
      <c r="CAJ93" s="201"/>
      <c r="CAK93" s="201"/>
      <c r="CAL93" s="201"/>
      <c r="CAM93" s="201"/>
      <c r="CAN93" s="201"/>
      <c r="CAO93" s="201"/>
      <c r="CAP93" s="201"/>
      <c r="CAQ93" s="201"/>
      <c r="CAR93" s="201"/>
      <c r="CAS93" s="201"/>
      <c r="CAT93" s="201"/>
      <c r="CAU93" s="201"/>
      <c r="CAV93" s="201"/>
      <c r="CAW93" s="201"/>
      <c r="CAX93" s="201"/>
      <c r="CAY93" s="201"/>
      <c r="CAZ93" s="201"/>
      <c r="CBA93" s="201"/>
      <c r="CBB93" s="201"/>
      <c r="CBC93" s="201"/>
      <c r="CBD93" s="201"/>
      <c r="CBE93" s="201"/>
      <c r="CBF93" s="201"/>
      <c r="CBG93" s="201"/>
      <c r="CBH93" s="201"/>
      <c r="CBI93" s="201"/>
      <c r="CBJ93" s="201"/>
      <c r="CBK93" s="201"/>
      <c r="CBL93" s="201"/>
      <c r="CBM93" s="201"/>
      <c r="CBN93" s="201"/>
      <c r="CBO93" s="201"/>
      <c r="CBP93" s="201"/>
      <c r="CBQ93" s="201"/>
      <c r="CBR93" s="201"/>
      <c r="CBS93" s="201"/>
      <c r="CBT93" s="201"/>
      <c r="CBU93" s="201"/>
      <c r="CBV93" s="201"/>
      <c r="CBW93" s="201"/>
      <c r="CBX93" s="201"/>
      <c r="CBY93" s="201"/>
      <c r="CBZ93" s="201"/>
      <c r="CCA93" s="201"/>
      <c r="CCB93" s="201"/>
      <c r="CCC93" s="201"/>
      <c r="CCD93" s="201"/>
      <c r="CCE93" s="201"/>
      <c r="CCF93" s="201"/>
      <c r="CCG93" s="201"/>
      <c r="CCH93" s="201"/>
      <c r="CCI93" s="201"/>
      <c r="CCJ93" s="201"/>
      <c r="CCK93" s="201"/>
      <c r="CCL93" s="201"/>
      <c r="CCM93" s="201"/>
      <c r="CCN93" s="201"/>
      <c r="CCO93" s="201"/>
      <c r="CCP93" s="201"/>
      <c r="CCQ93" s="201"/>
      <c r="CCR93" s="201"/>
      <c r="CCS93" s="201"/>
      <c r="CCT93" s="201"/>
      <c r="CCU93" s="201"/>
      <c r="CCV93" s="201"/>
      <c r="CCW93" s="201"/>
      <c r="CCX93" s="201"/>
      <c r="CCY93" s="201"/>
      <c r="CCZ93" s="201"/>
      <c r="CDA93" s="201"/>
      <c r="CDB93" s="201"/>
      <c r="CDC93" s="201"/>
      <c r="CDD93" s="201"/>
      <c r="CDE93" s="201"/>
      <c r="CDF93" s="201"/>
      <c r="CDG93" s="201"/>
      <c r="CDH93" s="201"/>
      <c r="CDI93" s="201"/>
      <c r="CDJ93" s="201"/>
      <c r="CDK93" s="201"/>
      <c r="CDL93" s="201"/>
      <c r="CDM93" s="201"/>
      <c r="CDN93" s="201"/>
      <c r="CDO93" s="201"/>
      <c r="CDP93" s="201"/>
      <c r="CDQ93" s="201"/>
      <c r="CDR93" s="201"/>
      <c r="CDS93" s="201"/>
      <c r="CDT93" s="201"/>
      <c r="CDU93" s="201"/>
      <c r="CDV93" s="201"/>
      <c r="CDW93" s="201"/>
      <c r="CDX93" s="201"/>
      <c r="CDY93" s="201"/>
      <c r="CDZ93" s="201"/>
      <c r="CEA93" s="201"/>
      <c r="CEB93" s="201"/>
      <c r="CEC93" s="201"/>
      <c r="CED93" s="201"/>
      <c r="CEE93" s="201"/>
      <c r="CEF93" s="201"/>
      <c r="CEG93" s="201"/>
      <c r="CEH93" s="201"/>
      <c r="CEI93" s="201"/>
      <c r="CEJ93" s="201"/>
      <c r="CEK93" s="201"/>
      <c r="CEL93" s="201"/>
      <c r="CEM93" s="201"/>
      <c r="CEN93" s="201"/>
      <c r="CEO93" s="201"/>
      <c r="CEP93" s="201"/>
      <c r="CEQ93" s="201"/>
      <c r="CER93" s="201"/>
      <c r="CES93" s="201"/>
      <c r="CET93" s="201"/>
      <c r="CEU93" s="201"/>
      <c r="CEV93" s="201"/>
      <c r="CEW93" s="201"/>
      <c r="CEX93" s="201"/>
      <c r="CEY93" s="201"/>
      <c r="CEZ93" s="201"/>
      <c r="CFA93" s="201"/>
      <c r="CFB93" s="201"/>
      <c r="CFC93" s="201"/>
      <c r="CFD93" s="201"/>
      <c r="CFE93" s="201"/>
      <c r="CFF93" s="201"/>
      <c r="CFG93" s="201"/>
      <c r="CFH93" s="201"/>
      <c r="CFI93" s="201"/>
      <c r="CFJ93" s="201"/>
      <c r="CFK93" s="201"/>
      <c r="CFL93" s="201"/>
      <c r="CFM93" s="201"/>
      <c r="CFN93" s="201"/>
      <c r="CFO93" s="201"/>
      <c r="CFP93" s="201"/>
      <c r="CFQ93" s="201"/>
      <c r="CFR93" s="201"/>
      <c r="CFS93" s="201"/>
      <c r="CFT93" s="201"/>
      <c r="CFU93" s="201"/>
      <c r="CFV93" s="201"/>
      <c r="CFW93" s="201"/>
      <c r="CFX93" s="201"/>
      <c r="CFY93" s="201"/>
      <c r="CFZ93" s="201"/>
      <c r="CGA93" s="201"/>
      <c r="CGB93" s="201"/>
      <c r="CGC93" s="201"/>
      <c r="CGD93" s="201"/>
      <c r="CGE93" s="201"/>
      <c r="CGF93" s="201"/>
      <c r="CGG93" s="201"/>
      <c r="CGH93" s="201"/>
      <c r="CGI93" s="201"/>
      <c r="CGJ93" s="201"/>
      <c r="CGK93" s="201"/>
      <c r="CGL93" s="201"/>
      <c r="CGM93" s="201"/>
      <c r="CGN93" s="201"/>
      <c r="CGO93" s="201"/>
      <c r="CGP93" s="201"/>
      <c r="CGQ93" s="201"/>
      <c r="CGR93" s="201"/>
      <c r="CGS93" s="201"/>
      <c r="CGT93" s="201"/>
      <c r="CGU93" s="201"/>
      <c r="CGV93" s="201"/>
      <c r="CGW93" s="201"/>
      <c r="CGX93" s="201"/>
      <c r="CGY93" s="201"/>
      <c r="CGZ93" s="201"/>
      <c r="CHA93" s="201"/>
      <c r="CHB93" s="201"/>
      <c r="CHC93" s="201"/>
      <c r="CHD93" s="201"/>
      <c r="CHE93" s="201"/>
      <c r="CHF93" s="201"/>
      <c r="CHG93" s="201"/>
      <c r="CHH93" s="201"/>
      <c r="CHI93" s="201"/>
      <c r="CHJ93" s="201"/>
      <c r="CHK93" s="201"/>
      <c r="CHL93" s="201"/>
      <c r="CHM93" s="201"/>
      <c r="CHN93" s="201"/>
      <c r="CHO93" s="201"/>
      <c r="CHP93" s="201"/>
      <c r="CHQ93" s="201"/>
      <c r="CHR93" s="201"/>
      <c r="CHS93" s="201"/>
      <c r="CHT93" s="201"/>
      <c r="CHU93" s="201"/>
      <c r="CHV93" s="201"/>
      <c r="CHW93" s="201"/>
      <c r="CHX93" s="201"/>
      <c r="CHY93" s="201"/>
      <c r="CHZ93" s="201"/>
      <c r="CIA93" s="201"/>
      <c r="CIB93" s="201"/>
      <c r="CIC93" s="201"/>
      <c r="CID93" s="201"/>
      <c r="CIE93" s="201"/>
      <c r="CIF93" s="201"/>
      <c r="CIG93" s="201"/>
      <c r="CIH93" s="201"/>
      <c r="CII93" s="201"/>
      <c r="CIJ93" s="201"/>
      <c r="CIK93" s="201"/>
      <c r="CIL93" s="201"/>
      <c r="CIM93" s="201"/>
      <c r="CIN93" s="201"/>
      <c r="CIO93" s="201"/>
      <c r="CIP93" s="201"/>
      <c r="CIQ93" s="201"/>
      <c r="CIR93" s="201"/>
      <c r="CIS93" s="201"/>
      <c r="CIT93" s="201"/>
      <c r="CIU93" s="201"/>
      <c r="CIV93" s="201"/>
      <c r="CIW93" s="201"/>
      <c r="CIX93" s="201"/>
      <c r="CIY93" s="201"/>
      <c r="CIZ93" s="201"/>
      <c r="CJA93" s="201"/>
      <c r="CJB93" s="201"/>
      <c r="CJC93" s="201"/>
      <c r="CJD93" s="201"/>
      <c r="CJE93" s="201"/>
      <c r="CJF93" s="201"/>
      <c r="CJG93" s="201"/>
      <c r="CJH93" s="201"/>
      <c r="CJI93" s="201"/>
      <c r="CJJ93" s="201"/>
      <c r="CJK93" s="201"/>
      <c r="CJL93" s="201"/>
      <c r="CJM93" s="201"/>
      <c r="CJN93" s="201"/>
      <c r="CJO93" s="201"/>
      <c r="CJP93" s="201"/>
      <c r="CJQ93" s="201"/>
      <c r="CJR93" s="201"/>
      <c r="CJS93" s="201"/>
      <c r="CJT93" s="201"/>
      <c r="CJU93" s="201"/>
      <c r="CJV93" s="201"/>
      <c r="CJW93" s="201"/>
      <c r="CJX93" s="201"/>
      <c r="CJY93" s="201"/>
      <c r="CJZ93" s="201"/>
      <c r="CKA93" s="201"/>
      <c r="CKB93" s="201"/>
      <c r="CKC93" s="201"/>
      <c r="CKD93" s="201"/>
      <c r="CKE93" s="201"/>
      <c r="CKF93" s="201"/>
      <c r="CKG93" s="201"/>
      <c r="CKH93" s="201"/>
      <c r="CKI93" s="201"/>
      <c r="CKJ93" s="201"/>
      <c r="CKK93" s="201"/>
      <c r="CKL93" s="201"/>
      <c r="CKM93" s="201"/>
      <c r="CKN93" s="201"/>
      <c r="CKO93" s="201"/>
      <c r="CKP93" s="201"/>
      <c r="CKQ93" s="201"/>
      <c r="CKR93" s="201"/>
      <c r="CKS93" s="201"/>
      <c r="CKT93" s="201"/>
      <c r="CKU93" s="201"/>
      <c r="CKV93" s="201"/>
      <c r="CKW93" s="201"/>
      <c r="CKX93" s="201"/>
      <c r="CKY93" s="201"/>
      <c r="CKZ93" s="201"/>
      <c r="CLA93" s="201"/>
      <c r="CLB93" s="201"/>
      <c r="CLC93" s="201"/>
      <c r="CLD93" s="201"/>
      <c r="CLE93" s="201"/>
      <c r="CLF93" s="201"/>
      <c r="CLG93" s="201"/>
      <c r="CLH93" s="201"/>
      <c r="CLI93" s="201"/>
      <c r="CLJ93" s="201"/>
      <c r="CLK93" s="201"/>
      <c r="CLL93" s="201"/>
      <c r="CLM93" s="201"/>
      <c r="CLN93" s="201"/>
      <c r="CLO93" s="201"/>
      <c r="CLP93" s="201"/>
      <c r="CLQ93" s="201"/>
      <c r="CLR93" s="201"/>
      <c r="CLS93" s="201"/>
      <c r="CLT93" s="201"/>
      <c r="CLU93" s="201"/>
      <c r="CLV93" s="201"/>
      <c r="CLW93" s="201"/>
      <c r="CLX93" s="201"/>
      <c r="CLY93" s="201"/>
      <c r="CLZ93" s="201"/>
      <c r="CMA93" s="201"/>
      <c r="CMB93" s="201"/>
      <c r="CMC93" s="201"/>
      <c r="CMD93" s="201"/>
      <c r="CME93" s="201"/>
      <c r="CMF93" s="201"/>
      <c r="CMG93" s="201"/>
      <c r="CMH93" s="201"/>
      <c r="CMI93" s="201"/>
      <c r="CMJ93" s="201"/>
      <c r="CMK93" s="201"/>
      <c r="CML93" s="201"/>
      <c r="CMM93" s="201"/>
      <c r="CMN93" s="201"/>
      <c r="CMO93" s="201"/>
      <c r="CMP93" s="201"/>
      <c r="CMQ93" s="201"/>
      <c r="CMR93" s="201"/>
      <c r="CMS93" s="201"/>
      <c r="CMT93" s="201"/>
      <c r="CMU93" s="201"/>
      <c r="CMV93" s="201"/>
      <c r="CMW93" s="201"/>
      <c r="CMX93" s="201"/>
      <c r="CMY93" s="201"/>
      <c r="CMZ93" s="201"/>
      <c r="CNA93" s="201"/>
      <c r="CNB93" s="201"/>
      <c r="CNC93" s="201"/>
      <c r="CND93" s="201"/>
      <c r="CNE93" s="201"/>
      <c r="CNF93" s="201"/>
      <c r="CNG93" s="201"/>
      <c r="CNH93" s="201"/>
      <c r="CNI93" s="201"/>
      <c r="CNJ93" s="201"/>
      <c r="CNK93" s="201"/>
      <c r="CNL93" s="201"/>
      <c r="CNM93" s="201"/>
      <c r="CNN93" s="201"/>
      <c r="CNO93" s="201"/>
      <c r="CNP93" s="201"/>
      <c r="CNQ93" s="201"/>
      <c r="CNR93" s="201"/>
      <c r="CNS93" s="201"/>
      <c r="CNT93" s="201"/>
      <c r="CNU93" s="201"/>
      <c r="CNV93" s="201"/>
      <c r="CNW93" s="201"/>
      <c r="CNX93" s="201"/>
      <c r="CNY93" s="201"/>
      <c r="CNZ93" s="201"/>
      <c r="COA93" s="201"/>
      <c r="COB93" s="201"/>
      <c r="COC93" s="201"/>
      <c r="COD93" s="201"/>
      <c r="COE93" s="201"/>
      <c r="COF93" s="201"/>
      <c r="COG93" s="201"/>
      <c r="COH93" s="201"/>
      <c r="COI93" s="201"/>
      <c r="COJ93" s="201"/>
      <c r="COK93" s="201"/>
      <c r="COL93" s="201"/>
      <c r="COM93" s="201"/>
      <c r="CON93" s="201"/>
      <c r="COO93" s="201"/>
      <c r="COP93" s="201"/>
      <c r="COQ93" s="201"/>
      <c r="COR93" s="201"/>
      <c r="COS93" s="201"/>
      <c r="COT93" s="201"/>
      <c r="COU93" s="201"/>
      <c r="COV93" s="201"/>
      <c r="COW93" s="201"/>
      <c r="COX93" s="201"/>
      <c r="COY93" s="201"/>
      <c r="COZ93" s="201"/>
      <c r="CPA93" s="201"/>
      <c r="CPB93" s="201"/>
      <c r="CPC93" s="201"/>
      <c r="CPD93" s="201"/>
      <c r="CPE93" s="201"/>
      <c r="CPF93" s="201"/>
      <c r="CPG93" s="201"/>
      <c r="CPH93" s="201"/>
      <c r="CPI93" s="201"/>
      <c r="CPJ93" s="201"/>
      <c r="CPK93" s="201"/>
      <c r="CPL93" s="201"/>
      <c r="CPM93" s="201"/>
      <c r="CPN93" s="201"/>
      <c r="CPO93" s="201"/>
      <c r="CPP93" s="201"/>
      <c r="CPQ93" s="201"/>
      <c r="CPR93" s="201"/>
      <c r="CPS93" s="201"/>
      <c r="CPT93" s="201"/>
      <c r="CPU93" s="201"/>
      <c r="CPV93" s="201"/>
      <c r="CPW93" s="201"/>
      <c r="CPX93" s="201"/>
      <c r="CPY93" s="201"/>
      <c r="CPZ93" s="201"/>
      <c r="CQA93" s="201"/>
      <c r="CQB93" s="201"/>
      <c r="CQC93" s="201"/>
      <c r="CQD93" s="201"/>
      <c r="CQE93" s="201"/>
      <c r="CQF93" s="201"/>
      <c r="CQG93" s="201"/>
      <c r="CQH93" s="201"/>
      <c r="CQI93" s="201"/>
      <c r="CQJ93" s="201"/>
      <c r="CQK93" s="201"/>
      <c r="CQL93" s="201"/>
      <c r="CQM93" s="201"/>
      <c r="CQN93" s="201"/>
      <c r="CQO93" s="201"/>
      <c r="CQP93" s="201"/>
      <c r="CQQ93" s="201"/>
      <c r="CQR93" s="201"/>
      <c r="CQS93" s="201"/>
      <c r="CQT93" s="201"/>
      <c r="CQU93" s="201"/>
      <c r="CQV93" s="201"/>
      <c r="CQW93" s="201"/>
      <c r="CQX93" s="201"/>
      <c r="CQY93" s="201"/>
      <c r="CQZ93" s="201"/>
      <c r="CRA93" s="201"/>
      <c r="CRB93" s="201"/>
      <c r="CRC93" s="201"/>
      <c r="CRD93" s="201"/>
      <c r="CRE93" s="201"/>
      <c r="CRF93" s="201"/>
      <c r="CRG93" s="201"/>
      <c r="CRH93" s="201"/>
      <c r="CRI93" s="201"/>
      <c r="CRJ93" s="201"/>
      <c r="CRK93" s="201"/>
      <c r="CRL93" s="201"/>
      <c r="CRM93" s="201"/>
      <c r="CRN93" s="201"/>
      <c r="CRO93" s="201"/>
      <c r="CRP93" s="201"/>
      <c r="CRQ93" s="201"/>
      <c r="CRR93" s="201"/>
      <c r="CRS93" s="201"/>
      <c r="CRT93" s="201"/>
      <c r="CRU93" s="201"/>
      <c r="CRV93" s="201"/>
      <c r="CRW93" s="201"/>
      <c r="CRX93" s="201"/>
      <c r="CRY93" s="201"/>
      <c r="CRZ93" s="201"/>
      <c r="CSA93" s="201"/>
      <c r="CSB93" s="201"/>
      <c r="CSC93" s="201"/>
      <c r="CSD93" s="201"/>
      <c r="CSE93" s="201"/>
      <c r="CSF93" s="201"/>
      <c r="CSG93" s="201"/>
      <c r="CSH93" s="201"/>
      <c r="CSI93" s="201"/>
      <c r="CSJ93" s="201"/>
      <c r="CSK93" s="201"/>
      <c r="CSL93" s="201"/>
      <c r="CSM93" s="201"/>
      <c r="CSN93" s="201"/>
      <c r="CSO93" s="201"/>
      <c r="CSP93" s="201"/>
      <c r="CSQ93" s="201"/>
      <c r="CSR93" s="201"/>
      <c r="CSS93" s="201"/>
      <c r="CST93" s="201"/>
      <c r="CSU93" s="201"/>
      <c r="CSV93" s="201"/>
      <c r="CSW93" s="201"/>
      <c r="CSX93" s="201"/>
      <c r="CSY93" s="201"/>
      <c r="CSZ93" s="201"/>
      <c r="CTA93" s="201"/>
      <c r="CTB93" s="201"/>
      <c r="CTC93" s="201"/>
      <c r="CTD93" s="201"/>
      <c r="CTE93" s="201"/>
      <c r="CTF93" s="201"/>
      <c r="CTG93" s="201"/>
      <c r="CTH93" s="201"/>
      <c r="CTI93" s="201"/>
      <c r="CTJ93" s="201"/>
      <c r="CTK93" s="201"/>
      <c r="CTL93" s="201"/>
      <c r="CTM93" s="201"/>
      <c r="CTN93" s="201"/>
      <c r="CTO93" s="201"/>
      <c r="CTP93" s="201"/>
      <c r="CTQ93" s="201"/>
      <c r="CTR93" s="201"/>
      <c r="CTS93" s="201"/>
      <c r="CTT93" s="201"/>
      <c r="CTU93" s="201"/>
      <c r="CTV93" s="201"/>
      <c r="CTW93" s="201"/>
      <c r="CTX93" s="201"/>
      <c r="CTY93" s="201"/>
      <c r="CTZ93" s="201"/>
      <c r="CUA93" s="201"/>
      <c r="CUB93" s="201"/>
      <c r="CUC93" s="201"/>
      <c r="CUD93" s="201"/>
      <c r="CUE93" s="201"/>
      <c r="CUF93" s="201"/>
      <c r="CUG93" s="201"/>
      <c r="CUH93" s="201"/>
      <c r="CUI93" s="201"/>
      <c r="CUJ93" s="201"/>
      <c r="CUK93" s="201"/>
      <c r="CUL93" s="201"/>
      <c r="CUM93" s="201"/>
      <c r="CUN93" s="201"/>
      <c r="CUO93" s="201"/>
      <c r="CUP93" s="201"/>
      <c r="CUQ93" s="201"/>
      <c r="CUR93" s="201"/>
      <c r="CUS93" s="201"/>
      <c r="CUT93" s="201"/>
      <c r="CUU93" s="201"/>
      <c r="CUV93" s="201"/>
      <c r="CUW93" s="201"/>
      <c r="CUX93" s="201"/>
      <c r="CUY93" s="201"/>
      <c r="CUZ93" s="201"/>
      <c r="CVA93" s="201"/>
      <c r="CVB93" s="201"/>
      <c r="CVC93" s="201"/>
      <c r="CVD93" s="201"/>
      <c r="CVE93" s="201"/>
      <c r="CVF93" s="201"/>
      <c r="CVG93" s="201"/>
      <c r="CVH93" s="201"/>
      <c r="CVI93" s="201"/>
      <c r="CVJ93" s="201"/>
      <c r="CVK93" s="201"/>
      <c r="CVL93" s="201"/>
      <c r="CVM93" s="201"/>
      <c r="CVN93" s="201"/>
      <c r="CVO93" s="201"/>
      <c r="CVP93" s="201"/>
      <c r="CVQ93" s="201"/>
      <c r="CVR93" s="201"/>
      <c r="CVS93" s="201"/>
      <c r="CVT93" s="201"/>
      <c r="CVU93" s="201"/>
      <c r="CVV93" s="201"/>
      <c r="CVW93" s="201"/>
      <c r="CVX93" s="201"/>
      <c r="CVY93" s="201"/>
      <c r="CVZ93" s="201"/>
      <c r="CWA93" s="201"/>
      <c r="CWB93" s="201"/>
      <c r="CWC93" s="201"/>
      <c r="CWD93" s="201"/>
      <c r="CWE93" s="201"/>
      <c r="CWF93" s="201"/>
      <c r="CWG93" s="201"/>
      <c r="CWH93" s="201"/>
      <c r="CWI93" s="201"/>
      <c r="CWJ93" s="201"/>
      <c r="CWK93" s="201"/>
      <c r="CWL93" s="201"/>
      <c r="CWM93" s="201"/>
      <c r="CWN93" s="201"/>
      <c r="CWO93" s="201"/>
      <c r="CWP93" s="201"/>
      <c r="CWQ93" s="201"/>
      <c r="CWR93" s="201"/>
      <c r="CWS93" s="201"/>
      <c r="CWT93" s="201"/>
      <c r="CWU93" s="201"/>
      <c r="CWV93" s="201"/>
      <c r="CWW93" s="201"/>
      <c r="CWX93" s="201"/>
      <c r="CWY93" s="201"/>
      <c r="CWZ93" s="201"/>
      <c r="CXA93" s="201"/>
      <c r="CXB93" s="201"/>
      <c r="CXC93" s="201"/>
      <c r="CXD93" s="201"/>
      <c r="CXE93" s="201"/>
      <c r="CXF93" s="201"/>
      <c r="CXG93" s="201"/>
      <c r="CXH93" s="201"/>
      <c r="CXI93" s="201"/>
      <c r="CXJ93" s="201"/>
      <c r="CXK93" s="201"/>
      <c r="CXL93" s="201"/>
      <c r="CXM93" s="201"/>
      <c r="CXN93" s="201"/>
      <c r="CXO93" s="201"/>
      <c r="CXP93" s="201"/>
      <c r="CXQ93" s="201"/>
      <c r="CXR93" s="201"/>
      <c r="CXS93" s="201"/>
      <c r="CXT93" s="201"/>
      <c r="CXU93" s="201"/>
      <c r="CXV93" s="201"/>
      <c r="CXW93" s="201"/>
      <c r="CXX93" s="201"/>
      <c r="CXY93" s="201"/>
      <c r="CXZ93" s="201"/>
      <c r="CYA93" s="201"/>
      <c r="CYB93" s="201"/>
      <c r="CYC93" s="201"/>
      <c r="CYD93" s="201"/>
      <c r="CYE93" s="201"/>
      <c r="CYF93" s="201"/>
      <c r="CYG93" s="201"/>
      <c r="CYH93" s="201"/>
      <c r="CYI93" s="201"/>
      <c r="CYJ93" s="201"/>
      <c r="CYK93" s="201"/>
      <c r="CYL93" s="201"/>
      <c r="CYM93" s="201"/>
      <c r="CYN93" s="201"/>
      <c r="CYO93" s="201"/>
      <c r="CYP93" s="201"/>
      <c r="CYQ93" s="201"/>
      <c r="CYR93" s="201"/>
      <c r="CYS93" s="201"/>
      <c r="CYT93" s="201"/>
      <c r="CYU93" s="201"/>
      <c r="CYV93" s="201"/>
      <c r="CYW93" s="201"/>
      <c r="CYX93" s="201"/>
      <c r="CYY93" s="201"/>
      <c r="CYZ93" s="201"/>
      <c r="CZA93" s="201"/>
      <c r="CZB93" s="201"/>
      <c r="CZC93" s="201"/>
      <c r="CZD93" s="201"/>
      <c r="CZE93" s="201"/>
      <c r="CZF93" s="201"/>
      <c r="CZG93" s="201"/>
      <c r="CZH93" s="201"/>
      <c r="CZI93" s="201"/>
      <c r="CZJ93" s="201"/>
      <c r="CZK93" s="201"/>
      <c r="CZL93" s="201"/>
      <c r="CZM93" s="201"/>
      <c r="CZN93" s="201"/>
      <c r="CZO93" s="201"/>
      <c r="CZP93" s="201"/>
      <c r="CZQ93" s="201"/>
      <c r="CZR93" s="201"/>
      <c r="CZS93" s="201"/>
      <c r="CZT93" s="201"/>
      <c r="CZU93" s="201"/>
      <c r="CZV93" s="201"/>
      <c r="CZW93" s="201"/>
      <c r="CZX93" s="201"/>
      <c r="CZY93" s="201"/>
      <c r="CZZ93" s="201"/>
      <c r="DAA93" s="201"/>
      <c r="DAB93" s="201"/>
      <c r="DAC93" s="201"/>
      <c r="DAD93" s="201"/>
      <c r="DAE93" s="201"/>
      <c r="DAF93" s="201"/>
      <c r="DAG93" s="201"/>
      <c r="DAH93" s="201"/>
      <c r="DAI93" s="201"/>
      <c r="DAJ93" s="201"/>
      <c r="DAK93" s="201"/>
      <c r="DAL93" s="201"/>
      <c r="DAM93" s="201"/>
      <c r="DAN93" s="201"/>
      <c r="DAO93" s="201"/>
      <c r="DAP93" s="201"/>
      <c r="DAQ93" s="201"/>
      <c r="DAR93" s="201"/>
      <c r="DAS93" s="201"/>
      <c r="DAT93" s="201"/>
      <c r="DAU93" s="201"/>
      <c r="DAV93" s="201"/>
      <c r="DAW93" s="201"/>
      <c r="DAX93" s="201"/>
      <c r="DAY93" s="201"/>
      <c r="DAZ93" s="201"/>
      <c r="DBA93" s="201"/>
      <c r="DBB93" s="201"/>
      <c r="DBC93" s="201"/>
      <c r="DBD93" s="201"/>
      <c r="DBE93" s="201"/>
      <c r="DBF93" s="201"/>
      <c r="DBG93" s="201"/>
      <c r="DBH93" s="201"/>
      <c r="DBI93" s="201"/>
      <c r="DBJ93" s="201"/>
      <c r="DBK93" s="201"/>
      <c r="DBL93" s="201"/>
      <c r="DBM93" s="201"/>
      <c r="DBN93" s="201"/>
      <c r="DBO93" s="201"/>
      <c r="DBP93" s="201"/>
      <c r="DBQ93" s="201"/>
      <c r="DBR93" s="201"/>
      <c r="DBS93" s="201"/>
      <c r="DBT93" s="201"/>
      <c r="DBU93" s="201"/>
      <c r="DBV93" s="201"/>
      <c r="DBW93" s="201"/>
      <c r="DBX93" s="201"/>
      <c r="DBY93" s="201"/>
      <c r="DBZ93" s="201"/>
      <c r="DCA93" s="201"/>
      <c r="DCB93" s="201"/>
      <c r="DCC93" s="201"/>
      <c r="DCD93" s="201"/>
      <c r="DCE93" s="201"/>
      <c r="DCF93" s="201"/>
      <c r="DCG93" s="201"/>
      <c r="DCH93" s="201"/>
      <c r="DCI93" s="201"/>
      <c r="DCJ93" s="201"/>
      <c r="DCK93" s="201"/>
      <c r="DCL93" s="201"/>
      <c r="DCM93" s="201"/>
      <c r="DCN93" s="201"/>
      <c r="DCO93" s="201"/>
      <c r="DCP93" s="201"/>
      <c r="DCQ93" s="201"/>
      <c r="DCR93" s="201"/>
      <c r="DCS93" s="201"/>
      <c r="DCT93" s="201"/>
      <c r="DCU93" s="201"/>
      <c r="DCV93" s="201"/>
      <c r="DCW93" s="201"/>
      <c r="DCX93" s="201"/>
      <c r="DCY93" s="201"/>
      <c r="DCZ93" s="201"/>
      <c r="DDA93" s="201"/>
      <c r="DDB93" s="201"/>
      <c r="DDC93" s="201"/>
      <c r="DDD93" s="201"/>
      <c r="DDE93" s="201"/>
      <c r="DDF93" s="201"/>
      <c r="DDG93" s="201"/>
      <c r="DDH93" s="201"/>
      <c r="DDI93" s="201"/>
      <c r="DDJ93" s="201"/>
      <c r="DDK93" s="201"/>
      <c r="DDL93" s="201"/>
      <c r="DDM93" s="201"/>
      <c r="DDN93" s="201"/>
      <c r="DDO93" s="201"/>
      <c r="DDP93" s="201"/>
      <c r="DDQ93" s="201"/>
      <c r="DDR93" s="201"/>
      <c r="DDS93" s="201"/>
      <c r="DDT93" s="201"/>
      <c r="DDU93" s="201"/>
      <c r="DDV93" s="201"/>
      <c r="DDW93" s="201"/>
      <c r="DDX93" s="201"/>
      <c r="DDY93" s="201"/>
      <c r="DDZ93" s="201"/>
      <c r="DEA93" s="201"/>
      <c r="DEB93" s="201"/>
      <c r="DEC93" s="201"/>
      <c r="DED93" s="201"/>
      <c r="DEE93" s="201"/>
      <c r="DEF93" s="201"/>
      <c r="DEG93" s="201"/>
      <c r="DEH93" s="201"/>
      <c r="DEI93" s="201"/>
      <c r="DEJ93" s="201"/>
      <c r="DEK93" s="201"/>
      <c r="DEL93" s="201"/>
      <c r="DEM93" s="201"/>
      <c r="DEN93" s="201"/>
      <c r="DEO93" s="201"/>
      <c r="DEP93" s="201"/>
      <c r="DEQ93" s="201"/>
      <c r="DER93" s="201"/>
      <c r="DES93" s="201"/>
      <c r="DET93" s="201"/>
      <c r="DEU93" s="201"/>
      <c r="DEV93" s="201"/>
      <c r="DEW93" s="201"/>
      <c r="DEX93" s="201"/>
      <c r="DEY93" s="201"/>
      <c r="DEZ93" s="201"/>
      <c r="DFA93" s="201"/>
      <c r="DFB93" s="201"/>
      <c r="DFC93" s="201"/>
      <c r="DFD93" s="201"/>
      <c r="DFE93" s="201"/>
      <c r="DFF93" s="201"/>
      <c r="DFG93" s="201"/>
      <c r="DFH93" s="201"/>
      <c r="DFI93" s="201"/>
      <c r="DFJ93" s="201"/>
      <c r="DFK93" s="201"/>
      <c r="DFL93" s="201"/>
      <c r="DFM93" s="201"/>
      <c r="DFN93" s="201"/>
      <c r="DFO93" s="201"/>
      <c r="DFP93" s="201"/>
      <c r="DFQ93" s="201"/>
      <c r="DFR93" s="201"/>
      <c r="DFS93" s="201"/>
      <c r="DFT93" s="201"/>
      <c r="DFU93" s="201"/>
      <c r="DFV93" s="201"/>
      <c r="DFW93" s="201"/>
      <c r="DFX93" s="201"/>
      <c r="DFY93" s="201"/>
      <c r="DFZ93" s="201"/>
      <c r="DGA93" s="201"/>
      <c r="DGB93" s="201"/>
      <c r="DGC93" s="201"/>
      <c r="DGD93" s="201"/>
      <c r="DGE93" s="201"/>
      <c r="DGF93" s="201"/>
      <c r="DGG93" s="201"/>
      <c r="DGH93" s="201"/>
      <c r="DGI93" s="201"/>
      <c r="DGJ93" s="201"/>
      <c r="DGK93" s="201"/>
      <c r="DGL93" s="201"/>
      <c r="DGM93" s="201"/>
      <c r="DGN93" s="201"/>
      <c r="DGO93" s="201"/>
      <c r="DGP93" s="201"/>
      <c r="DGQ93" s="201"/>
      <c r="DGR93" s="201"/>
      <c r="DGS93" s="201"/>
      <c r="DGT93" s="201"/>
      <c r="DGU93" s="201"/>
      <c r="DGV93" s="201"/>
      <c r="DGW93" s="201"/>
      <c r="DGX93" s="201"/>
      <c r="DGY93" s="201"/>
      <c r="DGZ93" s="201"/>
      <c r="DHA93" s="201"/>
      <c r="DHB93" s="201"/>
      <c r="DHC93" s="201"/>
      <c r="DHD93" s="201"/>
      <c r="DHE93" s="201"/>
      <c r="DHF93" s="201"/>
      <c r="DHG93" s="201"/>
      <c r="DHH93" s="201"/>
      <c r="DHI93" s="201"/>
      <c r="DHJ93" s="201"/>
      <c r="DHK93" s="201"/>
      <c r="DHL93" s="201"/>
      <c r="DHM93" s="201"/>
      <c r="DHN93" s="201"/>
      <c r="DHO93" s="201"/>
      <c r="DHP93" s="201"/>
      <c r="DHQ93" s="201"/>
      <c r="DHR93" s="201"/>
      <c r="DHS93" s="201"/>
      <c r="DHT93" s="201"/>
      <c r="DHU93" s="201"/>
      <c r="DHV93" s="201"/>
      <c r="DHW93" s="201"/>
      <c r="DHX93" s="201"/>
      <c r="DHY93" s="201"/>
      <c r="DHZ93" s="201"/>
      <c r="DIA93" s="201"/>
      <c r="DIB93" s="201"/>
      <c r="DIC93" s="201"/>
      <c r="DID93" s="201"/>
      <c r="DIE93" s="201"/>
      <c r="DIF93" s="201"/>
      <c r="DIG93" s="201"/>
      <c r="DIH93" s="201"/>
      <c r="DII93" s="201"/>
      <c r="DIJ93" s="201"/>
      <c r="DIK93" s="201"/>
      <c r="DIL93" s="201"/>
      <c r="DIM93" s="201"/>
      <c r="DIN93" s="201"/>
      <c r="DIO93" s="201"/>
      <c r="DIP93" s="201"/>
      <c r="DIQ93" s="201"/>
      <c r="DIR93" s="201"/>
      <c r="DIS93" s="201"/>
      <c r="DIT93" s="201"/>
      <c r="DIU93" s="201"/>
      <c r="DIV93" s="201"/>
      <c r="DIW93" s="201"/>
      <c r="DIX93" s="201"/>
      <c r="DIY93" s="201"/>
      <c r="DIZ93" s="201"/>
      <c r="DJA93" s="201"/>
      <c r="DJB93" s="201"/>
      <c r="DJC93" s="201"/>
      <c r="DJD93" s="201"/>
      <c r="DJE93" s="201"/>
      <c r="DJF93" s="201"/>
      <c r="DJG93" s="201"/>
      <c r="DJH93" s="201"/>
      <c r="DJI93" s="201"/>
      <c r="DJJ93" s="201"/>
      <c r="DJK93" s="201"/>
      <c r="DJL93" s="201"/>
      <c r="DJM93" s="201"/>
      <c r="DJN93" s="201"/>
      <c r="DJO93" s="201"/>
      <c r="DJP93" s="201"/>
      <c r="DJQ93" s="201"/>
      <c r="DJR93" s="201"/>
      <c r="DJS93" s="201"/>
      <c r="DJT93" s="201"/>
      <c r="DJU93" s="201"/>
      <c r="DJV93" s="201"/>
      <c r="DJW93" s="201"/>
      <c r="DJX93" s="201"/>
      <c r="DJY93" s="201"/>
      <c r="DJZ93" s="201"/>
      <c r="DKA93" s="201"/>
      <c r="DKB93" s="201"/>
      <c r="DKC93" s="201"/>
      <c r="DKD93" s="201"/>
      <c r="DKE93" s="201"/>
      <c r="DKF93" s="201"/>
      <c r="DKG93" s="201"/>
      <c r="DKH93" s="201"/>
      <c r="DKI93" s="201"/>
      <c r="DKJ93" s="201"/>
      <c r="DKK93" s="201"/>
      <c r="DKL93" s="201"/>
      <c r="DKM93" s="201"/>
      <c r="DKN93" s="201"/>
      <c r="DKO93" s="201"/>
      <c r="DKP93" s="201"/>
      <c r="DKQ93" s="201"/>
      <c r="DKR93" s="201"/>
      <c r="DKS93" s="201"/>
      <c r="DKT93" s="201"/>
      <c r="DKU93" s="201"/>
      <c r="DKV93" s="201"/>
      <c r="DKW93" s="201"/>
      <c r="DKX93" s="201"/>
      <c r="DKY93" s="201"/>
      <c r="DKZ93" s="201"/>
      <c r="DLA93" s="201"/>
      <c r="DLB93" s="201"/>
      <c r="DLC93" s="201"/>
      <c r="DLD93" s="201"/>
      <c r="DLE93" s="201"/>
      <c r="DLF93" s="201"/>
      <c r="DLG93" s="201"/>
      <c r="DLH93" s="201"/>
      <c r="DLI93" s="201"/>
      <c r="DLJ93" s="201"/>
      <c r="DLK93" s="201"/>
      <c r="DLL93" s="201"/>
      <c r="DLM93" s="201"/>
      <c r="DLN93" s="201"/>
      <c r="DLO93" s="201"/>
      <c r="DLP93" s="201"/>
      <c r="DLQ93" s="201"/>
      <c r="DLR93" s="201"/>
      <c r="DLS93" s="201"/>
      <c r="DLT93" s="201"/>
      <c r="DLU93" s="201"/>
      <c r="DLV93" s="201"/>
      <c r="DLW93" s="201"/>
      <c r="DLX93" s="201"/>
      <c r="DLY93" s="201"/>
      <c r="DLZ93" s="201"/>
      <c r="DMA93" s="201"/>
      <c r="DMB93" s="201"/>
      <c r="DMC93" s="201"/>
      <c r="DMD93" s="201"/>
      <c r="DME93" s="201"/>
      <c r="DMF93" s="201"/>
      <c r="DMG93" s="201"/>
      <c r="DMH93" s="201"/>
      <c r="DMI93" s="201"/>
      <c r="DMJ93" s="201"/>
      <c r="DMK93" s="201"/>
      <c r="DML93" s="201"/>
      <c r="DMM93" s="201"/>
      <c r="DMN93" s="201"/>
      <c r="DMO93" s="201"/>
      <c r="DMP93" s="201"/>
      <c r="DMQ93" s="201"/>
      <c r="DMR93" s="201"/>
      <c r="DMS93" s="201"/>
      <c r="DMT93" s="201"/>
      <c r="DMU93" s="201"/>
      <c r="DMV93" s="201"/>
      <c r="DMW93" s="201"/>
      <c r="DMX93" s="201"/>
      <c r="DMY93" s="201"/>
      <c r="DMZ93" s="201"/>
      <c r="DNA93" s="201"/>
      <c r="DNB93" s="201"/>
      <c r="DNC93" s="201"/>
      <c r="DND93" s="201"/>
      <c r="DNE93" s="201"/>
      <c r="DNF93" s="201"/>
      <c r="DNG93" s="201"/>
      <c r="DNH93" s="201"/>
      <c r="DNI93" s="201"/>
      <c r="DNJ93" s="201"/>
      <c r="DNK93" s="201"/>
      <c r="DNL93" s="201"/>
      <c r="DNM93" s="201"/>
      <c r="DNN93" s="201"/>
      <c r="DNO93" s="201"/>
      <c r="DNP93" s="201"/>
      <c r="DNQ93" s="201"/>
      <c r="DNR93" s="201"/>
      <c r="DNS93" s="201"/>
      <c r="DNT93" s="201"/>
      <c r="DNU93" s="201"/>
      <c r="DNV93" s="201"/>
      <c r="DNW93" s="201"/>
      <c r="DNX93" s="201"/>
      <c r="DNY93" s="201"/>
      <c r="DNZ93" s="201"/>
      <c r="DOA93" s="201"/>
      <c r="DOB93" s="201"/>
      <c r="DOC93" s="201"/>
      <c r="DOD93" s="201"/>
      <c r="DOE93" s="201"/>
      <c r="DOF93" s="201"/>
      <c r="DOG93" s="201"/>
      <c r="DOH93" s="201"/>
      <c r="DOI93" s="201"/>
      <c r="DOJ93" s="201"/>
      <c r="DOK93" s="201"/>
      <c r="DOL93" s="201"/>
      <c r="DOM93" s="201"/>
      <c r="DON93" s="201"/>
      <c r="DOO93" s="201"/>
      <c r="DOP93" s="201"/>
      <c r="DOQ93" s="201"/>
      <c r="DOR93" s="201"/>
      <c r="DOS93" s="201"/>
      <c r="DOT93" s="201"/>
      <c r="DOU93" s="201"/>
      <c r="DOV93" s="201"/>
      <c r="DOW93" s="201"/>
      <c r="DOX93" s="201"/>
      <c r="DOY93" s="201"/>
      <c r="DOZ93" s="201"/>
      <c r="DPA93" s="201"/>
      <c r="DPB93" s="201"/>
      <c r="DPC93" s="201"/>
      <c r="DPD93" s="201"/>
      <c r="DPE93" s="201"/>
      <c r="DPF93" s="201"/>
      <c r="DPG93" s="201"/>
      <c r="DPH93" s="201"/>
      <c r="DPI93" s="201"/>
      <c r="DPJ93" s="201"/>
      <c r="DPK93" s="201"/>
      <c r="DPL93" s="201"/>
      <c r="DPM93" s="201"/>
      <c r="DPN93" s="201"/>
      <c r="DPO93" s="201"/>
      <c r="DPP93" s="201"/>
      <c r="DPQ93" s="201"/>
      <c r="DPR93" s="201"/>
      <c r="DPS93" s="201"/>
      <c r="DPT93" s="201"/>
      <c r="DPU93" s="201"/>
      <c r="DPV93" s="201"/>
      <c r="DPW93" s="201"/>
      <c r="DPX93" s="201"/>
      <c r="DPY93" s="201"/>
      <c r="DPZ93" s="201"/>
      <c r="DQA93" s="201"/>
      <c r="DQB93" s="201"/>
      <c r="DQC93" s="201"/>
      <c r="DQD93" s="201"/>
      <c r="DQE93" s="201"/>
      <c r="DQF93" s="201"/>
      <c r="DQG93" s="201"/>
      <c r="DQH93" s="201"/>
      <c r="DQI93" s="201"/>
      <c r="DQJ93" s="201"/>
      <c r="DQK93" s="201"/>
      <c r="DQL93" s="201"/>
      <c r="DQM93" s="201"/>
      <c r="DQN93" s="201"/>
      <c r="DQO93" s="201"/>
      <c r="DQP93" s="201"/>
      <c r="DQQ93" s="201"/>
      <c r="DQR93" s="201"/>
      <c r="DQS93" s="201"/>
      <c r="DQT93" s="201"/>
      <c r="DQU93" s="201"/>
      <c r="DQV93" s="201"/>
      <c r="DQW93" s="201"/>
      <c r="DQX93" s="201"/>
      <c r="DQY93" s="201"/>
      <c r="DQZ93" s="201"/>
      <c r="DRA93" s="201"/>
      <c r="DRB93" s="201"/>
      <c r="DRC93" s="201"/>
      <c r="DRD93" s="201"/>
      <c r="DRE93" s="201"/>
      <c r="DRF93" s="201"/>
      <c r="DRG93" s="201"/>
      <c r="DRH93" s="201"/>
      <c r="DRI93" s="201"/>
      <c r="DRJ93" s="201"/>
      <c r="DRK93" s="201"/>
      <c r="DRL93" s="201"/>
      <c r="DRM93" s="201"/>
      <c r="DRN93" s="201"/>
      <c r="DRO93" s="201"/>
      <c r="DRP93" s="201"/>
      <c r="DRQ93" s="201"/>
      <c r="DRR93" s="201"/>
      <c r="DRS93" s="201"/>
      <c r="DRT93" s="201"/>
      <c r="DRU93" s="201"/>
      <c r="DRV93" s="201"/>
      <c r="DRW93" s="201"/>
      <c r="DRX93" s="201"/>
      <c r="DRY93" s="201"/>
      <c r="DRZ93" s="201"/>
      <c r="DSA93" s="201"/>
      <c r="DSB93" s="201"/>
      <c r="DSC93" s="201"/>
      <c r="DSD93" s="201"/>
      <c r="DSE93" s="201"/>
      <c r="DSF93" s="201"/>
      <c r="DSG93" s="201"/>
      <c r="DSH93" s="201"/>
      <c r="DSI93" s="201"/>
      <c r="DSJ93" s="201"/>
      <c r="DSK93" s="201"/>
      <c r="DSL93" s="201"/>
      <c r="DSM93" s="201"/>
      <c r="DSN93" s="201"/>
      <c r="DSO93" s="201"/>
      <c r="DSP93" s="201"/>
      <c r="DSQ93" s="201"/>
      <c r="DSR93" s="201"/>
      <c r="DSS93" s="201"/>
      <c r="DST93" s="201"/>
      <c r="DSU93" s="201"/>
      <c r="DSV93" s="201"/>
      <c r="DSW93" s="201"/>
      <c r="DSX93" s="201"/>
      <c r="DSY93" s="201"/>
      <c r="DSZ93" s="201"/>
      <c r="DTA93" s="201"/>
      <c r="DTB93" s="201"/>
      <c r="DTC93" s="201"/>
      <c r="DTD93" s="201"/>
      <c r="DTE93" s="201"/>
      <c r="DTF93" s="201"/>
      <c r="DTG93" s="201"/>
      <c r="DTH93" s="201"/>
      <c r="DTI93" s="201"/>
      <c r="DTJ93" s="201"/>
      <c r="DTK93" s="201"/>
      <c r="DTL93" s="201"/>
      <c r="DTM93" s="201"/>
      <c r="DTN93" s="201"/>
      <c r="DTO93" s="201"/>
      <c r="DTP93" s="201"/>
      <c r="DTQ93" s="201"/>
      <c r="DTR93" s="201"/>
      <c r="DTS93" s="201"/>
      <c r="DTT93" s="201"/>
      <c r="DTU93" s="201"/>
      <c r="DTV93" s="201"/>
      <c r="DTW93" s="201"/>
      <c r="DTX93" s="201"/>
      <c r="DTY93" s="201"/>
      <c r="DTZ93" s="201"/>
      <c r="DUA93" s="201"/>
      <c r="DUB93" s="201"/>
      <c r="DUC93" s="201"/>
      <c r="DUD93" s="201"/>
      <c r="DUE93" s="201"/>
      <c r="DUF93" s="201"/>
      <c r="DUG93" s="201"/>
      <c r="DUH93" s="201"/>
      <c r="DUI93" s="201"/>
      <c r="DUJ93" s="201"/>
      <c r="DUK93" s="201"/>
      <c r="DUL93" s="201"/>
      <c r="DUM93" s="201"/>
      <c r="DUN93" s="201"/>
      <c r="DUO93" s="201"/>
      <c r="DUP93" s="201"/>
      <c r="DUQ93" s="201"/>
      <c r="DUR93" s="201"/>
      <c r="DUS93" s="201"/>
      <c r="DUT93" s="201"/>
      <c r="DUU93" s="201"/>
      <c r="DUV93" s="201"/>
      <c r="DUW93" s="201"/>
      <c r="DUX93" s="201"/>
      <c r="DUY93" s="201"/>
      <c r="DUZ93" s="201"/>
      <c r="DVA93" s="201"/>
      <c r="DVB93" s="201"/>
      <c r="DVC93" s="201"/>
      <c r="DVD93" s="201"/>
      <c r="DVE93" s="201"/>
      <c r="DVF93" s="201"/>
      <c r="DVG93" s="201"/>
      <c r="DVH93" s="201"/>
      <c r="DVI93" s="201"/>
      <c r="DVJ93" s="201"/>
      <c r="DVK93" s="201"/>
      <c r="DVL93" s="201"/>
      <c r="DVM93" s="201"/>
      <c r="DVN93" s="201"/>
      <c r="DVO93" s="201"/>
      <c r="DVP93" s="201"/>
      <c r="DVQ93" s="201"/>
      <c r="DVR93" s="201"/>
      <c r="DVS93" s="201"/>
      <c r="DVT93" s="201"/>
      <c r="DVU93" s="201"/>
      <c r="DVV93" s="201"/>
      <c r="DVW93" s="201"/>
      <c r="DVX93" s="201"/>
      <c r="DVY93" s="201"/>
      <c r="DVZ93" s="201"/>
      <c r="DWA93" s="201"/>
      <c r="DWB93" s="201"/>
      <c r="DWC93" s="201"/>
      <c r="DWD93" s="201"/>
      <c r="DWE93" s="201"/>
      <c r="DWF93" s="201"/>
      <c r="DWG93" s="201"/>
      <c r="DWH93" s="201"/>
      <c r="DWI93" s="201"/>
      <c r="DWJ93" s="201"/>
      <c r="DWK93" s="201"/>
      <c r="DWL93" s="201"/>
      <c r="DWM93" s="201"/>
      <c r="DWN93" s="201"/>
      <c r="DWO93" s="201"/>
      <c r="DWP93" s="201"/>
      <c r="DWQ93" s="201"/>
      <c r="DWR93" s="201"/>
      <c r="DWS93" s="201"/>
      <c r="DWT93" s="201"/>
      <c r="DWU93" s="201"/>
      <c r="DWV93" s="201"/>
      <c r="DWW93" s="201"/>
      <c r="DWX93" s="201"/>
      <c r="DWY93" s="201"/>
      <c r="DWZ93" s="201"/>
      <c r="DXA93" s="201"/>
      <c r="DXB93" s="201"/>
      <c r="DXC93" s="201"/>
      <c r="DXD93" s="201"/>
      <c r="DXE93" s="201"/>
      <c r="DXF93" s="201"/>
      <c r="DXG93" s="201"/>
      <c r="DXH93" s="201"/>
      <c r="DXI93" s="201"/>
      <c r="DXJ93" s="201"/>
      <c r="DXK93" s="201"/>
      <c r="DXL93" s="201"/>
      <c r="DXM93" s="201"/>
      <c r="DXN93" s="201"/>
      <c r="DXO93" s="201"/>
      <c r="DXP93" s="201"/>
      <c r="DXQ93" s="201"/>
      <c r="DXR93" s="201"/>
      <c r="DXS93" s="201"/>
      <c r="DXT93" s="201"/>
      <c r="DXU93" s="201"/>
      <c r="DXV93" s="201"/>
      <c r="DXW93" s="201"/>
      <c r="DXX93" s="201"/>
      <c r="DXY93" s="201"/>
      <c r="DXZ93" s="201"/>
      <c r="DYA93" s="201"/>
      <c r="DYB93" s="201"/>
      <c r="DYC93" s="201"/>
      <c r="DYD93" s="201"/>
      <c r="DYE93" s="201"/>
      <c r="DYF93" s="201"/>
      <c r="DYG93" s="201"/>
      <c r="DYH93" s="201"/>
      <c r="DYI93" s="201"/>
      <c r="DYJ93" s="201"/>
      <c r="DYK93" s="201"/>
      <c r="DYL93" s="201"/>
      <c r="DYM93" s="201"/>
      <c r="DYN93" s="201"/>
      <c r="DYO93" s="201"/>
      <c r="DYP93" s="201"/>
      <c r="DYQ93" s="201"/>
      <c r="DYR93" s="201"/>
      <c r="DYS93" s="201"/>
      <c r="DYT93" s="201"/>
      <c r="DYU93" s="201"/>
      <c r="DYV93" s="201"/>
      <c r="DYW93" s="201"/>
      <c r="DYX93" s="201"/>
      <c r="DYY93" s="201"/>
      <c r="DYZ93" s="201"/>
      <c r="DZA93" s="201"/>
      <c r="DZB93" s="201"/>
      <c r="DZC93" s="201"/>
      <c r="DZD93" s="201"/>
      <c r="DZE93" s="201"/>
      <c r="DZF93" s="201"/>
      <c r="DZG93" s="201"/>
      <c r="DZH93" s="201"/>
      <c r="DZI93" s="201"/>
      <c r="DZJ93" s="201"/>
      <c r="DZK93" s="201"/>
      <c r="DZL93" s="201"/>
      <c r="DZM93" s="201"/>
      <c r="DZN93" s="201"/>
      <c r="DZO93" s="201"/>
      <c r="DZP93" s="201"/>
      <c r="DZQ93" s="201"/>
      <c r="DZR93" s="201"/>
      <c r="DZS93" s="201"/>
      <c r="DZT93" s="201"/>
      <c r="DZU93" s="201"/>
      <c r="DZV93" s="201"/>
      <c r="DZW93" s="201"/>
      <c r="DZX93" s="201"/>
      <c r="DZY93" s="201"/>
      <c r="DZZ93" s="201"/>
      <c r="EAA93" s="201"/>
      <c r="EAB93" s="201"/>
      <c r="EAC93" s="201"/>
      <c r="EAD93" s="201"/>
      <c r="EAE93" s="201"/>
      <c r="EAF93" s="201"/>
      <c r="EAG93" s="201"/>
      <c r="EAH93" s="201"/>
      <c r="EAI93" s="201"/>
      <c r="EAJ93" s="201"/>
      <c r="EAK93" s="201"/>
      <c r="EAL93" s="201"/>
      <c r="EAM93" s="201"/>
      <c r="EAN93" s="201"/>
      <c r="EAO93" s="201"/>
      <c r="EAP93" s="201"/>
      <c r="EAQ93" s="201"/>
      <c r="EAR93" s="201"/>
      <c r="EAS93" s="201"/>
      <c r="EAT93" s="201"/>
      <c r="EAU93" s="201"/>
      <c r="EAV93" s="201"/>
      <c r="EAW93" s="201"/>
      <c r="EAX93" s="201"/>
      <c r="EAY93" s="201"/>
      <c r="EAZ93" s="201"/>
      <c r="EBA93" s="201"/>
      <c r="EBB93" s="201"/>
      <c r="EBC93" s="201"/>
      <c r="EBD93" s="201"/>
      <c r="EBE93" s="201"/>
      <c r="EBF93" s="201"/>
      <c r="EBG93" s="201"/>
      <c r="EBH93" s="201"/>
      <c r="EBI93" s="201"/>
      <c r="EBJ93" s="201"/>
      <c r="EBK93" s="201"/>
      <c r="EBL93" s="201"/>
      <c r="EBM93" s="201"/>
      <c r="EBN93" s="201"/>
      <c r="EBO93" s="201"/>
      <c r="EBP93" s="201"/>
      <c r="EBQ93" s="201"/>
      <c r="EBR93" s="201"/>
      <c r="EBS93" s="201"/>
      <c r="EBT93" s="201"/>
      <c r="EBU93" s="201"/>
      <c r="EBV93" s="201"/>
      <c r="EBW93" s="201"/>
      <c r="EBX93" s="201"/>
      <c r="EBY93" s="201"/>
      <c r="EBZ93" s="201"/>
      <c r="ECA93" s="201"/>
      <c r="ECB93" s="201"/>
      <c r="ECC93" s="201"/>
      <c r="ECD93" s="201"/>
      <c r="ECE93" s="201"/>
      <c r="ECF93" s="201"/>
      <c r="ECG93" s="201"/>
      <c r="ECH93" s="201"/>
      <c r="ECI93" s="201"/>
      <c r="ECJ93" s="201"/>
      <c r="ECK93" s="201"/>
      <c r="ECL93" s="201"/>
      <c r="ECM93" s="201"/>
      <c r="ECN93" s="201"/>
      <c r="ECO93" s="201"/>
      <c r="ECP93" s="201"/>
      <c r="ECQ93" s="201"/>
      <c r="ECR93" s="201"/>
      <c r="ECS93" s="201"/>
      <c r="ECT93" s="201"/>
      <c r="ECU93" s="201"/>
      <c r="ECV93" s="201"/>
      <c r="ECW93" s="201"/>
      <c r="ECX93" s="201"/>
      <c r="ECY93" s="201"/>
      <c r="ECZ93" s="201"/>
      <c r="EDA93" s="201"/>
      <c r="EDB93" s="201"/>
      <c r="EDC93" s="201"/>
      <c r="EDD93" s="201"/>
      <c r="EDE93" s="201"/>
      <c r="EDF93" s="201"/>
      <c r="EDG93" s="201"/>
      <c r="EDH93" s="201"/>
      <c r="EDI93" s="201"/>
      <c r="EDJ93" s="201"/>
      <c r="EDK93" s="201"/>
      <c r="EDL93" s="201"/>
      <c r="EDM93" s="201"/>
      <c r="EDN93" s="201"/>
      <c r="EDO93" s="201"/>
      <c r="EDP93" s="201"/>
      <c r="EDQ93" s="201"/>
      <c r="EDR93" s="201"/>
      <c r="EDS93" s="201"/>
      <c r="EDT93" s="201"/>
      <c r="EDU93" s="201"/>
      <c r="EDV93" s="201"/>
      <c r="EDW93" s="201"/>
      <c r="EDX93" s="201"/>
      <c r="EDY93" s="201"/>
      <c r="EDZ93" s="201"/>
      <c r="EEA93" s="201"/>
      <c r="EEB93" s="201"/>
      <c r="EEC93" s="201"/>
      <c r="EED93" s="201"/>
      <c r="EEE93" s="201"/>
      <c r="EEF93" s="201"/>
      <c r="EEG93" s="201"/>
      <c r="EEH93" s="201"/>
      <c r="EEI93" s="201"/>
      <c r="EEJ93" s="201"/>
      <c r="EEK93" s="201"/>
      <c r="EEL93" s="201"/>
      <c r="EEM93" s="201"/>
      <c r="EEN93" s="201"/>
      <c r="EEO93" s="201"/>
      <c r="EEP93" s="201"/>
      <c r="EEQ93" s="201"/>
      <c r="EER93" s="201"/>
      <c r="EES93" s="201"/>
      <c r="EET93" s="201"/>
      <c r="EEU93" s="201"/>
      <c r="EEV93" s="201"/>
      <c r="EEW93" s="201"/>
      <c r="EEX93" s="201"/>
      <c r="EEY93" s="201"/>
      <c r="EEZ93" s="201"/>
      <c r="EFA93" s="201"/>
      <c r="EFB93" s="201"/>
      <c r="EFC93" s="201"/>
      <c r="EFD93" s="201"/>
      <c r="EFE93" s="201"/>
      <c r="EFF93" s="201"/>
      <c r="EFG93" s="201"/>
      <c r="EFH93" s="201"/>
      <c r="EFI93" s="201"/>
      <c r="EFJ93" s="201"/>
      <c r="EFK93" s="201"/>
      <c r="EFL93" s="201"/>
      <c r="EFM93" s="201"/>
      <c r="EFN93" s="201"/>
      <c r="EFO93" s="201"/>
      <c r="EFP93" s="201"/>
      <c r="EFQ93" s="201"/>
      <c r="EFR93" s="201"/>
      <c r="EFS93" s="201"/>
      <c r="EFT93" s="201"/>
      <c r="EFU93" s="201"/>
      <c r="EFV93" s="201"/>
      <c r="EFW93" s="201"/>
      <c r="EFX93" s="201"/>
      <c r="EFY93" s="201"/>
      <c r="EFZ93" s="201"/>
      <c r="EGA93" s="201"/>
      <c r="EGB93" s="201"/>
      <c r="EGC93" s="201"/>
      <c r="EGD93" s="201"/>
      <c r="EGE93" s="201"/>
      <c r="EGF93" s="201"/>
      <c r="EGG93" s="201"/>
      <c r="EGH93" s="201"/>
      <c r="EGI93" s="201"/>
      <c r="EGJ93" s="201"/>
      <c r="EGK93" s="201"/>
      <c r="EGL93" s="201"/>
      <c r="EGM93" s="201"/>
      <c r="EGN93" s="201"/>
      <c r="EGO93" s="201"/>
      <c r="EGP93" s="201"/>
      <c r="EGQ93" s="201"/>
      <c r="EGR93" s="201"/>
      <c r="EGS93" s="201"/>
      <c r="EGT93" s="201"/>
      <c r="EGU93" s="201"/>
      <c r="EGV93" s="201"/>
      <c r="EGW93" s="201"/>
      <c r="EGX93" s="201"/>
      <c r="EGY93" s="201"/>
      <c r="EGZ93" s="201"/>
      <c r="EHA93" s="201"/>
      <c r="EHB93" s="201"/>
      <c r="EHC93" s="201"/>
      <c r="EHD93" s="201"/>
      <c r="EHE93" s="201"/>
      <c r="EHF93" s="201"/>
      <c r="EHG93" s="201"/>
      <c r="EHH93" s="201"/>
      <c r="EHI93" s="201"/>
      <c r="EHJ93" s="201"/>
      <c r="EHK93" s="201"/>
      <c r="EHL93" s="201"/>
      <c r="EHM93" s="201"/>
      <c r="EHN93" s="201"/>
      <c r="EHO93" s="201"/>
      <c r="EHP93" s="201"/>
      <c r="EHQ93" s="201"/>
      <c r="EHR93" s="201"/>
      <c r="EHS93" s="201"/>
      <c r="EHT93" s="201"/>
      <c r="EHU93" s="201"/>
      <c r="EHV93" s="201"/>
      <c r="EHW93" s="201"/>
      <c r="EHX93" s="201"/>
      <c r="EHY93" s="201"/>
      <c r="EHZ93" s="201"/>
      <c r="EIA93" s="201"/>
      <c r="EIB93" s="201"/>
      <c r="EIC93" s="201"/>
      <c r="EID93" s="201"/>
      <c r="EIE93" s="201"/>
      <c r="EIF93" s="201"/>
      <c r="EIG93" s="201"/>
      <c r="EIH93" s="201"/>
      <c r="EII93" s="201"/>
      <c r="EIJ93" s="201"/>
      <c r="EIK93" s="201"/>
      <c r="EIL93" s="201"/>
      <c r="EIM93" s="201"/>
      <c r="EIN93" s="201"/>
      <c r="EIO93" s="201"/>
      <c r="EIP93" s="201"/>
      <c r="EIQ93" s="201"/>
      <c r="EIR93" s="201"/>
      <c r="EIS93" s="201"/>
      <c r="EIT93" s="201"/>
      <c r="EIU93" s="201"/>
      <c r="EIV93" s="201"/>
      <c r="EIW93" s="201"/>
      <c r="EIX93" s="201"/>
      <c r="EIY93" s="201"/>
      <c r="EIZ93" s="201"/>
      <c r="EJA93" s="201"/>
      <c r="EJB93" s="201"/>
      <c r="EJC93" s="201"/>
      <c r="EJD93" s="201"/>
      <c r="EJE93" s="201"/>
      <c r="EJF93" s="201"/>
      <c r="EJG93" s="201"/>
      <c r="EJH93" s="201"/>
      <c r="EJI93" s="201"/>
      <c r="EJJ93" s="201"/>
      <c r="EJK93" s="201"/>
      <c r="EJL93" s="201"/>
      <c r="EJM93" s="201"/>
      <c r="EJN93" s="201"/>
      <c r="EJO93" s="201"/>
      <c r="EJP93" s="201"/>
      <c r="EJQ93" s="201"/>
      <c r="EJR93" s="201"/>
      <c r="EJS93" s="201"/>
      <c r="EJT93" s="201"/>
      <c r="EJU93" s="201"/>
      <c r="EJV93" s="201"/>
      <c r="EJW93" s="201"/>
      <c r="EJX93" s="201"/>
      <c r="EJY93" s="201"/>
      <c r="EJZ93" s="201"/>
      <c r="EKA93" s="201"/>
      <c r="EKB93" s="201"/>
      <c r="EKC93" s="201"/>
      <c r="EKD93" s="201"/>
      <c r="EKE93" s="201"/>
      <c r="EKF93" s="201"/>
      <c r="EKG93" s="201"/>
      <c r="EKH93" s="201"/>
      <c r="EKI93" s="201"/>
      <c r="EKJ93" s="201"/>
      <c r="EKK93" s="201"/>
      <c r="EKL93" s="201"/>
      <c r="EKM93" s="201"/>
      <c r="EKN93" s="201"/>
      <c r="EKO93" s="201"/>
      <c r="EKP93" s="201"/>
      <c r="EKQ93" s="201"/>
      <c r="EKR93" s="201"/>
      <c r="EKS93" s="201"/>
      <c r="EKT93" s="201"/>
      <c r="EKU93" s="201"/>
      <c r="EKV93" s="201"/>
      <c r="EKW93" s="201"/>
      <c r="EKX93" s="201"/>
      <c r="EKY93" s="201"/>
      <c r="EKZ93" s="201"/>
      <c r="ELA93" s="201"/>
      <c r="ELB93" s="201"/>
      <c r="ELC93" s="201"/>
      <c r="ELD93" s="201"/>
      <c r="ELE93" s="201"/>
      <c r="ELF93" s="201"/>
      <c r="ELG93" s="201"/>
      <c r="ELH93" s="201"/>
      <c r="ELI93" s="201"/>
      <c r="ELJ93" s="201"/>
      <c r="ELK93" s="201"/>
      <c r="ELL93" s="201"/>
      <c r="ELM93" s="201"/>
      <c r="ELN93" s="201"/>
      <c r="ELO93" s="201"/>
      <c r="ELP93" s="201"/>
      <c r="ELQ93" s="201"/>
      <c r="ELR93" s="201"/>
      <c r="ELS93" s="201"/>
      <c r="ELT93" s="201"/>
      <c r="ELU93" s="201"/>
      <c r="ELV93" s="201"/>
      <c r="ELW93" s="201"/>
      <c r="ELX93" s="201"/>
      <c r="ELY93" s="201"/>
      <c r="ELZ93" s="201"/>
      <c r="EMA93" s="201"/>
      <c r="EMB93" s="201"/>
      <c r="EMC93" s="201"/>
      <c r="EMD93" s="201"/>
      <c r="EME93" s="201"/>
      <c r="EMF93" s="201"/>
      <c r="EMG93" s="201"/>
      <c r="EMH93" s="201"/>
      <c r="EMI93" s="201"/>
      <c r="EMJ93" s="201"/>
      <c r="EMK93" s="201"/>
      <c r="EML93" s="201"/>
      <c r="EMM93" s="201"/>
      <c r="EMN93" s="201"/>
      <c r="EMO93" s="201"/>
      <c r="EMP93" s="201"/>
      <c r="EMQ93" s="201"/>
      <c r="EMR93" s="201"/>
      <c r="EMS93" s="201"/>
      <c r="EMT93" s="201"/>
      <c r="EMU93" s="201"/>
      <c r="EMV93" s="201"/>
      <c r="EMW93" s="201"/>
      <c r="EMX93" s="201"/>
      <c r="EMY93" s="201"/>
      <c r="EMZ93" s="201"/>
      <c r="ENA93" s="201"/>
      <c r="ENB93" s="201"/>
      <c r="ENC93" s="201"/>
      <c r="END93" s="201"/>
      <c r="ENE93" s="201"/>
      <c r="ENF93" s="201"/>
      <c r="ENG93" s="201"/>
      <c r="ENH93" s="201"/>
      <c r="ENI93" s="201"/>
      <c r="ENJ93" s="201"/>
      <c r="ENK93" s="201"/>
      <c r="ENL93" s="201"/>
      <c r="ENM93" s="201"/>
      <c r="ENN93" s="201"/>
      <c r="ENO93" s="201"/>
      <c r="ENP93" s="201"/>
      <c r="ENQ93" s="201"/>
      <c r="ENR93" s="201"/>
      <c r="ENS93" s="201"/>
      <c r="ENT93" s="201"/>
      <c r="ENU93" s="201"/>
      <c r="ENV93" s="201"/>
      <c r="ENW93" s="201"/>
      <c r="ENX93" s="201"/>
      <c r="ENY93" s="201"/>
      <c r="ENZ93" s="201"/>
      <c r="EOA93" s="201"/>
      <c r="EOB93" s="201"/>
      <c r="EOC93" s="201"/>
      <c r="EOD93" s="201"/>
      <c r="EOE93" s="201"/>
      <c r="EOF93" s="201"/>
      <c r="EOG93" s="201"/>
      <c r="EOH93" s="201"/>
      <c r="EOI93" s="201"/>
      <c r="EOJ93" s="201"/>
      <c r="EOK93" s="201"/>
      <c r="EOL93" s="201"/>
      <c r="EOM93" s="201"/>
      <c r="EON93" s="201"/>
      <c r="EOO93" s="201"/>
      <c r="EOP93" s="201"/>
      <c r="EOQ93" s="201"/>
      <c r="EOR93" s="201"/>
      <c r="EOS93" s="201"/>
      <c r="EOT93" s="201"/>
      <c r="EOU93" s="201"/>
      <c r="EOV93" s="201"/>
      <c r="EOW93" s="201"/>
      <c r="EOX93" s="201"/>
      <c r="EOY93" s="201"/>
      <c r="EOZ93" s="201"/>
      <c r="EPA93" s="201"/>
      <c r="EPB93" s="201"/>
      <c r="EPC93" s="201"/>
      <c r="EPD93" s="201"/>
      <c r="EPE93" s="201"/>
      <c r="EPF93" s="201"/>
      <c r="EPG93" s="201"/>
      <c r="EPH93" s="201"/>
      <c r="EPI93" s="201"/>
      <c r="EPJ93" s="201"/>
      <c r="EPK93" s="201"/>
      <c r="EPL93" s="201"/>
      <c r="EPM93" s="201"/>
      <c r="EPN93" s="201"/>
      <c r="EPO93" s="201"/>
      <c r="EPP93" s="201"/>
      <c r="EPQ93" s="201"/>
      <c r="EPR93" s="201"/>
      <c r="EPS93" s="201"/>
      <c r="EPT93" s="201"/>
      <c r="EPU93" s="201"/>
      <c r="EPV93" s="201"/>
      <c r="EPW93" s="201"/>
      <c r="EPX93" s="201"/>
      <c r="EPY93" s="201"/>
      <c r="EPZ93" s="201"/>
      <c r="EQA93" s="201"/>
      <c r="EQB93" s="201"/>
      <c r="EQC93" s="201"/>
      <c r="EQD93" s="201"/>
      <c r="EQE93" s="201"/>
      <c r="EQF93" s="201"/>
      <c r="EQG93" s="201"/>
      <c r="EQH93" s="201"/>
      <c r="EQI93" s="201"/>
      <c r="EQJ93" s="201"/>
      <c r="EQK93" s="201"/>
      <c r="EQL93" s="201"/>
      <c r="EQM93" s="201"/>
      <c r="EQN93" s="201"/>
      <c r="EQO93" s="201"/>
      <c r="EQP93" s="201"/>
      <c r="EQQ93" s="201"/>
      <c r="EQR93" s="201"/>
      <c r="EQS93" s="201"/>
      <c r="EQT93" s="201"/>
      <c r="EQU93" s="201"/>
      <c r="EQV93" s="201"/>
      <c r="EQW93" s="201"/>
      <c r="EQX93" s="201"/>
      <c r="EQY93" s="201"/>
      <c r="EQZ93" s="201"/>
      <c r="ERA93" s="201"/>
      <c r="ERB93" s="201"/>
      <c r="ERC93" s="201"/>
      <c r="ERD93" s="201"/>
      <c r="ERE93" s="201"/>
      <c r="ERF93" s="201"/>
      <c r="ERG93" s="201"/>
      <c r="ERH93" s="201"/>
      <c r="ERI93" s="201"/>
      <c r="ERJ93" s="201"/>
      <c r="ERK93" s="201"/>
      <c r="ERL93" s="201"/>
      <c r="ERM93" s="201"/>
      <c r="ERN93" s="201"/>
      <c r="ERO93" s="201"/>
      <c r="ERP93" s="201"/>
      <c r="ERQ93" s="201"/>
      <c r="ERR93" s="201"/>
      <c r="ERS93" s="201"/>
      <c r="ERT93" s="201"/>
      <c r="ERU93" s="201"/>
      <c r="ERV93" s="201"/>
      <c r="ERW93" s="201"/>
      <c r="ERX93" s="201"/>
      <c r="ERY93" s="201"/>
      <c r="ERZ93" s="201"/>
      <c r="ESA93" s="201"/>
      <c r="ESB93" s="201"/>
      <c r="ESC93" s="201"/>
      <c r="ESD93" s="201"/>
      <c r="ESE93" s="201"/>
      <c r="ESF93" s="201"/>
      <c r="ESG93" s="201"/>
      <c r="ESH93" s="201"/>
      <c r="ESI93" s="201"/>
      <c r="ESJ93" s="201"/>
      <c r="ESK93" s="201"/>
      <c r="ESL93" s="201"/>
      <c r="ESM93" s="201"/>
      <c r="ESN93" s="201"/>
      <c r="ESO93" s="201"/>
      <c r="ESP93" s="201"/>
      <c r="ESQ93" s="201"/>
      <c r="ESR93" s="201"/>
      <c r="ESS93" s="201"/>
      <c r="EST93" s="201"/>
      <c r="ESU93" s="201"/>
      <c r="ESV93" s="201"/>
      <c r="ESW93" s="201"/>
      <c r="ESX93" s="201"/>
      <c r="ESY93" s="201"/>
      <c r="ESZ93" s="201"/>
      <c r="ETA93" s="201"/>
      <c r="ETB93" s="201"/>
      <c r="ETC93" s="201"/>
      <c r="ETD93" s="201"/>
      <c r="ETE93" s="201"/>
      <c r="ETF93" s="201"/>
      <c r="ETG93" s="201"/>
      <c r="ETH93" s="201"/>
      <c r="ETI93" s="201"/>
      <c r="ETJ93" s="201"/>
      <c r="ETK93" s="201"/>
      <c r="ETL93" s="201"/>
      <c r="ETM93" s="201"/>
      <c r="ETN93" s="201"/>
      <c r="ETO93" s="201"/>
      <c r="ETP93" s="201"/>
      <c r="ETQ93" s="201"/>
      <c r="ETR93" s="201"/>
      <c r="ETS93" s="201"/>
      <c r="ETT93" s="201"/>
      <c r="ETU93" s="201"/>
      <c r="ETV93" s="201"/>
      <c r="ETW93" s="201"/>
      <c r="ETX93" s="201"/>
      <c r="ETY93" s="201"/>
      <c r="ETZ93" s="201"/>
      <c r="EUA93" s="201"/>
      <c r="EUB93" s="201"/>
      <c r="EUC93" s="201"/>
      <c r="EUD93" s="201"/>
      <c r="EUE93" s="201"/>
      <c r="EUF93" s="201"/>
      <c r="EUG93" s="201"/>
      <c r="EUH93" s="201"/>
      <c r="EUI93" s="201"/>
      <c r="EUJ93" s="201"/>
      <c r="EUK93" s="201"/>
      <c r="EUL93" s="201"/>
      <c r="EUM93" s="201"/>
      <c r="EUN93" s="201"/>
      <c r="EUO93" s="201"/>
      <c r="EUP93" s="201"/>
      <c r="EUQ93" s="201"/>
      <c r="EUR93" s="201"/>
      <c r="EUS93" s="201"/>
      <c r="EUT93" s="201"/>
      <c r="EUU93" s="201"/>
      <c r="EUV93" s="201"/>
      <c r="EUW93" s="201"/>
      <c r="EUX93" s="201"/>
      <c r="EUY93" s="201"/>
      <c r="EUZ93" s="201"/>
      <c r="EVA93" s="201"/>
      <c r="EVB93" s="201"/>
      <c r="EVC93" s="201"/>
      <c r="EVD93" s="201"/>
      <c r="EVE93" s="201"/>
      <c r="EVF93" s="201"/>
      <c r="EVG93" s="201"/>
      <c r="EVH93" s="201"/>
      <c r="EVI93" s="201"/>
      <c r="EVJ93" s="201"/>
      <c r="EVK93" s="201"/>
      <c r="EVL93" s="201"/>
      <c r="EVM93" s="201"/>
      <c r="EVN93" s="201"/>
      <c r="EVO93" s="201"/>
      <c r="EVP93" s="201"/>
      <c r="EVQ93" s="201"/>
      <c r="EVR93" s="201"/>
      <c r="EVS93" s="201"/>
      <c r="EVT93" s="201"/>
      <c r="EVU93" s="201"/>
      <c r="EVV93" s="201"/>
      <c r="EVW93" s="201"/>
      <c r="EVX93" s="201"/>
      <c r="EVY93" s="201"/>
      <c r="EVZ93" s="201"/>
      <c r="EWA93" s="201"/>
      <c r="EWB93" s="201"/>
      <c r="EWC93" s="201"/>
      <c r="EWD93" s="201"/>
      <c r="EWE93" s="201"/>
      <c r="EWF93" s="201"/>
      <c r="EWG93" s="201"/>
      <c r="EWH93" s="201"/>
      <c r="EWI93" s="201"/>
      <c r="EWJ93" s="201"/>
      <c r="EWK93" s="201"/>
      <c r="EWL93" s="201"/>
      <c r="EWM93" s="201"/>
      <c r="EWN93" s="201"/>
      <c r="EWO93" s="201"/>
      <c r="EWP93" s="201"/>
      <c r="EWQ93" s="201"/>
      <c r="EWR93" s="201"/>
      <c r="EWS93" s="201"/>
      <c r="EWT93" s="201"/>
      <c r="EWU93" s="201"/>
      <c r="EWV93" s="201"/>
      <c r="EWW93" s="201"/>
      <c r="EWX93" s="201"/>
      <c r="EWY93" s="201"/>
      <c r="EWZ93" s="201"/>
      <c r="EXA93" s="201"/>
      <c r="EXB93" s="201"/>
      <c r="EXC93" s="201"/>
      <c r="EXD93" s="201"/>
      <c r="EXE93" s="201"/>
      <c r="EXF93" s="201"/>
      <c r="EXG93" s="201"/>
      <c r="EXH93" s="201"/>
      <c r="EXI93" s="201"/>
      <c r="EXJ93" s="201"/>
      <c r="EXK93" s="201"/>
      <c r="EXL93" s="201"/>
      <c r="EXM93" s="201"/>
      <c r="EXN93" s="201"/>
      <c r="EXO93" s="201"/>
      <c r="EXP93" s="201"/>
      <c r="EXQ93" s="201"/>
      <c r="EXR93" s="201"/>
      <c r="EXS93" s="201"/>
      <c r="EXT93" s="201"/>
      <c r="EXU93" s="201"/>
      <c r="EXV93" s="201"/>
      <c r="EXW93" s="201"/>
      <c r="EXX93" s="201"/>
      <c r="EXY93" s="201"/>
      <c r="EXZ93" s="201"/>
      <c r="EYA93" s="201"/>
      <c r="EYB93" s="201"/>
      <c r="EYC93" s="201"/>
      <c r="EYD93" s="201"/>
      <c r="EYE93" s="201"/>
      <c r="EYF93" s="201"/>
      <c r="EYG93" s="201"/>
      <c r="EYH93" s="201"/>
      <c r="EYI93" s="201"/>
      <c r="EYJ93" s="201"/>
      <c r="EYK93" s="201"/>
      <c r="EYL93" s="201"/>
      <c r="EYM93" s="201"/>
      <c r="EYN93" s="201"/>
      <c r="EYO93" s="201"/>
      <c r="EYP93" s="201"/>
      <c r="EYQ93" s="201"/>
      <c r="EYR93" s="201"/>
      <c r="EYS93" s="201"/>
      <c r="EYT93" s="201"/>
      <c r="EYU93" s="201"/>
      <c r="EYV93" s="201"/>
      <c r="EYW93" s="201"/>
      <c r="EYX93" s="201"/>
      <c r="EYY93" s="201"/>
      <c r="EYZ93" s="201"/>
      <c r="EZA93" s="201"/>
      <c r="EZB93" s="201"/>
      <c r="EZC93" s="201"/>
      <c r="EZD93" s="201"/>
      <c r="EZE93" s="201"/>
      <c r="EZF93" s="201"/>
      <c r="EZG93" s="201"/>
      <c r="EZH93" s="201"/>
      <c r="EZI93" s="201"/>
      <c r="EZJ93" s="201"/>
      <c r="EZK93" s="201"/>
      <c r="EZL93" s="201"/>
      <c r="EZM93" s="201"/>
      <c r="EZN93" s="201"/>
      <c r="EZO93" s="201"/>
      <c r="EZP93" s="201"/>
      <c r="EZQ93" s="201"/>
      <c r="EZR93" s="201"/>
      <c r="EZS93" s="201"/>
      <c r="EZT93" s="201"/>
      <c r="EZU93" s="201"/>
      <c r="EZV93" s="201"/>
      <c r="EZW93" s="201"/>
      <c r="EZX93" s="201"/>
      <c r="EZY93" s="201"/>
      <c r="EZZ93" s="201"/>
      <c r="FAA93" s="201"/>
      <c r="FAB93" s="201"/>
      <c r="FAC93" s="201"/>
      <c r="FAD93" s="201"/>
      <c r="FAE93" s="201"/>
      <c r="FAF93" s="201"/>
      <c r="FAG93" s="201"/>
      <c r="FAH93" s="201"/>
      <c r="FAI93" s="201"/>
      <c r="FAJ93" s="201"/>
      <c r="FAK93" s="201"/>
      <c r="FAL93" s="201"/>
      <c r="FAM93" s="201"/>
      <c r="FAN93" s="201"/>
      <c r="FAO93" s="201"/>
      <c r="FAP93" s="201"/>
      <c r="FAQ93" s="201"/>
      <c r="FAR93" s="201"/>
      <c r="FAS93" s="201"/>
      <c r="FAT93" s="201"/>
      <c r="FAU93" s="201"/>
      <c r="FAV93" s="201"/>
      <c r="FAW93" s="201"/>
      <c r="FAX93" s="201"/>
      <c r="FAY93" s="201"/>
      <c r="FAZ93" s="201"/>
      <c r="FBA93" s="201"/>
      <c r="FBB93" s="201"/>
      <c r="FBC93" s="201"/>
      <c r="FBD93" s="201"/>
      <c r="FBE93" s="201"/>
      <c r="FBF93" s="201"/>
      <c r="FBG93" s="201"/>
      <c r="FBH93" s="201"/>
      <c r="FBI93" s="201"/>
      <c r="FBJ93" s="201"/>
      <c r="FBK93" s="201"/>
      <c r="FBL93" s="201"/>
      <c r="FBM93" s="201"/>
      <c r="FBN93" s="201"/>
      <c r="FBO93" s="201"/>
      <c r="FBP93" s="201"/>
      <c r="FBQ93" s="201"/>
      <c r="FBR93" s="201"/>
      <c r="FBS93" s="201"/>
      <c r="FBT93" s="201"/>
      <c r="FBU93" s="201"/>
      <c r="FBV93" s="201"/>
      <c r="FBW93" s="201"/>
      <c r="FBX93" s="201"/>
      <c r="FBY93" s="201"/>
      <c r="FBZ93" s="201"/>
      <c r="FCA93" s="201"/>
      <c r="FCB93" s="201"/>
      <c r="FCC93" s="201"/>
      <c r="FCD93" s="201"/>
      <c r="FCE93" s="201"/>
      <c r="FCF93" s="201"/>
      <c r="FCG93" s="201"/>
      <c r="FCH93" s="201"/>
      <c r="FCI93" s="201"/>
      <c r="FCJ93" s="201"/>
      <c r="FCK93" s="201"/>
      <c r="FCL93" s="201"/>
      <c r="FCM93" s="201"/>
      <c r="FCN93" s="201"/>
      <c r="FCO93" s="201"/>
      <c r="FCP93" s="201"/>
      <c r="FCQ93" s="201"/>
      <c r="FCR93" s="201"/>
      <c r="FCS93" s="201"/>
      <c r="FCT93" s="201"/>
      <c r="FCU93" s="201"/>
      <c r="FCV93" s="201"/>
      <c r="FCW93" s="201"/>
      <c r="FCX93" s="201"/>
      <c r="FCY93" s="201"/>
      <c r="FCZ93" s="201"/>
      <c r="FDA93" s="201"/>
      <c r="FDB93" s="201"/>
      <c r="FDC93" s="201"/>
      <c r="FDD93" s="201"/>
      <c r="FDE93" s="201"/>
      <c r="FDF93" s="201"/>
      <c r="FDG93" s="201"/>
      <c r="FDH93" s="201"/>
      <c r="FDI93" s="201"/>
      <c r="FDJ93" s="201"/>
      <c r="FDK93" s="201"/>
      <c r="FDL93" s="201"/>
      <c r="FDM93" s="201"/>
      <c r="FDN93" s="201"/>
      <c r="FDO93" s="201"/>
      <c r="FDP93" s="201"/>
      <c r="FDQ93" s="201"/>
      <c r="FDR93" s="201"/>
      <c r="FDS93" s="201"/>
      <c r="FDT93" s="201"/>
      <c r="FDU93" s="201"/>
      <c r="FDV93" s="201"/>
      <c r="FDW93" s="201"/>
      <c r="FDX93" s="201"/>
      <c r="FDY93" s="201"/>
      <c r="FDZ93" s="201"/>
      <c r="FEA93" s="201"/>
      <c r="FEB93" s="201"/>
      <c r="FEC93" s="201"/>
      <c r="FED93" s="201"/>
      <c r="FEE93" s="201"/>
      <c r="FEF93" s="201"/>
      <c r="FEG93" s="201"/>
      <c r="FEH93" s="201"/>
      <c r="FEI93" s="201"/>
      <c r="FEJ93" s="201"/>
      <c r="FEK93" s="201"/>
      <c r="FEL93" s="201"/>
      <c r="FEM93" s="201"/>
      <c r="FEN93" s="201"/>
      <c r="FEO93" s="201"/>
      <c r="FEP93" s="201"/>
      <c r="FEQ93" s="201"/>
      <c r="FER93" s="201"/>
      <c r="FES93" s="201"/>
      <c r="FET93" s="201"/>
      <c r="FEU93" s="201"/>
      <c r="FEV93" s="201"/>
      <c r="FEW93" s="201"/>
      <c r="FEX93" s="201"/>
      <c r="FEY93" s="201"/>
      <c r="FEZ93" s="201"/>
      <c r="FFA93" s="201"/>
      <c r="FFB93" s="201"/>
      <c r="FFC93" s="201"/>
      <c r="FFD93" s="201"/>
      <c r="FFE93" s="201"/>
      <c r="FFF93" s="201"/>
      <c r="FFG93" s="201"/>
      <c r="FFH93" s="201"/>
      <c r="FFI93" s="201"/>
      <c r="FFJ93" s="201"/>
      <c r="FFK93" s="201"/>
      <c r="FFL93" s="201"/>
      <c r="FFM93" s="201"/>
      <c r="FFN93" s="201"/>
      <c r="FFO93" s="201"/>
      <c r="FFP93" s="201"/>
      <c r="FFQ93" s="201"/>
      <c r="FFR93" s="201"/>
      <c r="FFS93" s="201"/>
      <c r="FFT93" s="201"/>
      <c r="FFU93" s="201"/>
      <c r="FFV93" s="201"/>
      <c r="FFW93" s="201"/>
      <c r="FFX93" s="201"/>
      <c r="FFY93" s="201"/>
      <c r="FFZ93" s="201"/>
      <c r="FGA93" s="201"/>
      <c r="FGB93" s="201"/>
      <c r="FGC93" s="201"/>
      <c r="FGD93" s="201"/>
      <c r="FGE93" s="201"/>
      <c r="FGF93" s="201"/>
      <c r="FGG93" s="201"/>
      <c r="FGH93" s="201"/>
      <c r="FGI93" s="201"/>
      <c r="FGJ93" s="201"/>
      <c r="FGK93" s="201"/>
      <c r="FGL93" s="201"/>
      <c r="FGM93" s="201"/>
      <c r="FGN93" s="201"/>
      <c r="FGO93" s="201"/>
      <c r="FGP93" s="201"/>
      <c r="FGQ93" s="201"/>
      <c r="FGR93" s="201"/>
      <c r="FGS93" s="201"/>
      <c r="FGT93" s="201"/>
      <c r="FGU93" s="201"/>
      <c r="FGV93" s="201"/>
      <c r="FGW93" s="201"/>
      <c r="FGX93" s="201"/>
      <c r="FGY93" s="201"/>
      <c r="FGZ93" s="201"/>
      <c r="FHA93" s="201"/>
      <c r="FHB93" s="201"/>
      <c r="FHC93" s="201"/>
      <c r="FHD93" s="201"/>
      <c r="FHE93" s="201"/>
      <c r="FHF93" s="201"/>
      <c r="FHG93" s="201"/>
      <c r="FHH93" s="201"/>
      <c r="FHI93" s="201"/>
      <c r="FHJ93" s="201"/>
      <c r="FHK93" s="201"/>
      <c r="FHL93" s="201"/>
      <c r="FHM93" s="201"/>
      <c r="FHN93" s="201"/>
      <c r="FHO93" s="201"/>
      <c r="FHP93" s="201"/>
      <c r="FHQ93" s="201"/>
      <c r="FHR93" s="201"/>
      <c r="FHS93" s="201"/>
      <c r="FHT93" s="201"/>
      <c r="FHU93" s="201"/>
      <c r="FHV93" s="201"/>
      <c r="FHW93" s="201"/>
      <c r="FHX93" s="201"/>
      <c r="FHY93" s="201"/>
      <c r="FHZ93" s="201"/>
      <c r="FIA93" s="201"/>
      <c r="FIB93" s="201"/>
      <c r="FIC93" s="201"/>
      <c r="FID93" s="201"/>
      <c r="FIE93" s="201"/>
      <c r="FIF93" s="201"/>
      <c r="FIG93" s="201"/>
      <c r="FIH93" s="201"/>
      <c r="FII93" s="201"/>
      <c r="FIJ93" s="201"/>
      <c r="FIK93" s="201"/>
      <c r="FIL93" s="201"/>
      <c r="FIM93" s="201"/>
      <c r="FIN93" s="201"/>
      <c r="FIO93" s="201"/>
      <c r="FIP93" s="201"/>
      <c r="FIQ93" s="201"/>
      <c r="FIR93" s="201"/>
      <c r="FIS93" s="201"/>
      <c r="FIT93" s="201"/>
      <c r="FIU93" s="201"/>
      <c r="FIV93" s="201"/>
      <c r="FIW93" s="201"/>
      <c r="FIX93" s="201"/>
      <c r="FIY93" s="201"/>
      <c r="FIZ93" s="201"/>
      <c r="FJA93" s="201"/>
      <c r="FJB93" s="201"/>
      <c r="FJC93" s="201"/>
      <c r="FJD93" s="201"/>
      <c r="FJE93" s="201"/>
      <c r="FJF93" s="201"/>
      <c r="FJG93" s="201"/>
      <c r="FJH93" s="201"/>
      <c r="FJI93" s="201"/>
      <c r="FJJ93" s="201"/>
      <c r="FJK93" s="201"/>
      <c r="FJL93" s="201"/>
      <c r="FJM93" s="201"/>
      <c r="FJN93" s="201"/>
      <c r="FJO93" s="201"/>
      <c r="FJP93" s="201"/>
      <c r="FJQ93" s="201"/>
      <c r="FJR93" s="201"/>
      <c r="FJS93" s="201"/>
      <c r="FJT93" s="201"/>
      <c r="FJU93" s="201"/>
      <c r="FJV93" s="201"/>
      <c r="FJW93" s="201"/>
      <c r="FJX93" s="201"/>
      <c r="FJY93" s="201"/>
      <c r="FJZ93" s="201"/>
      <c r="FKA93" s="201"/>
      <c r="FKB93" s="201"/>
      <c r="FKC93" s="201"/>
      <c r="FKD93" s="201"/>
      <c r="FKE93" s="201"/>
      <c r="FKF93" s="201"/>
      <c r="FKG93" s="201"/>
      <c r="FKH93" s="201"/>
      <c r="FKI93" s="201"/>
      <c r="FKJ93" s="201"/>
      <c r="FKK93" s="201"/>
      <c r="FKL93" s="201"/>
      <c r="FKM93" s="201"/>
      <c r="FKN93" s="201"/>
      <c r="FKO93" s="201"/>
      <c r="FKP93" s="201"/>
      <c r="FKQ93" s="201"/>
      <c r="FKR93" s="201"/>
      <c r="FKS93" s="201"/>
      <c r="FKT93" s="201"/>
      <c r="FKU93" s="201"/>
      <c r="FKV93" s="201"/>
      <c r="FKW93" s="201"/>
      <c r="FKX93" s="201"/>
      <c r="FKY93" s="201"/>
      <c r="FKZ93" s="201"/>
      <c r="FLA93" s="201"/>
      <c r="FLB93" s="201"/>
      <c r="FLC93" s="201"/>
      <c r="FLD93" s="201"/>
      <c r="FLE93" s="201"/>
      <c r="FLF93" s="201"/>
      <c r="FLG93" s="201"/>
      <c r="FLH93" s="201"/>
      <c r="FLI93" s="201"/>
      <c r="FLJ93" s="201"/>
      <c r="FLK93" s="201"/>
      <c r="FLL93" s="201"/>
      <c r="FLM93" s="201"/>
      <c r="FLN93" s="201"/>
      <c r="FLO93" s="201"/>
      <c r="FLP93" s="201"/>
      <c r="FLQ93" s="201"/>
      <c r="FLR93" s="201"/>
      <c r="FLS93" s="201"/>
      <c r="FLT93" s="201"/>
      <c r="FLU93" s="201"/>
      <c r="FLV93" s="201"/>
      <c r="FLW93" s="201"/>
      <c r="FLX93" s="201"/>
      <c r="FLY93" s="201"/>
      <c r="FLZ93" s="201"/>
      <c r="FMA93" s="201"/>
      <c r="FMB93" s="201"/>
      <c r="FMC93" s="201"/>
      <c r="FMD93" s="201"/>
      <c r="FME93" s="201"/>
      <c r="FMF93" s="201"/>
      <c r="FMG93" s="201"/>
      <c r="FMH93" s="201"/>
      <c r="FMI93" s="201"/>
      <c r="FMJ93" s="201"/>
      <c r="FMK93" s="201"/>
      <c r="FML93" s="201"/>
      <c r="FMM93" s="201"/>
      <c r="FMN93" s="201"/>
      <c r="FMO93" s="201"/>
      <c r="FMP93" s="201"/>
      <c r="FMQ93" s="201"/>
      <c r="FMR93" s="201"/>
      <c r="FMS93" s="201"/>
      <c r="FMT93" s="201"/>
      <c r="FMU93" s="201"/>
      <c r="FMV93" s="201"/>
      <c r="FMW93" s="201"/>
      <c r="FMX93" s="201"/>
      <c r="FMY93" s="201"/>
      <c r="FMZ93" s="201"/>
      <c r="FNA93" s="201"/>
      <c r="FNB93" s="201"/>
      <c r="FNC93" s="201"/>
      <c r="FND93" s="201"/>
      <c r="FNE93" s="201"/>
      <c r="FNF93" s="201"/>
      <c r="FNG93" s="201"/>
      <c r="FNH93" s="201"/>
      <c r="FNI93" s="201"/>
      <c r="FNJ93" s="201"/>
      <c r="FNK93" s="201"/>
      <c r="FNL93" s="201"/>
      <c r="FNM93" s="201"/>
      <c r="FNN93" s="201"/>
      <c r="FNO93" s="201"/>
      <c r="FNP93" s="201"/>
      <c r="FNQ93" s="201"/>
      <c r="FNR93" s="201"/>
      <c r="FNS93" s="201"/>
      <c r="FNT93" s="201"/>
      <c r="FNU93" s="201"/>
      <c r="FNV93" s="201"/>
      <c r="FNW93" s="201"/>
      <c r="FNX93" s="201"/>
      <c r="FNY93" s="201"/>
      <c r="FNZ93" s="201"/>
      <c r="FOA93" s="201"/>
      <c r="FOB93" s="201"/>
      <c r="FOC93" s="201"/>
      <c r="FOD93" s="201"/>
      <c r="FOE93" s="201"/>
      <c r="FOF93" s="201"/>
      <c r="FOG93" s="201"/>
      <c r="FOH93" s="201"/>
      <c r="FOI93" s="201"/>
      <c r="FOJ93" s="201"/>
      <c r="FOK93" s="201"/>
      <c r="FOL93" s="201"/>
      <c r="FOM93" s="201"/>
      <c r="FON93" s="201"/>
      <c r="FOO93" s="201"/>
      <c r="FOP93" s="201"/>
      <c r="FOQ93" s="201"/>
      <c r="FOR93" s="201"/>
      <c r="FOS93" s="201"/>
      <c r="FOT93" s="201"/>
      <c r="FOU93" s="201"/>
      <c r="FOV93" s="201"/>
      <c r="FOW93" s="201"/>
      <c r="FOX93" s="201"/>
      <c r="FOY93" s="201"/>
      <c r="FOZ93" s="201"/>
      <c r="FPA93" s="201"/>
      <c r="FPB93" s="201"/>
      <c r="FPC93" s="201"/>
      <c r="FPD93" s="201"/>
      <c r="FPE93" s="201"/>
      <c r="FPF93" s="201"/>
      <c r="FPG93" s="201"/>
      <c r="FPH93" s="201"/>
      <c r="FPI93" s="201"/>
      <c r="FPJ93" s="201"/>
      <c r="FPK93" s="201"/>
      <c r="FPL93" s="201"/>
      <c r="FPM93" s="201"/>
      <c r="FPN93" s="201"/>
      <c r="FPO93" s="201"/>
      <c r="FPP93" s="201"/>
      <c r="FPQ93" s="201"/>
      <c r="FPR93" s="201"/>
      <c r="FPS93" s="201"/>
      <c r="FPT93" s="201"/>
      <c r="FPU93" s="201"/>
      <c r="FPV93" s="201"/>
      <c r="FPW93" s="201"/>
      <c r="FPX93" s="201"/>
      <c r="FPY93" s="201"/>
      <c r="FPZ93" s="201"/>
      <c r="FQA93" s="201"/>
      <c r="FQB93" s="201"/>
      <c r="FQC93" s="201"/>
      <c r="FQD93" s="201"/>
      <c r="FQE93" s="201"/>
      <c r="FQF93" s="201"/>
      <c r="FQG93" s="201"/>
      <c r="FQH93" s="201"/>
      <c r="FQI93" s="201"/>
      <c r="FQJ93" s="201"/>
      <c r="FQK93" s="201"/>
      <c r="FQL93" s="201"/>
      <c r="FQM93" s="201"/>
      <c r="FQN93" s="201"/>
      <c r="FQO93" s="201"/>
      <c r="FQP93" s="201"/>
      <c r="FQQ93" s="201"/>
      <c r="FQR93" s="201"/>
      <c r="FQS93" s="201"/>
      <c r="FQT93" s="201"/>
      <c r="FQU93" s="201"/>
      <c r="FQV93" s="201"/>
      <c r="FQW93" s="201"/>
      <c r="FQX93" s="201"/>
      <c r="FQY93" s="201"/>
      <c r="FQZ93" s="201"/>
      <c r="FRA93" s="201"/>
      <c r="FRB93" s="201"/>
      <c r="FRC93" s="201"/>
      <c r="FRD93" s="201"/>
      <c r="FRE93" s="201"/>
      <c r="FRF93" s="201"/>
      <c r="FRG93" s="201"/>
      <c r="FRH93" s="201"/>
      <c r="FRI93" s="201"/>
      <c r="FRJ93" s="201"/>
      <c r="FRK93" s="201"/>
      <c r="FRL93" s="201"/>
      <c r="FRM93" s="201"/>
      <c r="FRN93" s="201"/>
      <c r="FRO93" s="201"/>
      <c r="FRP93" s="201"/>
      <c r="FRQ93" s="201"/>
      <c r="FRR93" s="201"/>
      <c r="FRS93" s="201"/>
      <c r="FRT93" s="201"/>
      <c r="FRU93" s="201"/>
      <c r="FRV93" s="201"/>
      <c r="FRW93" s="201"/>
      <c r="FRX93" s="201"/>
      <c r="FRY93" s="201"/>
      <c r="FRZ93" s="201"/>
      <c r="FSA93" s="201"/>
      <c r="FSB93" s="201"/>
      <c r="FSC93" s="201"/>
      <c r="FSD93" s="201"/>
      <c r="FSE93" s="201"/>
      <c r="FSF93" s="201"/>
      <c r="FSG93" s="201"/>
      <c r="FSH93" s="201"/>
      <c r="FSI93" s="201"/>
      <c r="FSJ93" s="201"/>
      <c r="FSK93" s="201"/>
      <c r="FSL93" s="201"/>
      <c r="FSM93" s="201"/>
      <c r="FSN93" s="201"/>
      <c r="FSO93" s="201"/>
      <c r="FSP93" s="201"/>
      <c r="FSQ93" s="201"/>
      <c r="FSR93" s="201"/>
      <c r="FSS93" s="201"/>
      <c r="FST93" s="201"/>
      <c r="FSU93" s="201"/>
      <c r="FSV93" s="201"/>
      <c r="FSW93" s="201"/>
      <c r="FSX93" s="201"/>
      <c r="FSY93" s="201"/>
      <c r="FSZ93" s="201"/>
      <c r="FTA93" s="201"/>
      <c r="FTB93" s="201"/>
      <c r="FTC93" s="201"/>
      <c r="FTD93" s="201"/>
      <c r="FTE93" s="201"/>
      <c r="FTF93" s="201"/>
      <c r="FTG93" s="201"/>
      <c r="FTH93" s="201"/>
      <c r="FTI93" s="201"/>
      <c r="FTJ93" s="201"/>
      <c r="FTK93" s="201"/>
      <c r="FTL93" s="201"/>
      <c r="FTM93" s="201"/>
      <c r="FTN93" s="201"/>
      <c r="FTO93" s="201"/>
      <c r="FTP93" s="201"/>
      <c r="FTQ93" s="201"/>
      <c r="FTR93" s="201"/>
      <c r="FTS93" s="201"/>
      <c r="FTT93" s="201"/>
      <c r="FTU93" s="201"/>
      <c r="FTV93" s="201"/>
      <c r="FTW93" s="201"/>
      <c r="FTX93" s="201"/>
      <c r="FTY93" s="201"/>
      <c r="FTZ93" s="201"/>
      <c r="FUA93" s="201"/>
      <c r="FUB93" s="201"/>
      <c r="FUC93" s="201"/>
      <c r="FUD93" s="201"/>
      <c r="FUE93" s="201"/>
      <c r="FUF93" s="201"/>
      <c r="FUG93" s="201"/>
      <c r="FUH93" s="201"/>
      <c r="FUI93" s="201"/>
      <c r="FUJ93" s="201"/>
      <c r="FUK93" s="201"/>
      <c r="FUL93" s="201"/>
      <c r="FUM93" s="201"/>
      <c r="FUN93" s="201"/>
      <c r="FUO93" s="201"/>
      <c r="FUP93" s="201"/>
      <c r="FUQ93" s="201"/>
      <c r="FUR93" s="201"/>
      <c r="FUS93" s="201"/>
      <c r="FUT93" s="201"/>
      <c r="FUU93" s="201"/>
      <c r="FUV93" s="201"/>
      <c r="FUW93" s="201"/>
      <c r="FUX93" s="201"/>
      <c r="FUY93" s="201"/>
      <c r="FUZ93" s="201"/>
      <c r="FVA93" s="201"/>
      <c r="FVB93" s="201"/>
      <c r="FVC93" s="201"/>
      <c r="FVD93" s="201"/>
      <c r="FVE93" s="201"/>
      <c r="FVF93" s="201"/>
      <c r="FVG93" s="201"/>
      <c r="FVH93" s="201"/>
      <c r="FVI93" s="201"/>
      <c r="FVJ93" s="201"/>
      <c r="FVK93" s="201"/>
      <c r="FVL93" s="201"/>
      <c r="FVM93" s="201"/>
      <c r="FVN93" s="201"/>
      <c r="FVO93" s="201"/>
      <c r="FVP93" s="201"/>
      <c r="FVQ93" s="201"/>
      <c r="FVR93" s="201"/>
      <c r="FVS93" s="201"/>
      <c r="FVT93" s="201"/>
      <c r="FVU93" s="201"/>
      <c r="FVV93" s="201"/>
      <c r="FVW93" s="201"/>
      <c r="FVX93" s="201"/>
      <c r="FVY93" s="201"/>
      <c r="FVZ93" s="201"/>
      <c r="FWA93" s="201"/>
      <c r="FWB93" s="201"/>
      <c r="FWC93" s="201"/>
      <c r="FWD93" s="201"/>
      <c r="FWE93" s="201"/>
      <c r="FWF93" s="201"/>
      <c r="FWG93" s="201"/>
      <c r="FWH93" s="201"/>
      <c r="FWI93" s="201"/>
      <c r="FWJ93" s="201"/>
      <c r="FWK93" s="201"/>
      <c r="FWL93" s="201"/>
      <c r="FWM93" s="201"/>
      <c r="FWN93" s="201"/>
      <c r="FWO93" s="201"/>
      <c r="FWP93" s="201"/>
      <c r="FWQ93" s="201"/>
      <c r="FWR93" s="201"/>
      <c r="FWS93" s="201"/>
      <c r="FWT93" s="201"/>
      <c r="FWU93" s="201"/>
      <c r="FWV93" s="201"/>
      <c r="FWW93" s="201"/>
      <c r="FWX93" s="201"/>
      <c r="FWY93" s="201"/>
      <c r="FWZ93" s="201"/>
      <c r="FXA93" s="201"/>
      <c r="FXB93" s="201"/>
      <c r="FXC93" s="201"/>
      <c r="FXD93" s="201"/>
      <c r="FXE93" s="201"/>
      <c r="FXF93" s="201"/>
      <c r="FXG93" s="201"/>
      <c r="FXH93" s="201"/>
      <c r="FXI93" s="201"/>
      <c r="FXJ93" s="201"/>
      <c r="FXK93" s="201"/>
      <c r="FXL93" s="201"/>
      <c r="FXM93" s="201"/>
      <c r="FXN93" s="201"/>
      <c r="FXO93" s="201"/>
      <c r="FXP93" s="201"/>
      <c r="FXQ93" s="201"/>
      <c r="FXR93" s="201"/>
      <c r="FXS93" s="201"/>
      <c r="FXT93" s="201"/>
      <c r="FXU93" s="201"/>
      <c r="FXV93" s="201"/>
      <c r="FXW93" s="201"/>
      <c r="FXX93" s="201"/>
      <c r="FXY93" s="201"/>
      <c r="FXZ93" s="201"/>
      <c r="FYA93" s="201"/>
      <c r="FYB93" s="201"/>
      <c r="FYC93" s="201"/>
      <c r="FYD93" s="201"/>
      <c r="FYE93" s="201"/>
      <c r="FYF93" s="201"/>
      <c r="FYG93" s="201"/>
      <c r="FYH93" s="201"/>
      <c r="FYI93" s="201"/>
      <c r="FYJ93" s="201"/>
      <c r="FYK93" s="201"/>
      <c r="FYL93" s="201"/>
      <c r="FYM93" s="201"/>
      <c r="FYN93" s="201"/>
      <c r="FYO93" s="201"/>
      <c r="FYP93" s="201"/>
      <c r="FYQ93" s="201"/>
      <c r="FYR93" s="201"/>
      <c r="FYS93" s="201"/>
      <c r="FYT93" s="201"/>
      <c r="FYU93" s="201"/>
      <c r="FYV93" s="201"/>
      <c r="FYW93" s="201"/>
      <c r="FYX93" s="201"/>
      <c r="FYY93" s="201"/>
      <c r="FYZ93" s="201"/>
      <c r="FZA93" s="201"/>
      <c r="FZB93" s="201"/>
      <c r="FZC93" s="201"/>
      <c r="FZD93" s="201"/>
      <c r="FZE93" s="201"/>
      <c r="FZF93" s="201"/>
      <c r="FZG93" s="201"/>
      <c r="FZH93" s="201"/>
      <c r="FZI93" s="201"/>
      <c r="FZJ93" s="201"/>
      <c r="FZK93" s="201"/>
      <c r="FZL93" s="201"/>
      <c r="FZM93" s="201"/>
      <c r="FZN93" s="201"/>
      <c r="FZO93" s="201"/>
      <c r="FZP93" s="201"/>
      <c r="FZQ93" s="201"/>
      <c r="FZR93" s="201"/>
      <c r="FZS93" s="201"/>
      <c r="FZT93" s="201"/>
      <c r="FZU93" s="201"/>
      <c r="FZV93" s="201"/>
      <c r="FZW93" s="201"/>
      <c r="FZX93" s="201"/>
      <c r="FZY93" s="201"/>
      <c r="FZZ93" s="201"/>
      <c r="GAA93" s="201"/>
      <c r="GAB93" s="201"/>
      <c r="GAC93" s="201"/>
      <c r="GAD93" s="201"/>
      <c r="GAE93" s="201"/>
      <c r="GAF93" s="201"/>
      <c r="GAG93" s="201"/>
      <c r="GAH93" s="201"/>
      <c r="GAI93" s="201"/>
      <c r="GAJ93" s="201"/>
      <c r="GAK93" s="201"/>
      <c r="GAL93" s="201"/>
      <c r="GAM93" s="201"/>
      <c r="GAN93" s="201"/>
      <c r="GAO93" s="201"/>
      <c r="GAP93" s="201"/>
      <c r="GAQ93" s="201"/>
      <c r="GAR93" s="201"/>
      <c r="GAS93" s="201"/>
      <c r="GAT93" s="201"/>
      <c r="GAU93" s="201"/>
      <c r="GAV93" s="201"/>
      <c r="GAW93" s="201"/>
      <c r="GAX93" s="201"/>
      <c r="GAY93" s="201"/>
      <c r="GAZ93" s="201"/>
      <c r="GBA93" s="201"/>
      <c r="GBB93" s="201"/>
      <c r="GBC93" s="201"/>
      <c r="GBD93" s="201"/>
      <c r="GBE93" s="201"/>
      <c r="GBF93" s="201"/>
      <c r="GBG93" s="201"/>
      <c r="GBH93" s="201"/>
      <c r="GBI93" s="201"/>
      <c r="GBJ93" s="201"/>
      <c r="GBK93" s="201"/>
      <c r="GBL93" s="201"/>
      <c r="GBM93" s="201"/>
      <c r="GBN93" s="201"/>
      <c r="GBO93" s="201"/>
      <c r="GBP93" s="201"/>
      <c r="GBQ93" s="201"/>
      <c r="GBR93" s="201"/>
      <c r="GBS93" s="201"/>
      <c r="GBT93" s="201"/>
      <c r="GBU93" s="201"/>
      <c r="GBV93" s="201"/>
      <c r="GBW93" s="201"/>
      <c r="GBX93" s="201"/>
      <c r="GBY93" s="201"/>
      <c r="GBZ93" s="201"/>
      <c r="GCA93" s="201"/>
      <c r="GCB93" s="201"/>
      <c r="GCC93" s="201"/>
      <c r="GCD93" s="201"/>
      <c r="GCE93" s="201"/>
      <c r="GCF93" s="201"/>
      <c r="GCG93" s="201"/>
      <c r="GCH93" s="201"/>
      <c r="GCI93" s="201"/>
      <c r="GCJ93" s="201"/>
      <c r="GCK93" s="201"/>
      <c r="GCL93" s="201"/>
      <c r="GCM93" s="201"/>
      <c r="GCN93" s="201"/>
      <c r="GCO93" s="201"/>
      <c r="GCP93" s="201"/>
      <c r="GCQ93" s="201"/>
      <c r="GCR93" s="201"/>
      <c r="GCS93" s="201"/>
      <c r="GCT93" s="201"/>
      <c r="GCU93" s="201"/>
      <c r="GCV93" s="201"/>
      <c r="GCW93" s="201"/>
      <c r="GCX93" s="201"/>
      <c r="GCY93" s="201"/>
      <c r="GCZ93" s="201"/>
      <c r="GDA93" s="201"/>
      <c r="GDB93" s="201"/>
      <c r="GDC93" s="201"/>
      <c r="GDD93" s="201"/>
      <c r="GDE93" s="201"/>
      <c r="GDF93" s="201"/>
      <c r="GDG93" s="201"/>
      <c r="GDH93" s="201"/>
      <c r="GDI93" s="201"/>
      <c r="GDJ93" s="201"/>
      <c r="GDK93" s="201"/>
      <c r="GDL93" s="201"/>
      <c r="GDM93" s="201"/>
      <c r="GDN93" s="201"/>
      <c r="GDO93" s="201"/>
      <c r="GDP93" s="201"/>
      <c r="GDQ93" s="201"/>
      <c r="GDR93" s="201"/>
      <c r="GDS93" s="201"/>
      <c r="GDT93" s="201"/>
      <c r="GDU93" s="201"/>
      <c r="GDV93" s="201"/>
      <c r="GDW93" s="201"/>
      <c r="GDX93" s="201"/>
      <c r="GDY93" s="201"/>
      <c r="GDZ93" s="201"/>
      <c r="GEA93" s="201"/>
      <c r="GEB93" s="201"/>
      <c r="GEC93" s="201"/>
      <c r="GED93" s="201"/>
      <c r="GEE93" s="201"/>
      <c r="GEF93" s="201"/>
      <c r="GEG93" s="201"/>
      <c r="GEH93" s="201"/>
      <c r="GEI93" s="201"/>
      <c r="GEJ93" s="201"/>
      <c r="GEK93" s="201"/>
      <c r="GEL93" s="201"/>
      <c r="GEM93" s="201"/>
      <c r="GEN93" s="201"/>
      <c r="GEO93" s="201"/>
      <c r="GEP93" s="201"/>
      <c r="GEQ93" s="201"/>
      <c r="GER93" s="201"/>
      <c r="GES93" s="201"/>
      <c r="GET93" s="201"/>
      <c r="GEU93" s="201"/>
      <c r="GEV93" s="201"/>
      <c r="GEW93" s="201"/>
      <c r="GEX93" s="201"/>
      <c r="GEY93" s="201"/>
      <c r="GEZ93" s="201"/>
      <c r="GFA93" s="201"/>
      <c r="GFB93" s="201"/>
      <c r="GFC93" s="201"/>
      <c r="GFD93" s="201"/>
      <c r="GFE93" s="201"/>
      <c r="GFF93" s="201"/>
      <c r="GFG93" s="201"/>
      <c r="GFH93" s="201"/>
      <c r="GFI93" s="201"/>
      <c r="GFJ93" s="201"/>
      <c r="GFK93" s="201"/>
      <c r="GFL93" s="201"/>
      <c r="GFM93" s="201"/>
      <c r="GFN93" s="201"/>
      <c r="GFO93" s="201"/>
      <c r="GFP93" s="201"/>
      <c r="GFQ93" s="201"/>
      <c r="GFR93" s="201"/>
      <c r="GFS93" s="201"/>
      <c r="GFT93" s="201"/>
      <c r="GFU93" s="201"/>
      <c r="GFV93" s="201"/>
      <c r="GFW93" s="201"/>
      <c r="GFX93" s="201"/>
      <c r="GFY93" s="201"/>
      <c r="GFZ93" s="201"/>
      <c r="GGA93" s="201"/>
      <c r="GGB93" s="201"/>
      <c r="GGC93" s="201"/>
      <c r="GGD93" s="201"/>
      <c r="GGE93" s="201"/>
      <c r="GGF93" s="201"/>
      <c r="GGG93" s="201"/>
      <c r="GGH93" s="201"/>
      <c r="GGI93" s="201"/>
      <c r="GGJ93" s="201"/>
      <c r="GGK93" s="201"/>
      <c r="GGL93" s="201"/>
      <c r="GGM93" s="201"/>
      <c r="GGN93" s="201"/>
      <c r="GGO93" s="201"/>
      <c r="GGP93" s="201"/>
      <c r="GGQ93" s="201"/>
      <c r="GGR93" s="201"/>
      <c r="GGS93" s="201"/>
      <c r="GGT93" s="201"/>
      <c r="GGU93" s="201"/>
      <c r="GGV93" s="201"/>
      <c r="GGW93" s="201"/>
      <c r="GGX93" s="201"/>
      <c r="GGY93" s="201"/>
      <c r="GGZ93" s="201"/>
      <c r="GHA93" s="201"/>
      <c r="GHB93" s="201"/>
      <c r="GHC93" s="201"/>
      <c r="GHD93" s="201"/>
      <c r="GHE93" s="201"/>
      <c r="GHF93" s="201"/>
      <c r="GHG93" s="201"/>
      <c r="GHH93" s="201"/>
      <c r="GHI93" s="201"/>
      <c r="GHJ93" s="201"/>
      <c r="GHK93" s="201"/>
      <c r="GHL93" s="201"/>
      <c r="GHM93" s="201"/>
      <c r="GHN93" s="201"/>
      <c r="GHO93" s="201"/>
      <c r="GHP93" s="201"/>
      <c r="GHQ93" s="201"/>
      <c r="GHR93" s="201"/>
      <c r="GHS93" s="201"/>
      <c r="GHT93" s="201"/>
      <c r="GHU93" s="201"/>
      <c r="GHV93" s="201"/>
      <c r="GHW93" s="201"/>
      <c r="GHX93" s="201"/>
      <c r="GHY93" s="201"/>
      <c r="GHZ93" s="201"/>
      <c r="GIA93" s="201"/>
      <c r="GIB93" s="201"/>
      <c r="GIC93" s="201"/>
      <c r="GID93" s="201"/>
      <c r="GIE93" s="201"/>
      <c r="GIF93" s="201"/>
      <c r="GIG93" s="201"/>
      <c r="GIH93" s="201"/>
      <c r="GII93" s="201"/>
      <c r="GIJ93" s="201"/>
      <c r="GIK93" s="201"/>
      <c r="GIL93" s="201"/>
      <c r="GIM93" s="201"/>
      <c r="GIN93" s="201"/>
      <c r="GIO93" s="201"/>
      <c r="GIP93" s="201"/>
      <c r="GIQ93" s="201"/>
      <c r="GIR93" s="201"/>
      <c r="GIS93" s="201"/>
      <c r="GIT93" s="201"/>
      <c r="GIU93" s="201"/>
      <c r="GIV93" s="201"/>
      <c r="GIW93" s="201"/>
      <c r="GIX93" s="201"/>
      <c r="GIY93" s="201"/>
      <c r="GIZ93" s="201"/>
      <c r="GJA93" s="201"/>
      <c r="GJB93" s="201"/>
      <c r="GJC93" s="201"/>
      <c r="GJD93" s="201"/>
      <c r="GJE93" s="201"/>
      <c r="GJF93" s="201"/>
      <c r="GJG93" s="201"/>
      <c r="GJH93" s="201"/>
      <c r="GJI93" s="201"/>
      <c r="GJJ93" s="201"/>
      <c r="GJK93" s="201"/>
      <c r="GJL93" s="201"/>
      <c r="GJM93" s="201"/>
      <c r="GJN93" s="201"/>
      <c r="GJO93" s="201"/>
      <c r="GJP93" s="201"/>
      <c r="GJQ93" s="201"/>
      <c r="GJR93" s="201"/>
      <c r="GJS93" s="201"/>
      <c r="GJT93" s="201"/>
      <c r="GJU93" s="201"/>
      <c r="GJV93" s="201"/>
      <c r="GJW93" s="201"/>
      <c r="GJX93" s="201"/>
      <c r="GJY93" s="201"/>
      <c r="GJZ93" s="201"/>
      <c r="GKA93" s="201"/>
      <c r="GKB93" s="201"/>
      <c r="GKC93" s="201"/>
      <c r="GKD93" s="201"/>
      <c r="GKE93" s="201"/>
      <c r="GKF93" s="201"/>
      <c r="GKG93" s="201"/>
      <c r="GKH93" s="201"/>
      <c r="GKI93" s="201"/>
      <c r="GKJ93" s="201"/>
      <c r="GKK93" s="201"/>
      <c r="GKL93" s="201"/>
      <c r="GKM93" s="201"/>
      <c r="GKN93" s="201"/>
      <c r="GKO93" s="201"/>
      <c r="GKP93" s="201"/>
      <c r="GKQ93" s="201"/>
      <c r="GKR93" s="201"/>
      <c r="GKS93" s="201"/>
      <c r="GKT93" s="201"/>
      <c r="GKU93" s="201"/>
      <c r="GKV93" s="201"/>
      <c r="GKW93" s="201"/>
      <c r="GKX93" s="201"/>
      <c r="GKY93" s="201"/>
      <c r="GKZ93" s="201"/>
      <c r="GLA93" s="201"/>
      <c r="GLB93" s="201"/>
      <c r="GLC93" s="201"/>
      <c r="GLD93" s="201"/>
      <c r="GLE93" s="201"/>
      <c r="GLF93" s="201"/>
      <c r="GLG93" s="201"/>
      <c r="GLH93" s="201"/>
      <c r="GLI93" s="201"/>
      <c r="GLJ93" s="201"/>
      <c r="GLK93" s="201"/>
      <c r="GLL93" s="201"/>
      <c r="GLM93" s="201"/>
      <c r="GLN93" s="201"/>
      <c r="GLO93" s="201"/>
      <c r="GLP93" s="201"/>
      <c r="GLQ93" s="201"/>
      <c r="GLR93" s="201"/>
      <c r="GLS93" s="201"/>
      <c r="GLT93" s="201"/>
      <c r="GLU93" s="201"/>
      <c r="GLV93" s="201"/>
      <c r="GLW93" s="201"/>
      <c r="GLX93" s="201"/>
      <c r="GLY93" s="201"/>
      <c r="GLZ93" s="201"/>
      <c r="GMA93" s="201"/>
      <c r="GMB93" s="201"/>
      <c r="GMC93" s="201"/>
      <c r="GMD93" s="201"/>
      <c r="GME93" s="201"/>
      <c r="GMF93" s="201"/>
      <c r="GMG93" s="201"/>
      <c r="GMH93" s="201"/>
      <c r="GMI93" s="201"/>
      <c r="GMJ93" s="201"/>
      <c r="GMK93" s="201"/>
      <c r="GML93" s="201"/>
      <c r="GMM93" s="201"/>
      <c r="GMN93" s="201"/>
      <c r="GMO93" s="201"/>
      <c r="GMP93" s="201"/>
      <c r="GMQ93" s="201"/>
      <c r="GMR93" s="201"/>
      <c r="GMS93" s="201"/>
      <c r="GMT93" s="201"/>
      <c r="GMU93" s="201"/>
      <c r="GMV93" s="201"/>
      <c r="GMW93" s="201"/>
      <c r="GMX93" s="201"/>
      <c r="GMY93" s="201"/>
      <c r="GMZ93" s="201"/>
      <c r="GNA93" s="201"/>
      <c r="GNB93" s="201"/>
      <c r="GNC93" s="201"/>
      <c r="GND93" s="201"/>
      <c r="GNE93" s="201"/>
      <c r="GNF93" s="201"/>
      <c r="GNG93" s="201"/>
      <c r="GNH93" s="201"/>
      <c r="GNI93" s="201"/>
      <c r="GNJ93" s="201"/>
      <c r="GNK93" s="201"/>
      <c r="GNL93" s="201"/>
      <c r="GNM93" s="201"/>
      <c r="GNN93" s="201"/>
      <c r="GNO93" s="201"/>
      <c r="GNP93" s="201"/>
      <c r="GNQ93" s="201"/>
      <c r="GNR93" s="201"/>
      <c r="GNS93" s="201"/>
      <c r="GNT93" s="201"/>
      <c r="GNU93" s="201"/>
      <c r="GNV93" s="201"/>
      <c r="GNW93" s="201"/>
      <c r="GNX93" s="201"/>
      <c r="GNY93" s="201"/>
      <c r="GNZ93" s="201"/>
      <c r="GOA93" s="201"/>
      <c r="GOB93" s="201"/>
      <c r="GOC93" s="201"/>
      <c r="GOD93" s="201"/>
      <c r="GOE93" s="201"/>
      <c r="GOF93" s="201"/>
      <c r="GOG93" s="201"/>
      <c r="GOH93" s="201"/>
      <c r="GOI93" s="201"/>
      <c r="GOJ93" s="201"/>
      <c r="GOK93" s="201"/>
      <c r="GOL93" s="201"/>
      <c r="GOM93" s="201"/>
      <c r="GON93" s="201"/>
      <c r="GOO93" s="201"/>
      <c r="GOP93" s="201"/>
      <c r="GOQ93" s="201"/>
      <c r="GOR93" s="201"/>
      <c r="GOS93" s="201"/>
      <c r="GOT93" s="201"/>
      <c r="GOU93" s="201"/>
      <c r="GOV93" s="201"/>
      <c r="GOW93" s="201"/>
      <c r="GOX93" s="201"/>
      <c r="GOY93" s="201"/>
      <c r="GOZ93" s="201"/>
      <c r="GPA93" s="201"/>
      <c r="GPB93" s="201"/>
      <c r="GPC93" s="201"/>
      <c r="GPD93" s="201"/>
      <c r="GPE93" s="201"/>
      <c r="GPF93" s="201"/>
      <c r="GPG93" s="201"/>
      <c r="GPH93" s="201"/>
      <c r="GPI93" s="201"/>
      <c r="GPJ93" s="201"/>
      <c r="GPK93" s="201"/>
      <c r="GPL93" s="201"/>
      <c r="GPM93" s="201"/>
      <c r="GPN93" s="201"/>
      <c r="GPO93" s="201"/>
      <c r="GPP93" s="201"/>
      <c r="GPQ93" s="201"/>
      <c r="GPR93" s="201"/>
      <c r="GPS93" s="201"/>
      <c r="GPT93" s="201"/>
      <c r="GPU93" s="201"/>
      <c r="GPV93" s="201"/>
      <c r="GPW93" s="201"/>
      <c r="GPX93" s="201"/>
      <c r="GPY93" s="201"/>
      <c r="GPZ93" s="201"/>
      <c r="GQA93" s="201"/>
      <c r="GQB93" s="201"/>
      <c r="GQC93" s="201"/>
      <c r="GQD93" s="201"/>
      <c r="GQE93" s="201"/>
      <c r="GQF93" s="201"/>
      <c r="GQG93" s="201"/>
      <c r="GQH93" s="201"/>
      <c r="GQI93" s="201"/>
      <c r="GQJ93" s="201"/>
      <c r="GQK93" s="201"/>
      <c r="GQL93" s="201"/>
      <c r="GQM93" s="201"/>
      <c r="GQN93" s="201"/>
      <c r="GQO93" s="201"/>
      <c r="GQP93" s="201"/>
      <c r="GQQ93" s="201"/>
      <c r="GQR93" s="201"/>
      <c r="GQS93" s="201"/>
      <c r="GQT93" s="201"/>
      <c r="GQU93" s="201"/>
      <c r="GQV93" s="201"/>
      <c r="GQW93" s="201"/>
      <c r="GQX93" s="201"/>
      <c r="GQY93" s="201"/>
      <c r="GQZ93" s="201"/>
      <c r="GRA93" s="201"/>
      <c r="GRB93" s="201"/>
      <c r="GRC93" s="201"/>
      <c r="GRD93" s="201"/>
      <c r="GRE93" s="201"/>
      <c r="GRF93" s="201"/>
      <c r="GRG93" s="201"/>
      <c r="GRH93" s="201"/>
      <c r="GRI93" s="201"/>
      <c r="GRJ93" s="201"/>
      <c r="GRK93" s="201"/>
      <c r="GRL93" s="201"/>
      <c r="GRM93" s="201"/>
      <c r="GRN93" s="201"/>
      <c r="GRO93" s="201"/>
      <c r="GRP93" s="201"/>
      <c r="GRQ93" s="201"/>
      <c r="GRR93" s="201"/>
      <c r="GRS93" s="201"/>
      <c r="GRT93" s="201"/>
      <c r="GRU93" s="201"/>
      <c r="GRV93" s="201"/>
      <c r="GRW93" s="201"/>
      <c r="GRX93" s="201"/>
      <c r="GRY93" s="201"/>
      <c r="GRZ93" s="201"/>
      <c r="GSA93" s="201"/>
      <c r="GSB93" s="201"/>
      <c r="GSC93" s="201"/>
      <c r="GSD93" s="201"/>
      <c r="GSE93" s="201"/>
      <c r="GSF93" s="201"/>
      <c r="GSG93" s="201"/>
      <c r="GSH93" s="201"/>
      <c r="GSI93" s="201"/>
      <c r="GSJ93" s="201"/>
      <c r="GSK93" s="201"/>
      <c r="GSL93" s="201"/>
      <c r="GSM93" s="201"/>
      <c r="GSN93" s="201"/>
      <c r="GSO93" s="201"/>
      <c r="GSP93" s="201"/>
      <c r="GSQ93" s="201"/>
      <c r="GSR93" s="201"/>
      <c r="GSS93" s="201"/>
      <c r="GST93" s="201"/>
      <c r="GSU93" s="201"/>
      <c r="GSV93" s="201"/>
      <c r="GSW93" s="201"/>
      <c r="GSX93" s="201"/>
      <c r="GSY93" s="201"/>
      <c r="GSZ93" s="201"/>
      <c r="GTA93" s="201"/>
      <c r="GTB93" s="201"/>
      <c r="GTC93" s="201"/>
      <c r="GTD93" s="201"/>
      <c r="GTE93" s="201"/>
      <c r="GTF93" s="201"/>
      <c r="GTG93" s="201"/>
      <c r="GTH93" s="201"/>
      <c r="GTI93" s="201"/>
      <c r="GTJ93" s="201"/>
      <c r="GTK93" s="201"/>
      <c r="GTL93" s="201"/>
      <c r="GTM93" s="201"/>
      <c r="GTN93" s="201"/>
      <c r="GTO93" s="201"/>
      <c r="GTP93" s="201"/>
      <c r="GTQ93" s="201"/>
      <c r="GTR93" s="201"/>
      <c r="GTS93" s="201"/>
      <c r="GTT93" s="201"/>
      <c r="GTU93" s="201"/>
      <c r="GTV93" s="201"/>
      <c r="GTW93" s="201"/>
      <c r="GTX93" s="201"/>
      <c r="GTY93" s="201"/>
      <c r="GTZ93" s="201"/>
      <c r="GUA93" s="201"/>
      <c r="GUB93" s="201"/>
      <c r="GUC93" s="201"/>
      <c r="GUD93" s="201"/>
      <c r="GUE93" s="201"/>
      <c r="GUF93" s="201"/>
      <c r="GUG93" s="201"/>
      <c r="GUH93" s="201"/>
      <c r="GUI93" s="201"/>
      <c r="GUJ93" s="201"/>
      <c r="GUK93" s="201"/>
      <c r="GUL93" s="201"/>
      <c r="GUM93" s="201"/>
      <c r="GUN93" s="201"/>
      <c r="GUO93" s="201"/>
      <c r="GUP93" s="201"/>
      <c r="GUQ93" s="201"/>
      <c r="GUR93" s="201"/>
      <c r="GUS93" s="201"/>
      <c r="GUT93" s="201"/>
      <c r="GUU93" s="201"/>
      <c r="GUV93" s="201"/>
      <c r="GUW93" s="201"/>
      <c r="GUX93" s="201"/>
      <c r="GUY93" s="201"/>
      <c r="GUZ93" s="201"/>
      <c r="GVA93" s="201"/>
      <c r="GVB93" s="201"/>
      <c r="GVC93" s="201"/>
      <c r="GVD93" s="201"/>
      <c r="GVE93" s="201"/>
      <c r="GVF93" s="201"/>
      <c r="GVG93" s="201"/>
      <c r="GVH93" s="201"/>
      <c r="GVI93" s="201"/>
      <c r="GVJ93" s="201"/>
      <c r="GVK93" s="201"/>
      <c r="GVL93" s="201"/>
      <c r="GVM93" s="201"/>
      <c r="GVN93" s="201"/>
      <c r="GVO93" s="201"/>
      <c r="GVP93" s="201"/>
      <c r="GVQ93" s="201"/>
      <c r="GVR93" s="201"/>
      <c r="GVS93" s="201"/>
      <c r="GVT93" s="201"/>
      <c r="GVU93" s="201"/>
      <c r="GVV93" s="201"/>
      <c r="GVW93" s="201"/>
      <c r="GVX93" s="201"/>
      <c r="GVY93" s="201"/>
      <c r="GVZ93" s="201"/>
      <c r="GWA93" s="201"/>
      <c r="GWB93" s="201"/>
      <c r="GWC93" s="201"/>
      <c r="GWD93" s="201"/>
      <c r="GWE93" s="201"/>
      <c r="GWF93" s="201"/>
      <c r="GWG93" s="201"/>
      <c r="GWH93" s="201"/>
      <c r="GWI93" s="201"/>
      <c r="GWJ93" s="201"/>
      <c r="GWK93" s="201"/>
      <c r="GWL93" s="201"/>
      <c r="GWM93" s="201"/>
      <c r="GWN93" s="201"/>
      <c r="GWO93" s="201"/>
      <c r="GWP93" s="201"/>
      <c r="GWQ93" s="201"/>
      <c r="GWR93" s="201"/>
      <c r="GWS93" s="201"/>
      <c r="GWT93" s="201"/>
      <c r="GWU93" s="201"/>
      <c r="GWV93" s="201"/>
      <c r="GWW93" s="201"/>
      <c r="GWX93" s="201"/>
      <c r="GWY93" s="201"/>
      <c r="GWZ93" s="201"/>
      <c r="GXA93" s="201"/>
      <c r="GXB93" s="201"/>
      <c r="GXC93" s="201"/>
      <c r="GXD93" s="201"/>
      <c r="GXE93" s="201"/>
      <c r="GXF93" s="201"/>
      <c r="GXG93" s="201"/>
      <c r="GXH93" s="201"/>
      <c r="GXI93" s="201"/>
      <c r="GXJ93" s="201"/>
      <c r="GXK93" s="201"/>
      <c r="GXL93" s="201"/>
      <c r="GXM93" s="201"/>
      <c r="GXN93" s="201"/>
      <c r="GXO93" s="201"/>
      <c r="GXP93" s="201"/>
      <c r="GXQ93" s="201"/>
      <c r="GXR93" s="201"/>
      <c r="GXS93" s="201"/>
      <c r="GXT93" s="201"/>
      <c r="GXU93" s="201"/>
      <c r="GXV93" s="201"/>
      <c r="GXW93" s="201"/>
      <c r="GXX93" s="201"/>
      <c r="GXY93" s="201"/>
      <c r="GXZ93" s="201"/>
      <c r="GYA93" s="201"/>
      <c r="GYB93" s="201"/>
      <c r="GYC93" s="201"/>
      <c r="GYD93" s="201"/>
      <c r="GYE93" s="201"/>
      <c r="GYF93" s="201"/>
      <c r="GYG93" s="201"/>
      <c r="GYH93" s="201"/>
      <c r="GYI93" s="201"/>
      <c r="GYJ93" s="201"/>
      <c r="GYK93" s="201"/>
      <c r="GYL93" s="201"/>
      <c r="GYM93" s="201"/>
      <c r="GYN93" s="201"/>
      <c r="GYO93" s="201"/>
      <c r="GYP93" s="201"/>
      <c r="GYQ93" s="201"/>
      <c r="GYR93" s="201"/>
      <c r="GYS93" s="201"/>
      <c r="GYT93" s="201"/>
      <c r="GYU93" s="201"/>
      <c r="GYV93" s="201"/>
      <c r="GYW93" s="201"/>
      <c r="GYX93" s="201"/>
      <c r="GYY93" s="201"/>
      <c r="GYZ93" s="201"/>
      <c r="GZA93" s="201"/>
      <c r="GZB93" s="201"/>
      <c r="GZC93" s="201"/>
      <c r="GZD93" s="201"/>
      <c r="GZE93" s="201"/>
      <c r="GZF93" s="201"/>
      <c r="GZG93" s="201"/>
      <c r="GZH93" s="201"/>
      <c r="GZI93" s="201"/>
      <c r="GZJ93" s="201"/>
      <c r="GZK93" s="201"/>
      <c r="GZL93" s="201"/>
      <c r="GZM93" s="201"/>
      <c r="GZN93" s="201"/>
      <c r="GZO93" s="201"/>
      <c r="GZP93" s="201"/>
      <c r="GZQ93" s="201"/>
      <c r="GZR93" s="201"/>
      <c r="GZS93" s="201"/>
      <c r="GZT93" s="201"/>
      <c r="GZU93" s="201"/>
      <c r="GZV93" s="201"/>
      <c r="GZW93" s="201"/>
      <c r="GZX93" s="201"/>
      <c r="GZY93" s="201"/>
      <c r="GZZ93" s="201"/>
      <c r="HAA93" s="201"/>
      <c r="HAB93" s="201"/>
      <c r="HAC93" s="201"/>
      <c r="HAD93" s="201"/>
      <c r="HAE93" s="201"/>
      <c r="HAF93" s="201"/>
      <c r="HAG93" s="201"/>
      <c r="HAH93" s="201"/>
      <c r="HAI93" s="201"/>
      <c r="HAJ93" s="201"/>
      <c r="HAK93" s="201"/>
      <c r="HAL93" s="201"/>
      <c r="HAM93" s="201"/>
      <c r="HAN93" s="201"/>
      <c r="HAO93" s="201"/>
      <c r="HAP93" s="201"/>
      <c r="HAQ93" s="201"/>
      <c r="HAR93" s="201"/>
      <c r="HAS93" s="201"/>
      <c r="HAT93" s="201"/>
      <c r="HAU93" s="201"/>
      <c r="HAV93" s="201"/>
      <c r="HAW93" s="201"/>
      <c r="HAX93" s="201"/>
      <c r="HAY93" s="201"/>
      <c r="HAZ93" s="201"/>
      <c r="HBA93" s="201"/>
      <c r="HBB93" s="201"/>
      <c r="HBC93" s="201"/>
      <c r="HBD93" s="201"/>
      <c r="HBE93" s="201"/>
      <c r="HBF93" s="201"/>
      <c r="HBG93" s="201"/>
      <c r="HBH93" s="201"/>
      <c r="HBI93" s="201"/>
      <c r="HBJ93" s="201"/>
      <c r="HBK93" s="201"/>
      <c r="HBL93" s="201"/>
      <c r="HBM93" s="201"/>
      <c r="HBN93" s="201"/>
      <c r="HBO93" s="201"/>
      <c r="HBP93" s="201"/>
      <c r="HBQ93" s="201"/>
      <c r="HBR93" s="201"/>
      <c r="HBS93" s="201"/>
      <c r="HBT93" s="201"/>
      <c r="HBU93" s="201"/>
      <c r="HBV93" s="201"/>
      <c r="HBW93" s="201"/>
      <c r="HBX93" s="201"/>
      <c r="HBY93" s="201"/>
      <c r="HBZ93" s="201"/>
      <c r="HCA93" s="201"/>
      <c r="HCB93" s="201"/>
      <c r="HCC93" s="201"/>
      <c r="HCD93" s="201"/>
      <c r="HCE93" s="201"/>
      <c r="HCF93" s="201"/>
      <c r="HCG93" s="201"/>
      <c r="HCH93" s="201"/>
      <c r="HCI93" s="201"/>
      <c r="HCJ93" s="201"/>
      <c r="HCK93" s="201"/>
      <c r="HCL93" s="201"/>
      <c r="HCM93" s="201"/>
      <c r="HCN93" s="201"/>
      <c r="HCO93" s="201"/>
      <c r="HCP93" s="201"/>
      <c r="HCQ93" s="201"/>
      <c r="HCR93" s="201"/>
      <c r="HCS93" s="201"/>
      <c r="HCT93" s="201"/>
      <c r="HCU93" s="201"/>
      <c r="HCV93" s="201"/>
      <c r="HCW93" s="201"/>
      <c r="HCX93" s="201"/>
      <c r="HCY93" s="201"/>
      <c r="HCZ93" s="201"/>
      <c r="HDA93" s="201"/>
      <c r="HDB93" s="201"/>
      <c r="HDC93" s="201"/>
      <c r="HDD93" s="201"/>
      <c r="HDE93" s="201"/>
      <c r="HDF93" s="201"/>
      <c r="HDG93" s="201"/>
      <c r="HDH93" s="201"/>
      <c r="HDI93" s="201"/>
      <c r="HDJ93" s="201"/>
      <c r="HDK93" s="201"/>
      <c r="HDL93" s="201"/>
      <c r="HDM93" s="201"/>
      <c r="HDN93" s="201"/>
      <c r="HDO93" s="201"/>
      <c r="HDP93" s="201"/>
      <c r="HDQ93" s="201"/>
      <c r="HDR93" s="201"/>
      <c r="HDS93" s="201"/>
      <c r="HDT93" s="201"/>
      <c r="HDU93" s="201"/>
      <c r="HDV93" s="201"/>
      <c r="HDW93" s="201"/>
      <c r="HDX93" s="201"/>
      <c r="HDY93" s="201"/>
      <c r="HDZ93" s="201"/>
      <c r="HEA93" s="201"/>
      <c r="HEB93" s="201"/>
      <c r="HEC93" s="201"/>
      <c r="HED93" s="201"/>
      <c r="HEE93" s="201"/>
      <c r="HEF93" s="201"/>
      <c r="HEG93" s="201"/>
      <c r="HEH93" s="201"/>
      <c r="HEI93" s="201"/>
      <c r="HEJ93" s="201"/>
      <c r="HEK93" s="201"/>
      <c r="HEL93" s="201"/>
      <c r="HEM93" s="201"/>
      <c r="HEN93" s="201"/>
      <c r="HEO93" s="201"/>
      <c r="HEP93" s="201"/>
      <c r="HEQ93" s="201"/>
      <c r="HER93" s="201"/>
      <c r="HES93" s="201"/>
      <c r="HET93" s="201"/>
      <c r="HEU93" s="201"/>
      <c r="HEV93" s="201"/>
      <c r="HEW93" s="201"/>
      <c r="HEX93" s="201"/>
      <c r="HEY93" s="201"/>
      <c r="HEZ93" s="201"/>
      <c r="HFA93" s="201"/>
      <c r="HFB93" s="201"/>
      <c r="HFC93" s="201"/>
      <c r="HFD93" s="201"/>
      <c r="HFE93" s="201"/>
      <c r="HFF93" s="201"/>
      <c r="HFG93" s="201"/>
      <c r="HFH93" s="201"/>
      <c r="HFI93" s="201"/>
      <c r="HFJ93" s="201"/>
      <c r="HFK93" s="201"/>
      <c r="HFL93" s="201"/>
      <c r="HFM93" s="201"/>
      <c r="HFN93" s="201"/>
      <c r="HFO93" s="201"/>
      <c r="HFP93" s="201"/>
      <c r="HFQ93" s="201"/>
      <c r="HFR93" s="201"/>
      <c r="HFS93" s="201"/>
      <c r="HFT93" s="201"/>
      <c r="HFU93" s="201"/>
      <c r="HFV93" s="201"/>
      <c r="HFW93" s="201"/>
      <c r="HFX93" s="201"/>
      <c r="HFY93" s="201"/>
      <c r="HFZ93" s="201"/>
      <c r="HGA93" s="201"/>
      <c r="HGB93" s="201"/>
      <c r="HGC93" s="201"/>
      <c r="HGD93" s="201"/>
      <c r="HGE93" s="201"/>
      <c r="HGF93" s="201"/>
      <c r="HGG93" s="201"/>
      <c r="HGH93" s="201"/>
      <c r="HGI93" s="201"/>
      <c r="HGJ93" s="201"/>
      <c r="HGK93" s="201"/>
      <c r="HGL93" s="201"/>
      <c r="HGM93" s="201"/>
      <c r="HGN93" s="201"/>
      <c r="HGO93" s="201"/>
      <c r="HGP93" s="201"/>
      <c r="HGQ93" s="201"/>
      <c r="HGR93" s="201"/>
      <c r="HGS93" s="201"/>
      <c r="HGT93" s="201"/>
      <c r="HGU93" s="201"/>
      <c r="HGV93" s="201"/>
      <c r="HGW93" s="201"/>
      <c r="HGX93" s="201"/>
      <c r="HGY93" s="201"/>
      <c r="HGZ93" s="201"/>
      <c r="HHA93" s="201"/>
      <c r="HHB93" s="201"/>
      <c r="HHC93" s="201"/>
      <c r="HHD93" s="201"/>
      <c r="HHE93" s="201"/>
      <c r="HHF93" s="201"/>
      <c r="HHG93" s="201"/>
      <c r="HHH93" s="201"/>
      <c r="HHI93" s="201"/>
      <c r="HHJ93" s="201"/>
      <c r="HHK93" s="201"/>
      <c r="HHL93" s="201"/>
      <c r="HHM93" s="201"/>
      <c r="HHN93" s="201"/>
      <c r="HHO93" s="201"/>
      <c r="HHP93" s="201"/>
      <c r="HHQ93" s="201"/>
      <c r="HHR93" s="201"/>
      <c r="HHS93" s="201"/>
      <c r="HHT93" s="201"/>
      <c r="HHU93" s="201"/>
      <c r="HHV93" s="201"/>
      <c r="HHW93" s="201"/>
      <c r="HHX93" s="201"/>
      <c r="HHY93" s="201"/>
      <c r="HHZ93" s="201"/>
      <c r="HIA93" s="201"/>
      <c r="HIB93" s="201"/>
      <c r="HIC93" s="201"/>
      <c r="HID93" s="201"/>
      <c r="HIE93" s="201"/>
      <c r="HIF93" s="201"/>
      <c r="HIG93" s="201"/>
      <c r="HIH93" s="201"/>
      <c r="HII93" s="201"/>
      <c r="HIJ93" s="201"/>
      <c r="HIK93" s="201"/>
      <c r="HIL93" s="201"/>
      <c r="HIM93" s="201"/>
      <c r="HIN93" s="201"/>
      <c r="HIO93" s="201"/>
      <c r="HIP93" s="201"/>
      <c r="HIQ93" s="201"/>
      <c r="HIR93" s="201"/>
      <c r="HIS93" s="201"/>
      <c r="HIT93" s="201"/>
      <c r="HIU93" s="201"/>
      <c r="HIV93" s="201"/>
      <c r="HIW93" s="201"/>
      <c r="HIX93" s="201"/>
      <c r="HIY93" s="201"/>
      <c r="HIZ93" s="201"/>
      <c r="HJA93" s="201"/>
      <c r="HJB93" s="201"/>
      <c r="HJC93" s="201"/>
      <c r="HJD93" s="201"/>
      <c r="HJE93" s="201"/>
      <c r="HJF93" s="201"/>
      <c r="HJG93" s="201"/>
      <c r="HJH93" s="201"/>
      <c r="HJI93" s="201"/>
      <c r="HJJ93" s="201"/>
      <c r="HJK93" s="201"/>
      <c r="HJL93" s="201"/>
      <c r="HJM93" s="201"/>
      <c r="HJN93" s="201"/>
      <c r="HJO93" s="201"/>
      <c r="HJP93" s="201"/>
      <c r="HJQ93" s="201"/>
      <c r="HJR93" s="201"/>
      <c r="HJS93" s="201"/>
      <c r="HJT93" s="201"/>
      <c r="HJU93" s="201"/>
      <c r="HJV93" s="201"/>
      <c r="HJW93" s="201"/>
      <c r="HJX93" s="201"/>
      <c r="HJY93" s="201"/>
      <c r="HJZ93" s="201"/>
      <c r="HKA93" s="201"/>
      <c r="HKB93" s="201"/>
      <c r="HKC93" s="201"/>
      <c r="HKD93" s="201"/>
      <c r="HKE93" s="201"/>
      <c r="HKF93" s="201"/>
      <c r="HKG93" s="201"/>
      <c r="HKH93" s="201"/>
      <c r="HKI93" s="201"/>
      <c r="HKJ93" s="201"/>
      <c r="HKK93" s="201"/>
      <c r="HKL93" s="201"/>
      <c r="HKM93" s="201"/>
      <c r="HKN93" s="201"/>
      <c r="HKO93" s="201"/>
      <c r="HKP93" s="201"/>
      <c r="HKQ93" s="201"/>
      <c r="HKR93" s="201"/>
      <c r="HKS93" s="201"/>
      <c r="HKT93" s="201"/>
      <c r="HKU93" s="201"/>
      <c r="HKV93" s="201"/>
      <c r="HKW93" s="201"/>
      <c r="HKX93" s="201"/>
      <c r="HKY93" s="201"/>
      <c r="HKZ93" s="201"/>
      <c r="HLA93" s="201"/>
      <c r="HLB93" s="201"/>
      <c r="HLC93" s="201"/>
      <c r="HLD93" s="201"/>
      <c r="HLE93" s="201"/>
      <c r="HLF93" s="201"/>
      <c r="HLG93" s="201"/>
      <c r="HLH93" s="201"/>
      <c r="HLI93" s="201"/>
      <c r="HLJ93" s="201"/>
      <c r="HLK93" s="201"/>
      <c r="HLL93" s="201"/>
      <c r="HLM93" s="201"/>
      <c r="HLN93" s="201"/>
      <c r="HLO93" s="201"/>
      <c r="HLP93" s="201"/>
      <c r="HLQ93" s="201"/>
      <c r="HLR93" s="201"/>
      <c r="HLS93" s="201"/>
      <c r="HLT93" s="201"/>
      <c r="HLU93" s="201"/>
      <c r="HLV93" s="201"/>
      <c r="HLW93" s="201"/>
      <c r="HLX93" s="201"/>
      <c r="HLY93" s="201"/>
      <c r="HLZ93" s="201"/>
      <c r="HMA93" s="201"/>
      <c r="HMB93" s="201"/>
      <c r="HMC93" s="201"/>
      <c r="HMD93" s="201"/>
      <c r="HME93" s="201"/>
      <c r="HMF93" s="201"/>
      <c r="HMG93" s="201"/>
      <c r="HMH93" s="201"/>
      <c r="HMI93" s="201"/>
      <c r="HMJ93" s="201"/>
      <c r="HMK93" s="201"/>
      <c r="HML93" s="201"/>
      <c r="HMM93" s="201"/>
      <c r="HMN93" s="201"/>
      <c r="HMO93" s="201"/>
      <c r="HMP93" s="201"/>
      <c r="HMQ93" s="201"/>
      <c r="HMR93" s="201"/>
      <c r="HMS93" s="201"/>
      <c r="HMT93" s="201"/>
      <c r="HMU93" s="201"/>
      <c r="HMV93" s="201"/>
      <c r="HMW93" s="201"/>
      <c r="HMX93" s="201"/>
      <c r="HMY93" s="201"/>
      <c r="HMZ93" s="201"/>
      <c r="HNA93" s="201"/>
      <c r="HNB93" s="201"/>
      <c r="HNC93" s="201"/>
      <c r="HND93" s="201"/>
      <c r="HNE93" s="201"/>
      <c r="HNF93" s="201"/>
      <c r="HNG93" s="201"/>
      <c r="HNH93" s="201"/>
      <c r="HNI93" s="201"/>
      <c r="HNJ93" s="201"/>
      <c r="HNK93" s="201"/>
      <c r="HNL93" s="201"/>
      <c r="HNM93" s="201"/>
      <c r="HNN93" s="201"/>
      <c r="HNO93" s="201"/>
      <c r="HNP93" s="201"/>
      <c r="HNQ93" s="201"/>
      <c r="HNR93" s="201"/>
      <c r="HNS93" s="201"/>
      <c r="HNT93" s="201"/>
      <c r="HNU93" s="201"/>
      <c r="HNV93" s="201"/>
      <c r="HNW93" s="201"/>
      <c r="HNX93" s="201"/>
      <c r="HNY93" s="201"/>
      <c r="HNZ93" s="201"/>
      <c r="HOA93" s="201"/>
      <c r="HOB93" s="201"/>
      <c r="HOC93" s="201"/>
      <c r="HOD93" s="201"/>
      <c r="HOE93" s="201"/>
      <c r="HOF93" s="201"/>
      <c r="HOG93" s="201"/>
      <c r="HOH93" s="201"/>
      <c r="HOI93" s="201"/>
      <c r="HOJ93" s="201"/>
      <c r="HOK93" s="201"/>
      <c r="HOL93" s="201"/>
      <c r="HOM93" s="201"/>
      <c r="HON93" s="201"/>
      <c r="HOO93" s="201"/>
      <c r="HOP93" s="201"/>
      <c r="HOQ93" s="201"/>
      <c r="HOR93" s="201"/>
      <c r="HOS93" s="201"/>
      <c r="HOT93" s="201"/>
      <c r="HOU93" s="201"/>
      <c r="HOV93" s="201"/>
      <c r="HOW93" s="201"/>
      <c r="HOX93" s="201"/>
      <c r="HOY93" s="201"/>
      <c r="HOZ93" s="201"/>
      <c r="HPA93" s="201"/>
      <c r="HPB93" s="201"/>
      <c r="HPC93" s="201"/>
      <c r="HPD93" s="201"/>
      <c r="HPE93" s="201"/>
      <c r="HPF93" s="201"/>
      <c r="HPG93" s="201"/>
      <c r="HPH93" s="201"/>
      <c r="HPI93" s="201"/>
      <c r="HPJ93" s="201"/>
      <c r="HPK93" s="201"/>
      <c r="HPL93" s="201"/>
      <c r="HPM93" s="201"/>
      <c r="HPN93" s="201"/>
      <c r="HPO93" s="201"/>
      <c r="HPP93" s="201"/>
      <c r="HPQ93" s="201"/>
      <c r="HPR93" s="201"/>
      <c r="HPS93" s="201"/>
      <c r="HPT93" s="201"/>
      <c r="HPU93" s="201"/>
      <c r="HPV93" s="201"/>
      <c r="HPW93" s="201"/>
      <c r="HPX93" s="201"/>
      <c r="HPY93" s="201"/>
      <c r="HPZ93" s="201"/>
      <c r="HQA93" s="201"/>
      <c r="HQB93" s="201"/>
      <c r="HQC93" s="201"/>
      <c r="HQD93" s="201"/>
      <c r="HQE93" s="201"/>
      <c r="HQF93" s="201"/>
      <c r="HQG93" s="201"/>
      <c r="HQH93" s="201"/>
      <c r="HQI93" s="201"/>
      <c r="HQJ93" s="201"/>
      <c r="HQK93" s="201"/>
      <c r="HQL93" s="201"/>
      <c r="HQM93" s="201"/>
      <c r="HQN93" s="201"/>
      <c r="HQO93" s="201"/>
      <c r="HQP93" s="201"/>
      <c r="HQQ93" s="201"/>
      <c r="HQR93" s="201"/>
      <c r="HQS93" s="201"/>
      <c r="HQT93" s="201"/>
      <c r="HQU93" s="201"/>
      <c r="HQV93" s="201"/>
      <c r="HQW93" s="201"/>
      <c r="HQX93" s="201"/>
      <c r="HQY93" s="201"/>
      <c r="HQZ93" s="201"/>
      <c r="HRA93" s="201"/>
      <c r="HRB93" s="201"/>
      <c r="HRC93" s="201"/>
      <c r="HRD93" s="201"/>
      <c r="HRE93" s="201"/>
      <c r="HRF93" s="201"/>
      <c r="HRG93" s="201"/>
      <c r="HRH93" s="201"/>
      <c r="HRI93" s="201"/>
      <c r="HRJ93" s="201"/>
      <c r="HRK93" s="201"/>
      <c r="HRL93" s="201"/>
      <c r="HRM93" s="201"/>
      <c r="HRN93" s="201"/>
      <c r="HRO93" s="201"/>
      <c r="HRP93" s="201"/>
      <c r="HRQ93" s="201"/>
      <c r="HRR93" s="201"/>
      <c r="HRS93" s="201"/>
      <c r="HRT93" s="201"/>
      <c r="HRU93" s="201"/>
      <c r="HRV93" s="201"/>
      <c r="HRW93" s="201"/>
      <c r="HRX93" s="201"/>
      <c r="HRY93" s="201"/>
      <c r="HRZ93" s="201"/>
      <c r="HSA93" s="201"/>
      <c r="HSB93" s="201"/>
      <c r="HSC93" s="201"/>
      <c r="HSD93" s="201"/>
      <c r="HSE93" s="201"/>
      <c r="HSF93" s="201"/>
      <c r="HSG93" s="201"/>
      <c r="HSH93" s="201"/>
      <c r="HSI93" s="201"/>
      <c r="HSJ93" s="201"/>
      <c r="HSK93" s="201"/>
      <c r="HSL93" s="201"/>
      <c r="HSM93" s="201"/>
      <c r="HSN93" s="201"/>
      <c r="HSO93" s="201"/>
      <c r="HSP93" s="201"/>
      <c r="HSQ93" s="201"/>
      <c r="HSR93" s="201"/>
      <c r="HSS93" s="201"/>
      <c r="HST93" s="201"/>
      <c r="HSU93" s="201"/>
      <c r="HSV93" s="201"/>
      <c r="HSW93" s="201"/>
      <c r="HSX93" s="201"/>
      <c r="HSY93" s="201"/>
      <c r="HSZ93" s="201"/>
      <c r="HTA93" s="201"/>
      <c r="HTB93" s="201"/>
      <c r="HTC93" s="201"/>
      <c r="HTD93" s="201"/>
      <c r="HTE93" s="201"/>
      <c r="HTF93" s="201"/>
      <c r="HTG93" s="201"/>
      <c r="HTH93" s="201"/>
      <c r="HTI93" s="201"/>
      <c r="HTJ93" s="201"/>
      <c r="HTK93" s="201"/>
      <c r="HTL93" s="201"/>
      <c r="HTM93" s="201"/>
      <c r="HTN93" s="201"/>
      <c r="HTO93" s="201"/>
      <c r="HTP93" s="201"/>
      <c r="HTQ93" s="201"/>
      <c r="HTR93" s="201"/>
      <c r="HTS93" s="201"/>
      <c r="HTT93" s="201"/>
      <c r="HTU93" s="201"/>
      <c r="HTV93" s="201"/>
      <c r="HTW93" s="201"/>
      <c r="HTX93" s="201"/>
      <c r="HTY93" s="201"/>
      <c r="HTZ93" s="201"/>
      <c r="HUA93" s="201"/>
      <c r="HUB93" s="201"/>
      <c r="HUC93" s="201"/>
      <c r="HUD93" s="201"/>
      <c r="HUE93" s="201"/>
      <c r="HUF93" s="201"/>
      <c r="HUG93" s="201"/>
      <c r="HUH93" s="201"/>
      <c r="HUI93" s="201"/>
      <c r="HUJ93" s="201"/>
      <c r="HUK93" s="201"/>
      <c r="HUL93" s="201"/>
      <c r="HUM93" s="201"/>
      <c r="HUN93" s="201"/>
      <c r="HUO93" s="201"/>
      <c r="HUP93" s="201"/>
      <c r="HUQ93" s="201"/>
      <c r="HUR93" s="201"/>
      <c r="HUS93" s="201"/>
      <c r="HUT93" s="201"/>
      <c r="HUU93" s="201"/>
      <c r="HUV93" s="201"/>
      <c r="HUW93" s="201"/>
      <c r="HUX93" s="201"/>
      <c r="HUY93" s="201"/>
      <c r="HUZ93" s="201"/>
      <c r="HVA93" s="201"/>
      <c r="HVB93" s="201"/>
      <c r="HVC93" s="201"/>
      <c r="HVD93" s="201"/>
      <c r="HVE93" s="201"/>
      <c r="HVF93" s="201"/>
      <c r="HVG93" s="201"/>
      <c r="HVH93" s="201"/>
      <c r="HVI93" s="201"/>
      <c r="HVJ93" s="201"/>
      <c r="HVK93" s="201"/>
      <c r="HVL93" s="201"/>
      <c r="HVM93" s="201"/>
      <c r="HVN93" s="201"/>
      <c r="HVO93" s="201"/>
      <c r="HVP93" s="201"/>
      <c r="HVQ93" s="201"/>
      <c r="HVR93" s="201"/>
      <c r="HVS93" s="201"/>
      <c r="HVT93" s="201"/>
      <c r="HVU93" s="201"/>
      <c r="HVV93" s="201"/>
      <c r="HVW93" s="201"/>
      <c r="HVX93" s="201"/>
      <c r="HVY93" s="201"/>
      <c r="HVZ93" s="201"/>
      <c r="HWA93" s="201"/>
      <c r="HWB93" s="201"/>
      <c r="HWC93" s="201"/>
      <c r="HWD93" s="201"/>
      <c r="HWE93" s="201"/>
      <c r="HWF93" s="201"/>
      <c r="HWG93" s="201"/>
      <c r="HWH93" s="201"/>
      <c r="HWI93" s="201"/>
      <c r="HWJ93" s="201"/>
      <c r="HWK93" s="201"/>
      <c r="HWL93" s="201"/>
      <c r="HWM93" s="201"/>
      <c r="HWN93" s="201"/>
      <c r="HWO93" s="201"/>
      <c r="HWP93" s="201"/>
      <c r="HWQ93" s="201"/>
      <c r="HWR93" s="201"/>
      <c r="HWS93" s="201"/>
      <c r="HWT93" s="201"/>
      <c r="HWU93" s="201"/>
      <c r="HWV93" s="201"/>
      <c r="HWW93" s="201"/>
      <c r="HWX93" s="201"/>
      <c r="HWY93" s="201"/>
      <c r="HWZ93" s="201"/>
      <c r="HXA93" s="201"/>
      <c r="HXB93" s="201"/>
      <c r="HXC93" s="201"/>
      <c r="HXD93" s="201"/>
      <c r="HXE93" s="201"/>
      <c r="HXF93" s="201"/>
      <c r="HXG93" s="201"/>
      <c r="HXH93" s="201"/>
      <c r="HXI93" s="201"/>
      <c r="HXJ93" s="201"/>
      <c r="HXK93" s="201"/>
      <c r="HXL93" s="201"/>
      <c r="HXM93" s="201"/>
      <c r="HXN93" s="201"/>
      <c r="HXO93" s="201"/>
      <c r="HXP93" s="201"/>
      <c r="HXQ93" s="201"/>
      <c r="HXR93" s="201"/>
      <c r="HXS93" s="201"/>
      <c r="HXT93" s="201"/>
      <c r="HXU93" s="201"/>
      <c r="HXV93" s="201"/>
      <c r="HXW93" s="201"/>
      <c r="HXX93" s="201"/>
      <c r="HXY93" s="201"/>
      <c r="HXZ93" s="201"/>
      <c r="HYA93" s="201"/>
      <c r="HYB93" s="201"/>
      <c r="HYC93" s="201"/>
      <c r="HYD93" s="201"/>
      <c r="HYE93" s="201"/>
      <c r="HYF93" s="201"/>
      <c r="HYG93" s="201"/>
      <c r="HYH93" s="201"/>
      <c r="HYI93" s="201"/>
      <c r="HYJ93" s="201"/>
      <c r="HYK93" s="201"/>
      <c r="HYL93" s="201"/>
      <c r="HYM93" s="201"/>
      <c r="HYN93" s="201"/>
      <c r="HYO93" s="201"/>
      <c r="HYP93" s="201"/>
      <c r="HYQ93" s="201"/>
      <c r="HYR93" s="201"/>
      <c r="HYS93" s="201"/>
      <c r="HYT93" s="201"/>
      <c r="HYU93" s="201"/>
      <c r="HYV93" s="201"/>
      <c r="HYW93" s="201"/>
      <c r="HYX93" s="201"/>
      <c r="HYY93" s="201"/>
      <c r="HYZ93" s="201"/>
      <c r="HZA93" s="201"/>
      <c r="HZB93" s="201"/>
      <c r="HZC93" s="201"/>
      <c r="HZD93" s="201"/>
      <c r="HZE93" s="201"/>
      <c r="HZF93" s="201"/>
      <c r="HZG93" s="201"/>
      <c r="HZH93" s="201"/>
      <c r="HZI93" s="201"/>
      <c r="HZJ93" s="201"/>
      <c r="HZK93" s="201"/>
      <c r="HZL93" s="201"/>
      <c r="HZM93" s="201"/>
      <c r="HZN93" s="201"/>
      <c r="HZO93" s="201"/>
      <c r="HZP93" s="201"/>
      <c r="HZQ93" s="201"/>
      <c r="HZR93" s="201"/>
      <c r="HZS93" s="201"/>
      <c r="HZT93" s="201"/>
      <c r="HZU93" s="201"/>
      <c r="HZV93" s="201"/>
      <c r="HZW93" s="201"/>
      <c r="HZX93" s="201"/>
      <c r="HZY93" s="201"/>
      <c r="HZZ93" s="201"/>
      <c r="IAA93" s="201"/>
      <c r="IAB93" s="201"/>
      <c r="IAC93" s="201"/>
      <c r="IAD93" s="201"/>
      <c r="IAE93" s="201"/>
      <c r="IAF93" s="201"/>
      <c r="IAG93" s="201"/>
      <c r="IAH93" s="201"/>
      <c r="IAI93" s="201"/>
      <c r="IAJ93" s="201"/>
      <c r="IAK93" s="201"/>
      <c r="IAL93" s="201"/>
      <c r="IAM93" s="201"/>
      <c r="IAN93" s="201"/>
      <c r="IAO93" s="201"/>
      <c r="IAP93" s="201"/>
      <c r="IAQ93" s="201"/>
      <c r="IAR93" s="201"/>
      <c r="IAS93" s="201"/>
      <c r="IAT93" s="201"/>
      <c r="IAU93" s="201"/>
      <c r="IAV93" s="201"/>
      <c r="IAW93" s="201"/>
      <c r="IAX93" s="201"/>
      <c r="IAY93" s="201"/>
      <c r="IAZ93" s="201"/>
      <c r="IBA93" s="201"/>
      <c r="IBB93" s="201"/>
      <c r="IBC93" s="201"/>
      <c r="IBD93" s="201"/>
      <c r="IBE93" s="201"/>
      <c r="IBF93" s="201"/>
      <c r="IBG93" s="201"/>
      <c r="IBH93" s="201"/>
      <c r="IBI93" s="201"/>
      <c r="IBJ93" s="201"/>
      <c r="IBK93" s="201"/>
      <c r="IBL93" s="201"/>
      <c r="IBM93" s="201"/>
      <c r="IBN93" s="201"/>
      <c r="IBO93" s="201"/>
      <c r="IBP93" s="201"/>
      <c r="IBQ93" s="201"/>
      <c r="IBR93" s="201"/>
      <c r="IBS93" s="201"/>
      <c r="IBT93" s="201"/>
      <c r="IBU93" s="201"/>
      <c r="IBV93" s="201"/>
      <c r="IBW93" s="201"/>
      <c r="IBX93" s="201"/>
      <c r="IBY93" s="201"/>
      <c r="IBZ93" s="201"/>
      <c r="ICA93" s="201"/>
      <c r="ICB93" s="201"/>
      <c r="ICC93" s="201"/>
      <c r="ICD93" s="201"/>
      <c r="ICE93" s="201"/>
      <c r="ICF93" s="201"/>
      <c r="ICG93" s="201"/>
      <c r="ICH93" s="201"/>
      <c r="ICI93" s="201"/>
      <c r="ICJ93" s="201"/>
      <c r="ICK93" s="201"/>
      <c r="ICL93" s="201"/>
      <c r="ICM93" s="201"/>
      <c r="ICN93" s="201"/>
      <c r="ICO93" s="201"/>
      <c r="ICP93" s="201"/>
      <c r="ICQ93" s="201"/>
      <c r="ICR93" s="201"/>
      <c r="ICS93" s="201"/>
      <c r="ICT93" s="201"/>
      <c r="ICU93" s="201"/>
      <c r="ICV93" s="201"/>
      <c r="ICW93" s="201"/>
      <c r="ICX93" s="201"/>
      <c r="ICY93" s="201"/>
      <c r="ICZ93" s="201"/>
      <c r="IDA93" s="201"/>
      <c r="IDB93" s="201"/>
      <c r="IDC93" s="201"/>
      <c r="IDD93" s="201"/>
      <c r="IDE93" s="201"/>
      <c r="IDF93" s="201"/>
      <c r="IDG93" s="201"/>
      <c r="IDH93" s="201"/>
      <c r="IDI93" s="201"/>
      <c r="IDJ93" s="201"/>
      <c r="IDK93" s="201"/>
      <c r="IDL93" s="201"/>
      <c r="IDM93" s="201"/>
      <c r="IDN93" s="201"/>
      <c r="IDO93" s="201"/>
      <c r="IDP93" s="201"/>
      <c r="IDQ93" s="201"/>
      <c r="IDR93" s="201"/>
      <c r="IDS93" s="201"/>
      <c r="IDT93" s="201"/>
      <c r="IDU93" s="201"/>
      <c r="IDV93" s="201"/>
      <c r="IDW93" s="201"/>
      <c r="IDX93" s="201"/>
      <c r="IDY93" s="201"/>
      <c r="IDZ93" s="201"/>
      <c r="IEA93" s="201"/>
      <c r="IEB93" s="201"/>
      <c r="IEC93" s="201"/>
      <c r="IED93" s="201"/>
      <c r="IEE93" s="201"/>
      <c r="IEF93" s="201"/>
      <c r="IEG93" s="201"/>
      <c r="IEH93" s="201"/>
      <c r="IEI93" s="201"/>
      <c r="IEJ93" s="201"/>
      <c r="IEK93" s="201"/>
      <c r="IEL93" s="201"/>
      <c r="IEM93" s="201"/>
      <c r="IEN93" s="201"/>
      <c r="IEO93" s="201"/>
      <c r="IEP93" s="201"/>
      <c r="IEQ93" s="201"/>
      <c r="IER93" s="201"/>
      <c r="IES93" s="201"/>
      <c r="IET93" s="201"/>
      <c r="IEU93" s="201"/>
      <c r="IEV93" s="201"/>
      <c r="IEW93" s="201"/>
      <c r="IEX93" s="201"/>
      <c r="IEY93" s="201"/>
      <c r="IEZ93" s="201"/>
      <c r="IFA93" s="201"/>
      <c r="IFB93" s="201"/>
      <c r="IFC93" s="201"/>
      <c r="IFD93" s="201"/>
      <c r="IFE93" s="201"/>
      <c r="IFF93" s="201"/>
      <c r="IFG93" s="201"/>
      <c r="IFH93" s="201"/>
      <c r="IFI93" s="201"/>
      <c r="IFJ93" s="201"/>
      <c r="IFK93" s="201"/>
      <c r="IFL93" s="201"/>
      <c r="IFM93" s="201"/>
      <c r="IFN93" s="201"/>
      <c r="IFO93" s="201"/>
      <c r="IFP93" s="201"/>
      <c r="IFQ93" s="201"/>
      <c r="IFR93" s="201"/>
      <c r="IFS93" s="201"/>
      <c r="IFT93" s="201"/>
      <c r="IFU93" s="201"/>
      <c r="IFV93" s="201"/>
      <c r="IFW93" s="201"/>
      <c r="IFX93" s="201"/>
      <c r="IFY93" s="201"/>
      <c r="IFZ93" s="201"/>
      <c r="IGA93" s="201"/>
      <c r="IGB93" s="201"/>
      <c r="IGC93" s="201"/>
      <c r="IGD93" s="201"/>
      <c r="IGE93" s="201"/>
      <c r="IGF93" s="201"/>
      <c r="IGG93" s="201"/>
      <c r="IGH93" s="201"/>
      <c r="IGI93" s="201"/>
      <c r="IGJ93" s="201"/>
      <c r="IGK93" s="201"/>
      <c r="IGL93" s="201"/>
      <c r="IGM93" s="201"/>
      <c r="IGN93" s="201"/>
      <c r="IGO93" s="201"/>
      <c r="IGP93" s="201"/>
      <c r="IGQ93" s="201"/>
      <c r="IGR93" s="201"/>
      <c r="IGS93" s="201"/>
      <c r="IGT93" s="201"/>
      <c r="IGU93" s="201"/>
      <c r="IGV93" s="201"/>
      <c r="IGW93" s="201"/>
      <c r="IGX93" s="201"/>
      <c r="IGY93" s="201"/>
      <c r="IGZ93" s="201"/>
      <c r="IHA93" s="201"/>
      <c r="IHB93" s="201"/>
      <c r="IHC93" s="201"/>
      <c r="IHD93" s="201"/>
      <c r="IHE93" s="201"/>
      <c r="IHF93" s="201"/>
      <c r="IHG93" s="201"/>
      <c r="IHH93" s="201"/>
      <c r="IHI93" s="201"/>
      <c r="IHJ93" s="201"/>
      <c r="IHK93" s="201"/>
      <c r="IHL93" s="201"/>
      <c r="IHM93" s="201"/>
      <c r="IHN93" s="201"/>
      <c r="IHO93" s="201"/>
      <c r="IHP93" s="201"/>
      <c r="IHQ93" s="201"/>
      <c r="IHR93" s="201"/>
      <c r="IHS93" s="201"/>
      <c r="IHT93" s="201"/>
      <c r="IHU93" s="201"/>
      <c r="IHV93" s="201"/>
      <c r="IHW93" s="201"/>
      <c r="IHX93" s="201"/>
      <c r="IHY93" s="201"/>
      <c r="IHZ93" s="201"/>
      <c r="IIA93" s="201"/>
      <c r="IIB93" s="201"/>
      <c r="IIC93" s="201"/>
      <c r="IID93" s="201"/>
      <c r="IIE93" s="201"/>
      <c r="IIF93" s="201"/>
      <c r="IIG93" s="201"/>
      <c r="IIH93" s="201"/>
      <c r="III93" s="201"/>
      <c r="IIJ93" s="201"/>
      <c r="IIK93" s="201"/>
      <c r="IIL93" s="201"/>
      <c r="IIM93" s="201"/>
      <c r="IIN93" s="201"/>
      <c r="IIO93" s="201"/>
      <c r="IIP93" s="201"/>
      <c r="IIQ93" s="201"/>
      <c r="IIR93" s="201"/>
      <c r="IIS93" s="201"/>
      <c r="IIT93" s="201"/>
      <c r="IIU93" s="201"/>
      <c r="IIV93" s="201"/>
      <c r="IIW93" s="201"/>
      <c r="IIX93" s="201"/>
      <c r="IIY93" s="201"/>
      <c r="IIZ93" s="201"/>
      <c r="IJA93" s="201"/>
      <c r="IJB93" s="201"/>
      <c r="IJC93" s="201"/>
      <c r="IJD93" s="201"/>
      <c r="IJE93" s="201"/>
      <c r="IJF93" s="201"/>
      <c r="IJG93" s="201"/>
      <c r="IJH93" s="201"/>
      <c r="IJI93" s="201"/>
      <c r="IJJ93" s="201"/>
      <c r="IJK93" s="201"/>
      <c r="IJL93" s="201"/>
      <c r="IJM93" s="201"/>
      <c r="IJN93" s="201"/>
      <c r="IJO93" s="201"/>
      <c r="IJP93" s="201"/>
      <c r="IJQ93" s="201"/>
      <c r="IJR93" s="201"/>
      <c r="IJS93" s="201"/>
      <c r="IJT93" s="201"/>
      <c r="IJU93" s="201"/>
      <c r="IJV93" s="201"/>
      <c r="IJW93" s="201"/>
      <c r="IJX93" s="201"/>
      <c r="IJY93" s="201"/>
      <c r="IJZ93" s="201"/>
      <c r="IKA93" s="201"/>
      <c r="IKB93" s="201"/>
      <c r="IKC93" s="201"/>
      <c r="IKD93" s="201"/>
      <c r="IKE93" s="201"/>
      <c r="IKF93" s="201"/>
      <c r="IKG93" s="201"/>
      <c r="IKH93" s="201"/>
      <c r="IKI93" s="201"/>
      <c r="IKJ93" s="201"/>
      <c r="IKK93" s="201"/>
      <c r="IKL93" s="201"/>
      <c r="IKM93" s="201"/>
      <c r="IKN93" s="201"/>
      <c r="IKO93" s="201"/>
      <c r="IKP93" s="201"/>
      <c r="IKQ93" s="201"/>
      <c r="IKR93" s="201"/>
      <c r="IKS93" s="201"/>
      <c r="IKT93" s="201"/>
      <c r="IKU93" s="201"/>
      <c r="IKV93" s="201"/>
      <c r="IKW93" s="201"/>
      <c r="IKX93" s="201"/>
      <c r="IKY93" s="201"/>
      <c r="IKZ93" s="201"/>
      <c r="ILA93" s="201"/>
      <c r="ILB93" s="201"/>
      <c r="ILC93" s="201"/>
      <c r="ILD93" s="201"/>
      <c r="ILE93" s="201"/>
      <c r="ILF93" s="201"/>
      <c r="ILG93" s="201"/>
      <c r="ILH93" s="201"/>
      <c r="ILI93" s="201"/>
      <c r="ILJ93" s="201"/>
      <c r="ILK93" s="201"/>
      <c r="ILL93" s="201"/>
      <c r="ILM93" s="201"/>
      <c r="ILN93" s="201"/>
      <c r="ILO93" s="201"/>
      <c r="ILP93" s="201"/>
      <c r="ILQ93" s="201"/>
      <c r="ILR93" s="201"/>
      <c r="ILS93" s="201"/>
      <c r="ILT93" s="201"/>
      <c r="ILU93" s="201"/>
      <c r="ILV93" s="201"/>
      <c r="ILW93" s="201"/>
      <c r="ILX93" s="201"/>
      <c r="ILY93" s="201"/>
      <c r="ILZ93" s="201"/>
      <c r="IMA93" s="201"/>
      <c r="IMB93" s="201"/>
      <c r="IMC93" s="201"/>
      <c r="IMD93" s="201"/>
      <c r="IME93" s="201"/>
      <c r="IMF93" s="201"/>
      <c r="IMG93" s="201"/>
      <c r="IMH93" s="201"/>
      <c r="IMI93" s="201"/>
      <c r="IMJ93" s="201"/>
      <c r="IMK93" s="201"/>
      <c r="IML93" s="201"/>
      <c r="IMM93" s="201"/>
      <c r="IMN93" s="201"/>
      <c r="IMO93" s="201"/>
      <c r="IMP93" s="201"/>
      <c r="IMQ93" s="201"/>
      <c r="IMR93" s="201"/>
      <c r="IMS93" s="201"/>
      <c r="IMT93" s="201"/>
      <c r="IMU93" s="201"/>
      <c r="IMV93" s="201"/>
      <c r="IMW93" s="201"/>
      <c r="IMX93" s="201"/>
      <c r="IMY93" s="201"/>
      <c r="IMZ93" s="201"/>
      <c r="INA93" s="201"/>
      <c r="INB93" s="201"/>
      <c r="INC93" s="201"/>
      <c r="IND93" s="201"/>
      <c r="INE93" s="201"/>
      <c r="INF93" s="201"/>
      <c r="ING93" s="201"/>
      <c r="INH93" s="201"/>
      <c r="INI93" s="201"/>
      <c r="INJ93" s="201"/>
      <c r="INK93" s="201"/>
      <c r="INL93" s="201"/>
      <c r="INM93" s="201"/>
      <c r="INN93" s="201"/>
      <c r="INO93" s="201"/>
      <c r="INP93" s="201"/>
      <c r="INQ93" s="201"/>
      <c r="INR93" s="201"/>
      <c r="INS93" s="201"/>
      <c r="INT93" s="201"/>
      <c r="INU93" s="201"/>
      <c r="INV93" s="201"/>
      <c r="INW93" s="201"/>
      <c r="INX93" s="201"/>
      <c r="INY93" s="201"/>
      <c r="INZ93" s="201"/>
      <c r="IOA93" s="201"/>
      <c r="IOB93" s="201"/>
      <c r="IOC93" s="201"/>
      <c r="IOD93" s="201"/>
      <c r="IOE93" s="201"/>
      <c r="IOF93" s="201"/>
      <c r="IOG93" s="201"/>
      <c r="IOH93" s="201"/>
      <c r="IOI93" s="201"/>
      <c r="IOJ93" s="201"/>
      <c r="IOK93" s="201"/>
      <c r="IOL93" s="201"/>
      <c r="IOM93" s="201"/>
      <c r="ION93" s="201"/>
      <c r="IOO93" s="201"/>
      <c r="IOP93" s="201"/>
      <c r="IOQ93" s="201"/>
      <c r="IOR93" s="201"/>
      <c r="IOS93" s="201"/>
      <c r="IOT93" s="201"/>
      <c r="IOU93" s="201"/>
      <c r="IOV93" s="201"/>
      <c r="IOW93" s="201"/>
      <c r="IOX93" s="201"/>
      <c r="IOY93" s="201"/>
      <c r="IOZ93" s="201"/>
      <c r="IPA93" s="201"/>
      <c r="IPB93" s="201"/>
      <c r="IPC93" s="201"/>
      <c r="IPD93" s="201"/>
      <c r="IPE93" s="201"/>
      <c r="IPF93" s="201"/>
      <c r="IPG93" s="201"/>
      <c r="IPH93" s="201"/>
      <c r="IPI93" s="201"/>
      <c r="IPJ93" s="201"/>
      <c r="IPK93" s="201"/>
      <c r="IPL93" s="201"/>
      <c r="IPM93" s="201"/>
      <c r="IPN93" s="201"/>
      <c r="IPO93" s="201"/>
      <c r="IPP93" s="201"/>
      <c r="IPQ93" s="201"/>
      <c r="IPR93" s="201"/>
      <c r="IPS93" s="201"/>
      <c r="IPT93" s="201"/>
      <c r="IPU93" s="201"/>
      <c r="IPV93" s="201"/>
      <c r="IPW93" s="201"/>
      <c r="IPX93" s="201"/>
      <c r="IPY93" s="201"/>
      <c r="IPZ93" s="201"/>
      <c r="IQA93" s="201"/>
      <c r="IQB93" s="201"/>
      <c r="IQC93" s="201"/>
      <c r="IQD93" s="201"/>
      <c r="IQE93" s="201"/>
      <c r="IQF93" s="201"/>
      <c r="IQG93" s="201"/>
      <c r="IQH93" s="201"/>
      <c r="IQI93" s="201"/>
      <c r="IQJ93" s="201"/>
      <c r="IQK93" s="201"/>
      <c r="IQL93" s="201"/>
      <c r="IQM93" s="201"/>
      <c r="IQN93" s="201"/>
      <c r="IQO93" s="201"/>
      <c r="IQP93" s="201"/>
      <c r="IQQ93" s="201"/>
      <c r="IQR93" s="201"/>
      <c r="IQS93" s="201"/>
      <c r="IQT93" s="201"/>
      <c r="IQU93" s="201"/>
      <c r="IQV93" s="201"/>
      <c r="IQW93" s="201"/>
      <c r="IQX93" s="201"/>
      <c r="IQY93" s="201"/>
      <c r="IQZ93" s="201"/>
      <c r="IRA93" s="201"/>
      <c r="IRB93" s="201"/>
      <c r="IRC93" s="201"/>
      <c r="IRD93" s="201"/>
      <c r="IRE93" s="201"/>
      <c r="IRF93" s="201"/>
      <c r="IRG93" s="201"/>
      <c r="IRH93" s="201"/>
      <c r="IRI93" s="201"/>
      <c r="IRJ93" s="201"/>
      <c r="IRK93" s="201"/>
      <c r="IRL93" s="201"/>
      <c r="IRM93" s="201"/>
      <c r="IRN93" s="201"/>
      <c r="IRO93" s="201"/>
      <c r="IRP93" s="201"/>
      <c r="IRQ93" s="201"/>
      <c r="IRR93" s="201"/>
      <c r="IRS93" s="201"/>
      <c r="IRT93" s="201"/>
      <c r="IRU93" s="201"/>
      <c r="IRV93" s="201"/>
      <c r="IRW93" s="201"/>
      <c r="IRX93" s="201"/>
      <c r="IRY93" s="201"/>
      <c r="IRZ93" s="201"/>
      <c r="ISA93" s="201"/>
      <c r="ISB93" s="201"/>
      <c r="ISC93" s="201"/>
      <c r="ISD93" s="201"/>
      <c r="ISE93" s="201"/>
      <c r="ISF93" s="201"/>
      <c r="ISG93" s="201"/>
      <c r="ISH93" s="201"/>
      <c r="ISI93" s="201"/>
      <c r="ISJ93" s="201"/>
      <c r="ISK93" s="201"/>
      <c r="ISL93" s="201"/>
      <c r="ISM93" s="201"/>
      <c r="ISN93" s="201"/>
      <c r="ISO93" s="201"/>
      <c r="ISP93" s="201"/>
      <c r="ISQ93" s="201"/>
      <c r="ISR93" s="201"/>
      <c r="ISS93" s="201"/>
      <c r="IST93" s="201"/>
      <c r="ISU93" s="201"/>
      <c r="ISV93" s="201"/>
      <c r="ISW93" s="201"/>
      <c r="ISX93" s="201"/>
      <c r="ISY93" s="201"/>
      <c r="ISZ93" s="201"/>
      <c r="ITA93" s="201"/>
      <c r="ITB93" s="201"/>
      <c r="ITC93" s="201"/>
      <c r="ITD93" s="201"/>
      <c r="ITE93" s="201"/>
      <c r="ITF93" s="201"/>
      <c r="ITG93" s="201"/>
      <c r="ITH93" s="201"/>
      <c r="ITI93" s="201"/>
      <c r="ITJ93" s="201"/>
      <c r="ITK93" s="201"/>
      <c r="ITL93" s="201"/>
      <c r="ITM93" s="201"/>
      <c r="ITN93" s="201"/>
      <c r="ITO93" s="201"/>
      <c r="ITP93" s="201"/>
      <c r="ITQ93" s="201"/>
      <c r="ITR93" s="201"/>
      <c r="ITS93" s="201"/>
      <c r="ITT93" s="201"/>
      <c r="ITU93" s="201"/>
      <c r="ITV93" s="201"/>
      <c r="ITW93" s="201"/>
      <c r="ITX93" s="201"/>
      <c r="ITY93" s="201"/>
      <c r="ITZ93" s="201"/>
      <c r="IUA93" s="201"/>
      <c r="IUB93" s="201"/>
      <c r="IUC93" s="201"/>
      <c r="IUD93" s="201"/>
      <c r="IUE93" s="201"/>
      <c r="IUF93" s="201"/>
      <c r="IUG93" s="201"/>
      <c r="IUH93" s="201"/>
      <c r="IUI93" s="201"/>
      <c r="IUJ93" s="201"/>
      <c r="IUK93" s="201"/>
      <c r="IUL93" s="201"/>
      <c r="IUM93" s="201"/>
      <c r="IUN93" s="201"/>
      <c r="IUO93" s="201"/>
      <c r="IUP93" s="201"/>
      <c r="IUQ93" s="201"/>
      <c r="IUR93" s="201"/>
      <c r="IUS93" s="201"/>
      <c r="IUT93" s="201"/>
      <c r="IUU93" s="201"/>
      <c r="IUV93" s="201"/>
      <c r="IUW93" s="201"/>
      <c r="IUX93" s="201"/>
      <c r="IUY93" s="201"/>
      <c r="IUZ93" s="201"/>
      <c r="IVA93" s="201"/>
      <c r="IVB93" s="201"/>
      <c r="IVC93" s="201"/>
      <c r="IVD93" s="201"/>
      <c r="IVE93" s="201"/>
      <c r="IVF93" s="201"/>
      <c r="IVG93" s="201"/>
      <c r="IVH93" s="201"/>
      <c r="IVI93" s="201"/>
      <c r="IVJ93" s="201"/>
      <c r="IVK93" s="201"/>
      <c r="IVL93" s="201"/>
      <c r="IVM93" s="201"/>
      <c r="IVN93" s="201"/>
      <c r="IVO93" s="201"/>
      <c r="IVP93" s="201"/>
      <c r="IVQ93" s="201"/>
      <c r="IVR93" s="201"/>
      <c r="IVS93" s="201"/>
      <c r="IVT93" s="201"/>
      <c r="IVU93" s="201"/>
      <c r="IVV93" s="201"/>
      <c r="IVW93" s="201"/>
      <c r="IVX93" s="201"/>
      <c r="IVY93" s="201"/>
      <c r="IVZ93" s="201"/>
      <c r="IWA93" s="201"/>
      <c r="IWB93" s="201"/>
      <c r="IWC93" s="201"/>
      <c r="IWD93" s="201"/>
      <c r="IWE93" s="201"/>
      <c r="IWF93" s="201"/>
      <c r="IWG93" s="201"/>
      <c r="IWH93" s="201"/>
      <c r="IWI93" s="201"/>
      <c r="IWJ93" s="201"/>
      <c r="IWK93" s="201"/>
      <c r="IWL93" s="201"/>
      <c r="IWM93" s="201"/>
      <c r="IWN93" s="201"/>
      <c r="IWO93" s="201"/>
      <c r="IWP93" s="201"/>
      <c r="IWQ93" s="201"/>
      <c r="IWR93" s="201"/>
      <c r="IWS93" s="201"/>
      <c r="IWT93" s="201"/>
      <c r="IWU93" s="201"/>
      <c r="IWV93" s="201"/>
      <c r="IWW93" s="201"/>
      <c r="IWX93" s="201"/>
      <c r="IWY93" s="201"/>
      <c r="IWZ93" s="201"/>
      <c r="IXA93" s="201"/>
      <c r="IXB93" s="201"/>
      <c r="IXC93" s="201"/>
      <c r="IXD93" s="201"/>
      <c r="IXE93" s="201"/>
      <c r="IXF93" s="201"/>
      <c r="IXG93" s="201"/>
      <c r="IXH93" s="201"/>
      <c r="IXI93" s="201"/>
      <c r="IXJ93" s="201"/>
      <c r="IXK93" s="201"/>
      <c r="IXL93" s="201"/>
      <c r="IXM93" s="201"/>
      <c r="IXN93" s="201"/>
      <c r="IXO93" s="201"/>
      <c r="IXP93" s="201"/>
      <c r="IXQ93" s="201"/>
      <c r="IXR93" s="201"/>
      <c r="IXS93" s="201"/>
      <c r="IXT93" s="201"/>
      <c r="IXU93" s="201"/>
      <c r="IXV93" s="201"/>
      <c r="IXW93" s="201"/>
      <c r="IXX93" s="201"/>
      <c r="IXY93" s="201"/>
      <c r="IXZ93" s="201"/>
      <c r="IYA93" s="201"/>
      <c r="IYB93" s="201"/>
      <c r="IYC93" s="201"/>
      <c r="IYD93" s="201"/>
      <c r="IYE93" s="201"/>
      <c r="IYF93" s="201"/>
      <c r="IYG93" s="201"/>
      <c r="IYH93" s="201"/>
      <c r="IYI93" s="201"/>
      <c r="IYJ93" s="201"/>
      <c r="IYK93" s="201"/>
      <c r="IYL93" s="201"/>
      <c r="IYM93" s="201"/>
      <c r="IYN93" s="201"/>
      <c r="IYO93" s="201"/>
      <c r="IYP93" s="201"/>
      <c r="IYQ93" s="201"/>
      <c r="IYR93" s="201"/>
      <c r="IYS93" s="201"/>
      <c r="IYT93" s="201"/>
      <c r="IYU93" s="201"/>
      <c r="IYV93" s="201"/>
      <c r="IYW93" s="201"/>
      <c r="IYX93" s="201"/>
      <c r="IYY93" s="201"/>
      <c r="IYZ93" s="201"/>
      <c r="IZA93" s="201"/>
      <c r="IZB93" s="201"/>
      <c r="IZC93" s="201"/>
      <c r="IZD93" s="201"/>
      <c r="IZE93" s="201"/>
      <c r="IZF93" s="201"/>
      <c r="IZG93" s="201"/>
      <c r="IZH93" s="201"/>
      <c r="IZI93" s="201"/>
      <c r="IZJ93" s="201"/>
      <c r="IZK93" s="201"/>
      <c r="IZL93" s="201"/>
      <c r="IZM93" s="201"/>
      <c r="IZN93" s="201"/>
      <c r="IZO93" s="201"/>
      <c r="IZP93" s="201"/>
      <c r="IZQ93" s="201"/>
      <c r="IZR93" s="201"/>
      <c r="IZS93" s="201"/>
      <c r="IZT93" s="201"/>
      <c r="IZU93" s="201"/>
      <c r="IZV93" s="201"/>
      <c r="IZW93" s="201"/>
      <c r="IZX93" s="201"/>
      <c r="IZY93" s="201"/>
      <c r="IZZ93" s="201"/>
      <c r="JAA93" s="201"/>
      <c r="JAB93" s="201"/>
      <c r="JAC93" s="201"/>
      <c r="JAD93" s="201"/>
      <c r="JAE93" s="201"/>
      <c r="JAF93" s="201"/>
      <c r="JAG93" s="201"/>
      <c r="JAH93" s="201"/>
      <c r="JAI93" s="201"/>
      <c r="JAJ93" s="201"/>
      <c r="JAK93" s="201"/>
      <c r="JAL93" s="201"/>
      <c r="JAM93" s="201"/>
      <c r="JAN93" s="201"/>
      <c r="JAO93" s="201"/>
      <c r="JAP93" s="201"/>
      <c r="JAQ93" s="201"/>
      <c r="JAR93" s="201"/>
      <c r="JAS93" s="201"/>
      <c r="JAT93" s="201"/>
      <c r="JAU93" s="201"/>
      <c r="JAV93" s="201"/>
      <c r="JAW93" s="201"/>
      <c r="JAX93" s="201"/>
      <c r="JAY93" s="201"/>
      <c r="JAZ93" s="201"/>
      <c r="JBA93" s="201"/>
      <c r="JBB93" s="201"/>
      <c r="JBC93" s="201"/>
      <c r="JBD93" s="201"/>
      <c r="JBE93" s="201"/>
      <c r="JBF93" s="201"/>
      <c r="JBG93" s="201"/>
      <c r="JBH93" s="201"/>
      <c r="JBI93" s="201"/>
      <c r="JBJ93" s="201"/>
      <c r="JBK93" s="201"/>
      <c r="JBL93" s="201"/>
      <c r="JBM93" s="201"/>
      <c r="JBN93" s="201"/>
      <c r="JBO93" s="201"/>
      <c r="JBP93" s="201"/>
      <c r="JBQ93" s="201"/>
      <c r="JBR93" s="201"/>
      <c r="JBS93" s="201"/>
      <c r="JBT93" s="201"/>
      <c r="JBU93" s="201"/>
      <c r="JBV93" s="201"/>
      <c r="JBW93" s="201"/>
      <c r="JBX93" s="201"/>
      <c r="JBY93" s="201"/>
      <c r="JBZ93" s="201"/>
      <c r="JCA93" s="201"/>
      <c r="JCB93" s="201"/>
      <c r="JCC93" s="201"/>
      <c r="JCD93" s="201"/>
      <c r="JCE93" s="201"/>
      <c r="JCF93" s="201"/>
      <c r="JCG93" s="201"/>
      <c r="JCH93" s="201"/>
      <c r="JCI93" s="201"/>
      <c r="JCJ93" s="201"/>
      <c r="JCK93" s="201"/>
      <c r="JCL93" s="201"/>
      <c r="JCM93" s="201"/>
      <c r="JCN93" s="201"/>
      <c r="JCO93" s="201"/>
      <c r="JCP93" s="201"/>
      <c r="JCQ93" s="201"/>
      <c r="JCR93" s="201"/>
      <c r="JCS93" s="201"/>
      <c r="JCT93" s="201"/>
      <c r="JCU93" s="201"/>
      <c r="JCV93" s="201"/>
      <c r="JCW93" s="201"/>
      <c r="JCX93" s="201"/>
      <c r="JCY93" s="201"/>
      <c r="JCZ93" s="201"/>
      <c r="JDA93" s="201"/>
      <c r="JDB93" s="201"/>
      <c r="JDC93" s="201"/>
      <c r="JDD93" s="201"/>
      <c r="JDE93" s="201"/>
      <c r="JDF93" s="201"/>
      <c r="JDG93" s="201"/>
      <c r="JDH93" s="201"/>
      <c r="JDI93" s="201"/>
      <c r="JDJ93" s="201"/>
      <c r="JDK93" s="201"/>
      <c r="JDL93" s="201"/>
      <c r="JDM93" s="201"/>
      <c r="JDN93" s="201"/>
      <c r="JDO93" s="201"/>
      <c r="JDP93" s="201"/>
      <c r="JDQ93" s="201"/>
      <c r="JDR93" s="201"/>
      <c r="JDS93" s="201"/>
      <c r="JDT93" s="201"/>
      <c r="JDU93" s="201"/>
      <c r="JDV93" s="201"/>
      <c r="JDW93" s="201"/>
      <c r="JDX93" s="201"/>
      <c r="JDY93" s="201"/>
      <c r="JDZ93" s="201"/>
      <c r="JEA93" s="201"/>
      <c r="JEB93" s="201"/>
      <c r="JEC93" s="201"/>
      <c r="JED93" s="201"/>
      <c r="JEE93" s="201"/>
      <c r="JEF93" s="201"/>
      <c r="JEG93" s="201"/>
      <c r="JEH93" s="201"/>
      <c r="JEI93" s="201"/>
      <c r="JEJ93" s="201"/>
      <c r="JEK93" s="201"/>
      <c r="JEL93" s="201"/>
      <c r="JEM93" s="201"/>
      <c r="JEN93" s="201"/>
      <c r="JEO93" s="201"/>
      <c r="JEP93" s="201"/>
      <c r="JEQ93" s="201"/>
      <c r="JER93" s="201"/>
      <c r="JES93" s="201"/>
      <c r="JET93" s="201"/>
      <c r="JEU93" s="201"/>
      <c r="JEV93" s="201"/>
      <c r="JEW93" s="201"/>
      <c r="JEX93" s="201"/>
      <c r="JEY93" s="201"/>
      <c r="JEZ93" s="201"/>
      <c r="JFA93" s="201"/>
      <c r="JFB93" s="201"/>
      <c r="JFC93" s="201"/>
      <c r="JFD93" s="201"/>
      <c r="JFE93" s="201"/>
      <c r="JFF93" s="201"/>
      <c r="JFG93" s="201"/>
      <c r="JFH93" s="201"/>
      <c r="JFI93" s="201"/>
      <c r="JFJ93" s="201"/>
      <c r="JFK93" s="201"/>
      <c r="JFL93" s="201"/>
      <c r="JFM93" s="201"/>
      <c r="JFN93" s="201"/>
      <c r="JFO93" s="201"/>
      <c r="JFP93" s="201"/>
      <c r="JFQ93" s="201"/>
      <c r="JFR93" s="201"/>
      <c r="JFS93" s="201"/>
      <c r="JFT93" s="201"/>
      <c r="JFU93" s="201"/>
      <c r="JFV93" s="201"/>
      <c r="JFW93" s="201"/>
      <c r="JFX93" s="201"/>
      <c r="JFY93" s="201"/>
      <c r="JFZ93" s="201"/>
      <c r="JGA93" s="201"/>
      <c r="JGB93" s="201"/>
      <c r="JGC93" s="201"/>
      <c r="JGD93" s="201"/>
      <c r="JGE93" s="201"/>
      <c r="JGF93" s="201"/>
      <c r="JGG93" s="201"/>
      <c r="JGH93" s="201"/>
      <c r="JGI93" s="201"/>
      <c r="JGJ93" s="201"/>
      <c r="JGK93" s="201"/>
      <c r="JGL93" s="201"/>
      <c r="JGM93" s="201"/>
      <c r="JGN93" s="201"/>
      <c r="JGO93" s="201"/>
      <c r="JGP93" s="201"/>
      <c r="JGQ93" s="201"/>
      <c r="JGR93" s="201"/>
      <c r="JGS93" s="201"/>
      <c r="JGT93" s="201"/>
      <c r="JGU93" s="201"/>
      <c r="JGV93" s="201"/>
      <c r="JGW93" s="201"/>
      <c r="JGX93" s="201"/>
      <c r="JGY93" s="201"/>
      <c r="JGZ93" s="201"/>
      <c r="JHA93" s="201"/>
      <c r="JHB93" s="201"/>
      <c r="JHC93" s="201"/>
      <c r="JHD93" s="201"/>
      <c r="JHE93" s="201"/>
      <c r="JHF93" s="201"/>
      <c r="JHG93" s="201"/>
      <c r="JHH93" s="201"/>
      <c r="JHI93" s="201"/>
      <c r="JHJ93" s="201"/>
      <c r="JHK93" s="201"/>
      <c r="JHL93" s="201"/>
      <c r="JHM93" s="201"/>
      <c r="JHN93" s="201"/>
      <c r="JHO93" s="201"/>
      <c r="JHP93" s="201"/>
      <c r="JHQ93" s="201"/>
      <c r="JHR93" s="201"/>
      <c r="JHS93" s="201"/>
      <c r="JHT93" s="201"/>
      <c r="JHU93" s="201"/>
      <c r="JHV93" s="201"/>
      <c r="JHW93" s="201"/>
      <c r="JHX93" s="201"/>
      <c r="JHY93" s="201"/>
      <c r="JHZ93" s="201"/>
      <c r="JIA93" s="201"/>
      <c r="JIB93" s="201"/>
      <c r="JIC93" s="201"/>
      <c r="JID93" s="201"/>
      <c r="JIE93" s="201"/>
      <c r="JIF93" s="201"/>
      <c r="JIG93" s="201"/>
      <c r="JIH93" s="201"/>
      <c r="JII93" s="201"/>
      <c r="JIJ93" s="201"/>
      <c r="JIK93" s="201"/>
      <c r="JIL93" s="201"/>
      <c r="JIM93" s="201"/>
      <c r="JIN93" s="201"/>
      <c r="JIO93" s="201"/>
      <c r="JIP93" s="201"/>
      <c r="JIQ93" s="201"/>
      <c r="JIR93" s="201"/>
      <c r="JIS93" s="201"/>
      <c r="JIT93" s="201"/>
      <c r="JIU93" s="201"/>
      <c r="JIV93" s="201"/>
      <c r="JIW93" s="201"/>
      <c r="JIX93" s="201"/>
      <c r="JIY93" s="201"/>
      <c r="JIZ93" s="201"/>
      <c r="JJA93" s="201"/>
      <c r="JJB93" s="201"/>
      <c r="JJC93" s="201"/>
      <c r="JJD93" s="201"/>
      <c r="JJE93" s="201"/>
      <c r="JJF93" s="201"/>
      <c r="JJG93" s="201"/>
      <c r="JJH93" s="201"/>
      <c r="JJI93" s="201"/>
      <c r="JJJ93" s="201"/>
      <c r="JJK93" s="201"/>
      <c r="JJL93" s="201"/>
      <c r="JJM93" s="201"/>
      <c r="JJN93" s="201"/>
      <c r="JJO93" s="201"/>
      <c r="JJP93" s="201"/>
      <c r="JJQ93" s="201"/>
      <c r="JJR93" s="201"/>
      <c r="JJS93" s="201"/>
      <c r="JJT93" s="201"/>
      <c r="JJU93" s="201"/>
      <c r="JJV93" s="201"/>
      <c r="JJW93" s="201"/>
      <c r="JJX93" s="201"/>
      <c r="JJY93" s="201"/>
      <c r="JJZ93" s="201"/>
      <c r="JKA93" s="201"/>
      <c r="JKB93" s="201"/>
      <c r="JKC93" s="201"/>
      <c r="JKD93" s="201"/>
      <c r="JKE93" s="201"/>
      <c r="JKF93" s="201"/>
      <c r="JKG93" s="201"/>
      <c r="JKH93" s="201"/>
      <c r="JKI93" s="201"/>
      <c r="JKJ93" s="201"/>
      <c r="JKK93" s="201"/>
      <c r="JKL93" s="201"/>
      <c r="JKM93" s="201"/>
      <c r="JKN93" s="201"/>
      <c r="JKO93" s="201"/>
      <c r="JKP93" s="201"/>
      <c r="JKQ93" s="201"/>
      <c r="JKR93" s="201"/>
      <c r="JKS93" s="201"/>
      <c r="JKT93" s="201"/>
      <c r="JKU93" s="201"/>
      <c r="JKV93" s="201"/>
      <c r="JKW93" s="201"/>
      <c r="JKX93" s="201"/>
      <c r="JKY93" s="201"/>
      <c r="JKZ93" s="201"/>
      <c r="JLA93" s="201"/>
      <c r="JLB93" s="201"/>
      <c r="JLC93" s="201"/>
      <c r="JLD93" s="201"/>
      <c r="JLE93" s="201"/>
      <c r="JLF93" s="201"/>
      <c r="JLG93" s="201"/>
      <c r="JLH93" s="201"/>
      <c r="JLI93" s="201"/>
      <c r="JLJ93" s="201"/>
      <c r="JLK93" s="201"/>
      <c r="JLL93" s="201"/>
      <c r="JLM93" s="201"/>
      <c r="JLN93" s="201"/>
      <c r="JLO93" s="201"/>
      <c r="JLP93" s="201"/>
      <c r="JLQ93" s="201"/>
      <c r="JLR93" s="201"/>
      <c r="JLS93" s="201"/>
      <c r="JLT93" s="201"/>
      <c r="JLU93" s="201"/>
      <c r="JLV93" s="201"/>
      <c r="JLW93" s="201"/>
      <c r="JLX93" s="201"/>
      <c r="JLY93" s="201"/>
      <c r="JLZ93" s="201"/>
      <c r="JMA93" s="201"/>
      <c r="JMB93" s="201"/>
      <c r="JMC93" s="201"/>
      <c r="JMD93" s="201"/>
      <c r="JME93" s="201"/>
      <c r="JMF93" s="201"/>
      <c r="JMG93" s="201"/>
      <c r="JMH93" s="201"/>
      <c r="JMI93" s="201"/>
      <c r="JMJ93" s="201"/>
      <c r="JMK93" s="201"/>
      <c r="JML93" s="201"/>
      <c r="JMM93" s="201"/>
      <c r="JMN93" s="201"/>
      <c r="JMO93" s="201"/>
      <c r="JMP93" s="201"/>
      <c r="JMQ93" s="201"/>
      <c r="JMR93" s="201"/>
      <c r="JMS93" s="201"/>
      <c r="JMT93" s="201"/>
      <c r="JMU93" s="201"/>
      <c r="JMV93" s="201"/>
      <c r="JMW93" s="201"/>
      <c r="JMX93" s="201"/>
      <c r="JMY93" s="201"/>
      <c r="JMZ93" s="201"/>
      <c r="JNA93" s="201"/>
      <c r="JNB93" s="201"/>
      <c r="JNC93" s="201"/>
      <c r="JND93" s="201"/>
      <c r="JNE93" s="201"/>
      <c r="JNF93" s="201"/>
      <c r="JNG93" s="201"/>
      <c r="JNH93" s="201"/>
      <c r="JNI93" s="201"/>
      <c r="JNJ93" s="201"/>
      <c r="JNK93" s="201"/>
      <c r="JNL93" s="201"/>
      <c r="JNM93" s="201"/>
      <c r="JNN93" s="201"/>
      <c r="JNO93" s="201"/>
      <c r="JNP93" s="201"/>
      <c r="JNQ93" s="201"/>
      <c r="JNR93" s="201"/>
      <c r="JNS93" s="201"/>
      <c r="JNT93" s="201"/>
      <c r="JNU93" s="201"/>
      <c r="JNV93" s="201"/>
      <c r="JNW93" s="201"/>
      <c r="JNX93" s="201"/>
      <c r="JNY93" s="201"/>
      <c r="JNZ93" s="201"/>
      <c r="JOA93" s="201"/>
      <c r="JOB93" s="201"/>
      <c r="JOC93" s="201"/>
      <c r="JOD93" s="201"/>
      <c r="JOE93" s="201"/>
      <c r="JOF93" s="201"/>
      <c r="JOG93" s="201"/>
      <c r="JOH93" s="201"/>
      <c r="JOI93" s="201"/>
      <c r="JOJ93" s="201"/>
      <c r="JOK93" s="201"/>
      <c r="JOL93" s="201"/>
      <c r="JOM93" s="201"/>
      <c r="JON93" s="201"/>
      <c r="JOO93" s="201"/>
      <c r="JOP93" s="201"/>
      <c r="JOQ93" s="201"/>
      <c r="JOR93" s="201"/>
      <c r="JOS93" s="201"/>
      <c r="JOT93" s="201"/>
      <c r="JOU93" s="201"/>
      <c r="JOV93" s="201"/>
      <c r="JOW93" s="201"/>
      <c r="JOX93" s="201"/>
      <c r="JOY93" s="201"/>
      <c r="JOZ93" s="201"/>
      <c r="JPA93" s="201"/>
      <c r="JPB93" s="201"/>
      <c r="JPC93" s="201"/>
      <c r="JPD93" s="201"/>
      <c r="JPE93" s="201"/>
      <c r="JPF93" s="201"/>
      <c r="JPG93" s="201"/>
      <c r="JPH93" s="201"/>
      <c r="JPI93" s="201"/>
      <c r="JPJ93" s="201"/>
      <c r="JPK93" s="201"/>
      <c r="JPL93" s="201"/>
      <c r="JPM93" s="201"/>
      <c r="JPN93" s="201"/>
      <c r="JPO93" s="201"/>
      <c r="JPP93" s="201"/>
      <c r="JPQ93" s="201"/>
      <c r="JPR93" s="201"/>
      <c r="JPS93" s="201"/>
      <c r="JPT93" s="201"/>
      <c r="JPU93" s="201"/>
      <c r="JPV93" s="201"/>
      <c r="JPW93" s="201"/>
      <c r="JPX93" s="201"/>
      <c r="JPY93" s="201"/>
      <c r="JPZ93" s="201"/>
      <c r="JQA93" s="201"/>
      <c r="JQB93" s="201"/>
      <c r="JQC93" s="201"/>
      <c r="JQD93" s="201"/>
      <c r="JQE93" s="201"/>
      <c r="JQF93" s="201"/>
      <c r="JQG93" s="201"/>
      <c r="JQH93" s="201"/>
      <c r="JQI93" s="201"/>
      <c r="JQJ93" s="201"/>
      <c r="JQK93" s="201"/>
      <c r="JQL93" s="201"/>
      <c r="JQM93" s="201"/>
      <c r="JQN93" s="201"/>
      <c r="JQO93" s="201"/>
      <c r="JQP93" s="201"/>
      <c r="JQQ93" s="201"/>
      <c r="JQR93" s="201"/>
      <c r="JQS93" s="201"/>
      <c r="JQT93" s="201"/>
      <c r="JQU93" s="201"/>
      <c r="JQV93" s="201"/>
      <c r="JQW93" s="201"/>
      <c r="JQX93" s="201"/>
      <c r="JQY93" s="201"/>
      <c r="JQZ93" s="201"/>
      <c r="JRA93" s="201"/>
      <c r="JRB93" s="201"/>
      <c r="JRC93" s="201"/>
      <c r="JRD93" s="201"/>
      <c r="JRE93" s="201"/>
      <c r="JRF93" s="201"/>
      <c r="JRG93" s="201"/>
      <c r="JRH93" s="201"/>
      <c r="JRI93" s="201"/>
      <c r="JRJ93" s="201"/>
      <c r="JRK93" s="201"/>
      <c r="JRL93" s="201"/>
      <c r="JRM93" s="201"/>
      <c r="JRN93" s="201"/>
      <c r="JRO93" s="201"/>
      <c r="JRP93" s="201"/>
      <c r="JRQ93" s="201"/>
      <c r="JRR93" s="201"/>
      <c r="JRS93" s="201"/>
      <c r="JRT93" s="201"/>
      <c r="JRU93" s="201"/>
      <c r="JRV93" s="201"/>
      <c r="JRW93" s="201"/>
      <c r="JRX93" s="201"/>
      <c r="JRY93" s="201"/>
      <c r="JRZ93" s="201"/>
      <c r="JSA93" s="201"/>
      <c r="JSB93" s="201"/>
      <c r="JSC93" s="201"/>
      <c r="JSD93" s="201"/>
      <c r="JSE93" s="201"/>
      <c r="JSF93" s="201"/>
      <c r="JSG93" s="201"/>
      <c r="JSH93" s="201"/>
      <c r="JSI93" s="201"/>
      <c r="JSJ93" s="201"/>
      <c r="JSK93" s="201"/>
      <c r="JSL93" s="201"/>
      <c r="JSM93" s="201"/>
      <c r="JSN93" s="201"/>
      <c r="JSO93" s="201"/>
      <c r="JSP93" s="201"/>
      <c r="JSQ93" s="201"/>
      <c r="JSR93" s="201"/>
      <c r="JSS93" s="201"/>
      <c r="JST93" s="201"/>
      <c r="JSU93" s="201"/>
      <c r="JSV93" s="201"/>
      <c r="JSW93" s="201"/>
      <c r="JSX93" s="201"/>
      <c r="JSY93" s="201"/>
      <c r="JSZ93" s="201"/>
      <c r="JTA93" s="201"/>
      <c r="JTB93" s="201"/>
      <c r="JTC93" s="201"/>
      <c r="JTD93" s="201"/>
      <c r="JTE93" s="201"/>
      <c r="JTF93" s="201"/>
      <c r="JTG93" s="201"/>
      <c r="JTH93" s="201"/>
      <c r="JTI93" s="201"/>
      <c r="JTJ93" s="201"/>
      <c r="JTK93" s="201"/>
      <c r="JTL93" s="201"/>
      <c r="JTM93" s="201"/>
      <c r="JTN93" s="201"/>
      <c r="JTO93" s="201"/>
      <c r="JTP93" s="201"/>
      <c r="JTQ93" s="201"/>
      <c r="JTR93" s="201"/>
      <c r="JTS93" s="201"/>
      <c r="JTT93" s="201"/>
      <c r="JTU93" s="201"/>
      <c r="JTV93" s="201"/>
      <c r="JTW93" s="201"/>
      <c r="JTX93" s="201"/>
      <c r="JTY93" s="201"/>
      <c r="JTZ93" s="201"/>
      <c r="JUA93" s="201"/>
      <c r="JUB93" s="201"/>
      <c r="JUC93" s="201"/>
      <c r="JUD93" s="201"/>
      <c r="JUE93" s="201"/>
      <c r="JUF93" s="201"/>
      <c r="JUG93" s="201"/>
      <c r="JUH93" s="201"/>
      <c r="JUI93" s="201"/>
      <c r="JUJ93" s="201"/>
      <c r="JUK93" s="201"/>
      <c r="JUL93" s="201"/>
      <c r="JUM93" s="201"/>
      <c r="JUN93" s="201"/>
      <c r="JUO93" s="201"/>
      <c r="JUP93" s="201"/>
      <c r="JUQ93" s="201"/>
      <c r="JUR93" s="201"/>
      <c r="JUS93" s="201"/>
      <c r="JUT93" s="201"/>
      <c r="JUU93" s="201"/>
      <c r="JUV93" s="201"/>
      <c r="JUW93" s="201"/>
      <c r="JUX93" s="201"/>
      <c r="JUY93" s="201"/>
      <c r="JUZ93" s="201"/>
      <c r="JVA93" s="201"/>
      <c r="JVB93" s="201"/>
      <c r="JVC93" s="201"/>
      <c r="JVD93" s="201"/>
      <c r="JVE93" s="201"/>
      <c r="JVF93" s="201"/>
      <c r="JVG93" s="201"/>
      <c r="JVH93" s="201"/>
      <c r="JVI93" s="201"/>
      <c r="JVJ93" s="201"/>
      <c r="JVK93" s="201"/>
      <c r="JVL93" s="201"/>
      <c r="JVM93" s="201"/>
      <c r="JVN93" s="201"/>
      <c r="JVO93" s="201"/>
      <c r="JVP93" s="201"/>
      <c r="JVQ93" s="201"/>
      <c r="JVR93" s="201"/>
      <c r="JVS93" s="201"/>
      <c r="JVT93" s="201"/>
      <c r="JVU93" s="201"/>
      <c r="JVV93" s="201"/>
      <c r="JVW93" s="201"/>
      <c r="JVX93" s="201"/>
      <c r="JVY93" s="201"/>
      <c r="JVZ93" s="201"/>
      <c r="JWA93" s="201"/>
      <c r="JWB93" s="201"/>
      <c r="JWC93" s="201"/>
      <c r="JWD93" s="201"/>
      <c r="JWE93" s="201"/>
      <c r="JWF93" s="201"/>
      <c r="JWG93" s="201"/>
      <c r="JWH93" s="201"/>
      <c r="JWI93" s="201"/>
      <c r="JWJ93" s="201"/>
      <c r="JWK93" s="201"/>
      <c r="JWL93" s="201"/>
      <c r="JWM93" s="201"/>
      <c r="JWN93" s="201"/>
      <c r="JWO93" s="201"/>
      <c r="JWP93" s="201"/>
      <c r="JWQ93" s="201"/>
      <c r="JWR93" s="201"/>
      <c r="JWS93" s="201"/>
      <c r="JWT93" s="201"/>
      <c r="JWU93" s="201"/>
      <c r="JWV93" s="201"/>
      <c r="JWW93" s="201"/>
      <c r="JWX93" s="201"/>
      <c r="JWY93" s="201"/>
      <c r="JWZ93" s="201"/>
      <c r="JXA93" s="201"/>
      <c r="JXB93" s="201"/>
      <c r="JXC93" s="201"/>
      <c r="JXD93" s="201"/>
      <c r="JXE93" s="201"/>
      <c r="JXF93" s="201"/>
      <c r="JXG93" s="201"/>
      <c r="JXH93" s="201"/>
      <c r="JXI93" s="201"/>
      <c r="JXJ93" s="201"/>
      <c r="JXK93" s="201"/>
      <c r="JXL93" s="201"/>
      <c r="JXM93" s="201"/>
      <c r="JXN93" s="201"/>
      <c r="JXO93" s="201"/>
      <c r="JXP93" s="201"/>
      <c r="JXQ93" s="201"/>
      <c r="JXR93" s="201"/>
      <c r="JXS93" s="201"/>
      <c r="JXT93" s="201"/>
      <c r="JXU93" s="201"/>
      <c r="JXV93" s="201"/>
      <c r="JXW93" s="201"/>
      <c r="JXX93" s="201"/>
      <c r="JXY93" s="201"/>
      <c r="JXZ93" s="201"/>
      <c r="JYA93" s="201"/>
      <c r="JYB93" s="201"/>
      <c r="JYC93" s="201"/>
      <c r="JYD93" s="201"/>
      <c r="JYE93" s="201"/>
      <c r="JYF93" s="201"/>
      <c r="JYG93" s="201"/>
      <c r="JYH93" s="201"/>
      <c r="JYI93" s="201"/>
      <c r="JYJ93" s="201"/>
      <c r="JYK93" s="201"/>
      <c r="JYL93" s="201"/>
      <c r="JYM93" s="201"/>
      <c r="JYN93" s="201"/>
      <c r="JYO93" s="201"/>
      <c r="JYP93" s="201"/>
      <c r="JYQ93" s="201"/>
      <c r="JYR93" s="201"/>
      <c r="JYS93" s="201"/>
      <c r="JYT93" s="201"/>
      <c r="JYU93" s="201"/>
      <c r="JYV93" s="201"/>
      <c r="JYW93" s="201"/>
      <c r="JYX93" s="201"/>
      <c r="JYY93" s="201"/>
      <c r="JYZ93" s="201"/>
      <c r="JZA93" s="201"/>
      <c r="JZB93" s="201"/>
      <c r="JZC93" s="201"/>
      <c r="JZD93" s="201"/>
      <c r="JZE93" s="201"/>
      <c r="JZF93" s="201"/>
      <c r="JZG93" s="201"/>
      <c r="JZH93" s="201"/>
      <c r="JZI93" s="201"/>
      <c r="JZJ93" s="201"/>
      <c r="JZK93" s="201"/>
      <c r="JZL93" s="201"/>
      <c r="JZM93" s="201"/>
      <c r="JZN93" s="201"/>
      <c r="JZO93" s="201"/>
      <c r="JZP93" s="201"/>
      <c r="JZQ93" s="201"/>
      <c r="JZR93" s="201"/>
      <c r="JZS93" s="201"/>
      <c r="JZT93" s="201"/>
      <c r="JZU93" s="201"/>
      <c r="JZV93" s="201"/>
      <c r="JZW93" s="201"/>
      <c r="JZX93" s="201"/>
      <c r="JZY93" s="201"/>
      <c r="JZZ93" s="201"/>
      <c r="KAA93" s="201"/>
      <c r="KAB93" s="201"/>
      <c r="KAC93" s="201"/>
      <c r="KAD93" s="201"/>
      <c r="KAE93" s="201"/>
      <c r="KAF93" s="201"/>
      <c r="KAG93" s="201"/>
      <c r="KAH93" s="201"/>
      <c r="KAI93" s="201"/>
      <c r="KAJ93" s="201"/>
      <c r="KAK93" s="201"/>
      <c r="KAL93" s="201"/>
      <c r="KAM93" s="201"/>
      <c r="KAN93" s="201"/>
      <c r="KAO93" s="201"/>
      <c r="KAP93" s="201"/>
      <c r="KAQ93" s="201"/>
      <c r="KAR93" s="201"/>
      <c r="KAS93" s="201"/>
      <c r="KAT93" s="201"/>
      <c r="KAU93" s="201"/>
      <c r="KAV93" s="201"/>
      <c r="KAW93" s="201"/>
      <c r="KAX93" s="201"/>
      <c r="KAY93" s="201"/>
      <c r="KAZ93" s="201"/>
      <c r="KBA93" s="201"/>
      <c r="KBB93" s="201"/>
      <c r="KBC93" s="201"/>
      <c r="KBD93" s="201"/>
      <c r="KBE93" s="201"/>
      <c r="KBF93" s="201"/>
      <c r="KBG93" s="201"/>
      <c r="KBH93" s="201"/>
      <c r="KBI93" s="201"/>
      <c r="KBJ93" s="201"/>
      <c r="KBK93" s="201"/>
      <c r="KBL93" s="201"/>
      <c r="KBM93" s="201"/>
      <c r="KBN93" s="201"/>
      <c r="KBO93" s="201"/>
      <c r="KBP93" s="201"/>
      <c r="KBQ93" s="201"/>
      <c r="KBR93" s="201"/>
      <c r="KBS93" s="201"/>
      <c r="KBT93" s="201"/>
      <c r="KBU93" s="201"/>
      <c r="KBV93" s="201"/>
      <c r="KBW93" s="201"/>
      <c r="KBX93" s="201"/>
      <c r="KBY93" s="201"/>
      <c r="KBZ93" s="201"/>
      <c r="KCA93" s="201"/>
      <c r="KCB93" s="201"/>
      <c r="KCC93" s="201"/>
      <c r="KCD93" s="201"/>
      <c r="KCE93" s="201"/>
      <c r="KCF93" s="201"/>
      <c r="KCG93" s="201"/>
      <c r="KCH93" s="201"/>
      <c r="KCI93" s="201"/>
      <c r="KCJ93" s="201"/>
      <c r="KCK93" s="201"/>
      <c r="KCL93" s="201"/>
      <c r="KCM93" s="201"/>
      <c r="KCN93" s="201"/>
      <c r="KCO93" s="201"/>
      <c r="KCP93" s="201"/>
      <c r="KCQ93" s="201"/>
      <c r="KCR93" s="201"/>
      <c r="KCS93" s="201"/>
      <c r="KCT93" s="201"/>
      <c r="KCU93" s="201"/>
      <c r="KCV93" s="201"/>
      <c r="KCW93" s="201"/>
      <c r="KCX93" s="201"/>
      <c r="KCY93" s="201"/>
      <c r="KCZ93" s="201"/>
      <c r="KDA93" s="201"/>
      <c r="KDB93" s="201"/>
      <c r="KDC93" s="201"/>
      <c r="KDD93" s="201"/>
      <c r="KDE93" s="201"/>
      <c r="KDF93" s="201"/>
      <c r="KDG93" s="201"/>
      <c r="KDH93" s="201"/>
      <c r="KDI93" s="201"/>
      <c r="KDJ93" s="201"/>
      <c r="KDK93" s="201"/>
      <c r="KDL93" s="201"/>
      <c r="KDM93" s="201"/>
      <c r="KDN93" s="201"/>
      <c r="KDO93" s="201"/>
      <c r="KDP93" s="201"/>
      <c r="KDQ93" s="201"/>
      <c r="KDR93" s="201"/>
      <c r="KDS93" s="201"/>
      <c r="KDT93" s="201"/>
      <c r="KDU93" s="201"/>
      <c r="KDV93" s="201"/>
      <c r="KDW93" s="201"/>
      <c r="KDX93" s="201"/>
      <c r="KDY93" s="201"/>
      <c r="KDZ93" s="201"/>
      <c r="KEA93" s="201"/>
      <c r="KEB93" s="201"/>
      <c r="KEC93" s="201"/>
      <c r="KED93" s="201"/>
      <c r="KEE93" s="201"/>
      <c r="KEF93" s="201"/>
      <c r="KEG93" s="201"/>
      <c r="KEH93" s="201"/>
      <c r="KEI93" s="201"/>
      <c r="KEJ93" s="201"/>
      <c r="KEK93" s="201"/>
      <c r="KEL93" s="201"/>
      <c r="KEM93" s="201"/>
      <c r="KEN93" s="201"/>
      <c r="KEO93" s="201"/>
      <c r="KEP93" s="201"/>
      <c r="KEQ93" s="201"/>
      <c r="KER93" s="201"/>
      <c r="KES93" s="201"/>
      <c r="KET93" s="201"/>
      <c r="KEU93" s="201"/>
      <c r="KEV93" s="201"/>
      <c r="KEW93" s="201"/>
      <c r="KEX93" s="201"/>
      <c r="KEY93" s="201"/>
      <c r="KEZ93" s="201"/>
      <c r="KFA93" s="201"/>
      <c r="KFB93" s="201"/>
      <c r="KFC93" s="201"/>
      <c r="KFD93" s="201"/>
      <c r="KFE93" s="201"/>
      <c r="KFF93" s="201"/>
      <c r="KFG93" s="201"/>
      <c r="KFH93" s="201"/>
      <c r="KFI93" s="201"/>
      <c r="KFJ93" s="201"/>
      <c r="KFK93" s="201"/>
      <c r="KFL93" s="201"/>
      <c r="KFM93" s="201"/>
      <c r="KFN93" s="201"/>
      <c r="KFO93" s="201"/>
      <c r="KFP93" s="201"/>
      <c r="KFQ93" s="201"/>
      <c r="KFR93" s="201"/>
      <c r="KFS93" s="201"/>
      <c r="KFT93" s="201"/>
      <c r="KFU93" s="201"/>
      <c r="KFV93" s="201"/>
      <c r="KFW93" s="201"/>
      <c r="KFX93" s="201"/>
      <c r="KFY93" s="201"/>
      <c r="KFZ93" s="201"/>
      <c r="KGA93" s="201"/>
      <c r="KGB93" s="201"/>
      <c r="KGC93" s="201"/>
      <c r="KGD93" s="201"/>
      <c r="KGE93" s="201"/>
      <c r="KGF93" s="201"/>
      <c r="KGG93" s="201"/>
      <c r="KGH93" s="201"/>
      <c r="KGI93" s="201"/>
      <c r="KGJ93" s="201"/>
      <c r="KGK93" s="201"/>
      <c r="KGL93" s="201"/>
      <c r="KGM93" s="201"/>
      <c r="KGN93" s="201"/>
      <c r="KGO93" s="201"/>
      <c r="KGP93" s="201"/>
      <c r="KGQ93" s="201"/>
      <c r="KGR93" s="201"/>
      <c r="KGS93" s="201"/>
      <c r="KGT93" s="201"/>
      <c r="KGU93" s="201"/>
      <c r="KGV93" s="201"/>
      <c r="KGW93" s="201"/>
      <c r="KGX93" s="201"/>
      <c r="KGY93" s="201"/>
      <c r="KGZ93" s="201"/>
      <c r="KHA93" s="201"/>
      <c r="KHB93" s="201"/>
      <c r="KHC93" s="201"/>
      <c r="KHD93" s="201"/>
      <c r="KHE93" s="201"/>
      <c r="KHF93" s="201"/>
      <c r="KHG93" s="201"/>
      <c r="KHH93" s="201"/>
      <c r="KHI93" s="201"/>
      <c r="KHJ93" s="201"/>
      <c r="KHK93" s="201"/>
      <c r="KHL93" s="201"/>
      <c r="KHM93" s="201"/>
      <c r="KHN93" s="201"/>
      <c r="KHO93" s="201"/>
      <c r="KHP93" s="201"/>
      <c r="KHQ93" s="201"/>
      <c r="KHR93" s="201"/>
      <c r="KHS93" s="201"/>
      <c r="KHT93" s="201"/>
      <c r="KHU93" s="201"/>
      <c r="KHV93" s="201"/>
      <c r="KHW93" s="201"/>
      <c r="KHX93" s="201"/>
      <c r="KHY93" s="201"/>
      <c r="KHZ93" s="201"/>
      <c r="KIA93" s="201"/>
      <c r="KIB93" s="201"/>
      <c r="KIC93" s="201"/>
      <c r="KID93" s="201"/>
      <c r="KIE93" s="201"/>
      <c r="KIF93" s="201"/>
      <c r="KIG93" s="201"/>
      <c r="KIH93" s="201"/>
      <c r="KII93" s="201"/>
      <c r="KIJ93" s="201"/>
      <c r="KIK93" s="201"/>
      <c r="KIL93" s="201"/>
      <c r="KIM93" s="201"/>
      <c r="KIN93" s="201"/>
      <c r="KIO93" s="201"/>
      <c r="KIP93" s="201"/>
      <c r="KIQ93" s="201"/>
      <c r="KIR93" s="201"/>
      <c r="KIS93" s="201"/>
      <c r="KIT93" s="201"/>
      <c r="KIU93" s="201"/>
      <c r="KIV93" s="201"/>
      <c r="KIW93" s="201"/>
      <c r="KIX93" s="201"/>
      <c r="KIY93" s="201"/>
      <c r="KIZ93" s="201"/>
      <c r="KJA93" s="201"/>
      <c r="KJB93" s="201"/>
      <c r="KJC93" s="201"/>
      <c r="KJD93" s="201"/>
      <c r="KJE93" s="201"/>
      <c r="KJF93" s="201"/>
      <c r="KJG93" s="201"/>
      <c r="KJH93" s="201"/>
      <c r="KJI93" s="201"/>
      <c r="KJJ93" s="201"/>
      <c r="KJK93" s="201"/>
      <c r="KJL93" s="201"/>
      <c r="KJM93" s="201"/>
      <c r="KJN93" s="201"/>
      <c r="KJO93" s="201"/>
      <c r="KJP93" s="201"/>
      <c r="KJQ93" s="201"/>
      <c r="KJR93" s="201"/>
      <c r="KJS93" s="201"/>
      <c r="KJT93" s="201"/>
      <c r="KJU93" s="201"/>
      <c r="KJV93" s="201"/>
      <c r="KJW93" s="201"/>
      <c r="KJX93" s="201"/>
      <c r="KJY93" s="201"/>
      <c r="KJZ93" s="201"/>
      <c r="KKA93" s="201"/>
      <c r="KKB93" s="201"/>
      <c r="KKC93" s="201"/>
      <c r="KKD93" s="201"/>
      <c r="KKE93" s="201"/>
      <c r="KKF93" s="201"/>
      <c r="KKG93" s="201"/>
      <c r="KKH93" s="201"/>
      <c r="KKI93" s="201"/>
      <c r="KKJ93" s="201"/>
      <c r="KKK93" s="201"/>
      <c r="KKL93" s="201"/>
      <c r="KKM93" s="201"/>
      <c r="KKN93" s="201"/>
      <c r="KKO93" s="201"/>
      <c r="KKP93" s="201"/>
      <c r="KKQ93" s="201"/>
      <c r="KKR93" s="201"/>
      <c r="KKS93" s="201"/>
      <c r="KKT93" s="201"/>
      <c r="KKU93" s="201"/>
      <c r="KKV93" s="201"/>
      <c r="KKW93" s="201"/>
      <c r="KKX93" s="201"/>
      <c r="KKY93" s="201"/>
      <c r="KKZ93" s="201"/>
      <c r="KLA93" s="201"/>
      <c r="KLB93" s="201"/>
      <c r="KLC93" s="201"/>
      <c r="KLD93" s="201"/>
      <c r="KLE93" s="201"/>
      <c r="KLF93" s="201"/>
      <c r="KLG93" s="201"/>
      <c r="KLH93" s="201"/>
      <c r="KLI93" s="201"/>
      <c r="KLJ93" s="201"/>
      <c r="KLK93" s="201"/>
      <c r="KLL93" s="201"/>
      <c r="KLM93" s="201"/>
      <c r="KLN93" s="201"/>
      <c r="KLO93" s="201"/>
      <c r="KLP93" s="201"/>
      <c r="KLQ93" s="201"/>
      <c r="KLR93" s="201"/>
      <c r="KLS93" s="201"/>
      <c r="KLT93" s="201"/>
      <c r="KLU93" s="201"/>
      <c r="KLV93" s="201"/>
      <c r="KLW93" s="201"/>
      <c r="KLX93" s="201"/>
      <c r="KLY93" s="201"/>
      <c r="KLZ93" s="201"/>
      <c r="KMA93" s="201"/>
      <c r="KMB93" s="201"/>
      <c r="KMC93" s="201"/>
      <c r="KMD93" s="201"/>
      <c r="KME93" s="201"/>
      <c r="KMF93" s="201"/>
      <c r="KMG93" s="201"/>
      <c r="KMH93" s="201"/>
      <c r="KMI93" s="201"/>
      <c r="KMJ93" s="201"/>
      <c r="KMK93" s="201"/>
      <c r="KML93" s="201"/>
      <c r="KMM93" s="201"/>
      <c r="KMN93" s="201"/>
      <c r="KMO93" s="201"/>
      <c r="KMP93" s="201"/>
      <c r="KMQ93" s="201"/>
      <c r="KMR93" s="201"/>
      <c r="KMS93" s="201"/>
      <c r="KMT93" s="201"/>
      <c r="KMU93" s="201"/>
      <c r="KMV93" s="201"/>
      <c r="KMW93" s="201"/>
      <c r="KMX93" s="201"/>
      <c r="KMY93" s="201"/>
      <c r="KMZ93" s="201"/>
      <c r="KNA93" s="201"/>
      <c r="KNB93" s="201"/>
      <c r="KNC93" s="201"/>
      <c r="KND93" s="201"/>
      <c r="KNE93" s="201"/>
      <c r="KNF93" s="201"/>
      <c r="KNG93" s="201"/>
      <c r="KNH93" s="201"/>
      <c r="KNI93" s="201"/>
      <c r="KNJ93" s="201"/>
      <c r="KNK93" s="201"/>
      <c r="KNL93" s="201"/>
      <c r="KNM93" s="201"/>
      <c r="KNN93" s="201"/>
      <c r="KNO93" s="201"/>
      <c r="KNP93" s="201"/>
      <c r="KNQ93" s="201"/>
      <c r="KNR93" s="201"/>
      <c r="KNS93" s="201"/>
      <c r="KNT93" s="201"/>
      <c r="KNU93" s="201"/>
      <c r="KNV93" s="201"/>
      <c r="KNW93" s="201"/>
      <c r="KNX93" s="201"/>
      <c r="KNY93" s="201"/>
      <c r="KNZ93" s="201"/>
      <c r="KOA93" s="201"/>
      <c r="KOB93" s="201"/>
      <c r="KOC93" s="201"/>
      <c r="KOD93" s="201"/>
      <c r="KOE93" s="201"/>
      <c r="KOF93" s="201"/>
      <c r="KOG93" s="201"/>
      <c r="KOH93" s="201"/>
      <c r="KOI93" s="201"/>
      <c r="KOJ93" s="201"/>
      <c r="KOK93" s="201"/>
      <c r="KOL93" s="201"/>
      <c r="KOM93" s="201"/>
      <c r="KON93" s="201"/>
      <c r="KOO93" s="201"/>
      <c r="KOP93" s="201"/>
      <c r="KOQ93" s="201"/>
      <c r="KOR93" s="201"/>
      <c r="KOS93" s="201"/>
      <c r="KOT93" s="201"/>
      <c r="KOU93" s="201"/>
      <c r="KOV93" s="201"/>
      <c r="KOW93" s="201"/>
      <c r="KOX93" s="201"/>
      <c r="KOY93" s="201"/>
      <c r="KOZ93" s="201"/>
      <c r="KPA93" s="201"/>
      <c r="KPB93" s="201"/>
      <c r="KPC93" s="201"/>
      <c r="KPD93" s="201"/>
      <c r="KPE93" s="201"/>
      <c r="KPF93" s="201"/>
      <c r="KPG93" s="201"/>
      <c r="KPH93" s="201"/>
      <c r="KPI93" s="201"/>
      <c r="KPJ93" s="201"/>
      <c r="KPK93" s="201"/>
      <c r="KPL93" s="201"/>
      <c r="KPM93" s="201"/>
      <c r="KPN93" s="201"/>
      <c r="KPO93" s="201"/>
      <c r="KPP93" s="201"/>
      <c r="KPQ93" s="201"/>
      <c r="KPR93" s="201"/>
      <c r="KPS93" s="201"/>
      <c r="KPT93" s="201"/>
      <c r="KPU93" s="201"/>
      <c r="KPV93" s="201"/>
      <c r="KPW93" s="201"/>
      <c r="KPX93" s="201"/>
      <c r="KPY93" s="201"/>
      <c r="KPZ93" s="201"/>
      <c r="KQA93" s="201"/>
      <c r="KQB93" s="201"/>
      <c r="KQC93" s="201"/>
      <c r="KQD93" s="201"/>
      <c r="KQE93" s="201"/>
      <c r="KQF93" s="201"/>
      <c r="KQG93" s="201"/>
      <c r="KQH93" s="201"/>
      <c r="KQI93" s="201"/>
      <c r="KQJ93" s="201"/>
      <c r="KQK93" s="201"/>
      <c r="KQL93" s="201"/>
      <c r="KQM93" s="201"/>
      <c r="KQN93" s="201"/>
      <c r="KQO93" s="201"/>
      <c r="KQP93" s="201"/>
      <c r="KQQ93" s="201"/>
      <c r="KQR93" s="201"/>
      <c r="KQS93" s="201"/>
      <c r="KQT93" s="201"/>
      <c r="KQU93" s="201"/>
      <c r="KQV93" s="201"/>
      <c r="KQW93" s="201"/>
      <c r="KQX93" s="201"/>
      <c r="KQY93" s="201"/>
      <c r="KQZ93" s="201"/>
      <c r="KRA93" s="201"/>
      <c r="KRB93" s="201"/>
      <c r="KRC93" s="201"/>
      <c r="KRD93" s="201"/>
      <c r="KRE93" s="201"/>
      <c r="KRF93" s="201"/>
      <c r="KRG93" s="201"/>
      <c r="KRH93" s="201"/>
      <c r="KRI93" s="201"/>
      <c r="KRJ93" s="201"/>
      <c r="KRK93" s="201"/>
      <c r="KRL93" s="201"/>
      <c r="KRM93" s="201"/>
      <c r="KRN93" s="201"/>
      <c r="KRO93" s="201"/>
      <c r="KRP93" s="201"/>
      <c r="KRQ93" s="201"/>
      <c r="KRR93" s="201"/>
      <c r="KRS93" s="201"/>
      <c r="KRT93" s="201"/>
      <c r="KRU93" s="201"/>
      <c r="KRV93" s="201"/>
      <c r="KRW93" s="201"/>
      <c r="KRX93" s="201"/>
      <c r="KRY93" s="201"/>
      <c r="KRZ93" s="201"/>
      <c r="KSA93" s="201"/>
      <c r="KSB93" s="201"/>
      <c r="KSC93" s="201"/>
      <c r="KSD93" s="201"/>
      <c r="KSE93" s="201"/>
      <c r="KSF93" s="201"/>
      <c r="KSG93" s="201"/>
      <c r="KSH93" s="201"/>
      <c r="KSI93" s="201"/>
      <c r="KSJ93" s="201"/>
      <c r="KSK93" s="201"/>
      <c r="KSL93" s="201"/>
      <c r="KSM93" s="201"/>
      <c r="KSN93" s="201"/>
      <c r="KSO93" s="201"/>
      <c r="KSP93" s="201"/>
      <c r="KSQ93" s="201"/>
      <c r="KSR93" s="201"/>
      <c r="KSS93" s="201"/>
      <c r="KST93" s="201"/>
      <c r="KSU93" s="201"/>
      <c r="KSV93" s="201"/>
      <c r="KSW93" s="201"/>
      <c r="KSX93" s="201"/>
      <c r="KSY93" s="201"/>
      <c r="KSZ93" s="201"/>
      <c r="KTA93" s="201"/>
      <c r="KTB93" s="201"/>
      <c r="KTC93" s="201"/>
      <c r="KTD93" s="201"/>
      <c r="KTE93" s="201"/>
      <c r="KTF93" s="201"/>
      <c r="KTG93" s="201"/>
      <c r="KTH93" s="201"/>
      <c r="KTI93" s="201"/>
      <c r="KTJ93" s="201"/>
      <c r="KTK93" s="201"/>
      <c r="KTL93" s="201"/>
      <c r="KTM93" s="201"/>
      <c r="KTN93" s="201"/>
      <c r="KTO93" s="201"/>
      <c r="KTP93" s="201"/>
      <c r="KTQ93" s="201"/>
      <c r="KTR93" s="201"/>
      <c r="KTS93" s="201"/>
      <c r="KTT93" s="201"/>
      <c r="KTU93" s="201"/>
      <c r="KTV93" s="201"/>
      <c r="KTW93" s="201"/>
      <c r="KTX93" s="201"/>
      <c r="KTY93" s="201"/>
      <c r="KTZ93" s="201"/>
      <c r="KUA93" s="201"/>
      <c r="KUB93" s="201"/>
      <c r="KUC93" s="201"/>
      <c r="KUD93" s="201"/>
      <c r="KUE93" s="201"/>
      <c r="KUF93" s="201"/>
      <c r="KUG93" s="201"/>
      <c r="KUH93" s="201"/>
      <c r="KUI93" s="201"/>
      <c r="KUJ93" s="201"/>
      <c r="KUK93" s="201"/>
      <c r="KUL93" s="201"/>
      <c r="KUM93" s="201"/>
      <c r="KUN93" s="201"/>
      <c r="KUO93" s="201"/>
      <c r="KUP93" s="201"/>
      <c r="KUQ93" s="201"/>
      <c r="KUR93" s="201"/>
      <c r="KUS93" s="201"/>
      <c r="KUT93" s="201"/>
      <c r="KUU93" s="201"/>
      <c r="KUV93" s="201"/>
      <c r="KUW93" s="201"/>
      <c r="KUX93" s="201"/>
      <c r="KUY93" s="201"/>
      <c r="KUZ93" s="201"/>
      <c r="KVA93" s="201"/>
      <c r="KVB93" s="201"/>
      <c r="KVC93" s="201"/>
      <c r="KVD93" s="201"/>
      <c r="KVE93" s="201"/>
      <c r="KVF93" s="201"/>
      <c r="KVG93" s="201"/>
      <c r="KVH93" s="201"/>
      <c r="KVI93" s="201"/>
      <c r="KVJ93" s="201"/>
      <c r="KVK93" s="201"/>
      <c r="KVL93" s="201"/>
      <c r="KVM93" s="201"/>
      <c r="KVN93" s="201"/>
      <c r="KVO93" s="201"/>
      <c r="KVP93" s="201"/>
      <c r="KVQ93" s="201"/>
      <c r="KVR93" s="201"/>
      <c r="KVS93" s="201"/>
      <c r="KVT93" s="201"/>
      <c r="KVU93" s="201"/>
      <c r="KVV93" s="201"/>
      <c r="KVW93" s="201"/>
      <c r="KVX93" s="201"/>
      <c r="KVY93" s="201"/>
      <c r="KVZ93" s="201"/>
      <c r="KWA93" s="201"/>
      <c r="KWB93" s="201"/>
      <c r="KWC93" s="201"/>
      <c r="KWD93" s="201"/>
      <c r="KWE93" s="201"/>
      <c r="KWF93" s="201"/>
      <c r="KWG93" s="201"/>
      <c r="KWH93" s="201"/>
      <c r="KWI93" s="201"/>
      <c r="KWJ93" s="201"/>
      <c r="KWK93" s="201"/>
      <c r="KWL93" s="201"/>
      <c r="KWM93" s="201"/>
      <c r="KWN93" s="201"/>
      <c r="KWO93" s="201"/>
      <c r="KWP93" s="201"/>
      <c r="KWQ93" s="201"/>
      <c r="KWR93" s="201"/>
      <c r="KWS93" s="201"/>
      <c r="KWT93" s="201"/>
      <c r="KWU93" s="201"/>
      <c r="KWV93" s="201"/>
      <c r="KWW93" s="201"/>
      <c r="KWX93" s="201"/>
      <c r="KWY93" s="201"/>
      <c r="KWZ93" s="201"/>
      <c r="KXA93" s="201"/>
      <c r="KXB93" s="201"/>
      <c r="KXC93" s="201"/>
      <c r="KXD93" s="201"/>
      <c r="KXE93" s="201"/>
      <c r="KXF93" s="201"/>
      <c r="KXG93" s="201"/>
      <c r="KXH93" s="201"/>
      <c r="KXI93" s="201"/>
      <c r="KXJ93" s="201"/>
      <c r="KXK93" s="201"/>
      <c r="KXL93" s="201"/>
      <c r="KXM93" s="201"/>
      <c r="KXN93" s="201"/>
      <c r="KXO93" s="201"/>
      <c r="KXP93" s="201"/>
      <c r="KXQ93" s="201"/>
      <c r="KXR93" s="201"/>
      <c r="KXS93" s="201"/>
      <c r="KXT93" s="201"/>
      <c r="KXU93" s="201"/>
      <c r="KXV93" s="201"/>
      <c r="KXW93" s="201"/>
      <c r="KXX93" s="201"/>
      <c r="KXY93" s="201"/>
      <c r="KXZ93" s="201"/>
      <c r="KYA93" s="201"/>
      <c r="KYB93" s="201"/>
      <c r="KYC93" s="201"/>
      <c r="KYD93" s="201"/>
      <c r="KYE93" s="201"/>
      <c r="KYF93" s="201"/>
      <c r="KYG93" s="201"/>
      <c r="KYH93" s="201"/>
      <c r="KYI93" s="201"/>
      <c r="KYJ93" s="201"/>
      <c r="KYK93" s="201"/>
      <c r="KYL93" s="201"/>
      <c r="KYM93" s="201"/>
      <c r="KYN93" s="201"/>
      <c r="KYO93" s="201"/>
      <c r="KYP93" s="201"/>
      <c r="KYQ93" s="201"/>
      <c r="KYR93" s="201"/>
      <c r="KYS93" s="201"/>
      <c r="KYT93" s="201"/>
      <c r="KYU93" s="201"/>
      <c r="KYV93" s="201"/>
      <c r="KYW93" s="201"/>
      <c r="KYX93" s="201"/>
      <c r="KYY93" s="201"/>
      <c r="KYZ93" s="201"/>
      <c r="KZA93" s="201"/>
      <c r="KZB93" s="201"/>
      <c r="KZC93" s="201"/>
      <c r="KZD93" s="201"/>
      <c r="KZE93" s="201"/>
      <c r="KZF93" s="201"/>
      <c r="KZG93" s="201"/>
      <c r="KZH93" s="201"/>
      <c r="KZI93" s="201"/>
      <c r="KZJ93" s="201"/>
      <c r="KZK93" s="201"/>
      <c r="KZL93" s="201"/>
      <c r="KZM93" s="201"/>
      <c r="KZN93" s="201"/>
      <c r="KZO93" s="201"/>
      <c r="KZP93" s="201"/>
      <c r="KZQ93" s="201"/>
      <c r="KZR93" s="201"/>
      <c r="KZS93" s="201"/>
      <c r="KZT93" s="201"/>
      <c r="KZU93" s="201"/>
      <c r="KZV93" s="201"/>
      <c r="KZW93" s="201"/>
      <c r="KZX93" s="201"/>
      <c r="KZY93" s="201"/>
      <c r="KZZ93" s="201"/>
      <c r="LAA93" s="201"/>
      <c r="LAB93" s="201"/>
      <c r="LAC93" s="201"/>
      <c r="LAD93" s="201"/>
      <c r="LAE93" s="201"/>
      <c r="LAF93" s="201"/>
      <c r="LAG93" s="201"/>
      <c r="LAH93" s="201"/>
      <c r="LAI93" s="201"/>
      <c r="LAJ93" s="201"/>
      <c r="LAK93" s="201"/>
      <c r="LAL93" s="201"/>
      <c r="LAM93" s="201"/>
      <c r="LAN93" s="201"/>
      <c r="LAO93" s="201"/>
      <c r="LAP93" s="201"/>
      <c r="LAQ93" s="201"/>
      <c r="LAR93" s="201"/>
      <c r="LAS93" s="201"/>
      <c r="LAT93" s="201"/>
      <c r="LAU93" s="201"/>
      <c r="LAV93" s="201"/>
      <c r="LAW93" s="201"/>
      <c r="LAX93" s="201"/>
      <c r="LAY93" s="201"/>
      <c r="LAZ93" s="201"/>
      <c r="LBA93" s="201"/>
      <c r="LBB93" s="201"/>
      <c r="LBC93" s="201"/>
      <c r="LBD93" s="201"/>
      <c r="LBE93" s="201"/>
      <c r="LBF93" s="201"/>
      <c r="LBG93" s="201"/>
      <c r="LBH93" s="201"/>
      <c r="LBI93" s="201"/>
      <c r="LBJ93" s="201"/>
      <c r="LBK93" s="201"/>
      <c r="LBL93" s="201"/>
      <c r="LBM93" s="201"/>
      <c r="LBN93" s="201"/>
      <c r="LBO93" s="201"/>
      <c r="LBP93" s="201"/>
      <c r="LBQ93" s="201"/>
      <c r="LBR93" s="201"/>
      <c r="LBS93" s="201"/>
      <c r="LBT93" s="201"/>
      <c r="LBU93" s="201"/>
      <c r="LBV93" s="201"/>
      <c r="LBW93" s="201"/>
      <c r="LBX93" s="201"/>
      <c r="LBY93" s="201"/>
      <c r="LBZ93" s="201"/>
      <c r="LCA93" s="201"/>
      <c r="LCB93" s="201"/>
      <c r="LCC93" s="201"/>
      <c r="LCD93" s="201"/>
      <c r="LCE93" s="201"/>
      <c r="LCF93" s="201"/>
      <c r="LCG93" s="201"/>
      <c r="LCH93" s="201"/>
      <c r="LCI93" s="201"/>
      <c r="LCJ93" s="201"/>
      <c r="LCK93" s="201"/>
      <c r="LCL93" s="201"/>
      <c r="LCM93" s="201"/>
      <c r="LCN93" s="201"/>
      <c r="LCO93" s="201"/>
      <c r="LCP93" s="201"/>
      <c r="LCQ93" s="201"/>
      <c r="LCR93" s="201"/>
      <c r="LCS93" s="201"/>
      <c r="LCT93" s="201"/>
      <c r="LCU93" s="201"/>
      <c r="LCV93" s="201"/>
      <c r="LCW93" s="201"/>
      <c r="LCX93" s="201"/>
      <c r="LCY93" s="201"/>
      <c r="LCZ93" s="201"/>
      <c r="LDA93" s="201"/>
      <c r="LDB93" s="201"/>
      <c r="LDC93" s="201"/>
      <c r="LDD93" s="201"/>
      <c r="LDE93" s="201"/>
      <c r="LDF93" s="201"/>
      <c r="LDG93" s="201"/>
      <c r="LDH93" s="201"/>
      <c r="LDI93" s="201"/>
      <c r="LDJ93" s="201"/>
      <c r="LDK93" s="201"/>
      <c r="LDL93" s="201"/>
      <c r="LDM93" s="201"/>
      <c r="LDN93" s="201"/>
      <c r="LDO93" s="201"/>
      <c r="LDP93" s="201"/>
      <c r="LDQ93" s="201"/>
      <c r="LDR93" s="201"/>
      <c r="LDS93" s="201"/>
      <c r="LDT93" s="201"/>
      <c r="LDU93" s="201"/>
      <c r="LDV93" s="201"/>
      <c r="LDW93" s="201"/>
      <c r="LDX93" s="201"/>
      <c r="LDY93" s="201"/>
      <c r="LDZ93" s="201"/>
      <c r="LEA93" s="201"/>
      <c r="LEB93" s="201"/>
      <c r="LEC93" s="201"/>
      <c r="LED93" s="201"/>
      <c r="LEE93" s="201"/>
      <c r="LEF93" s="201"/>
      <c r="LEG93" s="201"/>
      <c r="LEH93" s="201"/>
      <c r="LEI93" s="201"/>
      <c r="LEJ93" s="201"/>
      <c r="LEK93" s="201"/>
      <c r="LEL93" s="201"/>
      <c r="LEM93" s="201"/>
      <c r="LEN93" s="201"/>
      <c r="LEO93" s="201"/>
      <c r="LEP93" s="201"/>
      <c r="LEQ93" s="201"/>
      <c r="LER93" s="201"/>
      <c r="LES93" s="201"/>
      <c r="LET93" s="201"/>
      <c r="LEU93" s="201"/>
      <c r="LEV93" s="201"/>
      <c r="LEW93" s="201"/>
      <c r="LEX93" s="201"/>
      <c r="LEY93" s="201"/>
      <c r="LEZ93" s="201"/>
      <c r="LFA93" s="201"/>
      <c r="LFB93" s="201"/>
      <c r="LFC93" s="201"/>
      <c r="LFD93" s="201"/>
      <c r="LFE93" s="201"/>
      <c r="LFF93" s="201"/>
      <c r="LFG93" s="201"/>
      <c r="LFH93" s="201"/>
      <c r="LFI93" s="201"/>
      <c r="LFJ93" s="201"/>
      <c r="LFK93" s="201"/>
      <c r="LFL93" s="201"/>
      <c r="LFM93" s="201"/>
      <c r="LFN93" s="201"/>
      <c r="LFO93" s="201"/>
      <c r="LFP93" s="201"/>
      <c r="LFQ93" s="201"/>
      <c r="LFR93" s="201"/>
      <c r="LFS93" s="201"/>
      <c r="LFT93" s="201"/>
      <c r="LFU93" s="201"/>
      <c r="LFV93" s="201"/>
      <c r="LFW93" s="201"/>
      <c r="LFX93" s="201"/>
      <c r="LFY93" s="201"/>
      <c r="LFZ93" s="201"/>
      <c r="LGA93" s="201"/>
      <c r="LGB93" s="201"/>
      <c r="LGC93" s="201"/>
      <c r="LGD93" s="201"/>
      <c r="LGE93" s="201"/>
      <c r="LGF93" s="201"/>
      <c r="LGG93" s="201"/>
      <c r="LGH93" s="201"/>
      <c r="LGI93" s="201"/>
      <c r="LGJ93" s="201"/>
      <c r="LGK93" s="201"/>
      <c r="LGL93" s="201"/>
      <c r="LGM93" s="201"/>
      <c r="LGN93" s="201"/>
      <c r="LGO93" s="201"/>
      <c r="LGP93" s="201"/>
      <c r="LGQ93" s="201"/>
      <c r="LGR93" s="201"/>
      <c r="LGS93" s="201"/>
      <c r="LGT93" s="201"/>
      <c r="LGU93" s="201"/>
      <c r="LGV93" s="201"/>
      <c r="LGW93" s="201"/>
      <c r="LGX93" s="201"/>
      <c r="LGY93" s="201"/>
      <c r="LGZ93" s="201"/>
      <c r="LHA93" s="201"/>
      <c r="LHB93" s="201"/>
      <c r="LHC93" s="201"/>
      <c r="LHD93" s="201"/>
      <c r="LHE93" s="201"/>
      <c r="LHF93" s="201"/>
      <c r="LHG93" s="201"/>
      <c r="LHH93" s="201"/>
      <c r="LHI93" s="201"/>
      <c r="LHJ93" s="201"/>
      <c r="LHK93" s="201"/>
      <c r="LHL93" s="201"/>
      <c r="LHM93" s="201"/>
      <c r="LHN93" s="201"/>
      <c r="LHO93" s="201"/>
      <c r="LHP93" s="201"/>
      <c r="LHQ93" s="201"/>
      <c r="LHR93" s="201"/>
      <c r="LHS93" s="201"/>
      <c r="LHT93" s="201"/>
      <c r="LHU93" s="201"/>
      <c r="LHV93" s="201"/>
      <c r="LHW93" s="201"/>
      <c r="LHX93" s="201"/>
      <c r="LHY93" s="201"/>
      <c r="LHZ93" s="201"/>
      <c r="LIA93" s="201"/>
      <c r="LIB93" s="201"/>
      <c r="LIC93" s="201"/>
      <c r="LID93" s="201"/>
      <c r="LIE93" s="201"/>
      <c r="LIF93" s="201"/>
      <c r="LIG93" s="201"/>
      <c r="LIH93" s="201"/>
      <c r="LII93" s="201"/>
      <c r="LIJ93" s="201"/>
      <c r="LIK93" s="201"/>
      <c r="LIL93" s="201"/>
      <c r="LIM93" s="201"/>
      <c r="LIN93" s="201"/>
      <c r="LIO93" s="201"/>
      <c r="LIP93" s="201"/>
      <c r="LIQ93" s="201"/>
      <c r="LIR93" s="201"/>
      <c r="LIS93" s="201"/>
      <c r="LIT93" s="201"/>
      <c r="LIU93" s="201"/>
      <c r="LIV93" s="201"/>
      <c r="LIW93" s="201"/>
      <c r="LIX93" s="201"/>
      <c r="LIY93" s="201"/>
      <c r="LIZ93" s="201"/>
      <c r="LJA93" s="201"/>
      <c r="LJB93" s="201"/>
      <c r="LJC93" s="201"/>
      <c r="LJD93" s="201"/>
      <c r="LJE93" s="201"/>
      <c r="LJF93" s="201"/>
      <c r="LJG93" s="201"/>
      <c r="LJH93" s="201"/>
      <c r="LJI93" s="201"/>
      <c r="LJJ93" s="201"/>
      <c r="LJK93" s="201"/>
      <c r="LJL93" s="201"/>
      <c r="LJM93" s="201"/>
      <c r="LJN93" s="201"/>
      <c r="LJO93" s="201"/>
      <c r="LJP93" s="201"/>
      <c r="LJQ93" s="201"/>
      <c r="LJR93" s="201"/>
      <c r="LJS93" s="201"/>
      <c r="LJT93" s="201"/>
      <c r="LJU93" s="201"/>
      <c r="LJV93" s="201"/>
      <c r="LJW93" s="201"/>
      <c r="LJX93" s="201"/>
      <c r="LJY93" s="201"/>
      <c r="LJZ93" s="201"/>
      <c r="LKA93" s="201"/>
      <c r="LKB93" s="201"/>
      <c r="LKC93" s="201"/>
      <c r="LKD93" s="201"/>
      <c r="LKE93" s="201"/>
      <c r="LKF93" s="201"/>
      <c r="LKG93" s="201"/>
      <c r="LKH93" s="201"/>
      <c r="LKI93" s="201"/>
      <c r="LKJ93" s="201"/>
      <c r="LKK93" s="201"/>
      <c r="LKL93" s="201"/>
      <c r="LKM93" s="201"/>
      <c r="LKN93" s="201"/>
      <c r="LKO93" s="201"/>
      <c r="LKP93" s="201"/>
      <c r="LKQ93" s="201"/>
      <c r="LKR93" s="201"/>
      <c r="LKS93" s="201"/>
      <c r="LKT93" s="201"/>
      <c r="LKU93" s="201"/>
      <c r="LKV93" s="201"/>
      <c r="LKW93" s="201"/>
      <c r="LKX93" s="201"/>
      <c r="LKY93" s="201"/>
      <c r="LKZ93" s="201"/>
      <c r="LLA93" s="201"/>
      <c r="LLB93" s="201"/>
      <c r="LLC93" s="201"/>
      <c r="LLD93" s="201"/>
      <c r="LLE93" s="201"/>
      <c r="LLF93" s="201"/>
      <c r="LLG93" s="201"/>
      <c r="LLH93" s="201"/>
      <c r="LLI93" s="201"/>
      <c r="LLJ93" s="201"/>
      <c r="LLK93" s="201"/>
      <c r="LLL93" s="201"/>
      <c r="LLM93" s="201"/>
      <c r="LLN93" s="201"/>
      <c r="LLO93" s="201"/>
      <c r="LLP93" s="201"/>
      <c r="LLQ93" s="201"/>
      <c r="LLR93" s="201"/>
      <c r="LLS93" s="201"/>
      <c r="LLT93" s="201"/>
      <c r="LLU93" s="201"/>
      <c r="LLV93" s="201"/>
      <c r="LLW93" s="201"/>
      <c r="LLX93" s="201"/>
      <c r="LLY93" s="201"/>
      <c r="LLZ93" s="201"/>
      <c r="LMA93" s="201"/>
      <c r="LMB93" s="201"/>
      <c r="LMC93" s="201"/>
      <c r="LMD93" s="201"/>
      <c r="LME93" s="201"/>
      <c r="LMF93" s="201"/>
      <c r="LMG93" s="201"/>
      <c r="LMH93" s="201"/>
      <c r="LMI93" s="201"/>
      <c r="LMJ93" s="201"/>
      <c r="LMK93" s="201"/>
      <c r="LML93" s="201"/>
      <c r="LMM93" s="201"/>
      <c r="LMN93" s="201"/>
      <c r="LMO93" s="201"/>
      <c r="LMP93" s="201"/>
      <c r="LMQ93" s="201"/>
      <c r="LMR93" s="201"/>
      <c r="LMS93" s="201"/>
      <c r="LMT93" s="201"/>
      <c r="LMU93" s="201"/>
      <c r="LMV93" s="201"/>
      <c r="LMW93" s="201"/>
      <c r="LMX93" s="201"/>
      <c r="LMY93" s="201"/>
      <c r="LMZ93" s="201"/>
      <c r="LNA93" s="201"/>
      <c r="LNB93" s="201"/>
      <c r="LNC93" s="201"/>
      <c r="LND93" s="201"/>
      <c r="LNE93" s="201"/>
      <c r="LNF93" s="201"/>
      <c r="LNG93" s="201"/>
      <c r="LNH93" s="201"/>
      <c r="LNI93" s="201"/>
      <c r="LNJ93" s="201"/>
      <c r="LNK93" s="201"/>
      <c r="LNL93" s="201"/>
      <c r="LNM93" s="201"/>
      <c r="LNN93" s="201"/>
      <c r="LNO93" s="201"/>
      <c r="LNP93" s="201"/>
      <c r="LNQ93" s="201"/>
      <c r="LNR93" s="201"/>
      <c r="LNS93" s="201"/>
      <c r="LNT93" s="201"/>
      <c r="LNU93" s="201"/>
      <c r="LNV93" s="201"/>
      <c r="LNW93" s="201"/>
      <c r="LNX93" s="201"/>
      <c r="LNY93" s="201"/>
      <c r="LNZ93" s="201"/>
      <c r="LOA93" s="201"/>
      <c r="LOB93" s="201"/>
      <c r="LOC93" s="201"/>
      <c r="LOD93" s="201"/>
      <c r="LOE93" s="201"/>
      <c r="LOF93" s="201"/>
      <c r="LOG93" s="201"/>
      <c r="LOH93" s="201"/>
      <c r="LOI93" s="201"/>
      <c r="LOJ93" s="201"/>
      <c r="LOK93" s="201"/>
      <c r="LOL93" s="201"/>
      <c r="LOM93" s="201"/>
      <c r="LON93" s="201"/>
      <c r="LOO93" s="201"/>
      <c r="LOP93" s="201"/>
      <c r="LOQ93" s="201"/>
      <c r="LOR93" s="201"/>
      <c r="LOS93" s="201"/>
      <c r="LOT93" s="201"/>
      <c r="LOU93" s="201"/>
      <c r="LOV93" s="201"/>
      <c r="LOW93" s="201"/>
      <c r="LOX93" s="201"/>
      <c r="LOY93" s="201"/>
      <c r="LOZ93" s="201"/>
      <c r="LPA93" s="201"/>
      <c r="LPB93" s="201"/>
      <c r="LPC93" s="201"/>
      <c r="LPD93" s="201"/>
      <c r="LPE93" s="201"/>
      <c r="LPF93" s="201"/>
      <c r="LPG93" s="201"/>
      <c r="LPH93" s="201"/>
      <c r="LPI93" s="201"/>
      <c r="LPJ93" s="201"/>
      <c r="LPK93" s="201"/>
      <c r="LPL93" s="201"/>
      <c r="LPM93" s="201"/>
      <c r="LPN93" s="201"/>
      <c r="LPO93" s="201"/>
      <c r="LPP93" s="201"/>
      <c r="LPQ93" s="201"/>
      <c r="LPR93" s="201"/>
      <c r="LPS93" s="201"/>
      <c r="LPT93" s="201"/>
      <c r="LPU93" s="201"/>
      <c r="LPV93" s="201"/>
      <c r="LPW93" s="201"/>
      <c r="LPX93" s="201"/>
      <c r="LPY93" s="201"/>
      <c r="LPZ93" s="201"/>
      <c r="LQA93" s="201"/>
      <c r="LQB93" s="201"/>
      <c r="LQC93" s="201"/>
      <c r="LQD93" s="201"/>
      <c r="LQE93" s="201"/>
      <c r="LQF93" s="201"/>
      <c r="LQG93" s="201"/>
      <c r="LQH93" s="201"/>
      <c r="LQI93" s="201"/>
      <c r="LQJ93" s="201"/>
      <c r="LQK93" s="201"/>
      <c r="LQL93" s="201"/>
      <c r="LQM93" s="201"/>
      <c r="LQN93" s="201"/>
      <c r="LQO93" s="201"/>
      <c r="LQP93" s="201"/>
      <c r="LQQ93" s="201"/>
      <c r="LQR93" s="201"/>
      <c r="LQS93" s="201"/>
      <c r="LQT93" s="201"/>
      <c r="LQU93" s="201"/>
      <c r="LQV93" s="201"/>
      <c r="LQW93" s="201"/>
      <c r="LQX93" s="201"/>
      <c r="LQY93" s="201"/>
      <c r="LQZ93" s="201"/>
      <c r="LRA93" s="201"/>
      <c r="LRB93" s="201"/>
      <c r="LRC93" s="201"/>
      <c r="LRD93" s="201"/>
      <c r="LRE93" s="201"/>
      <c r="LRF93" s="201"/>
      <c r="LRG93" s="201"/>
      <c r="LRH93" s="201"/>
      <c r="LRI93" s="201"/>
      <c r="LRJ93" s="201"/>
      <c r="LRK93" s="201"/>
      <c r="LRL93" s="201"/>
      <c r="LRM93" s="201"/>
      <c r="LRN93" s="201"/>
      <c r="LRO93" s="201"/>
      <c r="LRP93" s="201"/>
      <c r="LRQ93" s="201"/>
      <c r="LRR93" s="201"/>
      <c r="LRS93" s="201"/>
      <c r="LRT93" s="201"/>
      <c r="LRU93" s="201"/>
      <c r="LRV93" s="201"/>
      <c r="LRW93" s="201"/>
      <c r="LRX93" s="201"/>
      <c r="LRY93" s="201"/>
      <c r="LRZ93" s="201"/>
      <c r="LSA93" s="201"/>
      <c r="LSB93" s="201"/>
      <c r="LSC93" s="201"/>
      <c r="LSD93" s="201"/>
      <c r="LSE93" s="201"/>
      <c r="LSF93" s="201"/>
      <c r="LSG93" s="201"/>
      <c r="LSH93" s="201"/>
      <c r="LSI93" s="201"/>
      <c r="LSJ93" s="201"/>
      <c r="LSK93" s="201"/>
      <c r="LSL93" s="201"/>
      <c r="LSM93" s="201"/>
      <c r="LSN93" s="201"/>
      <c r="LSO93" s="201"/>
      <c r="LSP93" s="201"/>
      <c r="LSQ93" s="201"/>
      <c r="LSR93" s="201"/>
      <c r="LSS93" s="201"/>
      <c r="LST93" s="201"/>
      <c r="LSU93" s="201"/>
      <c r="LSV93" s="201"/>
      <c r="LSW93" s="201"/>
      <c r="LSX93" s="201"/>
      <c r="LSY93" s="201"/>
      <c r="LSZ93" s="201"/>
      <c r="LTA93" s="201"/>
      <c r="LTB93" s="201"/>
      <c r="LTC93" s="201"/>
      <c r="LTD93" s="201"/>
      <c r="LTE93" s="201"/>
      <c r="LTF93" s="201"/>
      <c r="LTG93" s="201"/>
      <c r="LTH93" s="201"/>
      <c r="LTI93" s="201"/>
      <c r="LTJ93" s="201"/>
      <c r="LTK93" s="201"/>
      <c r="LTL93" s="201"/>
      <c r="LTM93" s="201"/>
      <c r="LTN93" s="201"/>
      <c r="LTO93" s="201"/>
      <c r="LTP93" s="201"/>
      <c r="LTQ93" s="201"/>
      <c r="LTR93" s="201"/>
      <c r="LTS93" s="201"/>
      <c r="LTT93" s="201"/>
      <c r="LTU93" s="201"/>
      <c r="LTV93" s="201"/>
      <c r="LTW93" s="201"/>
      <c r="LTX93" s="201"/>
      <c r="LTY93" s="201"/>
      <c r="LTZ93" s="201"/>
      <c r="LUA93" s="201"/>
      <c r="LUB93" s="201"/>
      <c r="LUC93" s="201"/>
      <c r="LUD93" s="201"/>
      <c r="LUE93" s="201"/>
      <c r="LUF93" s="201"/>
      <c r="LUG93" s="201"/>
      <c r="LUH93" s="201"/>
      <c r="LUI93" s="201"/>
      <c r="LUJ93" s="201"/>
      <c r="LUK93" s="201"/>
      <c r="LUL93" s="201"/>
      <c r="LUM93" s="201"/>
      <c r="LUN93" s="201"/>
      <c r="LUO93" s="201"/>
      <c r="LUP93" s="201"/>
      <c r="LUQ93" s="201"/>
      <c r="LUR93" s="201"/>
      <c r="LUS93" s="201"/>
      <c r="LUT93" s="201"/>
      <c r="LUU93" s="201"/>
      <c r="LUV93" s="201"/>
      <c r="LUW93" s="201"/>
      <c r="LUX93" s="201"/>
      <c r="LUY93" s="201"/>
      <c r="LUZ93" s="201"/>
      <c r="LVA93" s="201"/>
      <c r="LVB93" s="201"/>
      <c r="LVC93" s="201"/>
      <c r="LVD93" s="201"/>
      <c r="LVE93" s="201"/>
      <c r="LVF93" s="201"/>
      <c r="LVG93" s="201"/>
      <c r="LVH93" s="201"/>
      <c r="LVI93" s="201"/>
      <c r="LVJ93" s="201"/>
      <c r="LVK93" s="201"/>
      <c r="LVL93" s="201"/>
      <c r="LVM93" s="201"/>
      <c r="LVN93" s="201"/>
      <c r="LVO93" s="201"/>
      <c r="LVP93" s="201"/>
      <c r="LVQ93" s="201"/>
      <c r="LVR93" s="201"/>
      <c r="LVS93" s="201"/>
      <c r="LVT93" s="201"/>
      <c r="LVU93" s="201"/>
      <c r="LVV93" s="201"/>
      <c r="LVW93" s="201"/>
      <c r="LVX93" s="201"/>
      <c r="LVY93" s="201"/>
      <c r="LVZ93" s="201"/>
      <c r="LWA93" s="201"/>
      <c r="LWB93" s="201"/>
      <c r="LWC93" s="201"/>
      <c r="LWD93" s="201"/>
      <c r="LWE93" s="201"/>
      <c r="LWF93" s="201"/>
      <c r="LWG93" s="201"/>
      <c r="LWH93" s="201"/>
      <c r="LWI93" s="201"/>
      <c r="LWJ93" s="201"/>
      <c r="LWK93" s="201"/>
      <c r="LWL93" s="201"/>
      <c r="LWM93" s="201"/>
      <c r="LWN93" s="201"/>
      <c r="LWO93" s="201"/>
      <c r="LWP93" s="201"/>
      <c r="LWQ93" s="201"/>
      <c r="LWR93" s="201"/>
      <c r="LWS93" s="201"/>
      <c r="LWT93" s="201"/>
      <c r="LWU93" s="201"/>
      <c r="LWV93" s="201"/>
      <c r="LWW93" s="201"/>
      <c r="LWX93" s="201"/>
      <c r="LWY93" s="201"/>
      <c r="LWZ93" s="201"/>
      <c r="LXA93" s="201"/>
      <c r="LXB93" s="201"/>
      <c r="LXC93" s="201"/>
      <c r="LXD93" s="201"/>
      <c r="LXE93" s="201"/>
      <c r="LXF93" s="201"/>
      <c r="LXG93" s="201"/>
      <c r="LXH93" s="201"/>
      <c r="LXI93" s="201"/>
      <c r="LXJ93" s="201"/>
      <c r="LXK93" s="201"/>
      <c r="LXL93" s="201"/>
      <c r="LXM93" s="201"/>
      <c r="LXN93" s="201"/>
      <c r="LXO93" s="201"/>
      <c r="LXP93" s="201"/>
      <c r="LXQ93" s="201"/>
      <c r="LXR93" s="201"/>
      <c r="LXS93" s="201"/>
      <c r="LXT93" s="201"/>
      <c r="LXU93" s="201"/>
      <c r="LXV93" s="201"/>
      <c r="LXW93" s="201"/>
      <c r="LXX93" s="201"/>
      <c r="LXY93" s="201"/>
      <c r="LXZ93" s="201"/>
      <c r="LYA93" s="201"/>
      <c r="LYB93" s="201"/>
      <c r="LYC93" s="201"/>
      <c r="LYD93" s="201"/>
      <c r="LYE93" s="201"/>
      <c r="LYF93" s="201"/>
      <c r="LYG93" s="201"/>
      <c r="LYH93" s="201"/>
      <c r="LYI93" s="201"/>
      <c r="LYJ93" s="201"/>
      <c r="LYK93" s="201"/>
      <c r="LYL93" s="201"/>
      <c r="LYM93" s="201"/>
      <c r="LYN93" s="201"/>
      <c r="LYO93" s="201"/>
      <c r="LYP93" s="201"/>
      <c r="LYQ93" s="201"/>
      <c r="LYR93" s="201"/>
      <c r="LYS93" s="201"/>
      <c r="LYT93" s="201"/>
      <c r="LYU93" s="201"/>
      <c r="LYV93" s="201"/>
      <c r="LYW93" s="201"/>
      <c r="LYX93" s="201"/>
      <c r="LYY93" s="201"/>
      <c r="LYZ93" s="201"/>
      <c r="LZA93" s="201"/>
      <c r="LZB93" s="201"/>
      <c r="LZC93" s="201"/>
      <c r="LZD93" s="201"/>
      <c r="LZE93" s="201"/>
      <c r="LZF93" s="201"/>
      <c r="LZG93" s="201"/>
      <c r="LZH93" s="201"/>
      <c r="LZI93" s="201"/>
      <c r="LZJ93" s="201"/>
      <c r="LZK93" s="201"/>
      <c r="LZL93" s="201"/>
      <c r="LZM93" s="201"/>
      <c r="LZN93" s="201"/>
      <c r="LZO93" s="201"/>
      <c r="LZP93" s="201"/>
      <c r="LZQ93" s="201"/>
      <c r="LZR93" s="201"/>
      <c r="LZS93" s="201"/>
      <c r="LZT93" s="201"/>
      <c r="LZU93" s="201"/>
      <c r="LZV93" s="201"/>
      <c r="LZW93" s="201"/>
      <c r="LZX93" s="201"/>
      <c r="LZY93" s="201"/>
      <c r="LZZ93" s="201"/>
      <c r="MAA93" s="201"/>
      <c r="MAB93" s="201"/>
      <c r="MAC93" s="201"/>
      <c r="MAD93" s="201"/>
      <c r="MAE93" s="201"/>
      <c r="MAF93" s="201"/>
      <c r="MAG93" s="201"/>
      <c r="MAH93" s="201"/>
      <c r="MAI93" s="201"/>
      <c r="MAJ93" s="201"/>
      <c r="MAK93" s="201"/>
      <c r="MAL93" s="201"/>
      <c r="MAM93" s="201"/>
      <c r="MAN93" s="201"/>
      <c r="MAO93" s="201"/>
      <c r="MAP93" s="201"/>
      <c r="MAQ93" s="201"/>
      <c r="MAR93" s="201"/>
      <c r="MAS93" s="201"/>
      <c r="MAT93" s="201"/>
      <c r="MAU93" s="201"/>
      <c r="MAV93" s="201"/>
      <c r="MAW93" s="201"/>
      <c r="MAX93" s="201"/>
      <c r="MAY93" s="201"/>
      <c r="MAZ93" s="201"/>
      <c r="MBA93" s="201"/>
      <c r="MBB93" s="201"/>
      <c r="MBC93" s="201"/>
      <c r="MBD93" s="201"/>
      <c r="MBE93" s="201"/>
      <c r="MBF93" s="201"/>
      <c r="MBG93" s="201"/>
      <c r="MBH93" s="201"/>
      <c r="MBI93" s="201"/>
      <c r="MBJ93" s="201"/>
      <c r="MBK93" s="201"/>
      <c r="MBL93" s="201"/>
      <c r="MBM93" s="201"/>
      <c r="MBN93" s="201"/>
      <c r="MBO93" s="201"/>
      <c r="MBP93" s="201"/>
      <c r="MBQ93" s="201"/>
      <c r="MBR93" s="201"/>
      <c r="MBS93" s="201"/>
      <c r="MBT93" s="201"/>
      <c r="MBU93" s="201"/>
      <c r="MBV93" s="201"/>
      <c r="MBW93" s="201"/>
      <c r="MBX93" s="201"/>
      <c r="MBY93" s="201"/>
      <c r="MBZ93" s="201"/>
      <c r="MCA93" s="201"/>
      <c r="MCB93" s="201"/>
      <c r="MCC93" s="201"/>
      <c r="MCD93" s="201"/>
      <c r="MCE93" s="201"/>
      <c r="MCF93" s="201"/>
      <c r="MCG93" s="201"/>
      <c r="MCH93" s="201"/>
      <c r="MCI93" s="201"/>
      <c r="MCJ93" s="201"/>
      <c r="MCK93" s="201"/>
      <c r="MCL93" s="201"/>
      <c r="MCM93" s="201"/>
      <c r="MCN93" s="201"/>
      <c r="MCO93" s="201"/>
      <c r="MCP93" s="201"/>
      <c r="MCQ93" s="201"/>
      <c r="MCR93" s="201"/>
      <c r="MCS93" s="201"/>
      <c r="MCT93" s="201"/>
      <c r="MCU93" s="201"/>
      <c r="MCV93" s="201"/>
      <c r="MCW93" s="201"/>
      <c r="MCX93" s="201"/>
      <c r="MCY93" s="201"/>
      <c r="MCZ93" s="201"/>
      <c r="MDA93" s="201"/>
      <c r="MDB93" s="201"/>
      <c r="MDC93" s="201"/>
      <c r="MDD93" s="201"/>
      <c r="MDE93" s="201"/>
      <c r="MDF93" s="201"/>
      <c r="MDG93" s="201"/>
      <c r="MDH93" s="201"/>
      <c r="MDI93" s="201"/>
      <c r="MDJ93" s="201"/>
      <c r="MDK93" s="201"/>
      <c r="MDL93" s="201"/>
      <c r="MDM93" s="201"/>
      <c r="MDN93" s="201"/>
      <c r="MDO93" s="201"/>
      <c r="MDP93" s="201"/>
      <c r="MDQ93" s="201"/>
      <c r="MDR93" s="201"/>
      <c r="MDS93" s="201"/>
      <c r="MDT93" s="201"/>
      <c r="MDU93" s="201"/>
      <c r="MDV93" s="201"/>
      <c r="MDW93" s="201"/>
      <c r="MDX93" s="201"/>
      <c r="MDY93" s="201"/>
      <c r="MDZ93" s="201"/>
      <c r="MEA93" s="201"/>
      <c r="MEB93" s="201"/>
      <c r="MEC93" s="201"/>
      <c r="MED93" s="201"/>
      <c r="MEE93" s="201"/>
      <c r="MEF93" s="201"/>
      <c r="MEG93" s="201"/>
      <c r="MEH93" s="201"/>
      <c r="MEI93" s="201"/>
      <c r="MEJ93" s="201"/>
      <c r="MEK93" s="201"/>
      <c r="MEL93" s="201"/>
      <c r="MEM93" s="201"/>
      <c r="MEN93" s="201"/>
      <c r="MEO93" s="201"/>
      <c r="MEP93" s="201"/>
      <c r="MEQ93" s="201"/>
      <c r="MER93" s="201"/>
      <c r="MES93" s="201"/>
      <c r="MET93" s="201"/>
      <c r="MEU93" s="201"/>
      <c r="MEV93" s="201"/>
      <c r="MEW93" s="201"/>
      <c r="MEX93" s="201"/>
      <c r="MEY93" s="201"/>
      <c r="MEZ93" s="201"/>
      <c r="MFA93" s="201"/>
      <c r="MFB93" s="201"/>
      <c r="MFC93" s="201"/>
      <c r="MFD93" s="201"/>
      <c r="MFE93" s="201"/>
      <c r="MFF93" s="201"/>
      <c r="MFG93" s="201"/>
      <c r="MFH93" s="201"/>
      <c r="MFI93" s="201"/>
      <c r="MFJ93" s="201"/>
      <c r="MFK93" s="201"/>
      <c r="MFL93" s="201"/>
      <c r="MFM93" s="201"/>
      <c r="MFN93" s="201"/>
      <c r="MFO93" s="201"/>
      <c r="MFP93" s="201"/>
      <c r="MFQ93" s="201"/>
      <c r="MFR93" s="201"/>
      <c r="MFS93" s="201"/>
      <c r="MFT93" s="201"/>
      <c r="MFU93" s="201"/>
      <c r="MFV93" s="201"/>
      <c r="MFW93" s="201"/>
      <c r="MFX93" s="201"/>
      <c r="MFY93" s="201"/>
      <c r="MFZ93" s="201"/>
      <c r="MGA93" s="201"/>
      <c r="MGB93" s="201"/>
      <c r="MGC93" s="201"/>
      <c r="MGD93" s="201"/>
      <c r="MGE93" s="201"/>
      <c r="MGF93" s="201"/>
      <c r="MGG93" s="201"/>
      <c r="MGH93" s="201"/>
      <c r="MGI93" s="201"/>
      <c r="MGJ93" s="201"/>
      <c r="MGK93" s="201"/>
      <c r="MGL93" s="201"/>
      <c r="MGM93" s="201"/>
      <c r="MGN93" s="201"/>
      <c r="MGO93" s="201"/>
      <c r="MGP93" s="201"/>
      <c r="MGQ93" s="201"/>
      <c r="MGR93" s="201"/>
      <c r="MGS93" s="201"/>
      <c r="MGT93" s="201"/>
      <c r="MGU93" s="201"/>
      <c r="MGV93" s="201"/>
      <c r="MGW93" s="201"/>
      <c r="MGX93" s="201"/>
      <c r="MGY93" s="201"/>
      <c r="MGZ93" s="201"/>
      <c r="MHA93" s="201"/>
      <c r="MHB93" s="201"/>
      <c r="MHC93" s="201"/>
      <c r="MHD93" s="201"/>
      <c r="MHE93" s="201"/>
      <c r="MHF93" s="201"/>
      <c r="MHG93" s="201"/>
      <c r="MHH93" s="201"/>
      <c r="MHI93" s="201"/>
      <c r="MHJ93" s="201"/>
      <c r="MHK93" s="201"/>
      <c r="MHL93" s="201"/>
      <c r="MHM93" s="201"/>
      <c r="MHN93" s="201"/>
      <c r="MHO93" s="201"/>
      <c r="MHP93" s="201"/>
      <c r="MHQ93" s="201"/>
      <c r="MHR93" s="201"/>
      <c r="MHS93" s="201"/>
      <c r="MHT93" s="201"/>
      <c r="MHU93" s="201"/>
      <c r="MHV93" s="201"/>
      <c r="MHW93" s="201"/>
      <c r="MHX93" s="201"/>
      <c r="MHY93" s="201"/>
      <c r="MHZ93" s="201"/>
      <c r="MIA93" s="201"/>
      <c r="MIB93" s="201"/>
      <c r="MIC93" s="201"/>
      <c r="MID93" s="201"/>
      <c r="MIE93" s="201"/>
      <c r="MIF93" s="201"/>
      <c r="MIG93" s="201"/>
      <c r="MIH93" s="201"/>
      <c r="MII93" s="201"/>
      <c r="MIJ93" s="201"/>
      <c r="MIK93" s="201"/>
      <c r="MIL93" s="201"/>
      <c r="MIM93" s="201"/>
      <c r="MIN93" s="201"/>
      <c r="MIO93" s="201"/>
      <c r="MIP93" s="201"/>
      <c r="MIQ93" s="201"/>
      <c r="MIR93" s="201"/>
      <c r="MIS93" s="201"/>
      <c r="MIT93" s="201"/>
      <c r="MIU93" s="201"/>
      <c r="MIV93" s="201"/>
      <c r="MIW93" s="201"/>
      <c r="MIX93" s="201"/>
      <c r="MIY93" s="201"/>
      <c r="MIZ93" s="201"/>
      <c r="MJA93" s="201"/>
      <c r="MJB93" s="201"/>
      <c r="MJC93" s="201"/>
      <c r="MJD93" s="201"/>
      <c r="MJE93" s="201"/>
      <c r="MJF93" s="201"/>
      <c r="MJG93" s="201"/>
      <c r="MJH93" s="201"/>
      <c r="MJI93" s="201"/>
      <c r="MJJ93" s="201"/>
      <c r="MJK93" s="201"/>
      <c r="MJL93" s="201"/>
      <c r="MJM93" s="201"/>
      <c r="MJN93" s="201"/>
      <c r="MJO93" s="201"/>
      <c r="MJP93" s="201"/>
      <c r="MJQ93" s="201"/>
      <c r="MJR93" s="201"/>
      <c r="MJS93" s="201"/>
      <c r="MJT93" s="201"/>
      <c r="MJU93" s="201"/>
      <c r="MJV93" s="201"/>
      <c r="MJW93" s="201"/>
      <c r="MJX93" s="201"/>
      <c r="MJY93" s="201"/>
      <c r="MJZ93" s="201"/>
      <c r="MKA93" s="201"/>
      <c r="MKB93" s="201"/>
      <c r="MKC93" s="201"/>
      <c r="MKD93" s="201"/>
      <c r="MKE93" s="201"/>
      <c r="MKF93" s="201"/>
      <c r="MKG93" s="201"/>
      <c r="MKH93" s="201"/>
      <c r="MKI93" s="201"/>
      <c r="MKJ93" s="201"/>
      <c r="MKK93" s="201"/>
      <c r="MKL93" s="201"/>
      <c r="MKM93" s="201"/>
      <c r="MKN93" s="201"/>
      <c r="MKO93" s="201"/>
      <c r="MKP93" s="201"/>
      <c r="MKQ93" s="201"/>
      <c r="MKR93" s="201"/>
      <c r="MKS93" s="201"/>
      <c r="MKT93" s="201"/>
      <c r="MKU93" s="201"/>
      <c r="MKV93" s="201"/>
      <c r="MKW93" s="201"/>
      <c r="MKX93" s="201"/>
      <c r="MKY93" s="201"/>
      <c r="MKZ93" s="201"/>
      <c r="MLA93" s="201"/>
      <c r="MLB93" s="201"/>
      <c r="MLC93" s="201"/>
      <c r="MLD93" s="201"/>
      <c r="MLE93" s="201"/>
      <c r="MLF93" s="201"/>
      <c r="MLG93" s="201"/>
      <c r="MLH93" s="201"/>
      <c r="MLI93" s="201"/>
      <c r="MLJ93" s="201"/>
      <c r="MLK93" s="201"/>
      <c r="MLL93" s="201"/>
      <c r="MLM93" s="201"/>
      <c r="MLN93" s="201"/>
      <c r="MLO93" s="201"/>
      <c r="MLP93" s="201"/>
      <c r="MLQ93" s="201"/>
      <c r="MLR93" s="201"/>
      <c r="MLS93" s="201"/>
      <c r="MLT93" s="201"/>
      <c r="MLU93" s="201"/>
      <c r="MLV93" s="201"/>
      <c r="MLW93" s="201"/>
      <c r="MLX93" s="201"/>
      <c r="MLY93" s="201"/>
      <c r="MLZ93" s="201"/>
      <c r="MMA93" s="201"/>
      <c r="MMB93" s="201"/>
      <c r="MMC93" s="201"/>
      <c r="MMD93" s="201"/>
      <c r="MME93" s="201"/>
      <c r="MMF93" s="201"/>
      <c r="MMG93" s="201"/>
      <c r="MMH93" s="201"/>
      <c r="MMI93" s="201"/>
      <c r="MMJ93" s="201"/>
      <c r="MMK93" s="201"/>
      <c r="MML93" s="201"/>
      <c r="MMM93" s="201"/>
      <c r="MMN93" s="201"/>
      <c r="MMO93" s="201"/>
      <c r="MMP93" s="201"/>
      <c r="MMQ93" s="201"/>
      <c r="MMR93" s="201"/>
      <c r="MMS93" s="201"/>
      <c r="MMT93" s="201"/>
      <c r="MMU93" s="201"/>
      <c r="MMV93" s="201"/>
      <c r="MMW93" s="201"/>
      <c r="MMX93" s="201"/>
      <c r="MMY93" s="201"/>
      <c r="MMZ93" s="201"/>
      <c r="MNA93" s="201"/>
      <c r="MNB93" s="201"/>
      <c r="MNC93" s="201"/>
      <c r="MND93" s="201"/>
      <c r="MNE93" s="201"/>
      <c r="MNF93" s="201"/>
      <c r="MNG93" s="201"/>
      <c r="MNH93" s="201"/>
      <c r="MNI93" s="201"/>
      <c r="MNJ93" s="201"/>
      <c r="MNK93" s="201"/>
      <c r="MNL93" s="201"/>
      <c r="MNM93" s="201"/>
      <c r="MNN93" s="201"/>
      <c r="MNO93" s="201"/>
      <c r="MNP93" s="201"/>
      <c r="MNQ93" s="201"/>
      <c r="MNR93" s="201"/>
      <c r="MNS93" s="201"/>
      <c r="MNT93" s="201"/>
      <c r="MNU93" s="201"/>
      <c r="MNV93" s="201"/>
      <c r="MNW93" s="201"/>
      <c r="MNX93" s="201"/>
      <c r="MNY93" s="201"/>
      <c r="MNZ93" s="201"/>
      <c r="MOA93" s="201"/>
      <c r="MOB93" s="201"/>
      <c r="MOC93" s="201"/>
      <c r="MOD93" s="201"/>
      <c r="MOE93" s="201"/>
      <c r="MOF93" s="201"/>
      <c r="MOG93" s="201"/>
      <c r="MOH93" s="201"/>
      <c r="MOI93" s="201"/>
      <c r="MOJ93" s="201"/>
      <c r="MOK93" s="201"/>
      <c r="MOL93" s="201"/>
      <c r="MOM93" s="201"/>
      <c r="MON93" s="201"/>
      <c r="MOO93" s="201"/>
      <c r="MOP93" s="201"/>
      <c r="MOQ93" s="201"/>
      <c r="MOR93" s="201"/>
      <c r="MOS93" s="201"/>
      <c r="MOT93" s="201"/>
      <c r="MOU93" s="201"/>
      <c r="MOV93" s="201"/>
      <c r="MOW93" s="201"/>
      <c r="MOX93" s="201"/>
      <c r="MOY93" s="201"/>
      <c r="MOZ93" s="201"/>
      <c r="MPA93" s="201"/>
      <c r="MPB93" s="201"/>
      <c r="MPC93" s="201"/>
      <c r="MPD93" s="201"/>
      <c r="MPE93" s="201"/>
      <c r="MPF93" s="201"/>
      <c r="MPG93" s="201"/>
      <c r="MPH93" s="201"/>
      <c r="MPI93" s="201"/>
      <c r="MPJ93" s="201"/>
      <c r="MPK93" s="201"/>
      <c r="MPL93" s="201"/>
      <c r="MPM93" s="201"/>
      <c r="MPN93" s="201"/>
      <c r="MPO93" s="201"/>
      <c r="MPP93" s="201"/>
      <c r="MPQ93" s="201"/>
      <c r="MPR93" s="201"/>
      <c r="MPS93" s="201"/>
      <c r="MPT93" s="201"/>
      <c r="MPU93" s="201"/>
      <c r="MPV93" s="201"/>
      <c r="MPW93" s="201"/>
      <c r="MPX93" s="201"/>
      <c r="MPY93" s="201"/>
      <c r="MPZ93" s="201"/>
      <c r="MQA93" s="201"/>
      <c r="MQB93" s="201"/>
      <c r="MQC93" s="201"/>
      <c r="MQD93" s="201"/>
      <c r="MQE93" s="201"/>
      <c r="MQF93" s="201"/>
      <c r="MQG93" s="201"/>
      <c r="MQH93" s="201"/>
      <c r="MQI93" s="201"/>
      <c r="MQJ93" s="201"/>
      <c r="MQK93" s="201"/>
      <c r="MQL93" s="201"/>
      <c r="MQM93" s="201"/>
      <c r="MQN93" s="201"/>
      <c r="MQO93" s="201"/>
      <c r="MQP93" s="201"/>
      <c r="MQQ93" s="201"/>
      <c r="MQR93" s="201"/>
      <c r="MQS93" s="201"/>
      <c r="MQT93" s="201"/>
      <c r="MQU93" s="201"/>
      <c r="MQV93" s="201"/>
      <c r="MQW93" s="201"/>
      <c r="MQX93" s="201"/>
      <c r="MQY93" s="201"/>
      <c r="MQZ93" s="201"/>
      <c r="MRA93" s="201"/>
      <c r="MRB93" s="201"/>
      <c r="MRC93" s="201"/>
      <c r="MRD93" s="201"/>
      <c r="MRE93" s="201"/>
      <c r="MRF93" s="201"/>
      <c r="MRG93" s="201"/>
      <c r="MRH93" s="201"/>
      <c r="MRI93" s="201"/>
      <c r="MRJ93" s="201"/>
      <c r="MRK93" s="201"/>
      <c r="MRL93" s="201"/>
      <c r="MRM93" s="201"/>
      <c r="MRN93" s="201"/>
      <c r="MRO93" s="201"/>
      <c r="MRP93" s="201"/>
      <c r="MRQ93" s="201"/>
      <c r="MRR93" s="201"/>
      <c r="MRS93" s="201"/>
      <c r="MRT93" s="201"/>
      <c r="MRU93" s="201"/>
      <c r="MRV93" s="201"/>
      <c r="MRW93" s="201"/>
      <c r="MRX93" s="201"/>
      <c r="MRY93" s="201"/>
      <c r="MRZ93" s="201"/>
      <c r="MSA93" s="201"/>
      <c r="MSB93" s="201"/>
      <c r="MSC93" s="201"/>
      <c r="MSD93" s="201"/>
      <c r="MSE93" s="201"/>
      <c r="MSF93" s="201"/>
      <c r="MSG93" s="201"/>
      <c r="MSH93" s="201"/>
      <c r="MSI93" s="201"/>
      <c r="MSJ93" s="201"/>
      <c r="MSK93" s="201"/>
      <c r="MSL93" s="201"/>
      <c r="MSM93" s="201"/>
      <c r="MSN93" s="201"/>
      <c r="MSO93" s="201"/>
      <c r="MSP93" s="201"/>
      <c r="MSQ93" s="201"/>
      <c r="MSR93" s="201"/>
      <c r="MSS93" s="201"/>
      <c r="MST93" s="201"/>
      <c r="MSU93" s="201"/>
      <c r="MSV93" s="201"/>
      <c r="MSW93" s="201"/>
      <c r="MSX93" s="201"/>
      <c r="MSY93" s="201"/>
      <c r="MSZ93" s="201"/>
      <c r="MTA93" s="201"/>
      <c r="MTB93" s="201"/>
      <c r="MTC93" s="201"/>
      <c r="MTD93" s="201"/>
      <c r="MTE93" s="201"/>
      <c r="MTF93" s="201"/>
      <c r="MTG93" s="201"/>
      <c r="MTH93" s="201"/>
      <c r="MTI93" s="201"/>
      <c r="MTJ93" s="201"/>
      <c r="MTK93" s="201"/>
      <c r="MTL93" s="201"/>
      <c r="MTM93" s="201"/>
      <c r="MTN93" s="201"/>
      <c r="MTO93" s="201"/>
      <c r="MTP93" s="201"/>
      <c r="MTQ93" s="201"/>
      <c r="MTR93" s="201"/>
      <c r="MTS93" s="201"/>
      <c r="MTT93" s="201"/>
      <c r="MTU93" s="201"/>
      <c r="MTV93" s="201"/>
      <c r="MTW93" s="201"/>
      <c r="MTX93" s="201"/>
      <c r="MTY93" s="201"/>
      <c r="MTZ93" s="201"/>
      <c r="MUA93" s="201"/>
      <c r="MUB93" s="201"/>
      <c r="MUC93" s="201"/>
      <c r="MUD93" s="201"/>
      <c r="MUE93" s="201"/>
      <c r="MUF93" s="201"/>
      <c r="MUG93" s="201"/>
      <c r="MUH93" s="201"/>
      <c r="MUI93" s="201"/>
      <c r="MUJ93" s="201"/>
      <c r="MUK93" s="201"/>
      <c r="MUL93" s="201"/>
      <c r="MUM93" s="201"/>
      <c r="MUN93" s="201"/>
      <c r="MUO93" s="201"/>
      <c r="MUP93" s="201"/>
      <c r="MUQ93" s="201"/>
      <c r="MUR93" s="201"/>
      <c r="MUS93" s="201"/>
      <c r="MUT93" s="201"/>
      <c r="MUU93" s="201"/>
      <c r="MUV93" s="201"/>
      <c r="MUW93" s="201"/>
      <c r="MUX93" s="201"/>
      <c r="MUY93" s="201"/>
      <c r="MUZ93" s="201"/>
      <c r="MVA93" s="201"/>
      <c r="MVB93" s="201"/>
      <c r="MVC93" s="201"/>
      <c r="MVD93" s="201"/>
      <c r="MVE93" s="201"/>
      <c r="MVF93" s="201"/>
      <c r="MVG93" s="201"/>
      <c r="MVH93" s="201"/>
      <c r="MVI93" s="201"/>
      <c r="MVJ93" s="201"/>
      <c r="MVK93" s="201"/>
      <c r="MVL93" s="201"/>
      <c r="MVM93" s="201"/>
      <c r="MVN93" s="201"/>
      <c r="MVO93" s="201"/>
      <c r="MVP93" s="201"/>
      <c r="MVQ93" s="201"/>
      <c r="MVR93" s="201"/>
      <c r="MVS93" s="201"/>
      <c r="MVT93" s="201"/>
      <c r="MVU93" s="201"/>
      <c r="MVV93" s="201"/>
      <c r="MVW93" s="201"/>
      <c r="MVX93" s="201"/>
      <c r="MVY93" s="201"/>
      <c r="MVZ93" s="201"/>
      <c r="MWA93" s="201"/>
      <c r="MWB93" s="201"/>
      <c r="MWC93" s="201"/>
      <c r="MWD93" s="201"/>
      <c r="MWE93" s="201"/>
      <c r="MWF93" s="201"/>
      <c r="MWG93" s="201"/>
      <c r="MWH93" s="201"/>
      <c r="MWI93" s="201"/>
      <c r="MWJ93" s="201"/>
      <c r="MWK93" s="201"/>
      <c r="MWL93" s="201"/>
      <c r="MWM93" s="201"/>
      <c r="MWN93" s="201"/>
      <c r="MWO93" s="201"/>
      <c r="MWP93" s="201"/>
      <c r="MWQ93" s="201"/>
      <c r="MWR93" s="201"/>
      <c r="MWS93" s="201"/>
      <c r="MWT93" s="201"/>
      <c r="MWU93" s="201"/>
      <c r="MWV93" s="201"/>
      <c r="MWW93" s="201"/>
      <c r="MWX93" s="201"/>
      <c r="MWY93" s="201"/>
      <c r="MWZ93" s="201"/>
      <c r="MXA93" s="201"/>
      <c r="MXB93" s="201"/>
      <c r="MXC93" s="201"/>
      <c r="MXD93" s="201"/>
      <c r="MXE93" s="201"/>
      <c r="MXF93" s="201"/>
      <c r="MXG93" s="201"/>
      <c r="MXH93" s="201"/>
      <c r="MXI93" s="201"/>
      <c r="MXJ93" s="201"/>
      <c r="MXK93" s="201"/>
      <c r="MXL93" s="201"/>
      <c r="MXM93" s="201"/>
      <c r="MXN93" s="201"/>
      <c r="MXO93" s="201"/>
      <c r="MXP93" s="201"/>
      <c r="MXQ93" s="201"/>
      <c r="MXR93" s="201"/>
      <c r="MXS93" s="201"/>
      <c r="MXT93" s="201"/>
      <c r="MXU93" s="201"/>
      <c r="MXV93" s="201"/>
      <c r="MXW93" s="201"/>
      <c r="MXX93" s="201"/>
      <c r="MXY93" s="201"/>
      <c r="MXZ93" s="201"/>
      <c r="MYA93" s="201"/>
      <c r="MYB93" s="201"/>
      <c r="MYC93" s="201"/>
      <c r="MYD93" s="201"/>
      <c r="MYE93" s="201"/>
      <c r="MYF93" s="201"/>
      <c r="MYG93" s="201"/>
      <c r="MYH93" s="201"/>
      <c r="MYI93" s="201"/>
      <c r="MYJ93" s="201"/>
      <c r="MYK93" s="201"/>
      <c r="MYL93" s="201"/>
      <c r="MYM93" s="201"/>
      <c r="MYN93" s="201"/>
      <c r="MYO93" s="201"/>
      <c r="MYP93" s="201"/>
      <c r="MYQ93" s="201"/>
      <c r="MYR93" s="201"/>
      <c r="MYS93" s="201"/>
      <c r="MYT93" s="201"/>
      <c r="MYU93" s="201"/>
      <c r="MYV93" s="201"/>
      <c r="MYW93" s="201"/>
      <c r="MYX93" s="201"/>
      <c r="MYY93" s="201"/>
      <c r="MYZ93" s="201"/>
      <c r="MZA93" s="201"/>
      <c r="MZB93" s="201"/>
      <c r="MZC93" s="201"/>
      <c r="MZD93" s="201"/>
      <c r="MZE93" s="201"/>
      <c r="MZF93" s="201"/>
      <c r="MZG93" s="201"/>
      <c r="MZH93" s="201"/>
      <c r="MZI93" s="201"/>
      <c r="MZJ93" s="201"/>
      <c r="MZK93" s="201"/>
      <c r="MZL93" s="201"/>
      <c r="MZM93" s="201"/>
      <c r="MZN93" s="201"/>
      <c r="MZO93" s="201"/>
      <c r="MZP93" s="201"/>
      <c r="MZQ93" s="201"/>
      <c r="MZR93" s="201"/>
      <c r="MZS93" s="201"/>
      <c r="MZT93" s="201"/>
      <c r="MZU93" s="201"/>
      <c r="MZV93" s="201"/>
      <c r="MZW93" s="201"/>
      <c r="MZX93" s="201"/>
      <c r="MZY93" s="201"/>
      <c r="MZZ93" s="201"/>
      <c r="NAA93" s="201"/>
      <c r="NAB93" s="201"/>
      <c r="NAC93" s="201"/>
      <c r="NAD93" s="201"/>
      <c r="NAE93" s="201"/>
      <c r="NAF93" s="201"/>
      <c r="NAG93" s="201"/>
      <c r="NAH93" s="201"/>
      <c r="NAI93" s="201"/>
      <c r="NAJ93" s="201"/>
      <c r="NAK93" s="201"/>
      <c r="NAL93" s="201"/>
      <c r="NAM93" s="201"/>
      <c r="NAN93" s="201"/>
      <c r="NAO93" s="201"/>
      <c r="NAP93" s="201"/>
      <c r="NAQ93" s="201"/>
      <c r="NAR93" s="201"/>
      <c r="NAS93" s="201"/>
      <c r="NAT93" s="201"/>
      <c r="NAU93" s="201"/>
      <c r="NAV93" s="201"/>
      <c r="NAW93" s="201"/>
      <c r="NAX93" s="201"/>
      <c r="NAY93" s="201"/>
      <c r="NAZ93" s="201"/>
      <c r="NBA93" s="201"/>
      <c r="NBB93" s="201"/>
      <c r="NBC93" s="201"/>
      <c r="NBD93" s="201"/>
      <c r="NBE93" s="201"/>
      <c r="NBF93" s="201"/>
      <c r="NBG93" s="201"/>
      <c r="NBH93" s="201"/>
      <c r="NBI93" s="201"/>
      <c r="NBJ93" s="201"/>
      <c r="NBK93" s="201"/>
      <c r="NBL93" s="201"/>
      <c r="NBM93" s="201"/>
      <c r="NBN93" s="201"/>
      <c r="NBO93" s="201"/>
      <c r="NBP93" s="201"/>
      <c r="NBQ93" s="201"/>
      <c r="NBR93" s="201"/>
      <c r="NBS93" s="201"/>
      <c r="NBT93" s="201"/>
      <c r="NBU93" s="201"/>
      <c r="NBV93" s="201"/>
      <c r="NBW93" s="201"/>
      <c r="NBX93" s="201"/>
      <c r="NBY93" s="201"/>
      <c r="NBZ93" s="201"/>
      <c r="NCA93" s="201"/>
      <c r="NCB93" s="201"/>
      <c r="NCC93" s="201"/>
      <c r="NCD93" s="201"/>
      <c r="NCE93" s="201"/>
      <c r="NCF93" s="201"/>
      <c r="NCG93" s="201"/>
      <c r="NCH93" s="201"/>
      <c r="NCI93" s="201"/>
      <c r="NCJ93" s="201"/>
      <c r="NCK93" s="201"/>
      <c r="NCL93" s="201"/>
      <c r="NCM93" s="201"/>
      <c r="NCN93" s="201"/>
      <c r="NCO93" s="201"/>
      <c r="NCP93" s="201"/>
      <c r="NCQ93" s="201"/>
      <c r="NCR93" s="201"/>
      <c r="NCS93" s="201"/>
      <c r="NCT93" s="201"/>
      <c r="NCU93" s="201"/>
      <c r="NCV93" s="201"/>
      <c r="NCW93" s="201"/>
      <c r="NCX93" s="201"/>
      <c r="NCY93" s="201"/>
      <c r="NCZ93" s="201"/>
      <c r="NDA93" s="201"/>
      <c r="NDB93" s="201"/>
      <c r="NDC93" s="201"/>
      <c r="NDD93" s="201"/>
      <c r="NDE93" s="201"/>
      <c r="NDF93" s="201"/>
      <c r="NDG93" s="201"/>
      <c r="NDH93" s="201"/>
      <c r="NDI93" s="201"/>
      <c r="NDJ93" s="201"/>
      <c r="NDK93" s="201"/>
      <c r="NDL93" s="201"/>
      <c r="NDM93" s="201"/>
      <c r="NDN93" s="201"/>
      <c r="NDO93" s="201"/>
      <c r="NDP93" s="201"/>
      <c r="NDQ93" s="201"/>
      <c r="NDR93" s="201"/>
      <c r="NDS93" s="201"/>
      <c r="NDT93" s="201"/>
      <c r="NDU93" s="201"/>
      <c r="NDV93" s="201"/>
      <c r="NDW93" s="201"/>
      <c r="NDX93" s="201"/>
      <c r="NDY93" s="201"/>
      <c r="NDZ93" s="201"/>
      <c r="NEA93" s="201"/>
      <c r="NEB93" s="201"/>
      <c r="NEC93" s="201"/>
      <c r="NED93" s="201"/>
      <c r="NEE93" s="201"/>
      <c r="NEF93" s="201"/>
      <c r="NEG93" s="201"/>
      <c r="NEH93" s="201"/>
      <c r="NEI93" s="201"/>
      <c r="NEJ93" s="201"/>
      <c r="NEK93" s="201"/>
      <c r="NEL93" s="201"/>
      <c r="NEM93" s="201"/>
      <c r="NEN93" s="201"/>
      <c r="NEO93" s="201"/>
      <c r="NEP93" s="201"/>
      <c r="NEQ93" s="201"/>
      <c r="NER93" s="201"/>
      <c r="NES93" s="201"/>
      <c r="NET93" s="201"/>
      <c r="NEU93" s="201"/>
      <c r="NEV93" s="201"/>
      <c r="NEW93" s="201"/>
      <c r="NEX93" s="201"/>
      <c r="NEY93" s="201"/>
      <c r="NEZ93" s="201"/>
      <c r="NFA93" s="201"/>
      <c r="NFB93" s="201"/>
      <c r="NFC93" s="201"/>
      <c r="NFD93" s="201"/>
      <c r="NFE93" s="201"/>
      <c r="NFF93" s="201"/>
      <c r="NFG93" s="201"/>
      <c r="NFH93" s="201"/>
      <c r="NFI93" s="201"/>
      <c r="NFJ93" s="201"/>
      <c r="NFK93" s="201"/>
      <c r="NFL93" s="201"/>
      <c r="NFM93" s="201"/>
      <c r="NFN93" s="201"/>
      <c r="NFO93" s="201"/>
      <c r="NFP93" s="201"/>
      <c r="NFQ93" s="201"/>
      <c r="NFR93" s="201"/>
      <c r="NFS93" s="201"/>
      <c r="NFT93" s="201"/>
      <c r="NFU93" s="201"/>
      <c r="NFV93" s="201"/>
      <c r="NFW93" s="201"/>
      <c r="NFX93" s="201"/>
      <c r="NFY93" s="201"/>
      <c r="NFZ93" s="201"/>
      <c r="NGA93" s="201"/>
      <c r="NGB93" s="201"/>
      <c r="NGC93" s="201"/>
      <c r="NGD93" s="201"/>
      <c r="NGE93" s="201"/>
      <c r="NGF93" s="201"/>
      <c r="NGG93" s="201"/>
      <c r="NGH93" s="201"/>
      <c r="NGI93" s="201"/>
      <c r="NGJ93" s="201"/>
      <c r="NGK93" s="201"/>
      <c r="NGL93" s="201"/>
      <c r="NGM93" s="201"/>
      <c r="NGN93" s="201"/>
      <c r="NGO93" s="201"/>
      <c r="NGP93" s="201"/>
      <c r="NGQ93" s="201"/>
      <c r="NGR93" s="201"/>
      <c r="NGS93" s="201"/>
      <c r="NGT93" s="201"/>
      <c r="NGU93" s="201"/>
      <c r="NGV93" s="201"/>
      <c r="NGW93" s="201"/>
      <c r="NGX93" s="201"/>
      <c r="NGY93" s="201"/>
      <c r="NGZ93" s="201"/>
      <c r="NHA93" s="201"/>
      <c r="NHB93" s="201"/>
      <c r="NHC93" s="201"/>
      <c r="NHD93" s="201"/>
      <c r="NHE93" s="201"/>
      <c r="NHF93" s="201"/>
      <c r="NHG93" s="201"/>
      <c r="NHH93" s="201"/>
      <c r="NHI93" s="201"/>
      <c r="NHJ93" s="201"/>
      <c r="NHK93" s="201"/>
      <c r="NHL93" s="201"/>
      <c r="NHM93" s="201"/>
      <c r="NHN93" s="201"/>
      <c r="NHO93" s="201"/>
      <c r="NHP93" s="201"/>
      <c r="NHQ93" s="201"/>
      <c r="NHR93" s="201"/>
      <c r="NHS93" s="201"/>
      <c r="NHT93" s="201"/>
      <c r="NHU93" s="201"/>
      <c r="NHV93" s="201"/>
      <c r="NHW93" s="201"/>
      <c r="NHX93" s="201"/>
      <c r="NHY93" s="201"/>
      <c r="NHZ93" s="201"/>
      <c r="NIA93" s="201"/>
      <c r="NIB93" s="201"/>
      <c r="NIC93" s="201"/>
      <c r="NID93" s="201"/>
      <c r="NIE93" s="201"/>
      <c r="NIF93" s="201"/>
      <c r="NIG93" s="201"/>
      <c r="NIH93" s="201"/>
      <c r="NII93" s="201"/>
      <c r="NIJ93" s="201"/>
      <c r="NIK93" s="201"/>
      <c r="NIL93" s="201"/>
      <c r="NIM93" s="201"/>
      <c r="NIN93" s="201"/>
      <c r="NIO93" s="201"/>
      <c r="NIP93" s="201"/>
      <c r="NIQ93" s="201"/>
      <c r="NIR93" s="201"/>
      <c r="NIS93" s="201"/>
      <c r="NIT93" s="201"/>
      <c r="NIU93" s="201"/>
      <c r="NIV93" s="201"/>
      <c r="NIW93" s="201"/>
      <c r="NIX93" s="201"/>
      <c r="NIY93" s="201"/>
      <c r="NIZ93" s="201"/>
      <c r="NJA93" s="201"/>
      <c r="NJB93" s="201"/>
      <c r="NJC93" s="201"/>
      <c r="NJD93" s="201"/>
      <c r="NJE93" s="201"/>
      <c r="NJF93" s="201"/>
      <c r="NJG93" s="201"/>
      <c r="NJH93" s="201"/>
      <c r="NJI93" s="201"/>
      <c r="NJJ93" s="201"/>
      <c r="NJK93" s="201"/>
      <c r="NJL93" s="201"/>
      <c r="NJM93" s="201"/>
      <c r="NJN93" s="201"/>
      <c r="NJO93" s="201"/>
      <c r="NJP93" s="201"/>
      <c r="NJQ93" s="201"/>
      <c r="NJR93" s="201"/>
      <c r="NJS93" s="201"/>
      <c r="NJT93" s="201"/>
      <c r="NJU93" s="201"/>
      <c r="NJV93" s="201"/>
      <c r="NJW93" s="201"/>
      <c r="NJX93" s="201"/>
      <c r="NJY93" s="201"/>
      <c r="NJZ93" s="201"/>
      <c r="NKA93" s="201"/>
      <c r="NKB93" s="201"/>
      <c r="NKC93" s="201"/>
      <c r="NKD93" s="201"/>
      <c r="NKE93" s="201"/>
      <c r="NKF93" s="201"/>
      <c r="NKG93" s="201"/>
      <c r="NKH93" s="201"/>
      <c r="NKI93" s="201"/>
      <c r="NKJ93" s="201"/>
      <c r="NKK93" s="201"/>
      <c r="NKL93" s="201"/>
      <c r="NKM93" s="201"/>
      <c r="NKN93" s="201"/>
      <c r="NKO93" s="201"/>
      <c r="NKP93" s="201"/>
      <c r="NKQ93" s="201"/>
      <c r="NKR93" s="201"/>
      <c r="NKS93" s="201"/>
      <c r="NKT93" s="201"/>
      <c r="NKU93" s="201"/>
      <c r="NKV93" s="201"/>
      <c r="NKW93" s="201"/>
      <c r="NKX93" s="201"/>
      <c r="NKY93" s="201"/>
      <c r="NKZ93" s="201"/>
      <c r="NLA93" s="201"/>
      <c r="NLB93" s="201"/>
      <c r="NLC93" s="201"/>
      <c r="NLD93" s="201"/>
      <c r="NLE93" s="201"/>
      <c r="NLF93" s="201"/>
      <c r="NLG93" s="201"/>
      <c r="NLH93" s="201"/>
      <c r="NLI93" s="201"/>
      <c r="NLJ93" s="201"/>
      <c r="NLK93" s="201"/>
      <c r="NLL93" s="201"/>
      <c r="NLM93" s="201"/>
      <c r="NLN93" s="201"/>
      <c r="NLO93" s="201"/>
      <c r="NLP93" s="201"/>
      <c r="NLQ93" s="201"/>
      <c r="NLR93" s="201"/>
      <c r="NLS93" s="201"/>
      <c r="NLT93" s="201"/>
      <c r="NLU93" s="201"/>
      <c r="NLV93" s="201"/>
      <c r="NLW93" s="201"/>
      <c r="NLX93" s="201"/>
      <c r="NLY93" s="201"/>
      <c r="NLZ93" s="201"/>
      <c r="NMA93" s="201"/>
      <c r="NMB93" s="201"/>
      <c r="NMC93" s="201"/>
      <c r="NMD93" s="201"/>
      <c r="NME93" s="201"/>
      <c r="NMF93" s="201"/>
      <c r="NMG93" s="201"/>
      <c r="NMH93" s="201"/>
      <c r="NMI93" s="201"/>
      <c r="NMJ93" s="201"/>
      <c r="NMK93" s="201"/>
      <c r="NML93" s="201"/>
      <c r="NMM93" s="201"/>
      <c r="NMN93" s="201"/>
      <c r="NMO93" s="201"/>
      <c r="NMP93" s="201"/>
      <c r="NMQ93" s="201"/>
      <c r="NMR93" s="201"/>
      <c r="NMS93" s="201"/>
      <c r="NMT93" s="201"/>
      <c r="NMU93" s="201"/>
      <c r="NMV93" s="201"/>
      <c r="NMW93" s="201"/>
      <c r="NMX93" s="201"/>
      <c r="NMY93" s="201"/>
      <c r="NMZ93" s="201"/>
      <c r="NNA93" s="201"/>
      <c r="NNB93" s="201"/>
      <c r="NNC93" s="201"/>
      <c r="NND93" s="201"/>
      <c r="NNE93" s="201"/>
      <c r="NNF93" s="201"/>
      <c r="NNG93" s="201"/>
      <c r="NNH93" s="201"/>
      <c r="NNI93" s="201"/>
      <c r="NNJ93" s="201"/>
      <c r="NNK93" s="201"/>
      <c r="NNL93" s="201"/>
      <c r="NNM93" s="201"/>
      <c r="NNN93" s="201"/>
      <c r="NNO93" s="201"/>
      <c r="NNP93" s="201"/>
      <c r="NNQ93" s="201"/>
      <c r="NNR93" s="201"/>
      <c r="NNS93" s="201"/>
      <c r="NNT93" s="201"/>
      <c r="NNU93" s="201"/>
      <c r="NNV93" s="201"/>
      <c r="NNW93" s="201"/>
      <c r="NNX93" s="201"/>
      <c r="NNY93" s="201"/>
      <c r="NNZ93" s="201"/>
      <c r="NOA93" s="201"/>
      <c r="NOB93" s="201"/>
      <c r="NOC93" s="201"/>
      <c r="NOD93" s="201"/>
      <c r="NOE93" s="201"/>
      <c r="NOF93" s="201"/>
      <c r="NOG93" s="201"/>
      <c r="NOH93" s="201"/>
      <c r="NOI93" s="201"/>
      <c r="NOJ93" s="201"/>
      <c r="NOK93" s="201"/>
      <c r="NOL93" s="201"/>
      <c r="NOM93" s="201"/>
      <c r="NON93" s="201"/>
      <c r="NOO93" s="201"/>
      <c r="NOP93" s="201"/>
      <c r="NOQ93" s="201"/>
      <c r="NOR93" s="201"/>
      <c r="NOS93" s="201"/>
      <c r="NOT93" s="201"/>
      <c r="NOU93" s="201"/>
      <c r="NOV93" s="201"/>
      <c r="NOW93" s="201"/>
      <c r="NOX93" s="201"/>
      <c r="NOY93" s="201"/>
      <c r="NOZ93" s="201"/>
      <c r="NPA93" s="201"/>
      <c r="NPB93" s="201"/>
      <c r="NPC93" s="201"/>
      <c r="NPD93" s="201"/>
      <c r="NPE93" s="201"/>
      <c r="NPF93" s="201"/>
      <c r="NPG93" s="201"/>
      <c r="NPH93" s="201"/>
      <c r="NPI93" s="201"/>
      <c r="NPJ93" s="201"/>
      <c r="NPK93" s="201"/>
      <c r="NPL93" s="201"/>
      <c r="NPM93" s="201"/>
      <c r="NPN93" s="201"/>
      <c r="NPO93" s="201"/>
      <c r="NPP93" s="201"/>
      <c r="NPQ93" s="201"/>
      <c r="NPR93" s="201"/>
      <c r="NPS93" s="201"/>
      <c r="NPT93" s="201"/>
      <c r="NPU93" s="201"/>
      <c r="NPV93" s="201"/>
      <c r="NPW93" s="201"/>
      <c r="NPX93" s="201"/>
      <c r="NPY93" s="201"/>
      <c r="NPZ93" s="201"/>
      <c r="NQA93" s="201"/>
      <c r="NQB93" s="201"/>
      <c r="NQC93" s="201"/>
      <c r="NQD93" s="201"/>
      <c r="NQE93" s="201"/>
      <c r="NQF93" s="201"/>
      <c r="NQG93" s="201"/>
      <c r="NQH93" s="201"/>
      <c r="NQI93" s="201"/>
      <c r="NQJ93" s="201"/>
      <c r="NQK93" s="201"/>
      <c r="NQL93" s="201"/>
      <c r="NQM93" s="201"/>
      <c r="NQN93" s="201"/>
      <c r="NQO93" s="201"/>
      <c r="NQP93" s="201"/>
      <c r="NQQ93" s="201"/>
      <c r="NQR93" s="201"/>
      <c r="NQS93" s="201"/>
      <c r="NQT93" s="201"/>
      <c r="NQU93" s="201"/>
      <c r="NQV93" s="201"/>
      <c r="NQW93" s="201"/>
      <c r="NQX93" s="201"/>
      <c r="NQY93" s="201"/>
      <c r="NQZ93" s="201"/>
      <c r="NRA93" s="201"/>
      <c r="NRB93" s="201"/>
      <c r="NRC93" s="201"/>
      <c r="NRD93" s="201"/>
      <c r="NRE93" s="201"/>
      <c r="NRF93" s="201"/>
      <c r="NRG93" s="201"/>
      <c r="NRH93" s="201"/>
      <c r="NRI93" s="201"/>
      <c r="NRJ93" s="201"/>
      <c r="NRK93" s="201"/>
      <c r="NRL93" s="201"/>
      <c r="NRM93" s="201"/>
      <c r="NRN93" s="201"/>
      <c r="NRO93" s="201"/>
      <c r="NRP93" s="201"/>
      <c r="NRQ93" s="201"/>
      <c r="NRR93" s="201"/>
      <c r="NRS93" s="201"/>
      <c r="NRT93" s="201"/>
      <c r="NRU93" s="201"/>
      <c r="NRV93" s="201"/>
      <c r="NRW93" s="201"/>
      <c r="NRX93" s="201"/>
      <c r="NRY93" s="201"/>
      <c r="NRZ93" s="201"/>
      <c r="NSA93" s="201"/>
      <c r="NSB93" s="201"/>
      <c r="NSC93" s="201"/>
      <c r="NSD93" s="201"/>
      <c r="NSE93" s="201"/>
      <c r="NSF93" s="201"/>
      <c r="NSG93" s="201"/>
      <c r="NSH93" s="201"/>
      <c r="NSI93" s="201"/>
      <c r="NSJ93" s="201"/>
      <c r="NSK93" s="201"/>
      <c r="NSL93" s="201"/>
      <c r="NSM93" s="201"/>
      <c r="NSN93" s="201"/>
      <c r="NSO93" s="201"/>
      <c r="NSP93" s="201"/>
      <c r="NSQ93" s="201"/>
      <c r="NSR93" s="201"/>
      <c r="NSS93" s="201"/>
      <c r="NST93" s="201"/>
      <c r="NSU93" s="201"/>
      <c r="NSV93" s="201"/>
      <c r="NSW93" s="201"/>
      <c r="NSX93" s="201"/>
      <c r="NSY93" s="201"/>
      <c r="NSZ93" s="201"/>
      <c r="NTA93" s="201"/>
      <c r="NTB93" s="201"/>
      <c r="NTC93" s="201"/>
      <c r="NTD93" s="201"/>
      <c r="NTE93" s="201"/>
      <c r="NTF93" s="201"/>
      <c r="NTG93" s="201"/>
      <c r="NTH93" s="201"/>
      <c r="NTI93" s="201"/>
      <c r="NTJ93" s="201"/>
      <c r="NTK93" s="201"/>
      <c r="NTL93" s="201"/>
      <c r="NTM93" s="201"/>
      <c r="NTN93" s="201"/>
      <c r="NTO93" s="201"/>
      <c r="NTP93" s="201"/>
      <c r="NTQ93" s="201"/>
      <c r="NTR93" s="201"/>
      <c r="NTS93" s="201"/>
      <c r="NTT93" s="201"/>
      <c r="NTU93" s="201"/>
      <c r="NTV93" s="201"/>
      <c r="NTW93" s="201"/>
      <c r="NTX93" s="201"/>
      <c r="NTY93" s="201"/>
      <c r="NTZ93" s="201"/>
      <c r="NUA93" s="201"/>
      <c r="NUB93" s="201"/>
      <c r="NUC93" s="201"/>
      <c r="NUD93" s="201"/>
      <c r="NUE93" s="201"/>
      <c r="NUF93" s="201"/>
      <c r="NUG93" s="201"/>
      <c r="NUH93" s="201"/>
      <c r="NUI93" s="201"/>
      <c r="NUJ93" s="201"/>
      <c r="NUK93" s="201"/>
      <c r="NUL93" s="201"/>
      <c r="NUM93" s="201"/>
      <c r="NUN93" s="201"/>
      <c r="NUO93" s="201"/>
      <c r="NUP93" s="201"/>
      <c r="NUQ93" s="201"/>
      <c r="NUR93" s="201"/>
      <c r="NUS93" s="201"/>
      <c r="NUT93" s="201"/>
      <c r="NUU93" s="201"/>
      <c r="NUV93" s="201"/>
      <c r="NUW93" s="201"/>
      <c r="NUX93" s="201"/>
      <c r="NUY93" s="201"/>
      <c r="NUZ93" s="201"/>
      <c r="NVA93" s="201"/>
      <c r="NVB93" s="201"/>
      <c r="NVC93" s="201"/>
      <c r="NVD93" s="201"/>
      <c r="NVE93" s="201"/>
      <c r="NVF93" s="201"/>
      <c r="NVG93" s="201"/>
      <c r="NVH93" s="201"/>
      <c r="NVI93" s="201"/>
      <c r="NVJ93" s="201"/>
      <c r="NVK93" s="201"/>
      <c r="NVL93" s="201"/>
      <c r="NVM93" s="201"/>
      <c r="NVN93" s="201"/>
      <c r="NVO93" s="201"/>
      <c r="NVP93" s="201"/>
      <c r="NVQ93" s="201"/>
      <c r="NVR93" s="201"/>
      <c r="NVS93" s="201"/>
      <c r="NVT93" s="201"/>
      <c r="NVU93" s="201"/>
      <c r="NVV93" s="201"/>
      <c r="NVW93" s="201"/>
      <c r="NVX93" s="201"/>
      <c r="NVY93" s="201"/>
      <c r="NVZ93" s="201"/>
      <c r="NWA93" s="201"/>
      <c r="NWB93" s="201"/>
      <c r="NWC93" s="201"/>
      <c r="NWD93" s="201"/>
      <c r="NWE93" s="201"/>
      <c r="NWF93" s="201"/>
      <c r="NWG93" s="201"/>
      <c r="NWH93" s="201"/>
      <c r="NWI93" s="201"/>
      <c r="NWJ93" s="201"/>
      <c r="NWK93" s="201"/>
      <c r="NWL93" s="201"/>
      <c r="NWM93" s="201"/>
      <c r="NWN93" s="201"/>
      <c r="NWO93" s="201"/>
      <c r="NWP93" s="201"/>
      <c r="NWQ93" s="201"/>
      <c r="NWR93" s="201"/>
      <c r="NWS93" s="201"/>
      <c r="NWT93" s="201"/>
      <c r="NWU93" s="201"/>
      <c r="NWV93" s="201"/>
      <c r="NWW93" s="201"/>
      <c r="NWX93" s="201"/>
      <c r="NWY93" s="201"/>
      <c r="NWZ93" s="201"/>
      <c r="NXA93" s="201"/>
      <c r="NXB93" s="201"/>
      <c r="NXC93" s="201"/>
      <c r="NXD93" s="201"/>
      <c r="NXE93" s="201"/>
      <c r="NXF93" s="201"/>
      <c r="NXG93" s="201"/>
      <c r="NXH93" s="201"/>
      <c r="NXI93" s="201"/>
      <c r="NXJ93" s="201"/>
      <c r="NXK93" s="201"/>
      <c r="NXL93" s="201"/>
      <c r="NXM93" s="201"/>
      <c r="NXN93" s="201"/>
      <c r="NXO93" s="201"/>
      <c r="NXP93" s="201"/>
      <c r="NXQ93" s="201"/>
      <c r="NXR93" s="201"/>
      <c r="NXS93" s="201"/>
      <c r="NXT93" s="201"/>
      <c r="NXU93" s="201"/>
      <c r="NXV93" s="201"/>
      <c r="NXW93" s="201"/>
      <c r="NXX93" s="201"/>
      <c r="NXY93" s="201"/>
      <c r="NXZ93" s="201"/>
      <c r="NYA93" s="201"/>
      <c r="NYB93" s="201"/>
      <c r="NYC93" s="201"/>
      <c r="NYD93" s="201"/>
      <c r="NYE93" s="201"/>
      <c r="NYF93" s="201"/>
      <c r="NYG93" s="201"/>
      <c r="NYH93" s="201"/>
      <c r="NYI93" s="201"/>
      <c r="NYJ93" s="201"/>
      <c r="NYK93" s="201"/>
      <c r="NYL93" s="201"/>
      <c r="NYM93" s="201"/>
      <c r="NYN93" s="201"/>
      <c r="NYO93" s="201"/>
      <c r="NYP93" s="201"/>
      <c r="NYQ93" s="201"/>
      <c r="NYR93" s="201"/>
      <c r="NYS93" s="201"/>
      <c r="NYT93" s="201"/>
      <c r="NYU93" s="201"/>
      <c r="NYV93" s="201"/>
      <c r="NYW93" s="201"/>
      <c r="NYX93" s="201"/>
      <c r="NYY93" s="201"/>
      <c r="NYZ93" s="201"/>
      <c r="NZA93" s="201"/>
      <c r="NZB93" s="201"/>
      <c r="NZC93" s="201"/>
      <c r="NZD93" s="201"/>
      <c r="NZE93" s="201"/>
      <c r="NZF93" s="201"/>
      <c r="NZG93" s="201"/>
      <c r="NZH93" s="201"/>
      <c r="NZI93" s="201"/>
      <c r="NZJ93" s="201"/>
      <c r="NZK93" s="201"/>
      <c r="NZL93" s="201"/>
      <c r="NZM93" s="201"/>
      <c r="NZN93" s="201"/>
      <c r="NZO93" s="201"/>
      <c r="NZP93" s="201"/>
      <c r="NZQ93" s="201"/>
      <c r="NZR93" s="201"/>
      <c r="NZS93" s="201"/>
      <c r="NZT93" s="201"/>
      <c r="NZU93" s="201"/>
      <c r="NZV93" s="201"/>
      <c r="NZW93" s="201"/>
      <c r="NZX93" s="201"/>
      <c r="NZY93" s="201"/>
      <c r="NZZ93" s="201"/>
      <c r="OAA93" s="201"/>
      <c r="OAB93" s="201"/>
      <c r="OAC93" s="201"/>
      <c r="OAD93" s="201"/>
      <c r="OAE93" s="201"/>
      <c r="OAF93" s="201"/>
      <c r="OAG93" s="201"/>
      <c r="OAH93" s="201"/>
      <c r="OAI93" s="201"/>
      <c r="OAJ93" s="201"/>
      <c r="OAK93" s="201"/>
      <c r="OAL93" s="201"/>
      <c r="OAM93" s="201"/>
      <c r="OAN93" s="201"/>
      <c r="OAO93" s="201"/>
      <c r="OAP93" s="201"/>
      <c r="OAQ93" s="201"/>
      <c r="OAR93" s="201"/>
      <c r="OAS93" s="201"/>
      <c r="OAT93" s="201"/>
      <c r="OAU93" s="201"/>
      <c r="OAV93" s="201"/>
      <c r="OAW93" s="201"/>
      <c r="OAX93" s="201"/>
      <c r="OAY93" s="201"/>
      <c r="OAZ93" s="201"/>
      <c r="OBA93" s="201"/>
      <c r="OBB93" s="201"/>
      <c r="OBC93" s="201"/>
      <c r="OBD93" s="201"/>
      <c r="OBE93" s="201"/>
      <c r="OBF93" s="201"/>
      <c r="OBG93" s="201"/>
      <c r="OBH93" s="201"/>
      <c r="OBI93" s="201"/>
      <c r="OBJ93" s="201"/>
      <c r="OBK93" s="201"/>
      <c r="OBL93" s="201"/>
      <c r="OBM93" s="201"/>
      <c r="OBN93" s="201"/>
      <c r="OBO93" s="201"/>
      <c r="OBP93" s="201"/>
      <c r="OBQ93" s="201"/>
      <c r="OBR93" s="201"/>
      <c r="OBS93" s="201"/>
      <c r="OBT93" s="201"/>
      <c r="OBU93" s="201"/>
      <c r="OBV93" s="201"/>
      <c r="OBW93" s="201"/>
      <c r="OBX93" s="201"/>
      <c r="OBY93" s="201"/>
      <c r="OBZ93" s="201"/>
      <c r="OCA93" s="201"/>
      <c r="OCB93" s="201"/>
      <c r="OCC93" s="201"/>
      <c r="OCD93" s="201"/>
      <c r="OCE93" s="201"/>
      <c r="OCF93" s="201"/>
      <c r="OCG93" s="201"/>
      <c r="OCH93" s="201"/>
      <c r="OCI93" s="201"/>
      <c r="OCJ93" s="201"/>
      <c r="OCK93" s="201"/>
      <c r="OCL93" s="201"/>
      <c r="OCM93" s="201"/>
      <c r="OCN93" s="201"/>
      <c r="OCO93" s="201"/>
      <c r="OCP93" s="201"/>
      <c r="OCQ93" s="201"/>
      <c r="OCR93" s="201"/>
      <c r="OCS93" s="201"/>
      <c r="OCT93" s="201"/>
      <c r="OCU93" s="201"/>
      <c r="OCV93" s="201"/>
      <c r="OCW93" s="201"/>
      <c r="OCX93" s="201"/>
      <c r="OCY93" s="201"/>
      <c r="OCZ93" s="201"/>
      <c r="ODA93" s="201"/>
      <c r="ODB93" s="201"/>
      <c r="ODC93" s="201"/>
      <c r="ODD93" s="201"/>
      <c r="ODE93" s="201"/>
      <c r="ODF93" s="201"/>
      <c r="ODG93" s="201"/>
      <c r="ODH93" s="201"/>
      <c r="ODI93" s="201"/>
      <c r="ODJ93" s="201"/>
      <c r="ODK93" s="201"/>
      <c r="ODL93" s="201"/>
      <c r="ODM93" s="201"/>
      <c r="ODN93" s="201"/>
      <c r="ODO93" s="201"/>
      <c r="ODP93" s="201"/>
      <c r="ODQ93" s="201"/>
      <c r="ODR93" s="201"/>
      <c r="ODS93" s="201"/>
      <c r="ODT93" s="201"/>
      <c r="ODU93" s="201"/>
      <c r="ODV93" s="201"/>
      <c r="ODW93" s="201"/>
      <c r="ODX93" s="201"/>
      <c r="ODY93" s="201"/>
      <c r="ODZ93" s="201"/>
      <c r="OEA93" s="201"/>
      <c r="OEB93" s="201"/>
      <c r="OEC93" s="201"/>
      <c r="OED93" s="201"/>
      <c r="OEE93" s="201"/>
      <c r="OEF93" s="201"/>
      <c r="OEG93" s="201"/>
      <c r="OEH93" s="201"/>
      <c r="OEI93" s="201"/>
      <c r="OEJ93" s="201"/>
      <c r="OEK93" s="201"/>
      <c r="OEL93" s="201"/>
      <c r="OEM93" s="201"/>
      <c r="OEN93" s="201"/>
      <c r="OEO93" s="201"/>
      <c r="OEP93" s="201"/>
      <c r="OEQ93" s="201"/>
      <c r="OER93" s="201"/>
      <c r="OES93" s="201"/>
      <c r="OET93" s="201"/>
      <c r="OEU93" s="201"/>
      <c r="OEV93" s="201"/>
      <c r="OEW93" s="201"/>
      <c r="OEX93" s="201"/>
      <c r="OEY93" s="201"/>
      <c r="OEZ93" s="201"/>
      <c r="OFA93" s="201"/>
      <c r="OFB93" s="201"/>
      <c r="OFC93" s="201"/>
      <c r="OFD93" s="201"/>
      <c r="OFE93" s="201"/>
      <c r="OFF93" s="201"/>
      <c r="OFG93" s="201"/>
      <c r="OFH93" s="201"/>
      <c r="OFI93" s="201"/>
      <c r="OFJ93" s="201"/>
      <c r="OFK93" s="201"/>
      <c r="OFL93" s="201"/>
      <c r="OFM93" s="201"/>
      <c r="OFN93" s="201"/>
      <c r="OFO93" s="201"/>
      <c r="OFP93" s="201"/>
      <c r="OFQ93" s="201"/>
      <c r="OFR93" s="201"/>
      <c r="OFS93" s="201"/>
      <c r="OFT93" s="201"/>
      <c r="OFU93" s="201"/>
      <c r="OFV93" s="201"/>
      <c r="OFW93" s="201"/>
      <c r="OFX93" s="201"/>
      <c r="OFY93" s="201"/>
      <c r="OFZ93" s="201"/>
      <c r="OGA93" s="201"/>
      <c r="OGB93" s="201"/>
      <c r="OGC93" s="201"/>
      <c r="OGD93" s="201"/>
      <c r="OGE93" s="201"/>
      <c r="OGF93" s="201"/>
      <c r="OGG93" s="201"/>
      <c r="OGH93" s="201"/>
      <c r="OGI93" s="201"/>
      <c r="OGJ93" s="201"/>
      <c r="OGK93" s="201"/>
      <c r="OGL93" s="201"/>
      <c r="OGM93" s="201"/>
      <c r="OGN93" s="201"/>
      <c r="OGO93" s="201"/>
      <c r="OGP93" s="201"/>
      <c r="OGQ93" s="201"/>
      <c r="OGR93" s="201"/>
      <c r="OGS93" s="201"/>
      <c r="OGT93" s="201"/>
      <c r="OGU93" s="201"/>
      <c r="OGV93" s="201"/>
      <c r="OGW93" s="201"/>
      <c r="OGX93" s="201"/>
      <c r="OGY93" s="201"/>
      <c r="OGZ93" s="201"/>
      <c r="OHA93" s="201"/>
      <c r="OHB93" s="201"/>
      <c r="OHC93" s="201"/>
      <c r="OHD93" s="201"/>
      <c r="OHE93" s="201"/>
      <c r="OHF93" s="201"/>
      <c r="OHG93" s="201"/>
      <c r="OHH93" s="201"/>
      <c r="OHI93" s="201"/>
      <c r="OHJ93" s="201"/>
      <c r="OHK93" s="201"/>
      <c r="OHL93" s="201"/>
      <c r="OHM93" s="201"/>
      <c r="OHN93" s="201"/>
      <c r="OHO93" s="201"/>
      <c r="OHP93" s="201"/>
      <c r="OHQ93" s="201"/>
      <c r="OHR93" s="201"/>
      <c r="OHS93" s="201"/>
      <c r="OHT93" s="201"/>
      <c r="OHU93" s="201"/>
      <c r="OHV93" s="201"/>
      <c r="OHW93" s="201"/>
      <c r="OHX93" s="201"/>
      <c r="OHY93" s="201"/>
      <c r="OHZ93" s="201"/>
      <c r="OIA93" s="201"/>
      <c r="OIB93" s="201"/>
      <c r="OIC93" s="201"/>
      <c r="OID93" s="201"/>
      <c r="OIE93" s="201"/>
      <c r="OIF93" s="201"/>
      <c r="OIG93" s="201"/>
      <c r="OIH93" s="201"/>
      <c r="OII93" s="201"/>
      <c r="OIJ93" s="201"/>
      <c r="OIK93" s="201"/>
      <c r="OIL93" s="201"/>
      <c r="OIM93" s="201"/>
      <c r="OIN93" s="201"/>
      <c r="OIO93" s="201"/>
      <c r="OIP93" s="201"/>
      <c r="OIQ93" s="201"/>
      <c r="OIR93" s="201"/>
      <c r="OIS93" s="201"/>
      <c r="OIT93" s="201"/>
      <c r="OIU93" s="201"/>
      <c r="OIV93" s="201"/>
      <c r="OIW93" s="201"/>
      <c r="OIX93" s="201"/>
      <c r="OIY93" s="201"/>
      <c r="OIZ93" s="201"/>
      <c r="OJA93" s="201"/>
      <c r="OJB93" s="201"/>
      <c r="OJC93" s="201"/>
      <c r="OJD93" s="201"/>
      <c r="OJE93" s="201"/>
      <c r="OJF93" s="201"/>
      <c r="OJG93" s="201"/>
      <c r="OJH93" s="201"/>
      <c r="OJI93" s="201"/>
      <c r="OJJ93" s="201"/>
      <c r="OJK93" s="201"/>
      <c r="OJL93" s="201"/>
      <c r="OJM93" s="201"/>
      <c r="OJN93" s="201"/>
      <c r="OJO93" s="201"/>
      <c r="OJP93" s="201"/>
      <c r="OJQ93" s="201"/>
      <c r="OJR93" s="201"/>
      <c r="OJS93" s="201"/>
      <c r="OJT93" s="201"/>
      <c r="OJU93" s="201"/>
      <c r="OJV93" s="201"/>
      <c r="OJW93" s="201"/>
      <c r="OJX93" s="201"/>
      <c r="OJY93" s="201"/>
      <c r="OJZ93" s="201"/>
      <c r="OKA93" s="201"/>
      <c r="OKB93" s="201"/>
      <c r="OKC93" s="201"/>
      <c r="OKD93" s="201"/>
      <c r="OKE93" s="201"/>
      <c r="OKF93" s="201"/>
      <c r="OKG93" s="201"/>
      <c r="OKH93" s="201"/>
      <c r="OKI93" s="201"/>
      <c r="OKJ93" s="201"/>
      <c r="OKK93" s="201"/>
      <c r="OKL93" s="201"/>
      <c r="OKM93" s="201"/>
      <c r="OKN93" s="201"/>
      <c r="OKO93" s="201"/>
      <c r="OKP93" s="201"/>
      <c r="OKQ93" s="201"/>
      <c r="OKR93" s="201"/>
      <c r="OKS93" s="201"/>
      <c r="OKT93" s="201"/>
      <c r="OKU93" s="201"/>
      <c r="OKV93" s="201"/>
      <c r="OKW93" s="201"/>
      <c r="OKX93" s="201"/>
      <c r="OKY93" s="201"/>
      <c r="OKZ93" s="201"/>
      <c r="OLA93" s="201"/>
      <c r="OLB93" s="201"/>
      <c r="OLC93" s="201"/>
      <c r="OLD93" s="201"/>
      <c r="OLE93" s="201"/>
      <c r="OLF93" s="201"/>
      <c r="OLG93" s="201"/>
      <c r="OLH93" s="201"/>
      <c r="OLI93" s="201"/>
      <c r="OLJ93" s="201"/>
      <c r="OLK93" s="201"/>
      <c r="OLL93" s="201"/>
      <c r="OLM93" s="201"/>
      <c r="OLN93" s="201"/>
      <c r="OLO93" s="201"/>
      <c r="OLP93" s="201"/>
      <c r="OLQ93" s="201"/>
      <c r="OLR93" s="201"/>
      <c r="OLS93" s="201"/>
      <c r="OLT93" s="201"/>
      <c r="OLU93" s="201"/>
      <c r="OLV93" s="201"/>
      <c r="OLW93" s="201"/>
      <c r="OLX93" s="201"/>
      <c r="OLY93" s="201"/>
      <c r="OLZ93" s="201"/>
      <c r="OMA93" s="201"/>
      <c r="OMB93" s="201"/>
      <c r="OMC93" s="201"/>
      <c r="OMD93" s="201"/>
      <c r="OME93" s="201"/>
      <c r="OMF93" s="201"/>
      <c r="OMG93" s="201"/>
      <c r="OMH93" s="201"/>
      <c r="OMI93" s="201"/>
      <c r="OMJ93" s="201"/>
      <c r="OMK93" s="201"/>
      <c r="OML93" s="201"/>
      <c r="OMM93" s="201"/>
      <c r="OMN93" s="201"/>
      <c r="OMO93" s="201"/>
      <c r="OMP93" s="201"/>
      <c r="OMQ93" s="201"/>
      <c r="OMR93" s="201"/>
      <c r="OMS93" s="201"/>
      <c r="OMT93" s="201"/>
      <c r="OMU93" s="201"/>
      <c r="OMV93" s="201"/>
      <c r="OMW93" s="201"/>
      <c r="OMX93" s="201"/>
      <c r="OMY93" s="201"/>
      <c r="OMZ93" s="201"/>
      <c r="ONA93" s="201"/>
      <c r="ONB93" s="201"/>
      <c r="ONC93" s="201"/>
      <c r="OND93" s="201"/>
      <c r="ONE93" s="201"/>
      <c r="ONF93" s="201"/>
      <c r="ONG93" s="201"/>
      <c r="ONH93" s="201"/>
      <c r="ONI93" s="201"/>
      <c r="ONJ93" s="201"/>
      <c r="ONK93" s="201"/>
      <c r="ONL93" s="201"/>
      <c r="ONM93" s="201"/>
      <c r="ONN93" s="201"/>
      <c r="ONO93" s="201"/>
      <c r="ONP93" s="201"/>
      <c r="ONQ93" s="201"/>
      <c r="ONR93" s="201"/>
      <c r="ONS93" s="201"/>
      <c r="ONT93" s="201"/>
      <c r="ONU93" s="201"/>
      <c r="ONV93" s="201"/>
      <c r="ONW93" s="201"/>
      <c r="ONX93" s="201"/>
      <c r="ONY93" s="201"/>
      <c r="ONZ93" s="201"/>
      <c r="OOA93" s="201"/>
      <c r="OOB93" s="201"/>
      <c r="OOC93" s="201"/>
      <c r="OOD93" s="201"/>
      <c r="OOE93" s="201"/>
      <c r="OOF93" s="201"/>
      <c r="OOG93" s="201"/>
      <c r="OOH93" s="201"/>
      <c r="OOI93" s="201"/>
      <c r="OOJ93" s="201"/>
      <c r="OOK93" s="201"/>
      <c r="OOL93" s="201"/>
      <c r="OOM93" s="201"/>
      <c r="OON93" s="201"/>
      <c r="OOO93" s="201"/>
      <c r="OOP93" s="201"/>
      <c r="OOQ93" s="201"/>
      <c r="OOR93" s="201"/>
      <c r="OOS93" s="201"/>
      <c r="OOT93" s="201"/>
      <c r="OOU93" s="201"/>
      <c r="OOV93" s="201"/>
      <c r="OOW93" s="201"/>
      <c r="OOX93" s="201"/>
      <c r="OOY93" s="201"/>
      <c r="OOZ93" s="201"/>
      <c r="OPA93" s="201"/>
      <c r="OPB93" s="201"/>
      <c r="OPC93" s="201"/>
      <c r="OPD93" s="201"/>
      <c r="OPE93" s="201"/>
      <c r="OPF93" s="201"/>
      <c r="OPG93" s="201"/>
      <c r="OPH93" s="201"/>
      <c r="OPI93" s="201"/>
      <c r="OPJ93" s="201"/>
      <c r="OPK93" s="201"/>
      <c r="OPL93" s="201"/>
      <c r="OPM93" s="201"/>
      <c r="OPN93" s="201"/>
      <c r="OPO93" s="201"/>
      <c r="OPP93" s="201"/>
      <c r="OPQ93" s="201"/>
      <c r="OPR93" s="201"/>
      <c r="OPS93" s="201"/>
      <c r="OPT93" s="201"/>
      <c r="OPU93" s="201"/>
      <c r="OPV93" s="201"/>
      <c r="OPW93" s="201"/>
      <c r="OPX93" s="201"/>
      <c r="OPY93" s="201"/>
      <c r="OPZ93" s="201"/>
      <c r="OQA93" s="201"/>
      <c r="OQB93" s="201"/>
      <c r="OQC93" s="201"/>
      <c r="OQD93" s="201"/>
      <c r="OQE93" s="201"/>
      <c r="OQF93" s="201"/>
      <c r="OQG93" s="201"/>
      <c r="OQH93" s="201"/>
      <c r="OQI93" s="201"/>
      <c r="OQJ93" s="201"/>
      <c r="OQK93" s="201"/>
      <c r="OQL93" s="201"/>
      <c r="OQM93" s="201"/>
      <c r="OQN93" s="201"/>
      <c r="OQO93" s="201"/>
      <c r="OQP93" s="201"/>
      <c r="OQQ93" s="201"/>
      <c r="OQR93" s="201"/>
      <c r="OQS93" s="201"/>
      <c r="OQT93" s="201"/>
      <c r="OQU93" s="201"/>
      <c r="OQV93" s="201"/>
      <c r="OQW93" s="201"/>
      <c r="OQX93" s="201"/>
      <c r="OQY93" s="201"/>
      <c r="OQZ93" s="201"/>
      <c r="ORA93" s="201"/>
      <c r="ORB93" s="201"/>
      <c r="ORC93" s="201"/>
      <c r="ORD93" s="201"/>
      <c r="ORE93" s="201"/>
      <c r="ORF93" s="201"/>
      <c r="ORG93" s="201"/>
      <c r="ORH93" s="201"/>
      <c r="ORI93" s="201"/>
      <c r="ORJ93" s="201"/>
      <c r="ORK93" s="201"/>
      <c r="ORL93" s="201"/>
      <c r="ORM93" s="201"/>
      <c r="ORN93" s="201"/>
      <c r="ORO93" s="201"/>
      <c r="ORP93" s="201"/>
      <c r="ORQ93" s="201"/>
      <c r="ORR93" s="201"/>
      <c r="ORS93" s="201"/>
      <c r="ORT93" s="201"/>
      <c r="ORU93" s="201"/>
      <c r="ORV93" s="201"/>
      <c r="ORW93" s="201"/>
      <c r="ORX93" s="201"/>
      <c r="ORY93" s="201"/>
      <c r="ORZ93" s="201"/>
      <c r="OSA93" s="201"/>
      <c r="OSB93" s="201"/>
      <c r="OSC93" s="201"/>
      <c r="OSD93" s="201"/>
      <c r="OSE93" s="201"/>
      <c r="OSF93" s="201"/>
      <c r="OSG93" s="201"/>
      <c r="OSH93" s="201"/>
      <c r="OSI93" s="201"/>
      <c r="OSJ93" s="201"/>
      <c r="OSK93" s="201"/>
      <c r="OSL93" s="201"/>
      <c r="OSM93" s="201"/>
      <c r="OSN93" s="201"/>
      <c r="OSO93" s="201"/>
      <c r="OSP93" s="201"/>
      <c r="OSQ93" s="201"/>
      <c r="OSR93" s="201"/>
      <c r="OSS93" s="201"/>
      <c r="OST93" s="201"/>
      <c r="OSU93" s="201"/>
      <c r="OSV93" s="201"/>
      <c r="OSW93" s="201"/>
      <c r="OSX93" s="201"/>
      <c r="OSY93" s="201"/>
      <c r="OSZ93" s="201"/>
      <c r="OTA93" s="201"/>
      <c r="OTB93" s="201"/>
      <c r="OTC93" s="201"/>
      <c r="OTD93" s="201"/>
      <c r="OTE93" s="201"/>
      <c r="OTF93" s="201"/>
      <c r="OTG93" s="201"/>
      <c r="OTH93" s="201"/>
      <c r="OTI93" s="201"/>
      <c r="OTJ93" s="201"/>
      <c r="OTK93" s="201"/>
      <c r="OTL93" s="201"/>
      <c r="OTM93" s="201"/>
      <c r="OTN93" s="201"/>
      <c r="OTO93" s="201"/>
      <c r="OTP93" s="201"/>
      <c r="OTQ93" s="201"/>
      <c r="OTR93" s="201"/>
      <c r="OTS93" s="201"/>
      <c r="OTT93" s="201"/>
      <c r="OTU93" s="201"/>
      <c r="OTV93" s="201"/>
      <c r="OTW93" s="201"/>
      <c r="OTX93" s="201"/>
      <c r="OTY93" s="201"/>
      <c r="OTZ93" s="201"/>
      <c r="OUA93" s="201"/>
      <c r="OUB93" s="201"/>
      <c r="OUC93" s="201"/>
      <c r="OUD93" s="201"/>
      <c r="OUE93" s="201"/>
      <c r="OUF93" s="201"/>
      <c r="OUG93" s="201"/>
      <c r="OUH93" s="201"/>
      <c r="OUI93" s="201"/>
      <c r="OUJ93" s="201"/>
      <c r="OUK93" s="201"/>
      <c r="OUL93" s="201"/>
      <c r="OUM93" s="201"/>
      <c r="OUN93" s="201"/>
      <c r="OUO93" s="201"/>
      <c r="OUP93" s="201"/>
      <c r="OUQ93" s="201"/>
      <c r="OUR93" s="201"/>
      <c r="OUS93" s="201"/>
      <c r="OUT93" s="201"/>
      <c r="OUU93" s="201"/>
      <c r="OUV93" s="201"/>
      <c r="OUW93" s="201"/>
      <c r="OUX93" s="201"/>
      <c r="OUY93" s="201"/>
      <c r="OUZ93" s="201"/>
      <c r="OVA93" s="201"/>
      <c r="OVB93" s="201"/>
      <c r="OVC93" s="201"/>
      <c r="OVD93" s="201"/>
      <c r="OVE93" s="201"/>
      <c r="OVF93" s="201"/>
      <c r="OVG93" s="201"/>
      <c r="OVH93" s="201"/>
      <c r="OVI93" s="201"/>
      <c r="OVJ93" s="201"/>
      <c r="OVK93" s="201"/>
      <c r="OVL93" s="201"/>
      <c r="OVM93" s="201"/>
      <c r="OVN93" s="201"/>
      <c r="OVO93" s="201"/>
      <c r="OVP93" s="201"/>
      <c r="OVQ93" s="201"/>
      <c r="OVR93" s="201"/>
      <c r="OVS93" s="201"/>
      <c r="OVT93" s="201"/>
      <c r="OVU93" s="201"/>
      <c r="OVV93" s="201"/>
      <c r="OVW93" s="201"/>
      <c r="OVX93" s="201"/>
      <c r="OVY93" s="201"/>
      <c r="OVZ93" s="201"/>
      <c r="OWA93" s="201"/>
      <c r="OWB93" s="201"/>
      <c r="OWC93" s="201"/>
      <c r="OWD93" s="201"/>
      <c r="OWE93" s="201"/>
      <c r="OWF93" s="201"/>
      <c r="OWG93" s="201"/>
      <c r="OWH93" s="201"/>
      <c r="OWI93" s="201"/>
      <c r="OWJ93" s="201"/>
      <c r="OWK93" s="201"/>
      <c r="OWL93" s="201"/>
      <c r="OWM93" s="201"/>
      <c r="OWN93" s="201"/>
      <c r="OWO93" s="201"/>
      <c r="OWP93" s="201"/>
      <c r="OWQ93" s="201"/>
      <c r="OWR93" s="201"/>
      <c r="OWS93" s="201"/>
      <c r="OWT93" s="201"/>
      <c r="OWU93" s="201"/>
      <c r="OWV93" s="201"/>
      <c r="OWW93" s="201"/>
      <c r="OWX93" s="201"/>
      <c r="OWY93" s="201"/>
      <c r="OWZ93" s="201"/>
      <c r="OXA93" s="201"/>
      <c r="OXB93" s="201"/>
      <c r="OXC93" s="201"/>
      <c r="OXD93" s="201"/>
      <c r="OXE93" s="201"/>
      <c r="OXF93" s="201"/>
      <c r="OXG93" s="201"/>
      <c r="OXH93" s="201"/>
      <c r="OXI93" s="201"/>
      <c r="OXJ93" s="201"/>
      <c r="OXK93" s="201"/>
      <c r="OXL93" s="201"/>
      <c r="OXM93" s="201"/>
      <c r="OXN93" s="201"/>
      <c r="OXO93" s="201"/>
      <c r="OXP93" s="201"/>
      <c r="OXQ93" s="201"/>
      <c r="OXR93" s="201"/>
      <c r="OXS93" s="201"/>
      <c r="OXT93" s="201"/>
      <c r="OXU93" s="201"/>
      <c r="OXV93" s="201"/>
      <c r="OXW93" s="201"/>
      <c r="OXX93" s="201"/>
      <c r="OXY93" s="201"/>
      <c r="OXZ93" s="201"/>
      <c r="OYA93" s="201"/>
      <c r="OYB93" s="201"/>
      <c r="OYC93" s="201"/>
      <c r="OYD93" s="201"/>
      <c r="OYE93" s="201"/>
      <c r="OYF93" s="201"/>
      <c r="OYG93" s="201"/>
      <c r="OYH93" s="201"/>
      <c r="OYI93" s="201"/>
      <c r="OYJ93" s="201"/>
      <c r="OYK93" s="201"/>
      <c r="OYL93" s="201"/>
      <c r="OYM93" s="201"/>
      <c r="OYN93" s="201"/>
      <c r="OYO93" s="201"/>
      <c r="OYP93" s="201"/>
      <c r="OYQ93" s="201"/>
      <c r="OYR93" s="201"/>
      <c r="OYS93" s="201"/>
      <c r="OYT93" s="201"/>
      <c r="OYU93" s="201"/>
      <c r="OYV93" s="201"/>
      <c r="OYW93" s="201"/>
      <c r="OYX93" s="201"/>
      <c r="OYY93" s="201"/>
      <c r="OYZ93" s="201"/>
      <c r="OZA93" s="201"/>
      <c r="OZB93" s="201"/>
      <c r="OZC93" s="201"/>
      <c r="OZD93" s="201"/>
      <c r="OZE93" s="201"/>
      <c r="OZF93" s="201"/>
      <c r="OZG93" s="201"/>
      <c r="OZH93" s="201"/>
      <c r="OZI93" s="201"/>
      <c r="OZJ93" s="201"/>
      <c r="OZK93" s="201"/>
      <c r="OZL93" s="201"/>
      <c r="OZM93" s="201"/>
      <c r="OZN93" s="201"/>
      <c r="OZO93" s="201"/>
      <c r="OZP93" s="201"/>
      <c r="OZQ93" s="201"/>
      <c r="OZR93" s="201"/>
      <c r="OZS93" s="201"/>
      <c r="OZT93" s="201"/>
      <c r="OZU93" s="201"/>
      <c r="OZV93" s="201"/>
      <c r="OZW93" s="201"/>
      <c r="OZX93" s="201"/>
      <c r="OZY93" s="201"/>
      <c r="OZZ93" s="201"/>
      <c r="PAA93" s="201"/>
      <c r="PAB93" s="201"/>
      <c r="PAC93" s="201"/>
      <c r="PAD93" s="201"/>
      <c r="PAE93" s="201"/>
      <c r="PAF93" s="201"/>
      <c r="PAG93" s="201"/>
      <c r="PAH93" s="201"/>
      <c r="PAI93" s="201"/>
      <c r="PAJ93" s="201"/>
      <c r="PAK93" s="201"/>
      <c r="PAL93" s="201"/>
      <c r="PAM93" s="201"/>
      <c r="PAN93" s="201"/>
      <c r="PAO93" s="201"/>
      <c r="PAP93" s="201"/>
      <c r="PAQ93" s="201"/>
      <c r="PAR93" s="201"/>
      <c r="PAS93" s="201"/>
      <c r="PAT93" s="201"/>
      <c r="PAU93" s="201"/>
      <c r="PAV93" s="201"/>
      <c r="PAW93" s="201"/>
      <c r="PAX93" s="201"/>
      <c r="PAY93" s="201"/>
      <c r="PAZ93" s="201"/>
      <c r="PBA93" s="201"/>
      <c r="PBB93" s="201"/>
      <c r="PBC93" s="201"/>
      <c r="PBD93" s="201"/>
      <c r="PBE93" s="201"/>
      <c r="PBF93" s="201"/>
      <c r="PBG93" s="201"/>
      <c r="PBH93" s="201"/>
      <c r="PBI93" s="201"/>
      <c r="PBJ93" s="201"/>
      <c r="PBK93" s="201"/>
      <c r="PBL93" s="201"/>
      <c r="PBM93" s="201"/>
      <c r="PBN93" s="201"/>
      <c r="PBO93" s="201"/>
      <c r="PBP93" s="201"/>
      <c r="PBQ93" s="201"/>
      <c r="PBR93" s="201"/>
      <c r="PBS93" s="201"/>
      <c r="PBT93" s="201"/>
      <c r="PBU93" s="201"/>
      <c r="PBV93" s="201"/>
      <c r="PBW93" s="201"/>
      <c r="PBX93" s="201"/>
      <c r="PBY93" s="201"/>
      <c r="PBZ93" s="201"/>
      <c r="PCA93" s="201"/>
      <c r="PCB93" s="201"/>
      <c r="PCC93" s="201"/>
      <c r="PCD93" s="201"/>
      <c r="PCE93" s="201"/>
      <c r="PCF93" s="201"/>
      <c r="PCG93" s="201"/>
      <c r="PCH93" s="201"/>
      <c r="PCI93" s="201"/>
      <c r="PCJ93" s="201"/>
      <c r="PCK93" s="201"/>
      <c r="PCL93" s="201"/>
      <c r="PCM93" s="201"/>
      <c r="PCN93" s="201"/>
      <c r="PCO93" s="201"/>
      <c r="PCP93" s="201"/>
      <c r="PCQ93" s="201"/>
      <c r="PCR93" s="201"/>
      <c r="PCS93" s="201"/>
      <c r="PCT93" s="201"/>
      <c r="PCU93" s="201"/>
      <c r="PCV93" s="201"/>
      <c r="PCW93" s="201"/>
      <c r="PCX93" s="201"/>
      <c r="PCY93" s="201"/>
      <c r="PCZ93" s="201"/>
      <c r="PDA93" s="201"/>
      <c r="PDB93" s="201"/>
      <c r="PDC93" s="201"/>
      <c r="PDD93" s="201"/>
      <c r="PDE93" s="201"/>
      <c r="PDF93" s="201"/>
      <c r="PDG93" s="201"/>
      <c r="PDH93" s="201"/>
      <c r="PDI93" s="201"/>
      <c r="PDJ93" s="201"/>
      <c r="PDK93" s="201"/>
      <c r="PDL93" s="201"/>
      <c r="PDM93" s="201"/>
      <c r="PDN93" s="201"/>
      <c r="PDO93" s="201"/>
      <c r="PDP93" s="201"/>
      <c r="PDQ93" s="201"/>
      <c r="PDR93" s="201"/>
      <c r="PDS93" s="201"/>
      <c r="PDT93" s="201"/>
      <c r="PDU93" s="201"/>
      <c r="PDV93" s="201"/>
      <c r="PDW93" s="201"/>
      <c r="PDX93" s="201"/>
      <c r="PDY93" s="201"/>
      <c r="PDZ93" s="201"/>
      <c r="PEA93" s="201"/>
      <c r="PEB93" s="201"/>
      <c r="PEC93" s="201"/>
      <c r="PED93" s="201"/>
      <c r="PEE93" s="201"/>
      <c r="PEF93" s="201"/>
      <c r="PEG93" s="201"/>
      <c r="PEH93" s="201"/>
      <c r="PEI93" s="201"/>
      <c r="PEJ93" s="201"/>
      <c r="PEK93" s="201"/>
      <c r="PEL93" s="201"/>
      <c r="PEM93" s="201"/>
      <c r="PEN93" s="201"/>
      <c r="PEO93" s="201"/>
      <c r="PEP93" s="201"/>
      <c r="PEQ93" s="201"/>
      <c r="PER93" s="201"/>
      <c r="PES93" s="201"/>
      <c r="PET93" s="201"/>
      <c r="PEU93" s="201"/>
      <c r="PEV93" s="201"/>
      <c r="PEW93" s="201"/>
      <c r="PEX93" s="201"/>
      <c r="PEY93" s="201"/>
      <c r="PEZ93" s="201"/>
      <c r="PFA93" s="201"/>
      <c r="PFB93" s="201"/>
      <c r="PFC93" s="201"/>
      <c r="PFD93" s="201"/>
      <c r="PFE93" s="201"/>
      <c r="PFF93" s="201"/>
      <c r="PFG93" s="201"/>
      <c r="PFH93" s="201"/>
      <c r="PFI93" s="201"/>
      <c r="PFJ93" s="201"/>
      <c r="PFK93" s="201"/>
      <c r="PFL93" s="201"/>
      <c r="PFM93" s="201"/>
      <c r="PFN93" s="201"/>
      <c r="PFO93" s="201"/>
      <c r="PFP93" s="201"/>
      <c r="PFQ93" s="201"/>
      <c r="PFR93" s="201"/>
      <c r="PFS93" s="201"/>
      <c r="PFT93" s="201"/>
      <c r="PFU93" s="201"/>
      <c r="PFV93" s="201"/>
      <c r="PFW93" s="201"/>
      <c r="PFX93" s="201"/>
      <c r="PFY93" s="201"/>
      <c r="PFZ93" s="201"/>
      <c r="PGA93" s="201"/>
      <c r="PGB93" s="201"/>
      <c r="PGC93" s="201"/>
      <c r="PGD93" s="201"/>
      <c r="PGE93" s="201"/>
      <c r="PGF93" s="201"/>
      <c r="PGG93" s="201"/>
      <c r="PGH93" s="201"/>
      <c r="PGI93" s="201"/>
      <c r="PGJ93" s="201"/>
      <c r="PGK93" s="201"/>
      <c r="PGL93" s="201"/>
      <c r="PGM93" s="201"/>
      <c r="PGN93" s="201"/>
      <c r="PGO93" s="201"/>
      <c r="PGP93" s="201"/>
      <c r="PGQ93" s="201"/>
      <c r="PGR93" s="201"/>
      <c r="PGS93" s="201"/>
      <c r="PGT93" s="201"/>
      <c r="PGU93" s="201"/>
      <c r="PGV93" s="201"/>
      <c r="PGW93" s="201"/>
      <c r="PGX93" s="201"/>
      <c r="PGY93" s="201"/>
      <c r="PGZ93" s="201"/>
      <c r="PHA93" s="201"/>
      <c r="PHB93" s="201"/>
      <c r="PHC93" s="201"/>
      <c r="PHD93" s="201"/>
      <c r="PHE93" s="201"/>
      <c r="PHF93" s="201"/>
      <c r="PHG93" s="201"/>
      <c r="PHH93" s="201"/>
      <c r="PHI93" s="201"/>
      <c r="PHJ93" s="201"/>
      <c r="PHK93" s="201"/>
      <c r="PHL93" s="201"/>
      <c r="PHM93" s="201"/>
      <c r="PHN93" s="201"/>
      <c r="PHO93" s="201"/>
      <c r="PHP93" s="201"/>
      <c r="PHQ93" s="201"/>
      <c r="PHR93" s="201"/>
      <c r="PHS93" s="201"/>
      <c r="PHT93" s="201"/>
      <c r="PHU93" s="201"/>
      <c r="PHV93" s="201"/>
      <c r="PHW93" s="201"/>
      <c r="PHX93" s="201"/>
      <c r="PHY93" s="201"/>
      <c r="PHZ93" s="201"/>
      <c r="PIA93" s="201"/>
      <c r="PIB93" s="201"/>
      <c r="PIC93" s="201"/>
      <c r="PID93" s="201"/>
      <c r="PIE93" s="201"/>
      <c r="PIF93" s="201"/>
      <c r="PIG93" s="201"/>
      <c r="PIH93" s="201"/>
      <c r="PII93" s="201"/>
      <c r="PIJ93" s="201"/>
      <c r="PIK93" s="201"/>
      <c r="PIL93" s="201"/>
      <c r="PIM93" s="201"/>
      <c r="PIN93" s="201"/>
      <c r="PIO93" s="201"/>
      <c r="PIP93" s="201"/>
      <c r="PIQ93" s="201"/>
      <c r="PIR93" s="201"/>
      <c r="PIS93" s="201"/>
      <c r="PIT93" s="201"/>
      <c r="PIU93" s="201"/>
      <c r="PIV93" s="201"/>
      <c r="PIW93" s="201"/>
      <c r="PIX93" s="201"/>
      <c r="PIY93" s="201"/>
      <c r="PIZ93" s="201"/>
      <c r="PJA93" s="201"/>
      <c r="PJB93" s="201"/>
      <c r="PJC93" s="201"/>
      <c r="PJD93" s="201"/>
      <c r="PJE93" s="201"/>
      <c r="PJF93" s="201"/>
      <c r="PJG93" s="201"/>
      <c r="PJH93" s="201"/>
      <c r="PJI93" s="201"/>
      <c r="PJJ93" s="201"/>
      <c r="PJK93" s="201"/>
      <c r="PJL93" s="201"/>
      <c r="PJM93" s="201"/>
      <c r="PJN93" s="201"/>
      <c r="PJO93" s="201"/>
      <c r="PJP93" s="201"/>
      <c r="PJQ93" s="201"/>
      <c r="PJR93" s="201"/>
      <c r="PJS93" s="201"/>
      <c r="PJT93" s="201"/>
      <c r="PJU93" s="201"/>
      <c r="PJV93" s="201"/>
      <c r="PJW93" s="201"/>
      <c r="PJX93" s="201"/>
      <c r="PJY93" s="201"/>
      <c r="PJZ93" s="201"/>
      <c r="PKA93" s="201"/>
      <c r="PKB93" s="201"/>
      <c r="PKC93" s="201"/>
      <c r="PKD93" s="201"/>
      <c r="PKE93" s="201"/>
      <c r="PKF93" s="201"/>
      <c r="PKG93" s="201"/>
      <c r="PKH93" s="201"/>
      <c r="PKI93" s="201"/>
      <c r="PKJ93" s="201"/>
      <c r="PKK93" s="201"/>
      <c r="PKL93" s="201"/>
      <c r="PKM93" s="201"/>
      <c r="PKN93" s="201"/>
      <c r="PKO93" s="201"/>
      <c r="PKP93" s="201"/>
      <c r="PKQ93" s="201"/>
      <c r="PKR93" s="201"/>
      <c r="PKS93" s="201"/>
      <c r="PKT93" s="201"/>
      <c r="PKU93" s="201"/>
      <c r="PKV93" s="201"/>
      <c r="PKW93" s="201"/>
      <c r="PKX93" s="201"/>
      <c r="PKY93" s="201"/>
      <c r="PKZ93" s="201"/>
      <c r="PLA93" s="201"/>
      <c r="PLB93" s="201"/>
      <c r="PLC93" s="201"/>
      <c r="PLD93" s="201"/>
      <c r="PLE93" s="201"/>
      <c r="PLF93" s="201"/>
      <c r="PLG93" s="201"/>
      <c r="PLH93" s="201"/>
      <c r="PLI93" s="201"/>
      <c r="PLJ93" s="201"/>
      <c r="PLK93" s="201"/>
      <c r="PLL93" s="201"/>
      <c r="PLM93" s="201"/>
      <c r="PLN93" s="201"/>
      <c r="PLO93" s="201"/>
      <c r="PLP93" s="201"/>
      <c r="PLQ93" s="201"/>
      <c r="PLR93" s="201"/>
      <c r="PLS93" s="201"/>
      <c r="PLT93" s="201"/>
      <c r="PLU93" s="201"/>
      <c r="PLV93" s="201"/>
      <c r="PLW93" s="201"/>
      <c r="PLX93" s="201"/>
      <c r="PLY93" s="201"/>
      <c r="PLZ93" s="201"/>
      <c r="PMA93" s="201"/>
      <c r="PMB93" s="201"/>
      <c r="PMC93" s="201"/>
      <c r="PMD93" s="201"/>
      <c r="PME93" s="201"/>
      <c r="PMF93" s="201"/>
      <c r="PMG93" s="201"/>
      <c r="PMH93" s="201"/>
      <c r="PMI93" s="201"/>
      <c r="PMJ93" s="201"/>
      <c r="PMK93" s="201"/>
      <c r="PML93" s="201"/>
      <c r="PMM93" s="201"/>
      <c r="PMN93" s="201"/>
      <c r="PMO93" s="201"/>
      <c r="PMP93" s="201"/>
      <c r="PMQ93" s="201"/>
      <c r="PMR93" s="201"/>
      <c r="PMS93" s="201"/>
      <c r="PMT93" s="201"/>
      <c r="PMU93" s="201"/>
      <c r="PMV93" s="201"/>
      <c r="PMW93" s="201"/>
      <c r="PMX93" s="201"/>
      <c r="PMY93" s="201"/>
      <c r="PMZ93" s="201"/>
      <c r="PNA93" s="201"/>
      <c r="PNB93" s="201"/>
      <c r="PNC93" s="201"/>
      <c r="PND93" s="201"/>
      <c r="PNE93" s="201"/>
      <c r="PNF93" s="201"/>
      <c r="PNG93" s="201"/>
      <c r="PNH93" s="201"/>
      <c r="PNI93" s="201"/>
      <c r="PNJ93" s="201"/>
      <c r="PNK93" s="201"/>
      <c r="PNL93" s="201"/>
      <c r="PNM93" s="201"/>
      <c r="PNN93" s="201"/>
      <c r="PNO93" s="201"/>
      <c r="PNP93" s="201"/>
      <c r="PNQ93" s="201"/>
      <c r="PNR93" s="201"/>
      <c r="PNS93" s="201"/>
      <c r="PNT93" s="201"/>
      <c r="PNU93" s="201"/>
      <c r="PNV93" s="201"/>
      <c r="PNW93" s="201"/>
      <c r="PNX93" s="201"/>
      <c r="PNY93" s="201"/>
      <c r="PNZ93" s="201"/>
      <c r="POA93" s="201"/>
      <c r="POB93" s="201"/>
      <c r="POC93" s="201"/>
      <c r="POD93" s="201"/>
      <c r="POE93" s="201"/>
      <c r="POF93" s="201"/>
      <c r="POG93" s="201"/>
      <c r="POH93" s="201"/>
      <c r="POI93" s="201"/>
      <c r="POJ93" s="201"/>
      <c r="POK93" s="201"/>
      <c r="POL93" s="201"/>
      <c r="POM93" s="201"/>
      <c r="PON93" s="201"/>
      <c r="POO93" s="201"/>
      <c r="POP93" s="201"/>
      <c r="POQ93" s="201"/>
      <c r="POR93" s="201"/>
      <c r="POS93" s="201"/>
      <c r="POT93" s="201"/>
      <c r="POU93" s="201"/>
      <c r="POV93" s="201"/>
      <c r="POW93" s="201"/>
      <c r="POX93" s="201"/>
      <c r="POY93" s="201"/>
      <c r="POZ93" s="201"/>
      <c r="PPA93" s="201"/>
      <c r="PPB93" s="201"/>
      <c r="PPC93" s="201"/>
      <c r="PPD93" s="201"/>
      <c r="PPE93" s="201"/>
      <c r="PPF93" s="201"/>
      <c r="PPG93" s="201"/>
      <c r="PPH93" s="201"/>
      <c r="PPI93" s="201"/>
      <c r="PPJ93" s="201"/>
      <c r="PPK93" s="201"/>
      <c r="PPL93" s="201"/>
      <c r="PPM93" s="201"/>
      <c r="PPN93" s="201"/>
      <c r="PPO93" s="201"/>
      <c r="PPP93" s="201"/>
      <c r="PPQ93" s="201"/>
      <c r="PPR93" s="201"/>
      <c r="PPS93" s="201"/>
      <c r="PPT93" s="201"/>
      <c r="PPU93" s="201"/>
      <c r="PPV93" s="201"/>
      <c r="PPW93" s="201"/>
      <c r="PPX93" s="201"/>
      <c r="PPY93" s="201"/>
      <c r="PPZ93" s="201"/>
      <c r="PQA93" s="201"/>
      <c r="PQB93" s="201"/>
      <c r="PQC93" s="201"/>
      <c r="PQD93" s="201"/>
      <c r="PQE93" s="201"/>
      <c r="PQF93" s="201"/>
      <c r="PQG93" s="201"/>
      <c r="PQH93" s="201"/>
      <c r="PQI93" s="201"/>
      <c r="PQJ93" s="201"/>
      <c r="PQK93" s="201"/>
      <c r="PQL93" s="201"/>
      <c r="PQM93" s="201"/>
      <c r="PQN93" s="201"/>
      <c r="PQO93" s="201"/>
      <c r="PQP93" s="201"/>
      <c r="PQQ93" s="201"/>
      <c r="PQR93" s="201"/>
      <c r="PQS93" s="201"/>
      <c r="PQT93" s="201"/>
      <c r="PQU93" s="201"/>
      <c r="PQV93" s="201"/>
      <c r="PQW93" s="201"/>
      <c r="PQX93" s="201"/>
      <c r="PQY93" s="201"/>
      <c r="PQZ93" s="201"/>
      <c r="PRA93" s="201"/>
      <c r="PRB93" s="201"/>
      <c r="PRC93" s="201"/>
      <c r="PRD93" s="201"/>
      <c r="PRE93" s="201"/>
      <c r="PRF93" s="201"/>
      <c r="PRG93" s="201"/>
      <c r="PRH93" s="201"/>
      <c r="PRI93" s="201"/>
      <c r="PRJ93" s="201"/>
      <c r="PRK93" s="201"/>
      <c r="PRL93" s="201"/>
      <c r="PRM93" s="201"/>
      <c r="PRN93" s="201"/>
      <c r="PRO93" s="201"/>
      <c r="PRP93" s="201"/>
      <c r="PRQ93" s="201"/>
      <c r="PRR93" s="201"/>
      <c r="PRS93" s="201"/>
      <c r="PRT93" s="201"/>
      <c r="PRU93" s="201"/>
      <c r="PRV93" s="201"/>
      <c r="PRW93" s="201"/>
      <c r="PRX93" s="201"/>
      <c r="PRY93" s="201"/>
      <c r="PRZ93" s="201"/>
      <c r="PSA93" s="201"/>
      <c r="PSB93" s="201"/>
      <c r="PSC93" s="201"/>
      <c r="PSD93" s="201"/>
      <c r="PSE93" s="201"/>
      <c r="PSF93" s="201"/>
      <c r="PSG93" s="201"/>
      <c r="PSH93" s="201"/>
      <c r="PSI93" s="201"/>
      <c r="PSJ93" s="201"/>
      <c r="PSK93" s="201"/>
      <c r="PSL93" s="201"/>
      <c r="PSM93" s="201"/>
      <c r="PSN93" s="201"/>
      <c r="PSO93" s="201"/>
      <c r="PSP93" s="201"/>
      <c r="PSQ93" s="201"/>
      <c r="PSR93" s="201"/>
      <c r="PSS93" s="201"/>
      <c r="PST93" s="201"/>
      <c r="PSU93" s="201"/>
      <c r="PSV93" s="201"/>
      <c r="PSW93" s="201"/>
      <c r="PSX93" s="201"/>
      <c r="PSY93" s="201"/>
      <c r="PSZ93" s="201"/>
      <c r="PTA93" s="201"/>
      <c r="PTB93" s="201"/>
      <c r="PTC93" s="201"/>
      <c r="PTD93" s="201"/>
      <c r="PTE93" s="201"/>
      <c r="PTF93" s="201"/>
      <c r="PTG93" s="201"/>
      <c r="PTH93" s="201"/>
      <c r="PTI93" s="201"/>
      <c r="PTJ93" s="201"/>
      <c r="PTK93" s="201"/>
      <c r="PTL93" s="201"/>
      <c r="PTM93" s="201"/>
      <c r="PTN93" s="201"/>
      <c r="PTO93" s="201"/>
      <c r="PTP93" s="201"/>
      <c r="PTQ93" s="201"/>
      <c r="PTR93" s="201"/>
      <c r="PTS93" s="201"/>
      <c r="PTT93" s="201"/>
      <c r="PTU93" s="201"/>
      <c r="PTV93" s="201"/>
      <c r="PTW93" s="201"/>
      <c r="PTX93" s="201"/>
      <c r="PTY93" s="201"/>
      <c r="PTZ93" s="201"/>
      <c r="PUA93" s="201"/>
      <c r="PUB93" s="201"/>
      <c r="PUC93" s="201"/>
      <c r="PUD93" s="201"/>
      <c r="PUE93" s="201"/>
      <c r="PUF93" s="201"/>
      <c r="PUG93" s="201"/>
      <c r="PUH93" s="201"/>
      <c r="PUI93" s="201"/>
      <c r="PUJ93" s="201"/>
      <c r="PUK93" s="201"/>
      <c r="PUL93" s="201"/>
      <c r="PUM93" s="201"/>
      <c r="PUN93" s="201"/>
      <c r="PUO93" s="201"/>
      <c r="PUP93" s="201"/>
      <c r="PUQ93" s="201"/>
      <c r="PUR93" s="201"/>
      <c r="PUS93" s="201"/>
      <c r="PUT93" s="201"/>
      <c r="PUU93" s="201"/>
      <c r="PUV93" s="201"/>
      <c r="PUW93" s="201"/>
      <c r="PUX93" s="201"/>
      <c r="PUY93" s="201"/>
      <c r="PUZ93" s="201"/>
      <c r="PVA93" s="201"/>
      <c r="PVB93" s="201"/>
      <c r="PVC93" s="201"/>
      <c r="PVD93" s="201"/>
      <c r="PVE93" s="201"/>
      <c r="PVF93" s="201"/>
      <c r="PVG93" s="201"/>
      <c r="PVH93" s="201"/>
      <c r="PVI93" s="201"/>
      <c r="PVJ93" s="201"/>
      <c r="PVK93" s="201"/>
      <c r="PVL93" s="201"/>
      <c r="PVM93" s="201"/>
      <c r="PVN93" s="201"/>
      <c r="PVO93" s="201"/>
      <c r="PVP93" s="201"/>
      <c r="PVQ93" s="201"/>
      <c r="PVR93" s="201"/>
      <c r="PVS93" s="201"/>
      <c r="PVT93" s="201"/>
      <c r="PVU93" s="201"/>
      <c r="PVV93" s="201"/>
      <c r="PVW93" s="201"/>
      <c r="PVX93" s="201"/>
      <c r="PVY93" s="201"/>
      <c r="PVZ93" s="201"/>
      <c r="PWA93" s="201"/>
      <c r="PWB93" s="201"/>
      <c r="PWC93" s="201"/>
      <c r="PWD93" s="201"/>
      <c r="PWE93" s="201"/>
      <c r="PWF93" s="201"/>
      <c r="PWG93" s="201"/>
      <c r="PWH93" s="201"/>
      <c r="PWI93" s="201"/>
      <c r="PWJ93" s="201"/>
      <c r="PWK93" s="201"/>
      <c r="PWL93" s="201"/>
      <c r="PWM93" s="201"/>
      <c r="PWN93" s="201"/>
      <c r="PWO93" s="201"/>
      <c r="PWP93" s="201"/>
      <c r="PWQ93" s="201"/>
      <c r="PWR93" s="201"/>
      <c r="PWS93" s="201"/>
      <c r="PWT93" s="201"/>
      <c r="PWU93" s="201"/>
      <c r="PWV93" s="201"/>
      <c r="PWW93" s="201"/>
      <c r="PWX93" s="201"/>
      <c r="PWY93" s="201"/>
      <c r="PWZ93" s="201"/>
      <c r="PXA93" s="201"/>
      <c r="PXB93" s="201"/>
      <c r="PXC93" s="201"/>
      <c r="PXD93" s="201"/>
      <c r="PXE93" s="201"/>
      <c r="PXF93" s="201"/>
      <c r="PXG93" s="201"/>
      <c r="PXH93" s="201"/>
      <c r="PXI93" s="201"/>
      <c r="PXJ93" s="201"/>
      <c r="PXK93" s="201"/>
      <c r="PXL93" s="201"/>
      <c r="PXM93" s="201"/>
      <c r="PXN93" s="201"/>
      <c r="PXO93" s="201"/>
      <c r="PXP93" s="201"/>
      <c r="PXQ93" s="201"/>
      <c r="PXR93" s="201"/>
      <c r="PXS93" s="201"/>
      <c r="PXT93" s="201"/>
      <c r="PXU93" s="201"/>
      <c r="PXV93" s="201"/>
      <c r="PXW93" s="201"/>
      <c r="PXX93" s="201"/>
      <c r="PXY93" s="201"/>
      <c r="PXZ93" s="201"/>
      <c r="PYA93" s="201"/>
      <c r="PYB93" s="201"/>
      <c r="PYC93" s="201"/>
      <c r="PYD93" s="201"/>
      <c r="PYE93" s="201"/>
      <c r="PYF93" s="201"/>
      <c r="PYG93" s="201"/>
      <c r="PYH93" s="201"/>
      <c r="PYI93" s="201"/>
      <c r="PYJ93" s="201"/>
      <c r="PYK93" s="201"/>
      <c r="PYL93" s="201"/>
      <c r="PYM93" s="201"/>
      <c r="PYN93" s="201"/>
      <c r="PYO93" s="201"/>
      <c r="PYP93" s="201"/>
      <c r="PYQ93" s="201"/>
      <c r="PYR93" s="201"/>
      <c r="PYS93" s="201"/>
      <c r="PYT93" s="201"/>
      <c r="PYU93" s="201"/>
      <c r="PYV93" s="201"/>
      <c r="PYW93" s="201"/>
      <c r="PYX93" s="201"/>
      <c r="PYY93" s="201"/>
      <c r="PYZ93" s="201"/>
      <c r="PZA93" s="201"/>
      <c r="PZB93" s="201"/>
      <c r="PZC93" s="201"/>
      <c r="PZD93" s="201"/>
      <c r="PZE93" s="201"/>
      <c r="PZF93" s="201"/>
      <c r="PZG93" s="201"/>
      <c r="PZH93" s="201"/>
      <c r="PZI93" s="201"/>
      <c r="PZJ93" s="201"/>
      <c r="PZK93" s="201"/>
      <c r="PZL93" s="201"/>
      <c r="PZM93" s="201"/>
      <c r="PZN93" s="201"/>
      <c r="PZO93" s="201"/>
      <c r="PZP93" s="201"/>
      <c r="PZQ93" s="201"/>
      <c r="PZR93" s="201"/>
      <c r="PZS93" s="201"/>
      <c r="PZT93" s="201"/>
      <c r="PZU93" s="201"/>
      <c r="PZV93" s="201"/>
      <c r="PZW93" s="201"/>
      <c r="PZX93" s="201"/>
      <c r="PZY93" s="201"/>
      <c r="PZZ93" s="201"/>
      <c r="QAA93" s="201"/>
      <c r="QAB93" s="201"/>
      <c r="QAC93" s="201"/>
      <c r="QAD93" s="201"/>
      <c r="QAE93" s="201"/>
      <c r="QAF93" s="201"/>
      <c r="QAG93" s="201"/>
      <c r="QAH93" s="201"/>
      <c r="QAI93" s="201"/>
      <c r="QAJ93" s="201"/>
      <c r="QAK93" s="201"/>
      <c r="QAL93" s="201"/>
      <c r="QAM93" s="201"/>
      <c r="QAN93" s="201"/>
      <c r="QAO93" s="201"/>
      <c r="QAP93" s="201"/>
      <c r="QAQ93" s="201"/>
      <c r="QAR93" s="201"/>
      <c r="QAS93" s="201"/>
      <c r="QAT93" s="201"/>
      <c r="QAU93" s="201"/>
      <c r="QAV93" s="201"/>
      <c r="QAW93" s="201"/>
      <c r="QAX93" s="201"/>
      <c r="QAY93" s="201"/>
      <c r="QAZ93" s="201"/>
      <c r="QBA93" s="201"/>
      <c r="QBB93" s="201"/>
      <c r="QBC93" s="201"/>
      <c r="QBD93" s="201"/>
      <c r="QBE93" s="201"/>
      <c r="QBF93" s="201"/>
      <c r="QBG93" s="201"/>
      <c r="QBH93" s="201"/>
      <c r="QBI93" s="201"/>
      <c r="QBJ93" s="201"/>
      <c r="QBK93" s="201"/>
      <c r="QBL93" s="201"/>
      <c r="QBM93" s="201"/>
      <c r="QBN93" s="201"/>
      <c r="QBO93" s="201"/>
      <c r="QBP93" s="201"/>
      <c r="QBQ93" s="201"/>
      <c r="QBR93" s="201"/>
      <c r="QBS93" s="201"/>
      <c r="QBT93" s="201"/>
      <c r="QBU93" s="201"/>
      <c r="QBV93" s="201"/>
      <c r="QBW93" s="201"/>
      <c r="QBX93" s="201"/>
      <c r="QBY93" s="201"/>
      <c r="QBZ93" s="201"/>
      <c r="QCA93" s="201"/>
      <c r="QCB93" s="201"/>
      <c r="QCC93" s="201"/>
      <c r="QCD93" s="201"/>
      <c r="QCE93" s="201"/>
      <c r="QCF93" s="201"/>
      <c r="QCG93" s="201"/>
      <c r="QCH93" s="201"/>
      <c r="QCI93" s="201"/>
      <c r="QCJ93" s="201"/>
      <c r="QCK93" s="201"/>
      <c r="QCL93" s="201"/>
      <c r="QCM93" s="201"/>
      <c r="QCN93" s="201"/>
      <c r="QCO93" s="201"/>
      <c r="QCP93" s="201"/>
      <c r="QCQ93" s="201"/>
      <c r="QCR93" s="201"/>
      <c r="QCS93" s="201"/>
      <c r="QCT93" s="201"/>
      <c r="QCU93" s="201"/>
      <c r="QCV93" s="201"/>
      <c r="QCW93" s="201"/>
      <c r="QCX93" s="201"/>
      <c r="QCY93" s="201"/>
      <c r="QCZ93" s="201"/>
      <c r="QDA93" s="201"/>
      <c r="QDB93" s="201"/>
      <c r="QDC93" s="201"/>
      <c r="QDD93" s="201"/>
      <c r="QDE93" s="201"/>
      <c r="QDF93" s="201"/>
      <c r="QDG93" s="201"/>
      <c r="QDH93" s="201"/>
      <c r="QDI93" s="201"/>
      <c r="QDJ93" s="201"/>
      <c r="QDK93" s="201"/>
      <c r="QDL93" s="201"/>
      <c r="QDM93" s="201"/>
      <c r="QDN93" s="201"/>
      <c r="QDO93" s="201"/>
      <c r="QDP93" s="201"/>
      <c r="QDQ93" s="201"/>
      <c r="QDR93" s="201"/>
      <c r="QDS93" s="201"/>
      <c r="QDT93" s="201"/>
      <c r="QDU93" s="201"/>
      <c r="QDV93" s="201"/>
      <c r="QDW93" s="201"/>
      <c r="QDX93" s="201"/>
      <c r="QDY93" s="201"/>
      <c r="QDZ93" s="201"/>
      <c r="QEA93" s="201"/>
      <c r="QEB93" s="201"/>
      <c r="QEC93" s="201"/>
      <c r="QED93" s="201"/>
      <c r="QEE93" s="201"/>
      <c r="QEF93" s="201"/>
      <c r="QEG93" s="201"/>
      <c r="QEH93" s="201"/>
      <c r="QEI93" s="201"/>
      <c r="QEJ93" s="201"/>
      <c r="QEK93" s="201"/>
      <c r="QEL93" s="201"/>
      <c r="QEM93" s="201"/>
      <c r="QEN93" s="201"/>
      <c r="QEO93" s="201"/>
      <c r="QEP93" s="201"/>
      <c r="QEQ93" s="201"/>
      <c r="QER93" s="201"/>
      <c r="QES93" s="201"/>
      <c r="QET93" s="201"/>
      <c r="QEU93" s="201"/>
      <c r="QEV93" s="201"/>
      <c r="QEW93" s="201"/>
      <c r="QEX93" s="201"/>
      <c r="QEY93" s="201"/>
      <c r="QEZ93" s="201"/>
      <c r="QFA93" s="201"/>
      <c r="QFB93" s="201"/>
      <c r="QFC93" s="201"/>
      <c r="QFD93" s="201"/>
      <c r="QFE93" s="201"/>
      <c r="QFF93" s="201"/>
      <c r="QFG93" s="201"/>
      <c r="QFH93" s="201"/>
      <c r="QFI93" s="201"/>
      <c r="QFJ93" s="201"/>
      <c r="QFK93" s="201"/>
      <c r="QFL93" s="201"/>
      <c r="QFM93" s="201"/>
      <c r="QFN93" s="201"/>
      <c r="QFO93" s="201"/>
      <c r="QFP93" s="201"/>
      <c r="QFQ93" s="201"/>
      <c r="QFR93" s="201"/>
      <c r="QFS93" s="201"/>
      <c r="QFT93" s="201"/>
      <c r="QFU93" s="201"/>
      <c r="QFV93" s="201"/>
      <c r="QFW93" s="201"/>
      <c r="QFX93" s="201"/>
      <c r="QFY93" s="201"/>
      <c r="QFZ93" s="201"/>
      <c r="QGA93" s="201"/>
      <c r="QGB93" s="201"/>
      <c r="QGC93" s="201"/>
      <c r="QGD93" s="201"/>
      <c r="QGE93" s="201"/>
      <c r="QGF93" s="201"/>
      <c r="QGG93" s="201"/>
      <c r="QGH93" s="201"/>
      <c r="QGI93" s="201"/>
      <c r="QGJ93" s="201"/>
      <c r="QGK93" s="201"/>
      <c r="QGL93" s="201"/>
      <c r="QGM93" s="201"/>
      <c r="QGN93" s="201"/>
      <c r="QGO93" s="201"/>
      <c r="QGP93" s="201"/>
      <c r="QGQ93" s="201"/>
      <c r="QGR93" s="201"/>
      <c r="QGS93" s="201"/>
      <c r="QGT93" s="201"/>
      <c r="QGU93" s="201"/>
      <c r="QGV93" s="201"/>
      <c r="QGW93" s="201"/>
      <c r="QGX93" s="201"/>
      <c r="QGY93" s="201"/>
      <c r="QGZ93" s="201"/>
      <c r="QHA93" s="201"/>
      <c r="QHB93" s="201"/>
      <c r="QHC93" s="201"/>
      <c r="QHD93" s="201"/>
      <c r="QHE93" s="201"/>
      <c r="QHF93" s="201"/>
      <c r="QHG93" s="201"/>
      <c r="QHH93" s="201"/>
      <c r="QHI93" s="201"/>
      <c r="QHJ93" s="201"/>
      <c r="QHK93" s="201"/>
      <c r="QHL93" s="201"/>
      <c r="QHM93" s="201"/>
      <c r="QHN93" s="201"/>
      <c r="QHO93" s="201"/>
      <c r="QHP93" s="201"/>
      <c r="QHQ93" s="201"/>
      <c r="QHR93" s="201"/>
      <c r="QHS93" s="201"/>
      <c r="QHT93" s="201"/>
      <c r="QHU93" s="201"/>
      <c r="QHV93" s="201"/>
      <c r="QHW93" s="201"/>
      <c r="QHX93" s="201"/>
      <c r="QHY93" s="201"/>
      <c r="QHZ93" s="201"/>
      <c r="QIA93" s="201"/>
      <c r="QIB93" s="201"/>
      <c r="QIC93" s="201"/>
      <c r="QID93" s="201"/>
      <c r="QIE93" s="201"/>
      <c r="QIF93" s="201"/>
      <c r="QIG93" s="201"/>
      <c r="QIH93" s="201"/>
      <c r="QII93" s="201"/>
      <c r="QIJ93" s="201"/>
      <c r="QIK93" s="201"/>
      <c r="QIL93" s="201"/>
      <c r="QIM93" s="201"/>
      <c r="QIN93" s="201"/>
      <c r="QIO93" s="201"/>
      <c r="QIP93" s="201"/>
      <c r="QIQ93" s="201"/>
      <c r="QIR93" s="201"/>
      <c r="QIS93" s="201"/>
      <c r="QIT93" s="201"/>
      <c r="QIU93" s="201"/>
      <c r="QIV93" s="201"/>
      <c r="QIW93" s="201"/>
      <c r="QIX93" s="201"/>
      <c r="QIY93" s="201"/>
      <c r="QIZ93" s="201"/>
      <c r="QJA93" s="201"/>
      <c r="QJB93" s="201"/>
      <c r="QJC93" s="201"/>
      <c r="QJD93" s="201"/>
      <c r="QJE93" s="201"/>
      <c r="QJF93" s="201"/>
      <c r="QJG93" s="201"/>
      <c r="QJH93" s="201"/>
      <c r="QJI93" s="201"/>
      <c r="QJJ93" s="201"/>
      <c r="QJK93" s="201"/>
      <c r="QJL93" s="201"/>
      <c r="QJM93" s="201"/>
      <c r="QJN93" s="201"/>
      <c r="QJO93" s="201"/>
      <c r="QJP93" s="201"/>
      <c r="QJQ93" s="201"/>
      <c r="QJR93" s="201"/>
      <c r="QJS93" s="201"/>
      <c r="QJT93" s="201"/>
      <c r="QJU93" s="201"/>
      <c r="QJV93" s="201"/>
      <c r="QJW93" s="201"/>
      <c r="QJX93" s="201"/>
      <c r="QJY93" s="201"/>
      <c r="QJZ93" s="201"/>
      <c r="QKA93" s="201"/>
      <c r="QKB93" s="201"/>
      <c r="QKC93" s="201"/>
      <c r="QKD93" s="201"/>
      <c r="QKE93" s="201"/>
      <c r="QKF93" s="201"/>
      <c r="QKG93" s="201"/>
      <c r="QKH93" s="201"/>
      <c r="QKI93" s="201"/>
      <c r="QKJ93" s="201"/>
      <c r="QKK93" s="201"/>
      <c r="QKL93" s="201"/>
      <c r="QKM93" s="201"/>
      <c r="QKN93" s="201"/>
      <c r="QKO93" s="201"/>
      <c r="QKP93" s="201"/>
      <c r="QKQ93" s="201"/>
      <c r="QKR93" s="201"/>
      <c r="QKS93" s="201"/>
      <c r="QKT93" s="201"/>
      <c r="QKU93" s="201"/>
      <c r="QKV93" s="201"/>
      <c r="QKW93" s="201"/>
      <c r="QKX93" s="201"/>
      <c r="QKY93" s="201"/>
      <c r="QKZ93" s="201"/>
      <c r="QLA93" s="201"/>
      <c r="QLB93" s="201"/>
      <c r="QLC93" s="201"/>
      <c r="QLD93" s="201"/>
      <c r="QLE93" s="201"/>
      <c r="QLF93" s="201"/>
      <c r="QLG93" s="201"/>
      <c r="QLH93" s="201"/>
      <c r="QLI93" s="201"/>
      <c r="QLJ93" s="201"/>
      <c r="QLK93" s="201"/>
      <c r="QLL93" s="201"/>
      <c r="QLM93" s="201"/>
      <c r="QLN93" s="201"/>
      <c r="QLO93" s="201"/>
      <c r="QLP93" s="201"/>
      <c r="QLQ93" s="201"/>
      <c r="QLR93" s="201"/>
      <c r="QLS93" s="201"/>
      <c r="QLT93" s="201"/>
      <c r="QLU93" s="201"/>
      <c r="QLV93" s="201"/>
      <c r="QLW93" s="201"/>
      <c r="QLX93" s="201"/>
      <c r="QLY93" s="201"/>
      <c r="QLZ93" s="201"/>
      <c r="QMA93" s="201"/>
      <c r="QMB93" s="201"/>
      <c r="QMC93" s="201"/>
      <c r="QMD93" s="201"/>
      <c r="QME93" s="201"/>
      <c r="QMF93" s="201"/>
      <c r="QMG93" s="201"/>
      <c r="QMH93" s="201"/>
      <c r="QMI93" s="201"/>
      <c r="QMJ93" s="201"/>
      <c r="QMK93" s="201"/>
      <c r="QML93" s="201"/>
      <c r="QMM93" s="201"/>
      <c r="QMN93" s="201"/>
      <c r="QMO93" s="201"/>
      <c r="QMP93" s="201"/>
      <c r="QMQ93" s="201"/>
      <c r="QMR93" s="201"/>
      <c r="QMS93" s="201"/>
      <c r="QMT93" s="201"/>
      <c r="QMU93" s="201"/>
      <c r="QMV93" s="201"/>
      <c r="QMW93" s="201"/>
      <c r="QMX93" s="201"/>
      <c r="QMY93" s="201"/>
      <c r="QMZ93" s="201"/>
      <c r="QNA93" s="201"/>
      <c r="QNB93" s="201"/>
      <c r="QNC93" s="201"/>
      <c r="QND93" s="201"/>
      <c r="QNE93" s="201"/>
      <c r="QNF93" s="201"/>
      <c r="QNG93" s="201"/>
      <c r="QNH93" s="201"/>
      <c r="QNI93" s="201"/>
      <c r="QNJ93" s="201"/>
      <c r="QNK93" s="201"/>
      <c r="QNL93" s="201"/>
      <c r="QNM93" s="201"/>
      <c r="QNN93" s="201"/>
      <c r="QNO93" s="201"/>
      <c r="QNP93" s="201"/>
      <c r="QNQ93" s="201"/>
      <c r="QNR93" s="201"/>
      <c r="QNS93" s="201"/>
      <c r="QNT93" s="201"/>
      <c r="QNU93" s="201"/>
      <c r="QNV93" s="201"/>
      <c r="QNW93" s="201"/>
      <c r="QNX93" s="201"/>
      <c r="QNY93" s="201"/>
      <c r="QNZ93" s="201"/>
      <c r="QOA93" s="201"/>
      <c r="QOB93" s="201"/>
      <c r="QOC93" s="201"/>
      <c r="QOD93" s="201"/>
      <c r="QOE93" s="201"/>
      <c r="QOF93" s="201"/>
      <c r="QOG93" s="201"/>
      <c r="QOH93" s="201"/>
      <c r="QOI93" s="201"/>
      <c r="QOJ93" s="201"/>
      <c r="QOK93" s="201"/>
      <c r="QOL93" s="201"/>
      <c r="QOM93" s="201"/>
      <c r="QON93" s="201"/>
      <c r="QOO93" s="201"/>
      <c r="QOP93" s="201"/>
      <c r="QOQ93" s="201"/>
      <c r="QOR93" s="201"/>
      <c r="QOS93" s="201"/>
      <c r="QOT93" s="201"/>
      <c r="QOU93" s="201"/>
      <c r="QOV93" s="201"/>
      <c r="QOW93" s="201"/>
      <c r="QOX93" s="201"/>
      <c r="QOY93" s="201"/>
      <c r="QOZ93" s="201"/>
      <c r="QPA93" s="201"/>
      <c r="QPB93" s="201"/>
      <c r="QPC93" s="201"/>
      <c r="QPD93" s="201"/>
      <c r="QPE93" s="201"/>
      <c r="QPF93" s="201"/>
      <c r="QPG93" s="201"/>
      <c r="QPH93" s="201"/>
      <c r="QPI93" s="201"/>
      <c r="QPJ93" s="201"/>
      <c r="QPK93" s="201"/>
      <c r="QPL93" s="201"/>
      <c r="QPM93" s="201"/>
      <c r="QPN93" s="201"/>
      <c r="QPO93" s="201"/>
      <c r="QPP93" s="201"/>
      <c r="QPQ93" s="201"/>
      <c r="QPR93" s="201"/>
      <c r="QPS93" s="201"/>
      <c r="QPT93" s="201"/>
      <c r="QPU93" s="201"/>
      <c r="QPV93" s="201"/>
      <c r="QPW93" s="201"/>
      <c r="QPX93" s="201"/>
      <c r="QPY93" s="201"/>
      <c r="QPZ93" s="201"/>
      <c r="QQA93" s="201"/>
      <c r="QQB93" s="201"/>
      <c r="QQC93" s="201"/>
      <c r="QQD93" s="201"/>
      <c r="QQE93" s="201"/>
      <c r="QQF93" s="201"/>
      <c r="QQG93" s="201"/>
      <c r="QQH93" s="201"/>
      <c r="QQI93" s="201"/>
      <c r="QQJ93" s="201"/>
      <c r="QQK93" s="201"/>
      <c r="QQL93" s="201"/>
      <c r="QQM93" s="201"/>
      <c r="QQN93" s="201"/>
      <c r="QQO93" s="201"/>
      <c r="QQP93" s="201"/>
      <c r="QQQ93" s="201"/>
      <c r="QQR93" s="201"/>
      <c r="QQS93" s="201"/>
      <c r="QQT93" s="201"/>
      <c r="QQU93" s="201"/>
      <c r="QQV93" s="201"/>
      <c r="QQW93" s="201"/>
      <c r="QQX93" s="201"/>
      <c r="QQY93" s="201"/>
      <c r="QQZ93" s="201"/>
      <c r="QRA93" s="201"/>
      <c r="QRB93" s="201"/>
      <c r="QRC93" s="201"/>
      <c r="QRD93" s="201"/>
      <c r="QRE93" s="201"/>
      <c r="QRF93" s="201"/>
      <c r="QRG93" s="201"/>
      <c r="QRH93" s="201"/>
      <c r="QRI93" s="201"/>
      <c r="QRJ93" s="201"/>
      <c r="QRK93" s="201"/>
      <c r="QRL93" s="201"/>
      <c r="QRM93" s="201"/>
      <c r="QRN93" s="201"/>
      <c r="QRO93" s="201"/>
      <c r="QRP93" s="201"/>
      <c r="QRQ93" s="201"/>
      <c r="QRR93" s="201"/>
      <c r="QRS93" s="201"/>
      <c r="QRT93" s="201"/>
      <c r="QRU93" s="201"/>
      <c r="QRV93" s="201"/>
      <c r="QRW93" s="201"/>
      <c r="QRX93" s="201"/>
      <c r="QRY93" s="201"/>
      <c r="QRZ93" s="201"/>
      <c r="QSA93" s="201"/>
      <c r="QSB93" s="201"/>
      <c r="QSC93" s="201"/>
      <c r="QSD93" s="201"/>
      <c r="QSE93" s="201"/>
      <c r="QSF93" s="201"/>
      <c r="QSG93" s="201"/>
      <c r="QSH93" s="201"/>
      <c r="QSI93" s="201"/>
      <c r="QSJ93" s="201"/>
      <c r="QSK93" s="201"/>
      <c r="QSL93" s="201"/>
      <c r="QSM93" s="201"/>
      <c r="QSN93" s="201"/>
      <c r="QSO93" s="201"/>
      <c r="QSP93" s="201"/>
      <c r="QSQ93" s="201"/>
      <c r="QSR93" s="201"/>
      <c r="QSS93" s="201"/>
      <c r="QST93" s="201"/>
      <c r="QSU93" s="201"/>
      <c r="QSV93" s="201"/>
      <c r="QSW93" s="201"/>
      <c r="QSX93" s="201"/>
      <c r="QSY93" s="201"/>
      <c r="QSZ93" s="201"/>
      <c r="QTA93" s="201"/>
      <c r="QTB93" s="201"/>
      <c r="QTC93" s="201"/>
      <c r="QTD93" s="201"/>
      <c r="QTE93" s="201"/>
      <c r="QTF93" s="201"/>
      <c r="QTG93" s="201"/>
      <c r="QTH93" s="201"/>
      <c r="QTI93" s="201"/>
      <c r="QTJ93" s="201"/>
      <c r="QTK93" s="201"/>
      <c r="QTL93" s="201"/>
      <c r="QTM93" s="201"/>
      <c r="QTN93" s="201"/>
      <c r="QTO93" s="201"/>
      <c r="QTP93" s="201"/>
      <c r="QTQ93" s="201"/>
      <c r="QTR93" s="201"/>
      <c r="QTS93" s="201"/>
      <c r="QTT93" s="201"/>
      <c r="QTU93" s="201"/>
      <c r="QTV93" s="201"/>
      <c r="QTW93" s="201"/>
      <c r="QTX93" s="201"/>
      <c r="QTY93" s="201"/>
      <c r="QTZ93" s="201"/>
      <c r="QUA93" s="201"/>
      <c r="QUB93" s="201"/>
      <c r="QUC93" s="201"/>
      <c r="QUD93" s="201"/>
      <c r="QUE93" s="201"/>
      <c r="QUF93" s="201"/>
      <c r="QUG93" s="201"/>
      <c r="QUH93" s="201"/>
      <c r="QUI93" s="201"/>
      <c r="QUJ93" s="201"/>
      <c r="QUK93" s="201"/>
      <c r="QUL93" s="201"/>
      <c r="QUM93" s="201"/>
      <c r="QUN93" s="201"/>
      <c r="QUO93" s="201"/>
      <c r="QUP93" s="201"/>
      <c r="QUQ93" s="201"/>
      <c r="QUR93" s="201"/>
      <c r="QUS93" s="201"/>
      <c r="QUT93" s="201"/>
      <c r="QUU93" s="201"/>
      <c r="QUV93" s="201"/>
      <c r="QUW93" s="201"/>
      <c r="QUX93" s="201"/>
      <c r="QUY93" s="201"/>
      <c r="QUZ93" s="201"/>
      <c r="QVA93" s="201"/>
      <c r="QVB93" s="201"/>
      <c r="QVC93" s="201"/>
      <c r="QVD93" s="201"/>
      <c r="QVE93" s="201"/>
      <c r="QVF93" s="201"/>
      <c r="QVG93" s="201"/>
      <c r="QVH93" s="201"/>
      <c r="QVI93" s="201"/>
      <c r="QVJ93" s="201"/>
      <c r="QVK93" s="201"/>
      <c r="QVL93" s="201"/>
      <c r="QVM93" s="201"/>
      <c r="QVN93" s="201"/>
      <c r="QVO93" s="201"/>
      <c r="QVP93" s="201"/>
      <c r="QVQ93" s="201"/>
      <c r="QVR93" s="201"/>
      <c r="QVS93" s="201"/>
      <c r="QVT93" s="201"/>
      <c r="QVU93" s="201"/>
      <c r="QVV93" s="201"/>
      <c r="QVW93" s="201"/>
      <c r="QVX93" s="201"/>
      <c r="QVY93" s="201"/>
      <c r="QVZ93" s="201"/>
      <c r="QWA93" s="201"/>
      <c r="QWB93" s="201"/>
      <c r="QWC93" s="201"/>
      <c r="QWD93" s="201"/>
      <c r="QWE93" s="201"/>
      <c r="QWF93" s="201"/>
      <c r="QWG93" s="201"/>
      <c r="QWH93" s="201"/>
      <c r="QWI93" s="201"/>
      <c r="QWJ93" s="201"/>
      <c r="QWK93" s="201"/>
      <c r="QWL93" s="201"/>
      <c r="QWM93" s="201"/>
      <c r="QWN93" s="201"/>
      <c r="QWO93" s="201"/>
      <c r="QWP93" s="201"/>
      <c r="QWQ93" s="201"/>
      <c r="QWR93" s="201"/>
      <c r="QWS93" s="201"/>
      <c r="QWT93" s="201"/>
      <c r="QWU93" s="201"/>
      <c r="QWV93" s="201"/>
      <c r="QWW93" s="201"/>
      <c r="QWX93" s="201"/>
      <c r="QWY93" s="201"/>
      <c r="QWZ93" s="201"/>
      <c r="QXA93" s="201"/>
      <c r="QXB93" s="201"/>
      <c r="QXC93" s="201"/>
      <c r="QXD93" s="201"/>
      <c r="QXE93" s="201"/>
      <c r="QXF93" s="201"/>
      <c r="QXG93" s="201"/>
      <c r="QXH93" s="201"/>
      <c r="QXI93" s="201"/>
      <c r="QXJ93" s="201"/>
      <c r="QXK93" s="201"/>
      <c r="QXL93" s="201"/>
      <c r="QXM93" s="201"/>
      <c r="QXN93" s="201"/>
      <c r="QXO93" s="201"/>
      <c r="QXP93" s="201"/>
      <c r="QXQ93" s="201"/>
      <c r="QXR93" s="201"/>
      <c r="QXS93" s="201"/>
      <c r="QXT93" s="201"/>
      <c r="QXU93" s="201"/>
      <c r="QXV93" s="201"/>
      <c r="QXW93" s="201"/>
      <c r="QXX93" s="201"/>
      <c r="QXY93" s="201"/>
      <c r="QXZ93" s="201"/>
      <c r="QYA93" s="201"/>
      <c r="QYB93" s="201"/>
      <c r="QYC93" s="201"/>
      <c r="QYD93" s="201"/>
      <c r="QYE93" s="201"/>
      <c r="QYF93" s="201"/>
      <c r="QYG93" s="201"/>
      <c r="QYH93" s="201"/>
      <c r="QYI93" s="201"/>
      <c r="QYJ93" s="201"/>
      <c r="QYK93" s="201"/>
      <c r="QYL93" s="201"/>
      <c r="QYM93" s="201"/>
      <c r="QYN93" s="201"/>
      <c r="QYO93" s="201"/>
      <c r="QYP93" s="201"/>
      <c r="QYQ93" s="201"/>
      <c r="QYR93" s="201"/>
      <c r="QYS93" s="201"/>
      <c r="QYT93" s="201"/>
      <c r="QYU93" s="201"/>
      <c r="QYV93" s="201"/>
      <c r="QYW93" s="201"/>
      <c r="QYX93" s="201"/>
      <c r="QYY93" s="201"/>
      <c r="QYZ93" s="201"/>
      <c r="QZA93" s="201"/>
      <c r="QZB93" s="201"/>
      <c r="QZC93" s="201"/>
      <c r="QZD93" s="201"/>
      <c r="QZE93" s="201"/>
      <c r="QZF93" s="201"/>
      <c r="QZG93" s="201"/>
      <c r="QZH93" s="201"/>
      <c r="QZI93" s="201"/>
      <c r="QZJ93" s="201"/>
      <c r="QZK93" s="201"/>
      <c r="QZL93" s="201"/>
      <c r="QZM93" s="201"/>
      <c r="QZN93" s="201"/>
      <c r="QZO93" s="201"/>
      <c r="QZP93" s="201"/>
      <c r="QZQ93" s="201"/>
      <c r="QZR93" s="201"/>
      <c r="QZS93" s="201"/>
      <c r="QZT93" s="201"/>
      <c r="QZU93" s="201"/>
      <c r="QZV93" s="201"/>
      <c r="QZW93" s="201"/>
      <c r="QZX93" s="201"/>
      <c r="QZY93" s="201"/>
      <c r="QZZ93" s="201"/>
      <c r="RAA93" s="201"/>
      <c r="RAB93" s="201"/>
      <c r="RAC93" s="201"/>
      <c r="RAD93" s="201"/>
      <c r="RAE93" s="201"/>
      <c r="RAF93" s="201"/>
      <c r="RAG93" s="201"/>
      <c r="RAH93" s="201"/>
      <c r="RAI93" s="201"/>
      <c r="RAJ93" s="201"/>
      <c r="RAK93" s="201"/>
      <c r="RAL93" s="201"/>
      <c r="RAM93" s="201"/>
      <c r="RAN93" s="201"/>
      <c r="RAO93" s="201"/>
      <c r="RAP93" s="201"/>
      <c r="RAQ93" s="201"/>
      <c r="RAR93" s="201"/>
      <c r="RAS93" s="201"/>
      <c r="RAT93" s="201"/>
      <c r="RAU93" s="201"/>
      <c r="RAV93" s="201"/>
      <c r="RAW93" s="201"/>
      <c r="RAX93" s="201"/>
      <c r="RAY93" s="201"/>
      <c r="RAZ93" s="201"/>
      <c r="RBA93" s="201"/>
      <c r="RBB93" s="201"/>
      <c r="RBC93" s="201"/>
      <c r="RBD93" s="201"/>
      <c r="RBE93" s="201"/>
      <c r="RBF93" s="201"/>
      <c r="RBG93" s="201"/>
      <c r="RBH93" s="201"/>
      <c r="RBI93" s="201"/>
      <c r="RBJ93" s="201"/>
      <c r="RBK93" s="201"/>
      <c r="RBL93" s="201"/>
      <c r="RBM93" s="201"/>
      <c r="RBN93" s="201"/>
      <c r="RBO93" s="201"/>
      <c r="RBP93" s="201"/>
      <c r="RBQ93" s="201"/>
      <c r="RBR93" s="201"/>
      <c r="RBS93" s="201"/>
      <c r="RBT93" s="201"/>
      <c r="RBU93" s="201"/>
      <c r="RBV93" s="201"/>
      <c r="RBW93" s="201"/>
      <c r="RBX93" s="201"/>
      <c r="RBY93" s="201"/>
      <c r="RBZ93" s="201"/>
      <c r="RCA93" s="201"/>
      <c r="RCB93" s="201"/>
      <c r="RCC93" s="201"/>
      <c r="RCD93" s="201"/>
      <c r="RCE93" s="201"/>
      <c r="RCF93" s="201"/>
      <c r="RCG93" s="201"/>
      <c r="RCH93" s="201"/>
      <c r="RCI93" s="201"/>
      <c r="RCJ93" s="201"/>
      <c r="RCK93" s="201"/>
      <c r="RCL93" s="201"/>
      <c r="RCM93" s="201"/>
      <c r="RCN93" s="201"/>
      <c r="RCO93" s="201"/>
      <c r="RCP93" s="201"/>
      <c r="RCQ93" s="201"/>
      <c r="RCR93" s="201"/>
      <c r="RCS93" s="201"/>
      <c r="RCT93" s="201"/>
      <c r="RCU93" s="201"/>
      <c r="RCV93" s="201"/>
      <c r="RCW93" s="201"/>
      <c r="RCX93" s="201"/>
      <c r="RCY93" s="201"/>
      <c r="RCZ93" s="201"/>
      <c r="RDA93" s="201"/>
      <c r="RDB93" s="201"/>
      <c r="RDC93" s="201"/>
      <c r="RDD93" s="201"/>
      <c r="RDE93" s="201"/>
      <c r="RDF93" s="201"/>
      <c r="RDG93" s="201"/>
      <c r="RDH93" s="201"/>
      <c r="RDI93" s="201"/>
      <c r="RDJ93" s="201"/>
      <c r="RDK93" s="201"/>
      <c r="RDL93" s="201"/>
      <c r="RDM93" s="201"/>
      <c r="RDN93" s="201"/>
      <c r="RDO93" s="201"/>
      <c r="RDP93" s="201"/>
      <c r="RDQ93" s="201"/>
      <c r="RDR93" s="201"/>
      <c r="RDS93" s="201"/>
      <c r="RDT93" s="201"/>
      <c r="RDU93" s="201"/>
      <c r="RDV93" s="201"/>
      <c r="RDW93" s="201"/>
      <c r="RDX93" s="201"/>
      <c r="RDY93" s="201"/>
      <c r="RDZ93" s="201"/>
      <c r="REA93" s="201"/>
      <c r="REB93" s="201"/>
      <c r="REC93" s="201"/>
      <c r="RED93" s="201"/>
      <c r="REE93" s="201"/>
      <c r="REF93" s="201"/>
      <c r="REG93" s="201"/>
      <c r="REH93" s="201"/>
      <c r="REI93" s="201"/>
      <c r="REJ93" s="201"/>
      <c r="REK93" s="201"/>
      <c r="REL93" s="201"/>
      <c r="REM93" s="201"/>
      <c r="REN93" s="201"/>
      <c r="REO93" s="201"/>
      <c r="REP93" s="201"/>
      <c r="REQ93" s="201"/>
      <c r="RER93" s="201"/>
      <c r="RES93" s="201"/>
      <c r="RET93" s="201"/>
      <c r="REU93" s="201"/>
      <c r="REV93" s="201"/>
      <c r="REW93" s="201"/>
      <c r="REX93" s="201"/>
      <c r="REY93" s="201"/>
      <c r="REZ93" s="201"/>
      <c r="RFA93" s="201"/>
      <c r="RFB93" s="201"/>
      <c r="RFC93" s="201"/>
      <c r="RFD93" s="201"/>
      <c r="RFE93" s="201"/>
      <c r="RFF93" s="201"/>
      <c r="RFG93" s="201"/>
      <c r="RFH93" s="201"/>
      <c r="RFI93" s="201"/>
      <c r="RFJ93" s="201"/>
      <c r="RFK93" s="201"/>
      <c r="RFL93" s="201"/>
      <c r="RFM93" s="201"/>
      <c r="RFN93" s="201"/>
      <c r="RFO93" s="201"/>
      <c r="RFP93" s="201"/>
      <c r="RFQ93" s="201"/>
      <c r="RFR93" s="201"/>
      <c r="RFS93" s="201"/>
      <c r="RFT93" s="201"/>
      <c r="RFU93" s="201"/>
      <c r="RFV93" s="201"/>
      <c r="RFW93" s="201"/>
      <c r="RFX93" s="201"/>
      <c r="RFY93" s="201"/>
      <c r="RFZ93" s="201"/>
      <c r="RGA93" s="201"/>
      <c r="RGB93" s="201"/>
      <c r="RGC93" s="201"/>
      <c r="RGD93" s="201"/>
      <c r="RGE93" s="201"/>
      <c r="RGF93" s="201"/>
      <c r="RGG93" s="201"/>
      <c r="RGH93" s="201"/>
      <c r="RGI93" s="201"/>
      <c r="RGJ93" s="201"/>
      <c r="RGK93" s="201"/>
      <c r="RGL93" s="201"/>
      <c r="RGM93" s="201"/>
      <c r="RGN93" s="201"/>
      <c r="RGO93" s="201"/>
      <c r="RGP93" s="201"/>
      <c r="RGQ93" s="201"/>
      <c r="RGR93" s="201"/>
      <c r="RGS93" s="201"/>
      <c r="RGT93" s="201"/>
      <c r="RGU93" s="201"/>
      <c r="RGV93" s="201"/>
      <c r="RGW93" s="201"/>
      <c r="RGX93" s="201"/>
      <c r="RGY93" s="201"/>
      <c r="RGZ93" s="201"/>
      <c r="RHA93" s="201"/>
      <c r="RHB93" s="201"/>
      <c r="RHC93" s="201"/>
      <c r="RHD93" s="201"/>
      <c r="RHE93" s="201"/>
      <c r="RHF93" s="201"/>
      <c r="RHG93" s="201"/>
      <c r="RHH93" s="201"/>
      <c r="RHI93" s="201"/>
      <c r="RHJ93" s="201"/>
      <c r="RHK93" s="201"/>
      <c r="RHL93" s="201"/>
      <c r="RHM93" s="201"/>
      <c r="RHN93" s="201"/>
      <c r="RHO93" s="201"/>
      <c r="RHP93" s="201"/>
      <c r="RHQ93" s="201"/>
      <c r="RHR93" s="201"/>
      <c r="RHS93" s="201"/>
      <c r="RHT93" s="201"/>
      <c r="RHU93" s="201"/>
      <c r="RHV93" s="201"/>
      <c r="RHW93" s="201"/>
      <c r="RHX93" s="201"/>
      <c r="RHY93" s="201"/>
      <c r="RHZ93" s="201"/>
      <c r="RIA93" s="201"/>
      <c r="RIB93" s="201"/>
      <c r="RIC93" s="201"/>
      <c r="RID93" s="201"/>
      <c r="RIE93" s="201"/>
      <c r="RIF93" s="201"/>
      <c r="RIG93" s="201"/>
      <c r="RIH93" s="201"/>
      <c r="RII93" s="201"/>
      <c r="RIJ93" s="201"/>
      <c r="RIK93" s="201"/>
      <c r="RIL93" s="201"/>
      <c r="RIM93" s="201"/>
      <c r="RIN93" s="201"/>
      <c r="RIO93" s="201"/>
      <c r="RIP93" s="201"/>
      <c r="RIQ93" s="201"/>
      <c r="RIR93" s="201"/>
      <c r="RIS93" s="201"/>
      <c r="RIT93" s="201"/>
      <c r="RIU93" s="201"/>
      <c r="RIV93" s="201"/>
      <c r="RIW93" s="201"/>
      <c r="RIX93" s="201"/>
      <c r="RIY93" s="201"/>
      <c r="RIZ93" s="201"/>
      <c r="RJA93" s="201"/>
      <c r="RJB93" s="201"/>
      <c r="RJC93" s="201"/>
      <c r="RJD93" s="201"/>
      <c r="RJE93" s="201"/>
      <c r="RJF93" s="201"/>
      <c r="RJG93" s="201"/>
      <c r="RJH93" s="201"/>
      <c r="RJI93" s="201"/>
      <c r="RJJ93" s="201"/>
      <c r="RJK93" s="201"/>
      <c r="RJL93" s="201"/>
      <c r="RJM93" s="201"/>
      <c r="RJN93" s="201"/>
      <c r="RJO93" s="201"/>
      <c r="RJP93" s="201"/>
      <c r="RJQ93" s="201"/>
      <c r="RJR93" s="201"/>
      <c r="RJS93" s="201"/>
      <c r="RJT93" s="201"/>
      <c r="RJU93" s="201"/>
      <c r="RJV93" s="201"/>
      <c r="RJW93" s="201"/>
      <c r="RJX93" s="201"/>
      <c r="RJY93" s="201"/>
      <c r="RJZ93" s="201"/>
      <c r="RKA93" s="201"/>
      <c r="RKB93" s="201"/>
      <c r="RKC93" s="201"/>
      <c r="RKD93" s="201"/>
      <c r="RKE93" s="201"/>
      <c r="RKF93" s="201"/>
      <c r="RKG93" s="201"/>
      <c r="RKH93" s="201"/>
      <c r="RKI93" s="201"/>
      <c r="RKJ93" s="201"/>
      <c r="RKK93" s="201"/>
      <c r="RKL93" s="201"/>
      <c r="RKM93" s="201"/>
      <c r="RKN93" s="201"/>
      <c r="RKO93" s="201"/>
      <c r="RKP93" s="201"/>
      <c r="RKQ93" s="201"/>
      <c r="RKR93" s="201"/>
      <c r="RKS93" s="201"/>
      <c r="RKT93" s="201"/>
      <c r="RKU93" s="201"/>
      <c r="RKV93" s="201"/>
      <c r="RKW93" s="201"/>
      <c r="RKX93" s="201"/>
      <c r="RKY93" s="201"/>
      <c r="RKZ93" s="201"/>
      <c r="RLA93" s="201"/>
      <c r="RLB93" s="201"/>
      <c r="RLC93" s="201"/>
      <c r="RLD93" s="201"/>
      <c r="RLE93" s="201"/>
      <c r="RLF93" s="201"/>
      <c r="RLG93" s="201"/>
      <c r="RLH93" s="201"/>
      <c r="RLI93" s="201"/>
      <c r="RLJ93" s="201"/>
      <c r="RLK93" s="201"/>
      <c r="RLL93" s="201"/>
      <c r="RLM93" s="201"/>
      <c r="RLN93" s="201"/>
      <c r="RLO93" s="201"/>
      <c r="RLP93" s="201"/>
      <c r="RLQ93" s="201"/>
      <c r="RLR93" s="201"/>
      <c r="RLS93" s="201"/>
      <c r="RLT93" s="201"/>
      <c r="RLU93" s="201"/>
      <c r="RLV93" s="201"/>
      <c r="RLW93" s="201"/>
      <c r="RLX93" s="201"/>
      <c r="RLY93" s="201"/>
      <c r="RLZ93" s="201"/>
      <c r="RMA93" s="201"/>
      <c r="RMB93" s="201"/>
      <c r="RMC93" s="201"/>
      <c r="RMD93" s="201"/>
      <c r="RME93" s="201"/>
      <c r="RMF93" s="201"/>
      <c r="RMG93" s="201"/>
      <c r="RMH93" s="201"/>
      <c r="RMI93" s="201"/>
      <c r="RMJ93" s="201"/>
      <c r="RMK93" s="201"/>
      <c r="RML93" s="201"/>
      <c r="RMM93" s="201"/>
      <c r="RMN93" s="201"/>
      <c r="RMO93" s="201"/>
      <c r="RMP93" s="201"/>
      <c r="RMQ93" s="201"/>
      <c r="RMR93" s="201"/>
      <c r="RMS93" s="201"/>
      <c r="RMT93" s="201"/>
      <c r="RMU93" s="201"/>
      <c r="RMV93" s="201"/>
      <c r="RMW93" s="201"/>
      <c r="RMX93" s="201"/>
      <c r="RMY93" s="201"/>
      <c r="RMZ93" s="201"/>
      <c r="RNA93" s="201"/>
      <c r="RNB93" s="201"/>
      <c r="RNC93" s="201"/>
      <c r="RND93" s="201"/>
      <c r="RNE93" s="201"/>
      <c r="RNF93" s="201"/>
      <c r="RNG93" s="201"/>
      <c r="RNH93" s="201"/>
      <c r="RNI93" s="201"/>
      <c r="RNJ93" s="201"/>
      <c r="RNK93" s="201"/>
      <c r="RNL93" s="201"/>
      <c r="RNM93" s="201"/>
      <c r="RNN93" s="201"/>
      <c r="RNO93" s="201"/>
      <c r="RNP93" s="201"/>
      <c r="RNQ93" s="201"/>
      <c r="RNR93" s="201"/>
      <c r="RNS93" s="201"/>
      <c r="RNT93" s="201"/>
      <c r="RNU93" s="201"/>
      <c r="RNV93" s="201"/>
      <c r="RNW93" s="201"/>
      <c r="RNX93" s="201"/>
      <c r="RNY93" s="201"/>
      <c r="RNZ93" s="201"/>
      <c r="ROA93" s="201"/>
      <c r="ROB93" s="201"/>
      <c r="ROC93" s="201"/>
      <c r="ROD93" s="201"/>
      <c r="ROE93" s="201"/>
      <c r="ROF93" s="201"/>
      <c r="ROG93" s="201"/>
      <c r="ROH93" s="201"/>
      <c r="ROI93" s="201"/>
      <c r="ROJ93" s="201"/>
      <c r="ROK93" s="201"/>
      <c r="ROL93" s="201"/>
      <c r="ROM93" s="201"/>
      <c r="RON93" s="201"/>
      <c r="ROO93" s="201"/>
      <c r="ROP93" s="201"/>
      <c r="ROQ93" s="201"/>
      <c r="ROR93" s="201"/>
      <c r="ROS93" s="201"/>
      <c r="ROT93" s="201"/>
      <c r="ROU93" s="201"/>
      <c r="ROV93" s="201"/>
      <c r="ROW93" s="201"/>
      <c r="ROX93" s="201"/>
      <c r="ROY93" s="201"/>
      <c r="ROZ93" s="201"/>
      <c r="RPA93" s="201"/>
      <c r="RPB93" s="201"/>
      <c r="RPC93" s="201"/>
      <c r="RPD93" s="201"/>
      <c r="RPE93" s="201"/>
      <c r="RPF93" s="201"/>
      <c r="RPG93" s="201"/>
      <c r="RPH93" s="201"/>
      <c r="RPI93" s="201"/>
      <c r="RPJ93" s="201"/>
      <c r="RPK93" s="201"/>
      <c r="RPL93" s="201"/>
      <c r="RPM93" s="201"/>
      <c r="RPN93" s="201"/>
      <c r="RPO93" s="201"/>
      <c r="RPP93" s="201"/>
      <c r="RPQ93" s="201"/>
      <c r="RPR93" s="201"/>
      <c r="RPS93" s="201"/>
      <c r="RPT93" s="201"/>
      <c r="RPU93" s="201"/>
      <c r="RPV93" s="201"/>
      <c r="RPW93" s="201"/>
      <c r="RPX93" s="201"/>
      <c r="RPY93" s="201"/>
      <c r="RPZ93" s="201"/>
      <c r="RQA93" s="201"/>
      <c r="RQB93" s="201"/>
      <c r="RQC93" s="201"/>
      <c r="RQD93" s="201"/>
      <c r="RQE93" s="201"/>
      <c r="RQF93" s="201"/>
      <c r="RQG93" s="201"/>
      <c r="RQH93" s="201"/>
      <c r="RQI93" s="201"/>
      <c r="RQJ93" s="201"/>
      <c r="RQK93" s="201"/>
      <c r="RQL93" s="201"/>
      <c r="RQM93" s="201"/>
      <c r="RQN93" s="201"/>
      <c r="RQO93" s="201"/>
      <c r="RQP93" s="201"/>
      <c r="RQQ93" s="201"/>
      <c r="RQR93" s="201"/>
      <c r="RQS93" s="201"/>
      <c r="RQT93" s="201"/>
      <c r="RQU93" s="201"/>
      <c r="RQV93" s="201"/>
      <c r="RQW93" s="201"/>
      <c r="RQX93" s="201"/>
      <c r="RQY93" s="201"/>
      <c r="RQZ93" s="201"/>
      <c r="RRA93" s="201"/>
      <c r="RRB93" s="201"/>
      <c r="RRC93" s="201"/>
      <c r="RRD93" s="201"/>
      <c r="RRE93" s="201"/>
      <c r="RRF93" s="201"/>
      <c r="RRG93" s="201"/>
      <c r="RRH93" s="201"/>
      <c r="RRI93" s="201"/>
      <c r="RRJ93" s="201"/>
      <c r="RRK93" s="201"/>
      <c r="RRL93" s="201"/>
      <c r="RRM93" s="201"/>
      <c r="RRN93" s="201"/>
      <c r="RRO93" s="201"/>
      <c r="RRP93" s="201"/>
      <c r="RRQ93" s="201"/>
      <c r="RRR93" s="201"/>
      <c r="RRS93" s="201"/>
      <c r="RRT93" s="201"/>
      <c r="RRU93" s="201"/>
      <c r="RRV93" s="201"/>
      <c r="RRW93" s="201"/>
      <c r="RRX93" s="201"/>
      <c r="RRY93" s="201"/>
      <c r="RRZ93" s="201"/>
      <c r="RSA93" s="201"/>
      <c r="RSB93" s="201"/>
      <c r="RSC93" s="201"/>
      <c r="RSD93" s="201"/>
      <c r="RSE93" s="201"/>
      <c r="RSF93" s="201"/>
      <c r="RSG93" s="201"/>
      <c r="RSH93" s="201"/>
      <c r="RSI93" s="201"/>
      <c r="RSJ93" s="201"/>
      <c r="RSK93" s="201"/>
      <c r="RSL93" s="201"/>
      <c r="RSM93" s="201"/>
      <c r="RSN93" s="201"/>
      <c r="RSO93" s="201"/>
      <c r="RSP93" s="201"/>
      <c r="RSQ93" s="201"/>
      <c r="RSR93" s="201"/>
      <c r="RSS93" s="201"/>
      <c r="RST93" s="201"/>
      <c r="RSU93" s="201"/>
      <c r="RSV93" s="201"/>
      <c r="RSW93" s="201"/>
      <c r="RSX93" s="201"/>
      <c r="RSY93" s="201"/>
      <c r="RSZ93" s="201"/>
      <c r="RTA93" s="201"/>
      <c r="RTB93" s="201"/>
      <c r="RTC93" s="201"/>
      <c r="RTD93" s="201"/>
      <c r="RTE93" s="201"/>
      <c r="RTF93" s="201"/>
      <c r="RTG93" s="201"/>
      <c r="RTH93" s="201"/>
      <c r="RTI93" s="201"/>
      <c r="RTJ93" s="201"/>
      <c r="RTK93" s="201"/>
      <c r="RTL93" s="201"/>
      <c r="RTM93" s="201"/>
      <c r="RTN93" s="201"/>
      <c r="RTO93" s="201"/>
      <c r="RTP93" s="201"/>
      <c r="RTQ93" s="201"/>
      <c r="RTR93" s="201"/>
      <c r="RTS93" s="201"/>
      <c r="RTT93" s="201"/>
      <c r="RTU93" s="201"/>
      <c r="RTV93" s="201"/>
      <c r="RTW93" s="201"/>
      <c r="RTX93" s="201"/>
      <c r="RTY93" s="201"/>
      <c r="RTZ93" s="201"/>
      <c r="RUA93" s="201"/>
      <c r="RUB93" s="201"/>
      <c r="RUC93" s="201"/>
      <c r="RUD93" s="201"/>
      <c r="RUE93" s="201"/>
      <c r="RUF93" s="201"/>
      <c r="RUG93" s="201"/>
      <c r="RUH93" s="201"/>
      <c r="RUI93" s="201"/>
      <c r="RUJ93" s="201"/>
      <c r="RUK93" s="201"/>
      <c r="RUL93" s="201"/>
      <c r="RUM93" s="201"/>
      <c r="RUN93" s="201"/>
      <c r="RUO93" s="201"/>
      <c r="RUP93" s="201"/>
      <c r="RUQ93" s="201"/>
      <c r="RUR93" s="201"/>
      <c r="RUS93" s="201"/>
      <c r="RUT93" s="201"/>
      <c r="RUU93" s="201"/>
      <c r="RUV93" s="201"/>
      <c r="RUW93" s="201"/>
      <c r="RUX93" s="201"/>
      <c r="RUY93" s="201"/>
      <c r="RUZ93" s="201"/>
      <c r="RVA93" s="201"/>
      <c r="RVB93" s="201"/>
      <c r="RVC93" s="201"/>
      <c r="RVD93" s="201"/>
      <c r="RVE93" s="201"/>
      <c r="RVF93" s="201"/>
      <c r="RVG93" s="201"/>
      <c r="RVH93" s="201"/>
      <c r="RVI93" s="201"/>
      <c r="RVJ93" s="201"/>
      <c r="RVK93" s="201"/>
      <c r="RVL93" s="201"/>
      <c r="RVM93" s="201"/>
      <c r="RVN93" s="201"/>
      <c r="RVO93" s="201"/>
      <c r="RVP93" s="201"/>
      <c r="RVQ93" s="201"/>
      <c r="RVR93" s="201"/>
      <c r="RVS93" s="201"/>
      <c r="RVT93" s="201"/>
      <c r="RVU93" s="201"/>
      <c r="RVV93" s="201"/>
      <c r="RVW93" s="201"/>
      <c r="RVX93" s="201"/>
      <c r="RVY93" s="201"/>
      <c r="RVZ93" s="201"/>
      <c r="RWA93" s="201"/>
      <c r="RWB93" s="201"/>
      <c r="RWC93" s="201"/>
      <c r="RWD93" s="201"/>
      <c r="RWE93" s="201"/>
      <c r="RWF93" s="201"/>
      <c r="RWG93" s="201"/>
      <c r="RWH93" s="201"/>
      <c r="RWI93" s="201"/>
      <c r="RWJ93" s="201"/>
      <c r="RWK93" s="201"/>
      <c r="RWL93" s="201"/>
      <c r="RWM93" s="201"/>
      <c r="RWN93" s="201"/>
      <c r="RWO93" s="201"/>
      <c r="RWP93" s="201"/>
      <c r="RWQ93" s="201"/>
      <c r="RWR93" s="201"/>
      <c r="RWS93" s="201"/>
      <c r="RWT93" s="201"/>
      <c r="RWU93" s="201"/>
      <c r="RWV93" s="201"/>
      <c r="RWW93" s="201"/>
      <c r="RWX93" s="201"/>
      <c r="RWY93" s="201"/>
      <c r="RWZ93" s="201"/>
      <c r="RXA93" s="201"/>
      <c r="RXB93" s="201"/>
      <c r="RXC93" s="201"/>
      <c r="RXD93" s="201"/>
      <c r="RXE93" s="201"/>
      <c r="RXF93" s="201"/>
      <c r="RXG93" s="201"/>
      <c r="RXH93" s="201"/>
      <c r="RXI93" s="201"/>
      <c r="RXJ93" s="201"/>
      <c r="RXK93" s="201"/>
      <c r="RXL93" s="201"/>
      <c r="RXM93" s="201"/>
      <c r="RXN93" s="201"/>
      <c r="RXO93" s="201"/>
      <c r="RXP93" s="201"/>
      <c r="RXQ93" s="201"/>
      <c r="RXR93" s="201"/>
      <c r="RXS93" s="201"/>
      <c r="RXT93" s="201"/>
      <c r="RXU93" s="201"/>
      <c r="RXV93" s="201"/>
      <c r="RXW93" s="201"/>
      <c r="RXX93" s="201"/>
      <c r="RXY93" s="201"/>
      <c r="RXZ93" s="201"/>
      <c r="RYA93" s="201"/>
      <c r="RYB93" s="201"/>
      <c r="RYC93" s="201"/>
      <c r="RYD93" s="201"/>
      <c r="RYE93" s="201"/>
      <c r="RYF93" s="201"/>
      <c r="RYG93" s="201"/>
      <c r="RYH93" s="201"/>
      <c r="RYI93" s="201"/>
      <c r="RYJ93" s="201"/>
      <c r="RYK93" s="201"/>
      <c r="RYL93" s="201"/>
      <c r="RYM93" s="201"/>
      <c r="RYN93" s="201"/>
      <c r="RYO93" s="201"/>
      <c r="RYP93" s="201"/>
      <c r="RYQ93" s="201"/>
      <c r="RYR93" s="201"/>
      <c r="RYS93" s="201"/>
      <c r="RYT93" s="201"/>
      <c r="RYU93" s="201"/>
      <c r="RYV93" s="201"/>
      <c r="RYW93" s="201"/>
      <c r="RYX93" s="201"/>
      <c r="RYY93" s="201"/>
      <c r="RYZ93" s="201"/>
      <c r="RZA93" s="201"/>
      <c r="RZB93" s="201"/>
      <c r="RZC93" s="201"/>
      <c r="RZD93" s="201"/>
      <c r="RZE93" s="201"/>
      <c r="RZF93" s="201"/>
      <c r="RZG93" s="201"/>
      <c r="RZH93" s="201"/>
      <c r="RZI93" s="201"/>
      <c r="RZJ93" s="201"/>
      <c r="RZK93" s="201"/>
      <c r="RZL93" s="201"/>
      <c r="RZM93" s="201"/>
      <c r="RZN93" s="201"/>
      <c r="RZO93" s="201"/>
      <c r="RZP93" s="201"/>
      <c r="RZQ93" s="201"/>
      <c r="RZR93" s="201"/>
      <c r="RZS93" s="201"/>
      <c r="RZT93" s="201"/>
      <c r="RZU93" s="201"/>
      <c r="RZV93" s="201"/>
      <c r="RZW93" s="201"/>
      <c r="RZX93" s="201"/>
      <c r="RZY93" s="201"/>
      <c r="RZZ93" s="201"/>
      <c r="SAA93" s="201"/>
      <c r="SAB93" s="201"/>
      <c r="SAC93" s="201"/>
      <c r="SAD93" s="201"/>
      <c r="SAE93" s="201"/>
      <c r="SAF93" s="201"/>
      <c r="SAG93" s="201"/>
      <c r="SAH93" s="201"/>
      <c r="SAI93" s="201"/>
      <c r="SAJ93" s="201"/>
      <c r="SAK93" s="201"/>
      <c r="SAL93" s="201"/>
      <c r="SAM93" s="201"/>
      <c r="SAN93" s="201"/>
      <c r="SAO93" s="201"/>
      <c r="SAP93" s="201"/>
      <c r="SAQ93" s="201"/>
      <c r="SAR93" s="201"/>
      <c r="SAS93" s="201"/>
      <c r="SAT93" s="201"/>
      <c r="SAU93" s="201"/>
      <c r="SAV93" s="201"/>
      <c r="SAW93" s="201"/>
      <c r="SAX93" s="201"/>
      <c r="SAY93" s="201"/>
      <c r="SAZ93" s="201"/>
      <c r="SBA93" s="201"/>
      <c r="SBB93" s="201"/>
      <c r="SBC93" s="201"/>
      <c r="SBD93" s="201"/>
      <c r="SBE93" s="201"/>
      <c r="SBF93" s="201"/>
      <c r="SBG93" s="201"/>
      <c r="SBH93" s="201"/>
      <c r="SBI93" s="201"/>
      <c r="SBJ93" s="201"/>
      <c r="SBK93" s="201"/>
      <c r="SBL93" s="201"/>
      <c r="SBM93" s="201"/>
      <c r="SBN93" s="201"/>
      <c r="SBO93" s="201"/>
      <c r="SBP93" s="201"/>
      <c r="SBQ93" s="201"/>
      <c r="SBR93" s="201"/>
      <c r="SBS93" s="201"/>
      <c r="SBT93" s="201"/>
      <c r="SBU93" s="201"/>
      <c r="SBV93" s="201"/>
      <c r="SBW93" s="201"/>
      <c r="SBX93" s="201"/>
      <c r="SBY93" s="201"/>
      <c r="SBZ93" s="201"/>
      <c r="SCA93" s="201"/>
      <c r="SCB93" s="201"/>
      <c r="SCC93" s="201"/>
      <c r="SCD93" s="201"/>
      <c r="SCE93" s="201"/>
      <c r="SCF93" s="201"/>
      <c r="SCG93" s="201"/>
      <c r="SCH93" s="201"/>
      <c r="SCI93" s="201"/>
      <c r="SCJ93" s="201"/>
      <c r="SCK93" s="201"/>
      <c r="SCL93" s="201"/>
      <c r="SCM93" s="201"/>
      <c r="SCN93" s="201"/>
      <c r="SCO93" s="201"/>
      <c r="SCP93" s="201"/>
      <c r="SCQ93" s="201"/>
      <c r="SCR93" s="201"/>
      <c r="SCS93" s="201"/>
      <c r="SCT93" s="201"/>
      <c r="SCU93" s="201"/>
      <c r="SCV93" s="201"/>
      <c r="SCW93" s="201"/>
      <c r="SCX93" s="201"/>
      <c r="SCY93" s="201"/>
      <c r="SCZ93" s="201"/>
      <c r="SDA93" s="201"/>
      <c r="SDB93" s="201"/>
      <c r="SDC93" s="201"/>
      <c r="SDD93" s="201"/>
      <c r="SDE93" s="201"/>
      <c r="SDF93" s="201"/>
      <c r="SDG93" s="201"/>
      <c r="SDH93" s="201"/>
      <c r="SDI93" s="201"/>
      <c r="SDJ93" s="201"/>
      <c r="SDK93" s="201"/>
      <c r="SDL93" s="201"/>
      <c r="SDM93" s="201"/>
      <c r="SDN93" s="201"/>
      <c r="SDO93" s="201"/>
      <c r="SDP93" s="201"/>
      <c r="SDQ93" s="201"/>
      <c r="SDR93" s="201"/>
      <c r="SDS93" s="201"/>
      <c r="SDT93" s="201"/>
      <c r="SDU93" s="201"/>
      <c r="SDV93" s="201"/>
      <c r="SDW93" s="201"/>
      <c r="SDX93" s="201"/>
      <c r="SDY93" s="201"/>
      <c r="SDZ93" s="201"/>
      <c r="SEA93" s="201"/>
      <c r="SEB93" s="201"/>
      <c r="SEC93" s="201"/>
      <c r="SED93" s="201"/>
      <c r="SEE93" s="201"/>
      <c r="SEF93" s="201"/>
      <c r="SEG93" s="201"/>
      <c r="SEH93" s="201"/>
      <c r="SEI93" s="201"/>
      <c r="SEJ93" s="201"/>
      <c r="SEK93" s="201"/>
      <c r="SEL93" s="201"/>
      <c r="SEM93" s="201"/>
      <c r="SEN93" s="201"/>
      <c r="SEO93" s="201"/>
      <c r="SEP93" s="201"/>
      <c r="SEQ93" s="201"/>
      <c r="SER93" s="201"/>
      <c r="SES93" s="201"/>
      <c r="SET93" s="201"/>
      <c r="SEU93" s="201"/>
      <c r="SEV93" s="201"/>
      <c r="SEW93" s="201"/>
      <c r="SEX93" s="201"/>
      <c r="SEY93" s="201"/>
      <c r="SEZ93" s="201"/>
      <c r="SFA93" s="201"/>
      <c r="SFB93" s="201"/>
      <c r="SFC93" s="201"/>
      <c r="SFD93" s="201"/>
      <c r="SFE93" s="201"/>
      <c r="SFF93" s="201"/>
      <c r="SFG93" s="201"/>
      <c r="SFH93" s="201"/>
      <c r="SFI93" s="201"/>
      <c r="SFJ93" s="201"/>
      <c r="SFK93" s="201"/>
      <c r="SFL93" s="201"/>
      <c r="SFM93" s="201"/>
      <c r="SFN93" s="201"/>
      <c r="SFO93" s="201"/>
      <c r="SFP93" s="201"/>
      <c r="SFQ93" s="201"/>
      <c r="SFR93" s="201"/>
      <c r="SFS93" s="201"/>
      <c r="SFT93" s="201"/>
      <c r="SFU93" s="201"/>
      <c r="SFV93" s="201"/>
      <c r="SFW93" s="201"/>
      <c r="SFX93" s="201"/>
      <c r="SFY93" s="201"/>
      <c r="SFZ93" s="201"/>
      <c r="SGA93" s="201"/>
      <c r="SGB93" s="201"/>
      <c r="SGC93" s="201"/>
      <c r="SGD93" s="201"/>
      <c r="SGE93" s="201"/>
      <c r="SGF93" s="201"/>
      <c r="SGG93" s="201"/>
      <c r="SGH93" s="201"/>
      <c r="SGI93" s="201"/>
      <c r="SGJ93" s="201"/>
      <c r="SGK93" s="201"/>
      <c r="SGL93" s="201"/>
      <c r="SGM93" s="201"/>
      <c r="SGN93" s="201"/>
      <c r="SGO93" s="201"/>
      <c r="SGP93" s="201"/>
      <c r="SGQ93" s="201"/>
      <c r="SGR93" s="201"/>
      <c r="SGS93" s="201"/>
      <c r="SGT93" s="201"/>
      <c r="SGU93" s="201"/>
      <c r="SGV93" s="201"/>
      <c r="SGW93" s="201"/>
      <c r="SGX93" s="201"/>
      <c r="SGY93" s="201"/>
      <c r="SGZ93" s="201"/>
      <c r="SHA93" s="201"/>
      <c r="SHB93" s="201"/>
      <c r="SHC93" s="201"/>
      <c r="SHD93" s="201"/>
      <c r="SHE93" s="201"/>
      <c r="SHF93" s="201"/>
      <c r="SHG93" s="201"/>
      <c r="SHH93" s="201"/>
      <c r="SHI93" s="201"/>
      <c r="SHJ93" s="201"/>
      <c r="SHK93" s="201"/>
      <c r="SHL93" s="201"/>
      <c r="SHM93" s="201"/>
      <c r="SHN93" s="201"/>
      <c r="SHO93" s="201"/>
      <c r="SHP93" s="201"/>
      <c r="SHQ93" s="201"/>
      <c r="SHR93" s="201"/>
      <c r="SHS93" s="201"/>
      <c r="SHT93" s="201"/>
      <c r="SHU93" s="201"/>
      <c r="SHV93" s="201"/>
      <c r="SHW93" s="201"/>
      <c r="SHX93" s="201"/>
      <c r="SHY93" s="201"/>
      <c r="SHZ93" s="201"/>
      <c r="SIA93" s="201"/>
      <c r="SIB93" s="201"/>
      <c r="SIC93" s="201"/>
      <c r="SID93" s="201"/>
      <c r="SIE93" s="201"/>
      <c r="SIF93" s="201"/>
      <c r="SIG93" s="201"/>
      <c r="SIH93" s="201"/>
      <c r="SII93" s="201"/>
      <c r="SIJ93" s="201"/>
      <c r="SIK93" s="201"/>
      <c r="SIL93" s="201"/>
      <c r="SIM93" s="201"/>
      <c r="SIN93" s="201"/>
      <c r="SIO93" s="201"/>
      <c r="SIP93" s="201"/>
      <c r="SIQ93" s="201"/>
      <c r="SIR93" s="201"/>
      <c r="SIS93" s="201"/>
      <c r="SIT93" s="201"/>
      <c r="SIU93" s="201"/>
      <c r="SIV93" s="201"/>
      <c r="SIW93" s="201"/>
      <c r="SIX93" s="201"/>
      <c r="SIY93" s="201"/>
      <c r="SIZ93" s="201"/>
      <c r="SJA93" s="201"/>
      <c r="SJB93" s="201"/>
      <c r="SJC93" s="201"/>
      <c r="SJD93" s="201"/>
      <c r="SJE93" s="201"/>
      <c r="SJF93" s="201"/>
      <c r="SJG93" s="201"/>
      <c r="SJH93" s="201"/>
      <c r="SJI93" s="201"/>
      <c r="SJJ93" s="201"/>
      <c r="SJK93" s="201"/>
      <c r="SJL93" s="201"/>
      <c r="SJM93" s="201"/>
      <c r="SJN93" s="201"/>
      <c r="SJO93" s="201"/>
      <c r="SJP93" s="201"/>
      <c r="SJQ93" s="201"/>
      <c r="SJR93" s="201"/>
      <c r="SJS93" s="201"/>
      <c r="SJT93" s="201"/>
      <c r="SJU93" s="201"/>
      <c r="SJV93" s="201"/>
      <c r="SJW93" s="201"/>
      <c r="SJX93" s="201"/>
      <c r="SJY93" s="201"/>
      <c r="SJZ93" s="201"/>
      <c r="SKA93" s="201"/>
      <c r="SKB93" s="201"/>
      <c r="SKC93" s="201"/>
      <c r="SKD93" s="201"/>
      <c r="SKE93" s="201"/>
      <c r="SKF93" s="201"/>
      <c r="SKG93" s="201"/>
      <c r="SKH93" s="201"/>
      <c r="SKI93" s="201"/>
      <c r="SKJ93" s="201"/>
      <c r="SKK93" s="201"/>
      <c r="SKL93" s="201"/>
      <c r="SKM93" s="201"/>
      <c r="SKN93" s="201"/>
      <c r="SKO93" s="201"/>
      <c r="SKP93" s="201"/>
      <c r="SKQ93" s="201"/>
      <c r="SKR93" s="201"/>
      <c r="SKS93" s="201"/>
      <c r="SKT93" s="201"/>
      <c r="SKU93" s="201"/>
      <c r="SKV93" s="201"/>
      <c r="SKW93" s="201"/>
      <c r="SKX93" s="201"/>
      <c r="SKY93" s="201"/>
      <c r="SKZ93" s="201"/>
      <c r="SLA93" s="201"/>
      <c r="SLB93" s="201"/>
      <c r="SLC93" s="201"/>
      <c r="SLD93" s="201"/>
      <c r="SLE93" s="201"/>
      <c r="SLF93" s="201"/>
      <c r="SLG93" s="201"/>
      <c r="SLH93" s="201"/>
      <c r="SLI93" s="201"/>
      <c r="SLJ93" s="201"/>
      <c r="SLK93" s="201"/>
      <c r="SLL93" s="201"/>
      <c r="SLM93" s="201"/>
      <c r="SLN93" s="201"/>
      <c r="SLO93" s="201"/>
      <c r="SLP93" s="201"/>
      <c r="SLQ93" s="201"/>
      <c r="SLR93" s="201"/>
      <c r="SLS93" s="201"/>
      <c r="SLT93" s="201"/>
      <c r="SLU93" s="201"/>
      <c r="SLV93" s="201"/>
      <c r="SLW93" s="201"/>
      <c r="SLX93" s="201"/>
      <c r="SLY93" s="201"/>
      <c r="SLZ93" s="201"/>
      <c r="SMA93" s="201"/>
      <c r="SMB93" s="201"/>
      <c r="SMC93" s="201"/>
      <c r="SMD93" s="201"/>
      <c r="SME93" s="201"/>
      <c r="SMF93" s="201"/>
      <c r="SMG93" s="201"/>
      <c r="SMH93" s="201"/>
      <c r="SMI93" s="201"/>
      <c r="SMJ93" s="201"/>
      <c r="SMK93" s="201"/>
      <c r="SML93" s="201"/>
      <c r="SMM93" s="201"/>
      <c r="SMN93" s="201"/>
      <c r="SMO93" s="201"/>
      <c r="SMP93" s="201"/>
      <c r="SMQ93" s="201"/>
      <c r="SMR93" s="201"/>
      <c r="SMS93" s="201"/>
      <c r="SMT93" s="201"/>
      <c r="SMU93" s="201"/>
      <c r="SMV93" s="201"/>
      <c r="SMW93" s="201"/>
      <c r="SMX93" s="201"/>
      <c r="SMY93" s="201"/>
      <c r="SMZ93" s="201"/>
      <c r="SNA93" s="201"/>
      <c r="SNB93" s="201"/>
      <c r="SNC93" s="201"/>
      <c r="SND93" s="201"/>
      <c r="SNE93" s="201"/>
      <c r="SNF93" s="201"/>
      <c r="SNG93" s="201"/>
      <c r="SNH93" s="201"/>
      <c r="SNI93" s="201"/>
      <c r="SNJ93" s="201"/>
      <c r="SNK93" s="201"/>
      <c r="SNL93" s="201"/>
      <c r="SNM93" s="201"/>
      <c r="SNN93" s="201"/>
      <c r="SNO93" s="201"/>
      <c r="SNP93" s="201"/>
      <c r="SNQ93" s="201"/>
      <c r="SNR93" s="201"/>
      <c r="SNS93" s="201"/>
      <c r="SNT93" s="201"/>
      <c r="SNU93" s="201"/>
      <c r="SNV93" s="201"/>
      <c r="SNW93" s="201"/>
      <c r="SNX93" s="201"/>
      <c r="SNY93" s="201"/>
      <c r="SNZ93" s="201"/>
      <c r="SOA93" s="201"/>
      <c r="SOB93" s="201"/>
      <c r="SOC93" s="201"/>
      <c r="SOD93" s="201"/>
      <c r="SOE93" s="201"/>
      <c r="SOF93" s="201"/>
      <c r="SOG93" s="201"/>
      <c r="SOH93" s="201"/>
      <c r="SOI93" s="201"/>
      <c r="SOJ93" s="201"/>
      <c r="SOK93" s="201"/>
      <c r="SOL93" s="201"/>
      <c r="SOM93" s="201"/>
      <c r="SON93" s="201"/>
      <c r="SOO93" s="201"/>
      <c r="SOP93" s="201"/>
      <c r="SOQ93" s="201"/>
      <c r="SOR93" s="201"/>
      <c r="SOS93" s="201"/>
      <c r="SOT93" s="201"/>
      <c r="SOU93" s="201"/>
      <c r="SOV93" s="201"/>
      <c r="SOW93" s="201"/>
      <c r="SOX93" s="201"/>
      <c r="SOY93" s="201"/>
      <c r="SOZ93" s="201"/>
      <c r="SPA93" s="201"/>
      <c r="SPB93" s="201"/>
      <c r="SPC93" s="201"/>
      <c r="SPD93" s="201"/>
      <c r="SPE93" s="201"/>
      <c r="SPF93" s="201"/>
      <c r="SPG93" s="201"/>
      <c r="SPH93" s="201"/>
      <c r="SPI93" s="201"/>
      <c r="SPJ93" s="201"/>
      <c r="SPK93" s="201"/>
      <c r="SPL93" s="201"/>
      <c r="SPM93" s="201"/>
      <c r="SPN93" s="201"/>
      <c r="SPO93" s="201"/>
      <c r="SPP93" s="201"/>
      <c r="SPQ93" s="201"/>
      <c r="SPR93" s="201"/>
      <c r="SPS93" s="201"/>
      <c r="SPT93" s="201"/>
      <c r="SPU93" s="201"/>
      <c r="SPV93" s="201"/>
      <c r="SPW93" s="201"/>
      <c r="SPX93" s="201"/>
      <c r="SPY93" s="201"/>
      <c r="SPZ93" s="201"/>
      <c r="SQA93" s="201"/>
      <c r="SQB93" s="201"/>
      <c r="SQC93" s="201"/>
      <c r="SQD93" s="201"/>
      <c r="SQE93" s="201"/>
      <c r="SQF93" s="201"/>
      <c r="SQG93" s="201"/>
      <c r="SQH93" s="201"/>
      <c r="SQI93" s="201"/>
      <c r="SQJ93" s="201"/>
      <c r="SQK93" s="201"/>
      <c r="SQL93" s="201"/>
      <c r="SQM93" s="201"/>
      <c r="SQN93" s="201"/>
      <c r="SQO93" s="201"/>
      <c r="SQP93" s="201"/>
      <c r="SQQ93" s="201"/>
      <c r="SQR93" s="201"/>
      <c r="SQS93" s="201"/>
      <c r="SQT93" s="201"/>
      <c r="SQU93" s="201"/>
      <c r="SQV93" s="201"/>
      <c r="SQW93" s="201"/>
      <c r="SQX93" s="201"/>
      <c r="SQY93" s="201"/>
      <c r="SQZ93" s="201"/>
      <c r="SRA93" s="201"/>
      <c r="SRB93" s="201"/>
      <c r="SRC93" s="201"/>
      <c r="SRD93" s="201"/>
      <c r="SRE93" s="201"/>
      <c r="SRF93" s="201"/>
      <c r="SRG93" s="201"/>
      <c r="SRH93" s="201"/>
      <c r="SRI93" s="201"/>
      <c r="SRJ93" s="201"/>
      <c r="SRK93" s="201"/>
      <c r="SRL93" s="201"/>
      <c r="SRM93" s="201"/>
      <c r="SRN93" s="201"/>
      <c r="SRO93" s="201"/>
      <c r="SRP93" s="201"/>
      <c r="SRQ93" s="201"/>
      <c r="SRR93" s="201"/>
      <c r="SRS93" s="201"/>
      <c r="SRT93" s="201"/>
      <c r="SRU93" s="201"/>
      <c r="SRV93" s="201"/>
      <c r="SRW93" s="201"/>
      <c r="SRX93" s="201"/>
      <c r="SRY93" s="201"/>
      <c r="SRZ93" s="201"/>
      <c r="SSA93" s="201"/>
      <c r="SSB93" s="201"/>
      <c r="SSC93" s="201"/>
      <c r="SSD93" s="201"/>
      <c r="SSE93" s="201"/>
      <c r="SSF93" s="201"/>
      <c r="SSG93" s="201"/>
      <c r="SSH93" s="201"/>
      <c r="SSI93" s="201"/>
      <c r="SSJ93" s="201"/>
      <c r="SSK93" s="201"/>
      <c r="SSL93" s="201"/>
      <c r="SSM93" s="201"/>
      <c r="SSN93" s="201"/>
      <c r="SSO93" s="201"/>
      <c r="SSP93" s="201"/>
      <c r="SSQ93" s="201"/>
      <c r="SSR93" s="201"/>
      <c r="SSS93" s="201"/>
      <c r="SST93" s="201"/>
      <c r="SSU93" s="201"/>
      <c r="SSV93" s="201"/>
      <c r="SSW93" s="201"/>
      <c r="SSX93" s="201"/>
      <c r="SSY93" s="201"/>
      <c r="SSZ93" s="201"/>
      <c r="STA93" s="201"/>
      <c r="STB93" s="201"/>
      <c r="STC93" s="201"/>
      <c r="STD93" s="201"/>
      <c r="STE93" s="201"/>
      <c r="STF93" s="201"/>
      <c r="STG93" s="201"/>
      <c r="STH93" s="201"/>
      <c r="STI93" s="201"/>
      <c r="STJ93" s="201"/>
      <c r="STK93" s="201"/>
      <c r="STL93" s="201"/>
      <c r="STM93" s="201"/>
      <c r="STN93" s="201"/>
      <c r="STO93" s="201"/>
      <c r="STP93" s="201"/>
      <c r="STQ93" s="201"/>
      <c r="STR93" s="201"/>
      <c r="STS93" s="201"/>
      <c r="STT93" s="201"/>
      <c r="STU93" s="201"/>
      <c r="STV93" s="201"/>
      <c r="STW93" s="201"/>
      <c r="STX93" s="201"/>
      <c r="STY93" s="201"/>
      <c r="STZ93" s="201"/>
      <c r="SUA93" s="201"/>
      <c r="SUB93" s="201"/>
      <c r="SUC93" s="201"/>
      <c r="SUD93" s="201"/>
      <c r="SUE93" s="201"/>
      <c r="SUF93" s="201"/>
      <c r="SUG93" s="201"/>
      <c r="SUH93" s="201"/>
      <c r="SUI93" s="201"/>
      <c r="SUJ93" s="201"/>
      <c r="SUK93" s="201"/>
      <c r="SUL93" s="201"/>
      <c r="SUM93" s="201"/>
      <c r="SUN93" s="201"/>
      <c r="SUO93" s="201"/>
      <c r="SUP93" s="201"/>
      <c r="SUQ93" s="201"/>
      <c r="SUR93" s="201"/>
      <c r="SUS93" s="201"/>
      <c r="SUT93" s="201"/>
      <c r="SUU93" s="201"/>
      <c r="SUV93" s="201"/>
      <c r="SUW93" s="201"/>
      <c r="SUX93" s="201"/>
      <c r="SUY93" s="201"/>
      <c r="SUZ93" s="201"/>
      <c r="SVA93" s="201"/>
      <c r="SVB93" s="201"/>
      <c r="SVC93" s="201"/>
      <c r="SVD93" s="201"/>
      <c r="SVE93" s="201"/>
      <c r="SVF93" s="201"/>
      <c r="SVG93" s="201"/>
      <c r="SVH93" s="201"/>
      <c r="SVI93" s="201"/>
      <c r="SVJ93" s="201"/>
      <c r="SVK93" s="201"/>
      <c r="SVL93" s="201"/>
      <c r="SVM93" s="201"/>
      <c r="SVN93" s="201"/>
      <c r="SVO93" s="201"/>
      <c r="SVP93" s="201"/>
      <c r="SVQ93" s="201"/>
      <c r="SVR93" s="201"/>
      <c r="SVS93" s="201"/>
      <c r="SVT93" s="201"/>
      <c r="SVU93" s="201"/>
      <c r="SVV93" s="201"/>
      <c r="SVW93" s="201"/>
      <c r="SVX93" s="201"/>
      <c r="SVY93" s="201"/>
      <c r="SVZ93" s="201"/>
      <c r="SWA93" s="201"/>
      <c r="SWB93" s="201"/>
      <c r="SWC93" s="201"/>
      <c r="SWD93" s="201"/>
      <c r="SWE93" s="201"/>
      <c r="SWF93" s="201"/>
      <c r="SWG93" s="201"/>
      <c r="SWH93" s="201"/>
      <c r="SWI93" s="201"/>
      <c r="SWJ93" s="201"/>
      <c r="SWK93" s="201"/>
      <c r="SWL93" s="201"/>
      <c r="SWM93" s="201"/>
      <c r="SWN93" s="201"/>
      <c r="SWO93" s="201"/>
      <c r="SWP93" s="201"/>
      <c r="SWQ93" s="201"/>
      <c r="SWR93" s="201"/>
      <c r="SWS93" s="201"/>
      <c r="SWT93" s="201"/>
      <c r="SWU93" s="201"/>
      <c r="SWV93" s="201"/>
      <c r="SWW93" s="201"/>
      <c r="SWX93" s="201"/>
      <c r="SWY93" s="201"/>
      <c r="SWZ93" s="201"/>
      <c r="SXA93" s="201"/>
      <c r="SXB93" s="201"/>
      <c r="SXC93" s="201"/>
      <c r="SXD93" s="201"/>
      <c r="SXE93" s="201"/>
      <c r="SXF93" s="201"/>
      <c r="SXG93" s="201"/>
      <c r="SXH93" s="201"/>
      <c r="SXI93" s="201"/>
      <c r="SXJ93" s="201"/>
      <c r="SXK93" s="201"/>
      <c r="SXL93" s="201"/>
      <c r="SXM93" s="201"/>
      <c r="SXN93" s="201"/>
      <c r="SXO93" s="201"/>
      <c r="SXP93" s="201"/>
      <c r="SXQ93" s="201"/>
      <c r="SXR93" s="201"/>
      <c r="SXS93" s="201"/>
      <c r="SXT93" s="201"/>
      <c r="SXU93" s="201"/>
      <c r="SXV93" s="201"/>
      <c r="SXW93" s="201"/>
      <c r="SXX93" s="201"/>
      <c r="SXY93" s="201"/>
      <c r="SXZ93" s="201"/>
      <c r="SYA93" s="201"/>
      <c r="SYB93" s="201"/>
      <c r="SYC93" s="201"/>
      <c r="SYD93" s="201"/>
      <c r="SYE93" s="201"/>
      <c r="SYF93" s="201"/>
      <c r="SYG93" s="201"/>
      <c r="SYH93" s="201"/>
      <c r="SYI93" s="201"/>
      <c r="SYJ93" s="201"/>
      <c r="SYK93" s="201"/>
      <c r="SYL93" s="201"/>
      <c r="SYM93" s="201"/>
      <c r="SYN93" s="201"/>
      <c r="SYO93" s="201"/>
      <c r="SYP93" s="201"/>
      <c r="SYQ93" s="201"/>
      <c r="SYR93" s="201"/>
      <c r="SYS93" s="201"/>
      <c r="SYT93" s="201"/>
      <c r="SYU93" s="201"/>
      <c r="SYV93" s="201"/>
      <c r="SYW93" s="201"/>
      <c r="SYX93" s="201"/>
      <c r="SYY93" s="201"/>
      <c r="SYZ93" s="201"/>
      <c r="SZA93" s="201"/>
      <c r="SZB93" s="201"/>
      <c r="SZC93" s="201"/>
      <c r="SZD93" s="201"/>
      <c r="SZE93" s="201"/>
      <c r="SZF93" s="201"/>
      <c r="SZG93" s="201"/>
      <c r="SZH93" s="201"/>
      <c r="SZI93" s="201"/>
      <c r="SZJ93" s="201"/>
      <c r="SZK93" s="201"/>
      <c r="SZL93" s="201"/>
      <c r="SZM93" s="201"/>
      <c r="SZN93" s="201"/>
      <c r="SZO93" s="201"/>
      <c r="SZP93" s="201"/>
      <c r="SZQ93" s="201"/>
      <c r="SZR93" s="201"/>
      <c r="SZS93" s="201"/>
      <c r="SZT93" s="201"/>
      <c r="SZU93" s="201"/>
      <c r="SZV93" s="201"/>
      <c r="SZW93" s="201"/>
      <c r="SZX93" s="201"/>
      <c r="SZY93" s="201"/>
      <c r="SZZ93" s="201"/>
      <c r="TAA93" s="201"/>
      <c r="TAB93" s="201"/>
      <c r="TAC93" s="201"/>
      <c r="TAD93" s="201"/>
      <c r="TAE93" s="201"/>
      <c r="TAF93" s="201"/>
      <c r="TAG93" s="201"/>
      <c r="TAH93" s="201"/>
      <c r="TAI93" s="201"/>
      <c r="TAJ93" s="201"/>
      <c r="TAK93" s="201"/>
      <c r="TAL93" s="201"/>
      <c r="TAM93" s="201"/>
      <c r="TAN93" s="201"/>
      <c r="TAO93" s="201"/>
      <c r="TAP93" s="201"/>
      <c r="TAQ93" s="201"/>
      <c r="TAR93" s="201"/>
      <c r="TAS93" s="201"/>
      <c r="TAT93" s="201"/>
      <c r="TAU93" s="201"/>
      <c r="TAV93" s="201"/>
      <c r="TAW93" s="201"/>
      <c r="TAX93" s="201"/>
      <c r="TAY93" s="201"/>
      <c r="TAZ93" s="201"/>
      <c r="TBA93" s="201"/>
      <c r="TBB93" s="201"/>
      <c r="TBC93" s="201"/>
      <c r="TBD93" s="201"/>
      <c r="TBE93" s="201"/>
      <c r="TBF93" s="201"/>
      <c r="TBG93" s="201"/>
      <c r="TBH93" s="201"/>
      <c r="TBI93" s="201"/>
      <c r="TBJ93" s="201"/>
      <c r="TBK93" s="201"/>
      <c r="TBL93" s="201"/>
      <c r="TBM93" s="201"/>
      <c r="TBN93" s="201"/>
      <c r="TBO93" s="201"/>
      <c r="TBP93" s="201"/>
      <c r="TBQ93" s="201"/>
      <c r="TBR93" s="201"/>
      <c r="TBS93" s="201"/>
      <c r="TBT93" s="201"/>
      <c r="TBU93" s="201"/>
      <c r="TBV93" s="201"/>
      <c r="TBW93" s="201"/>
      <c r="TBX93" s="201"/>
      <c r="TBY93" s="201"/>
      <c r="TBZ93" s="201"/>
      <c r="TCA93" s="201"/>
      <c r="TCB93" s="201"/>
      <c r="TCC93" s="201"/>
      <c r="TCD93" s="201"/>
      <c r="TCE93" s="201"/>
      <c r="TCF93" s="201"/>
      <c r="TCG93" s="201"/>
      <c r="TCH93" s="201"/>
      <c r="TCI93" s="201"/>
      <c r="TCJ93" s="201"/>
      <c r="TCK93" s="201"/>
      <c r="TCL93" s="201"/>
      <c r="TCM93" s="201"/>
      <c r="TCN93" s="201"/>
      <c r="TCO93" s="201"/>
      <c r="TCP93" s="201"/>
      <c r="TCQ93" s="201"/>
      <c r="TCR93" s="201"/>
      <c r="TCS93" s="201"/>
      <c r="TCT93" s="201"/>
      <c r="TCU93" s="201"/>
      <c r="TCV93" s="201"/>
      <c r="TCW93" s="201"/>
      <c r="TCX93" s="201"/>
      <c r="TCY93" s="201"/>
      <c r="TCZ93" s="201"/>
      <c r="TDA93" s="201"/>
      <c r="TDB93" s="201"/>
      <c r="TDC93" s="201"/>
      <c r="TDD93" s="201"/>
      <c r="TDE93" s="201"/>
      <c r="TDF93" s="201"/>
      <c r="TDG93" s="201"/>
      <c r="TDH93" s="201"/>
      <c r="TDI93" s="201"/>
      <c r="TDJ93" s="201"/>
      <c r="TDK93" s="201"/>
      <c r="TDL93" s="201"/>
      <c r="TDM93" s="201"/>
      <c r="TDN93" s="201"/>
      <c r="TDO93" s="201"/>
      <c r="TDP93" s="201"/>
      <c r="TDQ93" s="201"/>
      <c r="TDR93" s="201"/>
      <c r="TDS93" s="201"/>
      <c r="TDT93" s="201"/>
      <c r="TDU93" s="201"/>
      <c r="TDV93" s="201"/>
      <c r="TDW93" s="201"/>
      <c r="TDX93" s="201"/>
      <c r="TDY93" s="201"/>
      <c r="TDZ93" s="201"/>
      <c r="TEA93" s="201"/>
      <c r="TEB93" s="201"/>
      <c r="TEC93" s="201"/>
      <c r="TED93" s="201"/>
      <c r="TEE93" s="201"/>
      <c r="TEF93" s="201"/>
      <c r="TEG93" s="201"/>
      <c r="TEH93" s="201"/>
      <c r="TEI93" s="201"/>
      <c r="TEJ93" s="201"/>
      <c r="TEK93" s="201"/>
      <c r="TEL93" s="201"/>
      <c r="TEM93" s="201"/>
      <c r="TEN93" s="201"/>
      <c r="TEO93" s="201"/>
      <c r="TEP93" s="201"/>
      <c r="TEQ93" s="201"/>
      <c r="TER93" s="201"/>
      <c r="TES93" s="201"/>
      <c r="TET93" s="201"/>
      <c r="TEU93" s="201"/>
      <c r="TEV93" s="201"/>
      <c r="TEW93" s="201"/>
      <c r="TEX93" s="201"/>
      <c r="TEY93" s="201"/>
      <c r="TEZ93" s="201"/>
      <c r="TFA93" s="201"/>
      <c r="TFB93" s="201"/>
      <c r="TFC93" s="201"/>
      <c r="TFD93" s="201"/>
      <c r="TFE93" s="201"/>
      <c r="TFF93" s="201"/>
      <c r="TFG93" s="201"/>
      <c r="TFH93" s="201"/>
      <c r="TFI93" s="201"/>
      <c r="TFJ93" s="201"/>
      <c r="TFK93" s="201"/>
      <c r="TFL93" s="201"/>
      <c r="TFM93" s="201"/>
      <c r="TFN93" s="201"/>
      <c r="TFO93" s="201"/>
      <c r="TFP93" s="201"/>
      <c r="TFQ93" s="201"/>
      <c r="TFR93" s="201"/>
      <c r="TFS93" s="201"/>
      <c r="TFT93" s="201"/>
      <c r="TFU93" s="201"/>
      <c r="TFV93" s="201"/>
      <c r="TFW93" s="201"/>
      <c r="TFX93" s="201"/>
      <c r="TFY93" s="201"/>
      <c r="TFZ93" s="201"/>
      <c r="TGA93" s="201"/>
      <c r="TGB93" s="201"/>
      <c r="TGC93" s="201"/>
      <c r="TGD93" s="201"/>
      <c r="TGE93" s="201"/>
      <c r="TGF93" s="201"/>
      <c r="TGG93" s="201"/>
      <c r="TGH93" s="201"/>
      <c r="TGI93" s="201"/>
      <c r="TGJ93" s="201"/>
      <c r="TGK93" s="201"/>
      <c r="TGL93" s="201"/>
      <c r="TGM93" s="201"/>
      <c r="TGN93" s="201"/>
      <c r="TGO93" s="201"/>
      <c r="TGP93" s="201"/>
      <c r="TGQ93" s="201"/>
      <c r="TGR93" s="201"/>
      <c r="TGS93" s="201"/>
      <c r="TGT93" s="201"/>
      <c r="TGU93" s="201"/>
      <c r="TGV93" s="201"/>
      <c r="TGW93" s="201"/>
      <c r="TGX93" s="201"/>
      <c r="TGY93" s="201"/>
      <c r="TGZ93" s="201"/>
      <c r="THA93" s="201"/>
      <c r="THB93" s="201"/>
      <c r="THC93" s="201"/>
      <c r="THD93" s="201"/>
      <c r="THE93" s="201"/>
      <c r="THF93" s="201"/>
      <c r="THG93" s="201"/>
      <c r="THH93" s="201"/>
      <c r="THI93" s="201"/>
      <c r="THJ93" s="201"/>
      <c r="THK93" s="201"/>
      <c r="THL93" s="201"/>
      <c r="THM93" s="201"/>
      <c r="THN93" s="201"/>
      <c r="THO93" s="201"/>
      <c r="THP93" s="201"/>
      <c r="THQ93" s="201"/>
      <c r="THR93" s="201"/>
      <c r="THS93" s="201"/>
      <c r="THT93" s="201"/>
      <c r="THU93" s="201"/>
      <c r="THV93" s="201"/>
      <c r="THW93" s="201"/>
      <c r="THX93" s="201"/>
      <c r="THY93" s="201"/>
      <c r="THZ93" s="201"/>
      <c r="TIA93" s="201"/>
      <c r="TIB93" s="201"/>
      <c r="TIC93" s="201"/>
      <c r="TID93" s="201"/>
      <c r="TIE93" s="201"/>
      <c r="TIF93" s="201"/>
      <c r="TIG93" s="201"/>
      <c r="TIH93" s="201"/>
      <c r="TII93" s="201"/>
      <c r="TIJ93" s="201"/>
      <c r="TIK93" s="201"/>
      <c r="TIL93" s="201"/>
      <c r="TIM93" s="201"/>
      <c r="TIN93" s="201"/>
      <c r="TIO93" s="201"/>
      <c r="TIP93" s="201"/>
      <c r="TIQ93" s="201"/>
      <c r="TIR93" s="201"/>
      <c r="TIS93" s="201"/>
      <c r="TIT93" s="201"/>
      <c r="TIU93" s="201"/>
      <c r="TIV93" s="201"/>
      <c r="TIW93" s="201"/>
      <c r="TIX93" s="201"/>
      <c r="TIY93" s="201"/>
      <c r="TIZ93" s="201"/>
      <c r="TJA93" s="201"/>
      <c r="TJB93" s="201"/>
      <c r="TJC93" s="201"/>
      <c r="TJD93" s="201"/>
      <c r="TJE93" s="201"/>
      <c r="TJF93" s="201"/>
      <c r="TJG93" s="201"/>
      <c r="TJH93" s="201"/>
      <c r="TJI93" s="201"/>
      <c r="TJJ93" s="201"/>
      <c r="TJK93" s="201"/>
      <c r="TJL93" s="201"/>
      <c r="TJM93" s="201"/>
      <c r="TJN93" s="201"/>
      <c r="TJO93" s="201"/>
      <c r="TJP93" s="201"/>
      <c r="TJQ93" s="201"/>
      <c r="TJR93" s="201"/>
      <c r="TJS93" s="201"/>
      <c r="TJT93" s="201"/>
      <c r="TJU93" s="201"/>
      <c r="TJV93" s="201"/>
      <c r="TJW93" s="201"/>
      <c r="TJX93" s="201"/>
      <c r="TJY93" s="201"/>
      <c r="TJZ93" s="201"/>
      <c r="TKA93" s="201"/>
      <c r="TKB93" s="201"/>
      <c r="TKC93" s="201"/>
      <c r="TKD93" s="201"/>
      <c r="TKE93" s="201"/>
      <c r="TKF93" s="201"/>
      <c r="TKG93" s="201"/>
      <c r="TKH93" s="201"/>
      <c r="TKI93" s="201"/>
      <c r="TKJ93" s="201"/>
      <c r="TKK93" s="201"/>
      <c r="TKL93" s="201"/>
      <c r="TKM93" s="201"/>
      <c r="TKN93" s="201"/>
      <c r="TKO93" s="201"/>
      <c r="TKP93" s="201"/>
      <c r="TKQ93" s="201"/>
      <c r="TKR93" s="201"/>
      <c r="TKS93" s="201"/>
      <c r="TKT93" s="201"/>
      <c r="TKU93" s="201"/>
      <c r="TKV93" s="201"/>
      <c r="TKW93" s="201"/>
      <c r="TKX93" s="201"/>
      <c r="TKY93" s="201"/>
      <c r="TKZ93" s="201"/>
      <c r="TLA93" s="201"/>
      <c r="TLB93" s="201"/>
      <c r="TLC93" s="201"/>
      <c r="TLD93" s="201"/>
      <c r="TLE93" s="201"/>
      <c r="TLF93" s="201"/>
      <c r="TLG93" s="201"/>
      <c r="TLH93" s="201"/>
      <c r="TLI93" s="201"/>
      <c r="TLJ93" s="201"/>
      <c r="TLK93" s="201"/>
      <c r="TLL93" s="201"/>
      <c r="TLM93" s="201"/>
      <c r="TLN93" s="201"/>
      <c r="TLO93" s="201"/>
      <c r="TLP93" s="201"/>
      <c r="TLQ93" s="201"/>
      <c r="TLR93" s="201"/>
      <c r="TLS93" s="201"/>
      <c r="TLT93" s="201"/>
      <c r="TLU93" s="201"/>
      <c r="TLV93" s="201"/>
      <c r="TLW93" s="201"/>
      <c r="TLX93" s="201"/>
      <c r="TLY93" s="201"/>
      <c r="TLZ93" s="201"/>
      <c r="TMA93" s="201"/>
      <c r="TMB93" s="201"/>
      <c r="TMC93" s="201"/>
      <c r="TMD93" s="201"/>
      <c r="TME93" s="201"/>
      <c r="TMF93" s="201"/>
      <c r="TMG93" s="201"/>
      <c r="TMH93" s="201"/>
      <c r="TMI93" s="201"/>
      <c r="TMJ93" s="201"/>
      <c r="TMK93" s="201"/>
      <c r="TML93" s="201"/>
      <c r="TMM93" s="201"/>
      <c r="TMN93" s="201"/>
      <c r="TMO93" s="201"/>
      <c r="TMP93" s="201"/>
      <c r="TMQ93" s="201"/>
      <c r="TMR93" s="201"/>
      <c r="TMS93" s="201"/>
      <c r="TMT93" s="201"/>
      <c r="TMU93" s="201"/>
      <c r="TMV93" s="201"/>
      <c r="TMW93" s="201"/>
      <c r="TMX93" s="201"/>
      <c r="TMY93" s="201"/>
      <c r="TMZ93" s="201"/>
      <c r="TNA93" s="201"/>
      <c r="TNB93" s="201"/>
      <c r="TNC93" s="201"/>
      <c r="TND93" s="201"/>
      <c r="TNE93" s="201"/>
      <c r="TNF93" s="201"/>
      <c r="TNG93" s="201"/>
      <c r="TNH93" s="201"/>
      <c r="TNI93" s="201"/>
      <c r="TNJ93" s="201"/>
      <c r="TNK93" s="201"/>
      <c r="TNL93" s="201"/>
      <c r="TNM93" s="201"/>
      <c r="TNN93" s="201"/>
      <c r="TNO93" s="201"/>
      <c r="TNP93" s="201"/>
      <c r="TNQ93" s="201"/>
      <c r="TNR93" s="201"/>
      <c r="TNS93" s="201"/>
      <c r="TNT93" s="201"/>
      <c r="TNU93" s="201"/>
      <c r="TNV93" s="201"/>
      <c r="TNW93" s="201"/>
      <c r="TNX93" s="201"/>
      <c r="TNY93" s="201"/>
      <c r="TNZ93" s="201"/>
      <c r="TOA93" s="201"/>
      <c r="TOB93" s="201"/>
      <c r="TOC93" s="201"/>
      <c r="TOD93" s="201"/>
      <c r="TOE93" s="201"/>
      <c r="TOF93" s="201"/>
      <c r="TOG93" s="201"/>
      <c r="TOH93" s="201"/>
      <c r="TOI93" s="201"/>
      <c r="TOJ93" s="201"/>
      <c r="TOK93" s="201"/>
      <c r="TOL93" s="201"/>
      <c r="TOM93" s="201"/>
      <c r="TON93" s="201"/>
      <c r="TOO93" s="201"/>
      <c r="TOP93" s="201"/>
      <c r="TOQ93" s="201"/>
      <c r="TOR93" s="201"/>
      <c r="TOS93" s="201"/>
      <c r="TOT93" s="201"/>
      <c r="TOU93" s="201"/>
      <c r="TOV93" s="201"/>
      <c r="TOW93" s="201"/>
      <c r="TOX93" s="201"/>
      <c r="TOY93" s="201"/>
      <c r="TOZ93" s="201"/>
      <c r="TPA93" s="201"/>
      <c r="TPB93" s="201"/>
      <c r="TPC93" s="201"/>
      <c r="TPD93" s="201"/>
      <c r="TPE93" s="201"/>
      <c r="TPF93" s="201"/>
      <c r="TPG93" s="201"/>
      <c r="TPH93" s="201"/>
      <c r="TPI93" s="201"/>
      <c r="TPJ93" s="201"/>
      <c r="TPK93" s="201"/>
      <c r="TPL93" s="201"/>
      <c r="TPM93" s="201"/>
      <c r="TPN93" s="201"/>
      <c r="TPO93" s="201"/>
      <c r="TPP93" s="201"/>
      <c r="TPQ93" s="201"/>
      <c r="TPR93" s="201"/>
      <c r="TPS93" s="201"/>
      <c r="TPT93" s="201"/>
      <c r="TPU93" s="201"/>
      <c r="TPV93" s="201"/>
      <c r="TPW93" s="201"/>
      <c r="TPX93" s="201"/>
      <c r="TPY93" s="201"/>
      <c r="TPZ93" s="201"/>
      <c r="TQA93" s="201"/>
      <c r="TQB93" s="201"/>
      <c r="TQC93" s="201"/>
      <c r="TQD93" s="201"/>
      <c r="TQE93" s="201"/>
      <c r="TQF93" s="201"/>
      <c r="TQG93" s="201"/>
      <c r="TQH93" s="201"/>
      <c r="TQI93" s="201"/>
      <c r="TQJ93" s="201"/>
      <c r="TQK93" s="201"/>
      <c r="TQL93" s="201"/>
      <c r="TQM93" s="201"/>
      <c r="TQN93" s="201"/>
      <c r="TQO93" s="201"/>
      <c r="TQP93" s="201"/>
      <c r="TQQ93" s="201"/>
      <c r="TQR93" s="201"/>
      <c r="TQS93" s="201"/>
      <c r="TQT93" s="201"/>
      <c r="TQU93" s="201"/>
      <c r="TQV93" s="201"/>
      <c r="TQW93" s="201"/>
      <c r="TQX93" s="201"/>
      <c r="TQY93" s="201"/>
      <c r="TQZ93" s="201"/>
      <c r="TRA93" s="201"/>
      <c r="TRB93" s="201"/>
      <c r="TRC93" s="201"/>
      <c r="TRD93" s="201"/>
      <c r="TRE93" s="201"/>
      <c r="TRF93" s="201"/>
      <c r="TRG93" s="201"/>
      <c r="TRH93" s="201"/>
      <c r="TRI93" s="201"/>
      <c r="TRJ93" s="201"/>
      <c r="TRK93" s="201"/>
      <c r="TRL93" s="201"/>
      <c r="TRM93" s="201"/>
      <c r="TRN93" s="201"/>
      <c r="TRO93" s="201"/>
      <c r="TRP93" s="201"/>
      <c r="TRQ93" s="201"/>
      <c r="TRR93" s="201"/>
      <c r="TRS93" s="201"/>
      <c r="TRT93" s="201"/>
      <c r="TRU93" s="201"/>
      <c r="TRV93" s="201"/>
      <c r="TRW93" s="201"/>
      <c r="TRX93" s="201"/>
      <c r="TRY93" s="201"/>
      <c r="TRZ93" s="201"/>
      <c r="TSA93" s="201"/>
      <c r="TSB93" s="201"/>
      <c r="TSC93" s="201"/>
      <c r="TSD93" s="201"/>
      <c r="TSE93" s="201"/>
      <c r="TSF93" s="201"/>
      <c r="TSG93" s="201"/>
      <c r="TSH93" s="201"/>
      <c r="TSI93" s="201"/>
      <c r="TSJ93" s="201"/>
      <c r="TSK93" s="201"/>
      <c r="TSL93" s="201"/>
      <c r="TSM93" s="201"/>
      <c r="TSN93" s="201"/>
      <c r="TSO93" s="201"/>
      <c r="TSP93" s="201"/>
      <c r="TSQ93" s="201"/>
      <c r="TSR93" s="201"/>
      <c r="TSS93" s="201"/>
      <c r="TST93" s="201"/>
      <c r="TSU93" s="201"/>
      <c r="TSV93" s="201"/>
      <c r="TSW93" s="201"/>
      <c r="TSX93" s="201"/>
      <c r="TSY93" s="201"/>
      <c r="TSZ93" s="201"/>
      <c r="TTA93" s="201"/>
      <c r="TTB93" s="201"/>
      <c r="TTC93" s="201"/>
      <c r="TTD93" s="201"/>
      <c r="TTE93" s="201"/>
      <c r="TTF93" s="201"/>
      <c r="TTG93" s="201"/>
      <c r="TTH93" s="201"/>
      <c r="TTI93" s="201"/>
      <c r="TTJ93" s="201"/>
      <c r="TTK93" s="201"/>
      <c r="TTL93" s="201"/>
      <c r="TTM93" s="201"/>
      <c r="TTN93" s="201"/>
      <c r="TTO93" s="201"/>
      <c r="TTP93" s="201"/>
      <c r="TTQ93" s="201"/>
      <c r="TTR93" s="201"/>
      <c r="TTS93" s="201"/>
      <c r="TTT93" s="201"/>
      <c r="TTU93" s="201"/>
      <c r="TTV93" s="201"/>
      <c r="TTW93" s="201"/>
      <c r="TTX93" s="201"/>
      <c r="TTY93" s="201"/>
      <c r="TTZ93" s="201"/>
      <c r="TUA93" s="201"/>
      <c r="TUB93" s="201"/>
      <c r="TUC93" s="201"/>
      <c r="TUD93" s="201"/>
      <c r="TUE93" s="201"/>
      <c r="TUF93" s="201"/>
      <c r="TUG93" s="201"/>
      <c r="TUH93" s="201"/>
      <c r="TUI93" s="201"/>
      <c r="TUJ93" s="201"/>
      <c r="TUK93" s="201"/>
      <c r="TUL93" s="201"/>
      <c r="TUM93" s="201"/>
      <c r="TUN93" s="201"/>
      <c r="TUO93" s="201"/>
      <c r="TUP93" s="201"/>
      <c r="TUQ93" s="201"/>
      <c r="TUR93" s="201"/>
      <c r="TUS93" s="201"/>
      <c r="TUT93" s="201"/>
      <c r="TUU93" s="201"/>
      <c r="TUV93" s="201"/>
      <c r="TUW93" s="201"/>
      <c r="TUX93" s="201"/>
      <c r="TUY93" s="201"/>
      <c r="TUZ93" s="201"/>
      <c r="TVA93" s="201"/>
      <c r="TVB93" s="201"/>
      <c r="TVC93" s="201"/>
      <c r="TVD93" s="201"/>
      <c r="TVE93" s="201"/>
      <c r="TVF93" s="201"/>
      <c r="TVG93" s="201"/>
      <c r="TVH93" s="201"/>
      <c r="TVI93" s="201"/>
      <c r="TVJ93" s="201"/>
      <c r="TVK93" s="201"/>
      <c r="TVL93" s="201"/>
      <c r="TVM93" s="201"/>
      <c r="TVN93" s="201"/>
      <c r="TVO93" s="201"/>
      <c r="TVP93" s="201"/>
      <c r="TVQ93" s="201"/>
      <c r="TVR93" s="201"/>
      <c r="TVS93" s="201"/>
      <c r="TVT93" s="201"/>
      <c r="TVU93" s="201"/>
      <c r="TVV93" s="201"/>
      <c r="TVW93" s="201"/>
      <c r="TVX93" s="201"/>
      <c r="TVY93" s="201"/>
      <c r="TVZ93" s="201"/>
      <c r="TWA93" s="201"/>
      <c r="TWB93" s="201"/>
      <c r="TWC93" s="201"/>
      <c r="TWD93" s="201"/>
      <c r="TWE93" s="201"/>
      <c r="TWF93" s="201"/>
      <c r="TWG93" s="201"/>
      <c r="TWH93" s="201"/>
      <c r="TWI93" s="201"/>
      <c r="TWJ93" s="201"/>
      <c r="TWK93" s="201"/>
      <c r="TWL93" s="201"/>
      <c r="TWM93" s="201"/>
      <c r="TWN93" s="201"/>
      <c r="TWO93" s="201"/>
      <c r="TWP93" s="201"/>
      <c r="TWQ93" s="201"/>
      <c r="TWR93" s="201"/>
      <c r="TWS93" s="201"/>
      <c r="TWT93" s="201"/>
      <c r="TWU93" s="201"/>
      <c r="TWV93" s="201"/>
      <c r="TWW93" s="201"/>
      <c r="TWX93" s="201"/>
      <c r="TWY93" s="201"/>
      <c r="TWZ93" s="201"/>
      <c r="TXA93" s="201"/>
      <c r="TXB93" s="201"/>
      <c r="TXC93" s="201"/>
      <c r="TXD93" s="201"/>
      <c r="TXE93" s="201"/>
      <c r="TXF93" s="201"/>
      <c r="TXG93" s="201"/>
      <c r="TXH93" s="201"/>
      <c r="TXI93" s="201"/>
      <c r="TXJ93" s="201"/>
      <c r="TXK93" s="201"/>
      <c r="TXL93" s="201"/>
      <c r="TXM93" s="201"/>
      <c r="TXN93" s="201"/>
      <c r="TXO93" s="201"/>
      <c r="TXP93" s="201"/>
      <c r="TXQ93" s="201"/>
      <c r="TXR93" s="201"/>
      <c r="TXS93" s="201"/>
      <c r="TXT93" s="201"/>
      <c r="TXU93" s="201"/>
      <c r="TXV93" s="201"/>
      <c r="TXW93" s="201"/>
      <c r="TXX93" s="201"/>
      <c r="TXY93" s="201"/>
      <c r="TXZ93" s="201"/>
      <c r="TYA93" s="201"/>
      <c r="TYB93" s="201"/>
      <c r="TYC93" s="201"/>
      <c r="TYD93" s="201"/>
      <c r="TYE93" s="201"/>
      <c r="TYF93" s="201"/>
      <c r="TYG93" s="201"/>
      <c r="TYH93" s="201"/>
      <c r="TYI93" s="201"/>
      <c r="TYJ93" s="201"/>
      <c r="TYK93" s="201"/>
      <c r="TYL93" s="201"/>
      <c r="TYM93" s="201"/>
      <c r="TYN93" s="201"/>
      <c r="TYO93" s="201"/>
      <c r="TYP93" s="201"/>
      <c r="TYQ93" s="201"/>
      <c r="TYR93" s="201"/>
      <c r="TYS93" s="201"/>
      <c r="TYT93" s="201"/>
      <c r="TYU93" s="201"/>
      <c r="TYV93" s="201"/>
      <c r="TYW93" s="201"/>
      <c r="TYX93" s="201"/>
      <c r="TYY93" s="201"/>
      <c r="TYZ93" s="201"/>
      <c r="TZA93" s="201"/>
      <c r="TZB93" s="201"/>
      <c r="TZC93" s="201"/>
      <c r="TZD93" s="201"/>
      <c r="TZE93" s="201"/>
      <c r="TZF93" s="201"/>
      <c r="TZG93" s="201"/>
      <c r="TZH93" s="201"/>
      <c r="TZI93" s="201"/>
      <c r="TZJ93" s="201"/>
      <c r="TZK93" s="201"/>
      <c r="TZL93" s="201"/>
      <c r="TZM93" s="201"/>
      <c r="TZN93" s="201"/>
      <c r="TZO93" s="201"/>
      <c r="TZP93" s="201"/>
      <c r="TZQ93" s="201"/>
      <c r="TZR93" s="201"/>
      <c r="TZS93" s="201"/>
      <c r="TZT93" s="201"/>
      <c r="TZU93" s="201"/>
      <c r="TZV93" s="201"/>
      <c r="TZW93" s="201"/>
      <c r="TZX93" s="201"/>
      <c r="TZY93" s="201"/>
      <c r="TZZ93" s="201"/>
      <c r="UAA93" s="201"/>
      <c r="UAB93" s="201"/>
      <c r="UAC93" s="201"/>
      <c r="UAD93" s="201"/>
      <c r="UAE93" s="201"/>
      <c r="UAF93" s="201"/>
      <c r="UAG93" s="201"/>
      <c r="UAH93" s="201"/>
      <c r="UAI93" s="201"/>
      <c r="UAJ93" s="201"/>
      <c r="UAK93" s="201"/>
      <c r="UAL93" s="201"/>
      <c r="UAM93" s="201"/>
      <c r="UAN93" s="201"/>
      <c r="UAO93" s="201"/>
      <c r="UAP93" s="201"/>
      <c r="UAQ93" s="201"/>
      <c r="UAR93" s="201"/>
      <c r="UAS93" s="201"/>
      <c r="UAT93" s="201"/>
      <c r="UAU93" s="201"/>
      <c r="UAV93" s="201"/>
      <c r="UAW93" s="201"/>
      <c r="UAX93" s="201"/>
      <c r="UAY93" s="201"/>
      <c r="UAZ93" s="201"/>
      <c r="UBA93" s="201"/>
      <c r="UBB93" s="201"/>
      <c r="UBC93" s="201"/>
      <c r="UBD93" s="201"/>
      <c r="UBE93" s="201"/>
      <c r="UBF93" s="201"/>
      <c r="UBG93" s="201"/>
      <c r="UBH93" s="201"/>
      <c r="UBI93" s="201"/>
      <c r="UBJ93" s="201"/>
      <c r="UBK93" s="201"/>
      <c r="UBL93" s="201"/>
      <c r="UBM93" s="201"/>
      <c r="UBN93" s="201"/>
      <c r="UBO93" s="201"/>
      <c r="UBP93" s="201"/>
      <c r="UBQ93" s="201"/>
      <c r="UBR93" s="201"/>
      <c r="UBS93" s="201"/>
      <c r="UBT93" s="201"/>
      <c r="UBU93" s="201"/>
      <c r="UBV93" s="201"/>
      <c r="UBW93" s="201"/>
      <c r="UBX93" s="201"/>
      <c r="UBY93" s="201"/>
      <c r="UBZ93" s="201"/>
      <c r="UCA93" s="201"/>
      <c r="UCB93" s="201"/>
      <c r="UCC93" s="201"/>
      <c r="UCD93" s="201"/>
      <c r="UCE93" s="201"/>
      <c r="UCF93" s="201"/>
      <c r="UCG93" s="201"/>
      <c r="UCH93" s="201"/>
      <c r="UCI93" s="201"/>
      <c r="UCJ93" s="201"/>
      <c r="UCK93" s="201"/>
      <c r="UCL93" s="201"/>
      <c r="UCM93" s="201"/>
      <c r="UCN93" s="201"/>
      <c r="UCO93" s="201"/>
      <c r="UCP93" s="201"/>
      <c r="UCQ93" s="201"/>
      <c r="UCR93" s="201"/>
      <c r="UCS93" s="201"/>
      <c r="UCT93" s="201"/>
      <c r="UCU93" s="201"/>
      <c r="UCV93" s="201"/>
      <c r="UCW93" s="201"/>
      <c r="UCX93" s="201"/>
      <c r="UCY93" s="201"/>
      <c r="UCZ93" s="201"/>
      <c r="UDA93" s="201"/>
      <c r="UDB93" s="201"/>
      <c r="UDC93" s="201"/>
      <c r="UDD93" s="201"/>
      <c r="UDE93" s="201"/>
      <c r="UDF93" s="201"/>
      <c r="UDG93" s="201"/>
      <c r="UDH93" s="201"/>
      <c r="UDI93" s="201"/>
      <c r="UDJ93" s="201"/>
      <c r="UDK93" s="201"/>
      <c r="UDL93" s="201"/>
      <c r="UDM93" s="201"/>
      <c r="UDN93" s="201"/>
      <c r="UDO93" s="201"/>
      <c r="UDP93" s="201"/>
      <c r="UDQ93" s="201"/>
      <c r="UDR93" s="201"/>
      <c r="UDS93" s="201"/>
      <c r="UDT93" s="201"/>
      <c r="UDU93" s="201"/>
      <c r="UDV93" s="201"/>
      <c r="UDW93" s="201"/>
      <c r="UDX93" s="201"/>
      <c r="UDY93" s="201"/>
      <c r="UDZ93" s="201"/>
      <c r="UEA93" s="201"/>
      <c r="UEB93" s="201"/>
      <c r="UEC93" s="201"/>
      <c r="UED93" s="201"/>
      <c r="UEE93" s="201"/>
      <c r="UEF93" s="201"/>
      <c r="UEG93" s="201"/>
      <c r="UEH93" s="201"/>
      <c r="UEI93" s="201"/>
      <c r="UEJ93" s="201"/>
      <c r="UEK93" s="201"/>
      <c r="UEL93" s="201"/>
      <c r="UEM93" s="201"/>
      <c r="UEN93" s="201"/>
      <c r="UEO93" s="201"/>
      <c r="UEP93" s="201"/>
      <c r="UEQ93" s="201"/>
      <c r="UER93" s="201"/>
      <c r="UES93" s="201"/>
      <c r="UET93" s="201"/>
      <c r="UEU93" s="201"/>
      <c r="UEV93" s="201"/>
      <c r="UEW93" s="201"/>
      <c r="UEX93" s="201"/>
      <c r="UEY93" s="201"/>
      <c r="UEZ93" s="201"/>
      <c r="UFA93" s="201"/>
      <c r="UFB93" s="201"/>
      <c r="UFC93" s="201"/>
      <c r="UFD93" s="201"/>
      <c r="UFE93" s="201"/>
      <c r="UFF93" s="201"/>
      <c r="UFG93" s="201"/>
      <c r="UFH93" s="201"/>
      <c r="UFI93" s="201"/>
      <c r="UFJ93" s="201"/>
      <c r="UFK93" s="201"/>
      <c r="UFL93" s="201"/>
      <c r="UFM93" s="201"/>
      <c r="UFN93" s="201"/>
      <c r="UFO93" s="201"/>
      <c r="UFP93" s="201"/>
      <c r="UFQ93" s="201"/>
      <c r="UFR93" s="201"/>
      <c r="UFS93" s="201"/>
      <c r="UFT93" s="201"/>
      <c r="UFU93" s="201"/>
      <c r="UFV93" s="201"/>
      <c r="UFW93" s="201"/>
      <c r="UFX93" s="201"/>
      <c r="UFY93" s="201"/>
      <c r="UFZ93" s="201"/>
      <c r="UGA93" s="201"/>
      <c r="UGB93" s="201"/>
      <c r="UGC93" s="201"/>
      <c r="UGD93" s="201"/>
      <c r="UGE93" s="201"/>
      <c r="UGF93" s="201"/>
      <c r="UGG93" s="201"/>
      <c r="UGH93" s="201"/>
      <c r="UGI93" s="201"/>
      <c r="UGJ93" s="201"/>
      <c r="UGK93" s="201"/>
      <c r="UGL93" s="201"/>
      <c r="UGM93" s="201"/>
      <c r="UGN93" s="201"/>
      <c r="UGO93" s="201"/>
      <c r="UGP93" s="201"/>
      <c r="UGQ93" s="201"/>
      <c r="UGR93" s="201"/>
      <c r="UGS93" s="201"/>
      <c r="UGT93" s="201"/>
      <c r="UGU93" s="201"/>
      <c r="UGV93" s="201"/>
      <c r="UGW93" s="201"/>
      <c r="UGX93" s="201"/>
      <c r="UGY93" s="201"/>
      <c r="UGZ93" s="201"/>
      <c r="UHA93" s="201"/>
      <c r="UHB93" s="201"/>
      <c r="UHC93" s="201"/>
      <c r="UHD93" s="201"/>
      <c r="UHE93" s="201"/>
      <c r="UHF93" s="201"/>
      <c r="UHG93" s="201"/>
      <c r="UHH93" s="201"/>
      <c r="UHI93" s="201"/>
      <c r="UHJ93" s="201"/>
      <c r="UHK93" s="201"/>
      <c r="UHL93" s="201"/>
      <c r="UHM93" s="201"/>
      <c r="UHN93" s="201"/>
      <c r="UHO93" s="201"/>
      <c r="UHP93" s="201"/>
      <c r="UHQ93" s="201"/>
      <c r="UHR93" s="201"/>
      <c r="UHS93" s="201"/>
      <c r="UHT93" s="201"/>
      <c r="UHU93" s="201"/>
      <c r="UHV93" s="201"/>
      <c r="UHW93" s="201"/>
      <c r="UHX93" s="201"/>
      <c r="UHY93" s="201"/>
      <c r="UHZ93" s="201"/>
      <c r="UIA93" s="201"/>
      <c r="UIB93" s="201"/>
      <c r="UIC93" s="201"/>
      <c r="UID93" s="201"/>
      <c r="UIE93" s="201"/>
      <c r="UIF93" s="201"/>
      <c r="UIG93" s="201"/>
      <c r="UIH93" s="201"/>
      <c r="UII93" s="201"/>
      <c r="UIJ93" s="201"/>
      <c r="UIK93" s="201"/>
      <c r="UIL93" s="201"/>
      <c r="UIM93" s="201"/>
      <c r="UIN93" s="201"/>
      <c r="UIO93" s="201"/>
      <c r="UIP93" s="201"/>
      <c r="UIQ93" s="201"/>
      <c r="UIR93" s="201"/>
      <c r="UIS93" s="201"/>
      <c r="UIT93" s="201"/>
      <c r="UIU93" s="201"/>
      <c r="UIV93" s="201"/>
      <c r="UIW93" s="201"/>
      <c r="UIX93" s="201"/>
      <c r="UIY93" s="201"/>
      <c r="UIZ93" s="201"/>
      <c r="UJA93" s="201"/>
      <c r="UJB93" s="201"/>
      <c r="UJC93" s="201"/>
      <c r="UJD93" s="201"/>
      <c r="UJE93" s="201"/>
      <c r="UJF93" s="201"/>
      <c r="UJG93" s="201"/>
      <c r="UJH93" s="201"/>
      <c r="UJI93" s="201"/>
      <c r="UJJ93" s="201"/>
      <c r="UJK93" s="201"/>
      <c r="UJL93" s="201"/>
      <c r="UJM93" s="201"/>
      <c r="UJN93" s="201"/>
      <c r="UJO93" s="201"/>
      <c r="UJP93" s="201"/>
      <c r="UJQ93" s="201"/>
      <c r="UJR93" s="201"/>
      <c r="UJS93" s="201"/>
      <c r="UJT93" s="201"/>
      <c r="UJU93" s="201"/>
      <c r="UJV93" s="201"/>
      <c r="UJW93" s="201"/>
      <c r="UJX93" s="201"/>
      <c r="UJY93" s="201"/>
      <c r="UJZ93" s="201"/>
      <c r="UKA93" s="201"/>
      <c r="UKB93" s="201"/>
      <c r="UKC93" s="201"/>
      <c r="UKD93" s="201"/>
      <c r="UKE93" s="201"/>
      <c r="UKF93" s="201"/>
      <c r="UKG93" s="201"/>
      <c r="UKH93" s="201"/>
      <c r="UKI93" s="201"/>
      <c r="UKJ93" s="201"/>
      <c r="UKK93" s="201"/>
      <c r="UKL93" s="201"/>
      <c r="UKM93" s="201"/>
      <c r="UKN93" s="201"/>
      <c r="UKO93" s="201"/>
      <c r="UKP93" s="201"/>
      <c r="UKQ93" s="201"/>
      <c r="UKR93" s="201"/>
      <c r="UKS93" s="201"/>
      <c r="UKT93" s="201"/>
      <c r="UKU93" s="201"/>
      <c r="UKV93" s="201"/>
      <c r="UKW93" s="201"/>
      <c r="UKX93" s="201"/>
      <c r="UKY93" s="201"/>
      <c r="UKZ93" s="201"/>
      <c r="ULA93" s="201"/>
      <c r="ULB93" s="201"/>
      <c r="ULC93" s="201"/>
      <c r="ULD93" s="201"/>
      <c r="ULE93" s="201"/>
      <c r="ULF93" s="201"/>
      <c r="ULG93" s="201"/>
      <c r="ULH93" s="201"/>
      <c r="ULI93" s="201"/>
      <c r="ULJ93" s="201"/>
      <c r="ULK93" s="201"/>
      <c r="ULL93" s="201"/>
      <c r="ULM93" s="201"/>
      <c r="ULN93" s="201"/>
      <c r="ULO93" s="201"/>
      <c r="ULP93" s="201"/>
      <c r="ULQ93" s="201"/>
      <c r="ULR93" s="201"/>
      <c r="ULS93" s="201"/>
      <c r="ULT93" s="201"/>
      <c r="ULU93" s="201"/>
      <c r="ULV93" s="201"/>
      <c r="ULW93" s="201"/>
      <c r="ULX93" s="201"/>
      <c r="ULY93" s="201"/>
      <c r="ULZ93" s="201"/>
      <c r="UMA93" s="201"/>
      <c r="UMB93" s="201"/>
      <c r="UMC93" s="201"/>
      <c r="UMD93" s="201"/>
      <c r="UME93" s="201"/>
      <c r="UMF93" s="201"/>
      <c r="UMG93" s="201"/>
      <c r="UMH93" s="201"/>
      <c r="UMI93" s="201"/>
      <c r="UMJ93" s="201"/>
      <c r="UMK93" s="201"/>
      <c r="UML93" s="201"/>
      <c r="UMM93" s="201"/>
      <c r="UMN93" s="201"/>
      <c r="UMO93" s="201"/>
      <c r="UMP93" s="201"/>
      <c r="UMQ93" s="201"/>
      <c r="UMR93" s="201"/>
      <c r="UMS93" s="201"/>
      <c r="UMT93" s="201"/>
      <c r="UMU93" s="201"/>
      <c r="UMV93" s="201"/>
      <c r="UMW93" s="201"/>
      <c r="UMX93" s="201"/>
      <c r="UMY93" s="201"/>
      <c r="UMZ93" s="201"/>
      <c r="UNA93" s="201"/>
      <c r="UNB93" s="201"/>
      <c r="UNC93" s="201"/>
      <c r="UND93" s="201"/>
      <c r="UNE93" s="201"/>
      <c r="UNF93" s="201"/>
      <c r="UNG93" s="201"/>
      <c r="UNH93" s="201"/>
      <c r="UNI93" s="201"/>
      <c r="UNJ93" s="201"/>
      <c r="UNK93" s="201"/>
      <c r="UNL93" s="201"/>
      <c r="UNM93" s="201"/>
      <c r="UNN93" s="201"/>
      <c r="UNO93" s="201"/>
      <c r="UNP93" s="201"/>
      <c r="UNQ93" s="201"/>
      <c r="UNR93" s="201"/>
      <c r="UNS93" s="201"/>
      <c r="UNT93" s="201"/>
      <c r="UNU93" s="201"/>
      <c r="UNV93" s="201"/>
      <c r="UNW93" s="201"/>
      <c r="UNX93" s="201"/>
      <c r="UNY93" s="201"/>
      <c r="UNZ93" s="201"/>
      <c r="UOA93" s="201"/>
      <c r="UOB93" s="201"/>
      <c r="UOC93" s="201"/>
      <c r="UOD93" s="201"/>
      <c r="UOE93" s="201"/>
      <c r="UOF93" s="201"/>
      <c r="UOG93" s="201"/>
      <c r="UOH93" s="201"/>
      <c r="UOI93" s="201"/>
      <c r="UOJ93" s="201"/>
      <c r="UOK93" s="201"/>
      <c r="UOL93" s="201"/>
      <c r="UOM93" s="201"/>
      <c r="UON93" s="201"/>
      <c r="UOO93" s="201"/>
      <c r="UOP93" s="201"/>
      <c r="UOQ93" s="201"/>
      <c r="UOR93" s="201"/>
      <c r="UOS93" s="201"/>
      <c r="UOT93" s="201"/>
      <c r="UOU93" s="201"/>
      <c r="UOV93" s="201"/>
      <c r="UOW93" s="201"/>
      <c r="UOX93" s="201"/>
      <c r="UOY93" s="201"/>
      <c r="UOZ93" s="201"/>
      <c r="UPA93" s="201"/>
      <c r="UPB93" s="201"/>
      <c r="UPC93" s="201"/>
      <c r="UPD93" s="201"/>
      <c r="UPE93" s="201"/>
      <c r="UPF93" s="201"/>
      <c r="UPG93" s="201"/>
      <c r="UPH93" s="201"/>
      <c r="UPI93" s="201"/>
      <c r="UPJ93" s="201"/>
      <c r="UPK93" s="201"/>
      <c r="UPL93" s="201"/>
      <c r="UPM93" s="201"/>
      <c r="UPN93" s="201"/>
      <c r="UPO93" s="201"/>
      <c r="UPP93" s="201"/>
      <c r="UPQ93" s="201"/>
      <c r="UPR93" s="201"/>
      <c r="UPS93" s="201"/>
      <c r="UPT93" s="201"/>
      <c r="UPU93" s="201"/>
      <c r="UPV93" s="201"/>
      <c r="UPW93" s="201"/>
      <c r="UPX93" s="201"/>
      <c r="UPY93" s="201"/>
      <c r="UPZ93" s="201"/>
      <c r="UQA93" s="201"/>
      <c r="UQB93" s="201"/>
      <c r="UQC93" s="201"/>
      <c r="UQD93" s="201"/>
      <c r="UQE93" s="201"/>
      <c r="UQF93" s="201"/>
      <c r="UQG93" s="201"/>
      <c r="UQH93" s="201"/>
      <c r="UQI93" s="201"/>
      <c r="UQJ93" s="201"/>
      <c r="UQK93" s="201"/>
      <c r="UQL93" s="201"/>
      <c r="UQM93" s="201"/>
      <c r="UQN93" s="201"/>
      <c r="UQO93" s="201"/>
      <c r="UQP93" s="201"/>
      <c r="UQQ93" s="201"/>
      <c r="UQR93" s="201"/>
      <c r="UQS93" s="201"/>
      <c r="UQT93" s="201"/>
      <c r="UQU93" s="201"/>
      <c r="UQV93" s="201"/>
      <c r="UQW93" s="201"/>
      <c r="UQX93" s="201"/>
      <c r="UQY93" s="201"/>
      <c r="UQZ93" s="201"/>
      <c r="URA93" s="201"/>
      <c r="URB93" s="201"/>
      <c r="URC93" s="201"/>
      <c r="URD93" s="201"/>
      <c r="URE93" s="201"/>
      <c r="URF93" s="201"/>
      <c r="URG93" s="201"/>
      <c r="URH93" s="201"/>
      <c r="URI93" s="201"/>
      <c r="URJ93" s="201"/>
      <c r="URK93" s="201"/>
      <c r="URL93" s="201"/>
      <c r="URM93" s="201"/>
      <c r="URN93" s="201"/>
      <c r="URO93" s="201"/>
      <c r="URP93" s="201"/>
      <c r="URQ93" s="201"/>
      <c r="URR93" s="201"/>
      <c r="URS93" s="201"/>
      <c r="URT93" s="201"/>
      <c r="URU93" s="201"/>
      <c r="URV93" s="201"/>
      <c r="URW93" s="201"/>
      <c r="URX93" s="201"/>
      <c r="URY93" s="201"/>
      <c r="URZ93" s="201"/>
      <c r="USA93" s="201"/>
      <c r="USB93" s="201"/>
      <c r="USC93" s="201"/>
      <c r="USD93" s="201"/>
      <c r="USE93" s="201"/>
      <c r="USF93" s="201"/>
      <c r="USG93" s="201"/>
      <c r="USH93" s="201"/>
      <c r="USI93" s="201"/>
      <c r="USJ93" s="201"/>
      <c r="USK93" s="201"/>
      <c r="USL93" s="201"/>
      <c r="USM93" s="201"/>
      <c r="USN93" s="201"/>
      <c r="USO93" s="201"/>
      <c r="USP93" s="201"/>
      <c r="USQ93" s="201"/>
      <c r="USR93" s="201"/>
      <c r="USS93" s="201"/>
      <c r="UST93" s="201"/>
      <c r="USU93" s="201"/>
      <c r="USV93" s="201"/>
      <c r="USW93" s="201"/>
      <c r="USX93" s="201"/>
      <c r="USY93" s="201"/>
      <c r="USZ93" s="201"/>
      <c r="UTA93" s="201"/>
      <c r="UTB93" s="201"/>
      <c r="UTC93" s="201"/>
      <c r="UTD93" s="201"/>
      <c r="UTE93" s="201"/>
      <c r="UTF93" s="201"/>
      <c r="UTG93" s="201"/>
      <c r="UTH93" s="201"/>
      <c r="UTI93" s="201"/>
      <c r="UTJ93" s="201"/>
      <c r="UTK93" s="201"/>
      <c r="UTL93" s="201"/>
      <c r="UTM93" s="201"/>
      <c r="UTN93" s="201"/>
      <c r="UTO93" s="201"/>
      <c r="UTP93" s="201"/>
      <c r="UTQ93" s="201"/>
      <c r="UTR93" s="201"/>
      <c r="UTS93" s="201"/>
      <c r="UTT93" s="201"/>
      <c r="UTU93" s="201"/>
      <c r="UTV93" s="201"/>
      <c r="UTW93" s="201"/>
      <c r="UTX93" s="201"/>
      <c r="UTY93" s="201"/>
      <c r="UTZ93" s="201"/>
      <c r="UUA93" s="201"/>
      <c r="UUB93" s="201"/>
      <c r="UUC93" s="201"/>
      <c r="UUD93" s="201"/>
      <c r="UUE93" s="201"/>
      <c r="UUF93" s="201"/>
      <c r="UUG93" s="201"/>
      <c r="UUH93" s="201"/>
      <c r="UUI93" s="201"/>
      <c r="UUJ93" s="201"/>
      <c r="UUK93" s="201"/>
      <c r="UUL93" s="201"/>
      <c r="UUM93" s="201"/>
      <c r="UUN93" s="201"/>
      <c r="UUO93" s="201"/>
      <c r="UUP93" s="201"/>
      <c r="UUQ93" s="201"/>
      <c r="UUR93" s="201"/>
      <c r="UUS93" s="201"/>
      <c r="UUT93" s="201"/>
      <c r="UUU93" s="201"/>
      <c r="UUV93" s="201"/>
      <c r="UUW93" s="201"/>
      <c r="UUX93" s="201"/>
      <c r="UUY93" s="201"/>
      <c r="UUZ93" s="201"/>
      <c r="UVA93" s="201"/>
      <c r="UVB93" s="201"/>
      <c r="UVC93" s="201"/>
      <c r="UVD93" s="201"/>
      <c r="UVE93" s="201"/>
      <c r="UVF93" s="201"/>
      <c r="UVG93" s="201"/>
      <c r="UVH93" s="201"/>
      <c r="UVI93" s="201"/>
      <c r="UVJ93" s="201"/>
      <c r="UVK93" s="201"/>
      <c r="UVL93" s="201"/>
      <c r="UVM93" s="201"/>
      <c r="UVN93" s="201"/>
      <c r="UVO93" s="201"/>
      <c r="UVP93" s="201"/>
      <c r="UVQ93" s="201"/>
      <c r="UVR93" s="201"/>
      <c r="UVS93" s="201"/>
      <c r="UVT93" s="201"/>
      <c r="UVU93" s="201"/>
      <c r="UVV93" s="201"/>
      <c r="UVW93" s="201"/>
      <c r="UVX93" s="201"/>
      <c r="UVY93" s="201"/>
      <c r="UVZ93" s="201"/>
      <c r="UWA93" s="201"/>
      <c r="UWB93" s="201"/>
      <c r="UWC93" s="201"/>
      <c r="UWD93" s="201"/>
      <c r="UWE93" s="201"/>
      <c r="UWF93" s="201"/>
      <c r="UWG93" s="201"/>
      <c r="UWH93" s="201"/>
      <c r="UWI93" s="201"/>
      <c r="UWJ93" s="201"/>
      <c r="UWK93" s="201"/>
      <c r="UWL93" s="201"/>
      <c r="UWM93" s="201"/>
      <c r="UWN93" s="201"/>
      <c r="UWO93" s="201"/>
      <c r="UWP93" s="201"/>
      <c r="UWQ93" s="201"/>
      <c r="UWR93" s="201"/>
      <c r="UWS93" s="201"/>
      <c r="UWT93" s="201"/>
      <c r="UWU93" s="201"/>
      <c r="UWV93" s="201"/>
      <c r="UWW93" s="201"/>
      <c r="UWX93" s="201"/>
      <c r="UWY93" s="201"/>
      <c r="UWZ93" s="201"/>
      <c r="UXA93" s="201"/>
      <c r="UXB93" s="201"/>
      <c r="UXC93" s="201"/>
      <c r="UXD93" s="201"/>
      <c r="UXE93" s="201"/>
      <c r="UXF93" s="201"/>
      <c r="UXG93" s="201"/>
      <c r="UXH93" s="201"/>
      <c r="UXI93" s="201"/>
      <c r="UXJ93" s="201"/>
      <c r="UXK93" s="201"/>
      <c r="UXL93" s="201"/>
      <c r="UXM93" s="201"/>
      <c r="UXN93" s="201"/>
      <c r="UXO93" s="201"/>
      <c r="UXP93" s="201"/>
      <c r="UXQ93" s="201"/>
      <c r="UXR93" s="201"/>
      <c r="UXS93" s="201"/>
      <c r="UXT93" s="201"/>
      <c r="UXU93" s="201"/>
      <c r="UXV93" s="201"/>
      <c r="UXW93" s="201"/>
      <c r="UXX93" s="201"/>
      <c r="UXY93" s="201"/>
      <c r="UXZ93" s="201"/>
      <c r="UYA93" s="201"/>
      <c r="UYB93" s="201"/>
      <c r="UYC93" s="201"/>
      <c r="UYD93" s="201"/>
      <c r="UYE93" s="201"/>
      <c r="UYF93" s="201"/>
      <c r="UYG93" s="201"/>
      <c r="UYH93" s="201"/>
      <c r="UYI93" s="201"/>
      <c r="UYJ93" s="201"/>
      <c r="UYK93" s="201"/>
      <c r="UYL93" s="201"/>
      <c r="UYM93" s="201"/>
      <c r="UYN93" s="201"/>
      <c r="UYO93" s="201"/>
      <c r="UYP93" s="201"/>
      <c r="UYQ93" s="201"/>
      <c r="UYR93" s="201"/>
      <c r="UYS93" s="201"/>
      <c r="UYT93" s="201"/>
      <c r="UYU93" s="201"/>
      <c r="UYV93" s="201"/>
      <c r="UYW93" s="201"/>
      <c r="UYX93" s="201"/>
      <c r="UYY93" s="201"/>
      <c r="UYZ93" s="201"/>
      <c r="UZA93" s="201"/>
      <c r="UZB93" s="201"/>
      <c r="UZC93" s="201"/>
      <c r="UZD93" s="201"/>
      <c r="UZE93" s="201"/>
      <c r="UZF93" s="201"/>
      <c r="UZG93" s="201"/>
      <c r="UZH93" s="201"/>
      <c r="UZI93" s="201"/>
      <c r="UZJ93" s="201"/>
      <c r="UZK93" s="201"/>
      <c r="UZL93" s="201"/>
      <c r="UZM93" s="201"/>
      <c r="UZN93" s="201"/>
      <c r="UZO93" s="201"/>
      <c r="UZP93" s="201"/>
      <c r="UZQ93" s="201"/>
      <c r="UZR93" s="201"/>
      <c r="UZS93" s="201"/>
      <c r="UZT93" s="201"/>
      <c r="UZU93" s="201"/>
      <c r="UZV93" s="201"/>
      <c r="UZW93" s="201"/>
      <c r="UZX93" s="201"/>
      <c r="UZY93" s="201"/>
      <c r="UZZ93" s="201"/>
      <c r="VAA93" s="201"/>
      <c r="VAB93" s="201"/>
      <c r="VAC93" s="201"/>
      <c r="VAD93" s="201"/>
      <c r="VAE93" s="201"/>
      <c r="VAF93" s="201"/>
      <c r="VAG93" s="201"/>
      <c r="VAH93" s="201"/>
      <c r="VAI93" s="201"/>
      <c r="VAJ93" s="201"/>
      <c r="VAK93" s="201"/>
      <c r="VAL93" s="201"/>
      <c r="VAM93" s="201"/>
      <c r="VAN93" s="201"/>
      <c r="VAO93" s="201"/>
      <c r="VAP93" s="201"/>
      <c r="VAQ93" s="201"/>
      <c r="VAR93" s="201"/>
      <c r="VAS93" s="201"/>
      <c r="VAT93" s="201"/>
      <c r="VAU93" s="201"/>
      <c r="VAV93" s="201"/>
      <c r="VAW93" s="201"/>
      <c r="VAX93" s="201"/>
      <c r="VAY93" s="201"/>
      <c r="VAZ93" s="201"/>
      <c r="VBA93" s="201"/>
      <c r="VBB93" s="201"/>
      <c r="VBC93" s="201"/>
      <c r="VBD93" s="201"/>
      <c r="VBE93" s="201"/>
      <c r="VBF93" s="201"/>
      <c r="VBG93" s="201"/>
      <c r="VBH93" s="201"/>
      <c r="VBI93" s="201"/>
      <c r="VBJ93" s="201"/>
      <c r="VBK93" s="201"/>
      <c r="VBL93" s="201"/>
      <c r="VBM93" s="201"/>
      <c r="VBN93" s="201"/>
      <c r="VBO93" s="201"/>
      <c r="VBP93" s="201"/>
      <c r="VBQ93" s="201"/>
      <c r="VBR93" s="201"/>
      <c r="VBS93" s="201"/>
      <c r="VBT93" s="201"/>
      <c r="VBU93" s="201"/>
      <c r="VBV93" s="201"/>
      <c r="VBW93" s="201"/>
      <c r="VBX93" s="201"/>
      <c r="VBY93" s="201"/>
      <c r="VBZ93" s="201"/>
      <c r="VCA93" s="201"/>
      <c r="VCB93" s="201"/>
      <c r="VCC93" s="201"/>
      <c r="VCD93" s="201"/>
      <c r="VCE93" s="201"/>
      <c r="VCF93" s="201"/>
      <c r="VCG93" s="201"/>
      <c r="VCH93" s="201"/>
      <c r="VCI93" s="201"/>
      <c r="VCJ93" s="201"/>
      <c r="VCK93" s="201"/>
      <c r="VCL93" s="201"/>
      <c r="VCM93" s="201"/>
      <c r="VCN93" s="201"/>
      <c r="VCO93" s="201"/>
      <c r="VCP93" s="201"/>
      <c r="VCQ93" s="201"/>
      <c r="VCR93" s="201"/>
      <c r="VCS93" s="201"/>
      <c r="VCT93" s="201"/>
      <c r="VCU93" s="201"/>
      <c r="VCV93" s="201"/>
      <c r="VCW93" s="201"/>
      <c r="VCX93" s="201"/>
      <c r="VCY93" s="201"/>
      <c r="VCZ93" s="201"/>
      <c r="VDA93" s="201"/>
      <c r="VDB93" s="201"/>
      <c r="VDC93" s="201"/>
      <c r="VDD93" s="201"/>
      <c r="VDE93" s="201"/>
      <c r="VDF93" s="201"/>
      <c r="VDG93" s="201"/>
      <c r="VDH93" s="201"/>
      <c r="VDI93" s="201"/>
      <c r="VDJ93" s="201"/>
      <c r="VDK93" s="201"/>
      <c r="VDL93" s="201"/>
      <c r="VDM93" s="201"/>
      <c r="VDN93" s="201"/>
      <c r="VDO93" s="201"/>
      <c r="VDP93" s="201"/>
      <c r="VDQ93" s="201"/>
      <c r="VDR93" s="201"/>
      <c r="VDS93" s="201"/>
      <c r="VDT93" s="201"/>
      <c r="VDU93" s="201"/>
      <c r="VDV93" s="201"/>
      <c r="VDW93" s="201"/>
      <c r="VDX93" s="201"/>
      <c r="VDY93" s="201"/>
      <c r="VDZ93" s="201"/>
      <c r="VEA93" s="201"/>
      <c r="VEB93" s="201"/>
      <c r="VEC93" s="201"/>
      <c r="VED93" s="201"/>
      <c r="VEE93" s="201"/>
      <c r="VEF93" s="201"/>
      <c r="VEG93" s="201"/>
      <c r="VEH93" s="201"/>
      <c r="VEI93" s="201"/>
      <c r="VEJ93" s="201"/>
      <c r="VEK93" s="201"/>
      <c r="VEL93" s="201"/>
      <c r="VEM93" s="201"/>
      <c r="VEN93" s="201"/>
      <c r="VEO93" s="201"/>
      <c r="VEP93" s="201"/>
      <c r="VEQ93" s="201"/>
      <c r="VER93" s="201"/>
      <c r="VES93" s="201"/>
      <c r="VET93" s="201"/>
      <c r="VEU93" s="201"/>
      <c r="VEV93" s="201"/>
      <c r="VEW93" s="201"/>
      <c r="VEX93" s="201"/>
      <c r="VEY93" s="201"/>
      <c r="VEZ93" s="201"/>
      <c r="VFA93" s="201"/>
      <c r="VFB93" s="201"/>
      <c r="VFC93" s="201"/>
      <c r="VFD93" s="201"/>
      <c r="VFE93" s="201"/>
      <c r="VFF93" s="201"/>
      <c r="VFG93" s="201"/>
      <c r="VFH93" s="201"/>
      <c r="VFI93" s="201"/>
      <c r="VFJ93" s="201"/>
      <c r="VFK93" s="201"/>
      <c r="VFL93" s="201"/>
      <c r="VFM93" s="201"/>
      <c r="VFN93" s="201"/>
      <c r="VFO93" s="201"/>
      <c r="VFP93" s="201"/>
      <c r="VFQ93" s="201"/>
      <c r="VFR93" s="201"/>
      <c r="VFS93" s="201"/>
      <c r="VFT93" s="201"/>
      <c r="VFU93" s="201"/>
      <c r="VFV93" s="201"/>
      <c r="VFW93" s="201"/>
      <c r="VFX93" s="201"/>
      <c r="VFY93" s="201"/>
      <c r="VFZ93" s="201"/>
      <c r="VGA93" s="201"/>
      <c r="VGB93" s="201"/>
      <c r="VGC93" s="201"/>
      <c r="VGD93" s="201"/>
      <c r="VGE93" s="201"/>
      <c r="VGF93" s="201"/>
      <c r="VGG93" s="201"/>
      <c r="VGH93" s="201"/>
      <c r="VGI93" s="201"/>
      <c r="VGJ93" s="201"/>
      <c r="VGK93" s="201"/>
      <c r="VGL93" s="201"/>
      <c r="VGM93" s="201"/>
      <c r="VGN93" s="201"/>
      <c r="VGO93" s="201"/>
      <c r="VGP93" s="201"/>
      <c r="VGQ93" s="201"/>
      <c r="VGR93" s="201"/>
      <c r="VGS93" s="201"/>
      <c r="VGT93" s="201"/>
      <c r="VGU93" s="201"/>
      <c r="VGV93" s="201"/>
      <c r="VGW93" s="201"/>
      <c r="VGX93" s="201"/>
      <c r="VGY93" s="201"/>
      <c r="VGZ93" s="201"/>
      <c r="VHA93" s="201"/>
      <c r="VHB93" s="201"/>
      <c r="VHC93" s="201"/>
      <c r="VHD93" s="201"/>
      <c r="VHE93" s="201"/>
      <c r="VHF93" s="201"/>
      <c r="VHG93" s="201"/>
      <c r="VHH93" s="201"/>
      <c r="VHI93" s="201"/>
      <c r="VHJ93" s="201"/>
      <c r="VHK93" s="201"/>
      <c r="VHL93" s="201"/>
      <c r="VHM93" s="201"/>
      <c r="VHN93" s="201"/>
      <c r="VHO93" s="201"/>
      <c r="VHP93" s="201"/>
      <c r="VHQ93" s="201"/>
      <c r="VHR93" s="201"/>
      <c r="VHS93" s="201"/>
      <c r="VHT93" s="201"/>
      <c r="VHU93" s="201"/>
      <c r="VHV93" s="201"/>
      <c r="VHW93" s="201"/>
      <c r="VHX93" s="201"/>
      <c r="VHY93" s="201"/>
      <c r="VHZ93" s="201"/>
      <c r="VIA93" s="201"/>
      <c r="VIB93" s="201"/>
      <c r="VIC93" s="201"/>
      <c r="VID93" s="201"/>
      <c r="VIE93" s="201"/>
      <c r="VIF93" s="201"/>
      <c r="VIG93" s="201"/>
      <c r="VIH93" s="201"/>
      <c r="VII93" s="201"/>
      <c r="VIJ93" s="201"/>
      <c r="VIK93" s="201"/>
      <c r="VIL93" s="201"/>
      <c r="VIM93" s="201"/>
      <c r="VIN93" s="201"/>
      <c r="VIO93" s="201"/>
      <c r="VIP93" s="201"/>
      <c r="VIQ93" s="201"/>
      <c r="VIR93" s="201"/>
      <c r="VIS93" s="201"/>
      <c r="VIT93" s="201"/>
      <c r="VIU93" s="201"/>
      <c r="VIV93" s="201"/>
      <c r="VIW93" s="201"/>
      <c r="VIX93" s="201"/>
      <c r="VIY93" s="201"/>
      <c r="VIZ93" s="201"/>
      <c r="VJA93" s="201"/>
      <c r="VJB93" s="201"/>
      <c r="VJC93" s="201"/>
      <c r="VJD93" s="201"/>
      <c r="VJE93" s="201"/>
      <c r="VJF93" s="201"/>
      <c r="VJG93" s="201"/>
      <c r="VJH93" s="201"/>
      <c r="VJI93" s="201"/>
      <c r="VJJ93" s="201"/>
      <c r="VJK93" s="201"/>
      <c r="VJL93" s="201"/>
      <c r="VJM93" s="201"/>
      <c r="VJN93" s="201"/>
      <c r="VJO93" s="201"/>
      <c r="VJP93" s="201"/>
      <c r="VJQ93" s="201"/>
      <c r="VJR93" s="201"/>
      <c r="VJS93" s="201"/>
      <c r="VJT93" s="201"/>
      <c r="VJU93" s="201"/>
      <c r="VJV93" s="201"/>
      <c r="VJW93" s="201"/>
      <c r="VJX93" s="201"/>
      <c r="VJY93" s="201"/>
      <c r="VJZ93" s="201"/>
      <c r="VKA93" s="201"/>
      <c r="VKB93" s="201"/>
      <c r="VKC93" s="201"/>
      <c r="VKD93" s="201"/>
      <c r="VKE93" s="201"/>
      <c r="VKF93" s="201"/>
      <c r="VKG93" s="201"/>
      <c r="VKH93" s="201"/>
      <c r="VKI93" s="201"/>
      <c r="VKJ93" s="201"/>
      <c r="VKK93" s="201"/>
      <c r="VKL93" s="201"/>
      <c r="VKM93" s="201"/>
      <c r="VKN93" s="201"/>
      <c r="VKO93" s="201"/>
      <c r="VKP93" s="201"/>
      <c r="VKQ93" s="201"/>
      <c r="VKR93" s="201"/>
      <c r="VKS93" s="201"/>
      <c r="VKT93" s="201"/>
      <c r="VKU93" s="201"/>
      <c r="VKV93" s="201"/>
      <c r="VKW93" s="201"/>
      <c r="VKX93" s="201"/>
      <c r="VKY93" s="201"/>
      <c r="VKZ93" s="201"/>
      <c r="VLA93" s="201"/>
      <c r="VLB93" s="201"/>
      <c r="VLC93" s="201"/>
      <c r="VLD93" s="201"/>
      <c r="VLE93" s="201"/>
      <c r="VLF93" s="201"/>
      <c r="VLG93" s="201"/>
      <c r="VLH93" s="201"/>
      <c r="VLI93" s="201"/>
      <c r="VLJ93" s="201"/>
      <c r="VLK93" s="201"/>
      <c r="VLL93" s="201"/>
      <c r="VLM93" s="201"/>
      <c r="VLN93" s="201"/>
      <c r="VLO93" s="201"/>
      <c r="VLP93" s="201"/>
      <c r="VLQ93" s="201"/>
      <c r="VLR93" s="201"/>
      <c r="VLS93" s="201"/>
      <c r="VLT93" s="201"/>
      <c r="VLU93" s="201"/>
      <c r="VLV93" s="201"/>
      <c r="VLW93" s="201"/>
      <c r="VLX93" s="201"/>
      <c r="VLY93" s="201"/>
      <c r="VLZ93" s="201"/>
      <c r="VMA93" s="201"/>
      <c r="VMB93" s="201"/>
      <c r="VMC93" s="201"/>
      <c r="VMD93" s="201"/>
      <c r="VME93" s="201"/>
      <c r="VMF93" s="201"/>
      <c r="VMG93" s="201"/>
      <c r="VMH93" s="201"/>
      <c r="VMI93" s="201"/>
      <c r="VMJ93" s="201"/>
      <c r="VMK93" s="201"/>
      <c r="VML93" s="201"/>
      <c r="VMM93" s="201"/>
      <c r="VMN93" s="201"/>
      <c r="VMO93" s="201"/>
      <c r="VMP93" s="201"/>
      <c r="VMQ93" s="201"/>
      <c r="VMR93" s="201"/>
      <c r="VMS93" s="201"/>
      <c r="VMT93" s="201"/>
      <c r="VMU93" s="201"/>
      <c r="VMV93" s="201"/>
      <c r="VMW93" s="201"/>
      <c r="VMX93" s="201"/>
      <c r="VMY93" s="201"/>
      <c r="VMZ93" s="201"/>
      <c r="VNA93" s="201"/>
      <c r="VNB93" s="201"/>
      <c r="VNC93" s="201"/>
      <c r="VND93" s="201"/>
      <c r="VNE93" s="201"/>
      <c r="VNF93" s="201"/>
      <c r="VNG93" s="201"/>
      <c r="VNH93" s="201"/>
      <c r="VNI93" s="201"/>
      <c r="VNJ93" s="201"/>
      <c r="VNK93" s="201"/>
      <c r="VNL93" s="201"/>
      <c r="VNM93" s="201"/>
      <c r="VNN93" s="201"/>
      <c r="VNO93" s="201"/>
      <c r="VNP93" s="201"/>
      <c r="VNQ93" s="201"/>
      <c r="VNR93" s="201"/>
      <c r="VNS93" s="201"/>
      <c r="VNT93" s="201"/>
      <c r="VNU93" s="201"/>
      <c r="VNV93" s="201"/>
      <c r="VNW93" s="201"/>
      <c r="VNX93" s="201"/>
      <c r="VNY93" s="201"/>
      <c r="VNZ93" s="201"/>
      <c r="VOA93" s="201"/>
      <c r="VOB93" s="201"/>
      <c r="VOC93" s="201"/>
      <c r="VOD93" s="201"/>
      <c r="VOE93" s="201"/>
      <c r="VOF93" s="201"/>
      <c r="VOG93" s="201"/>
      <c r="VOH93" s="201"/>
      <c r="VOI93" s="201"/>
      <c r="VOJ93" s="201"/>
      <c r="VOK93" s="201"/>
      <c r="VOL93" s="201"/>
      <c r="VOM93" s="201"/>
      <c r="VON93" s="201"/>
      <c r="VOO93" s="201"/>
      <c r="VOP93" s="201"/>
      <c r="VOQ93" s="201"/>
      <c r="VOR93" s="201"/>
      <c r="VOS93" s="201"/>
      <c r="VOT93" s="201"/>
      <c r="VOU93" s="201"/>
      <c r="VOV93" s="201"/>
      <c r="VOW93" s="201"/>
      <c r="VOX93" s="201"/>
      <c r="VOY93" s="201"/>
      <c r="VOZ93" s="201"/>
      <c r="VPA93" s="201"/>
      <c r="VPB93" s="201"/>
      <c r="VPC93" s="201"/>
      <c r="VPD93" s="201"/>
      <c r="VPE93" s="201"/>
      <c r="VPF93" s="201"/>
      <c r="VPG93" s="201"/>
      <c r="VPH93" s="201"/>
      <c r="VPI93" s="201"/>
      <c r="VPJ93" s="201"/>
      <c r="VPK93" s="201"/>
      <c r="VPL93" s="201"/>
      <c r="VPM93" s="201"/>
      <c r="VPN93" s="201"/>
      <c r="VPO93" s="201"/>
      <c r="VPP93" s="201"/>
      <c r="VPQ93" s="201"/>
      <c r="VPR93" s="201"/>
      <c r="VPS93" s="201"/>
      <c r="VPT93" s="201"/>
      <c r="VPU93" s="201"/>
      <c r="VPV93" s="201"/>
      <c r="VPW93" s="201"/>
      <c r="VPX93" s="201"/>
      <c r="VPY93" s="201"/>
      <c r="VPZ93" s="201"/>
      <c r="VQA93" s="201"/>
      <c r="VQB93" s="201"/>
      <c r="VQC93" s="201"/>
      <c r="VQD93" s="201"/>
      <c r="VQE93" s="201"/>
      <c r="VQF93" s="201"/>
      <c r="VQG93" s="201"/>
      <c r="VQH93" s="201"/>
      <c r="VQI93" s="201"/>
      <c r="VQJ93" s="201"/>
      <c r="VQK93" s="201"/>
      <c r="VQL93" s="201"/>
      <c r="VQM93" s="201"/>
      <c r="VQN93" s="201"/>
      <c r="VQO93" s="201"/>
      <c r="VQP93" s="201"/>
      <c r="VQQ93" s="201"/>
      <c r="VQR93" s="201"/>
      <c r="VQS93" s="201"/>
      <c r="VQT93" s="201"/>
      <c r="VQU93" s="201"/>
      <c r="VQV93" s="201"/>
      <c r="VQW93" s="201"/>
      <c r="VQX93" s="201"/>
      <c r="VQY93" s="201"/>
      <c r="VQZ93" s="201"/>
      <c r="VRA93" s="201"/>
      <c r="VRB93" s="201"/>
      <c r="VRC93" s="201"/>
      <c r="VRD93" s="201"/>
      <c r="VRE93" s="201"/>
      <c r="VRF93" s="201"/>
      <c r="VRG93" s="201"/>
      <c r="VRH93" s="201"/>
      <c r="VRI93" s="201"/>
      <c r="VRJ93" s="201"/>
      <c r="VRK93" s="201"/>
      <c r="VRL93" s="201"/>
      <c r="VRM93" s="201"/>
      <c r="VRN93" s="201"/>
      <c r="VRO93" s="201"/>
      <c r="VRP93" s="201"/>
      <c r="VRQ93" s="201"/>
      <c r="VRR93" s="201"/>
      <c r="VRS93" s="201"/>
      <c r="VRT93" s="201"/>
      <c r="VRU93" s="201"/>
      <c r="VRV93" s="201"/>
      <c r="VRW93" s="201"/>
      <c r="VRX93" s="201"/>
      <c r="VRY93" s="201"/>
      <c r="VRZ93" s="201"/>
      <c r="VSA93" s="201"/>
      <c r="VSB93" s="201"/>
      <c r="VSC93" s="201"/>
      <c r="VSD93" s="201"/>
      <c r="VSE93" s="201"/>
      <c r="VSF93" s="201"/>
      <c r="VSG93" s="201"/>
      <c r="VSH93" s="201"/>
      <c r="VSI93" s="201"/>
      <c r="VSJ93" s="201"/>
      <c r="VSK93" s="201"/>
      <c r="VSL93" s="201"/>
      <c r="VSM93" s="201"/>
      <c r="VSN93" s="201"/>
      <c r="VSO93" s="201"/>
      <c r="VSP93" s="201"/>
      <c r="VSQ93" s="201"/>
      <c r="VSR93" s="201"/>
      <c r="VSS93" s="201"/>
      <c r="VST93" s="201"/>
      <c r="VSU93" s="201"/>
      <c r="VSV93" s="201"/>
      <c r="VSW93" s="201"/>
      <c r="VSX93" s="201"/>
      <c r="VSY93" s="201"/>
      <c r="VSZ93" s="201"/>
      <c r="VTA93" s="201"/>
      <c r="VTB93" s="201"/>
      <c r="VTC93" s="201"/>
      <c r="VTD93" s="201"/>
      <c r="VTE93" s="201"/>
      <c r="VTF93" s="201"/>
      <c r="VTG93" s="201"/>
      <c r="VTH93" s="201"/>
      <c r="VTI93" s="201"/>
      <c r="VTJ93" s="201"/>
      <c r="VTK93" s="201"/>
      <c r="VTL93" s="201"/>
      <c r="VTM93" s="201"/>
      <c r="VTN93" s="201"/>
      <c r="VTO93" s="201"/>
      <c r="VTP93" s="201"/>
      <c r="VTQ93" s="201"/>
      <c r="VTR93" s="201"/>
      <c r="VTS93" s="201"/>
      <c r="VTT93" s="201"/>
      <c r="VTU93" s="201"/>
      <c r="VTV93" s="201"/>
      <c r="VTW93" s="201"/>
      <c r="VTX93" s="201"/>
      <c r="VTY93" s="201"/>
      <c r="VTZ93" s="201"/>
      <c r="VUA93" s="201"/>
      <c r="VUB93" s="201"/>
      <c r="VUC93" s="201"/>
      <c r="VUD93" s="201"/>
      <c r="VUE93" s="201"/>
      <c r="VUF93" s="201"/>
      <c r="VUG93" s="201"/>
      <c r="VUH93" s="201"/>
      <c r="VUI93" s="201"/>
      <c r="VUJ93" s="201"/>
      <c r="VUK93" s="201"/>
      <c r="VUL93" s="201"/>
      <c r="VUM93" s="201"/>
      <c r="VUN93" s="201"/>
      <c r="VUO93" s="201"/>
      <c r="VUP93" s="201"/>
      <c r="VUQ93" s="201"/>
      <c r="VUR93" s="201"/>
      <c r="VUS93" s="201"/>
      <c r="VUT93" s="201"/>
      <c r="VUU93" s="201"/>
      <c r="VUV93" s="201"/>
      <c r="VUW93" s="201"/>
      <c r="VUX93" s="201"/>
      <c r="VUY93" s="201"/>
      <c r="VUZ93" s="201"/>
      <c r="VVA93" s="201"/>
      <c r="VVB93" s="201"/>
      <c r="VVC93" s="201"/>
      <c r="VVD93" s="201"/>
      <c r="VVE93" s="201"/>
      <c r="VVF93" s="201"/>
      <c r="VVG93" s="201"/>
      <c r="VVH93" s="201"/>
      <c r="VVI93" s="201"/>
      <c r="VVJ93" s="201"/>
      <c r="VVK93" s="201"/>
      <c r="VVL93" s="201"/>
      <c r="VVM93" s="201"/>
      <c r="VVN93" s="201"/>
      <c r="VVO93" s="201"/>
      <c r="VVP93" s="201"/>
      <c r="VVQ93" s="201"/>
      <c r="VVR93" s="201"/>
      <c r="VVS93" s="201"/>
      <c r="VVT93" s="201"/>
      <c r="VVU93" s="201"/>
      <c r="VVV93" s="201"/>
      <c r="VVW93" s="201"/>
      <c r="VVX93" s="201"/>
      <c r="VVY93" s="201"/>
      <c r="VVZ93" s="201"/>
      <c r="VWA93" s="201"/>
      <c r="VWB93" s="201"/>
      <c r="VWC93" s="201"/>
      <c r="VWD93" s="201"/>
      <c r="VWE93" s="201"/>
      <c r="VWF93" s="201"/>
      <c r="VWG93" s="201"/>
      <c r="VWH93" s="201"/>
      <c r="VWI93" s="201"/>
      <c r="VWJ93" s="201"/>
      <c r="VWK93" s="201"/>
      <c r="VWL93" s="201"/>
      <c r="VWM93" s="201"/>
      <c r="VWN93" s="201"/>
      <c r="VWO93" s="201"/>
      <c r="VWP93" s="201"/>
      <c r="VWQ93" s="201"/>
      <c r="VWR93" s="201"/>
      <c r="VWS93" s="201"/>
      <c r="VWT93" s="201"/>
      <c r="VWU93" s="201"/>
      <c r="VWV93" s="201"/>
      <c r="VWW93" s="201"/>
      <c r="VWX93" s="201"/>
      <c r="VWY93" s="201"/>
      <c r="VWZ93" s="201"/>
      <c r="VXA93" s="201"/>
      <c r="VXB93" s="201"/>
      <c r="VXC93" s="201"/>
      <c r="VXD93" s="201"/>
      <c r="VXE93" s="201"/>
      <c r="VXF93" s="201"/>
      <c r="VXG93" s="201"/>
      <c r="VXH93" s="201"/>
      <c r="VXI93" s="201"/>
      <c r="VXJ93" s="201"/>
      <c r="VXK93" s="201"/>
      <c r="VXL93" s="201"/>
      <c r="VXM93" s="201"/>
      <c r="VXN93" s="201"/>
      <c r="VXO93" s="201"/>
      <c r="VXP93" s="201"/>
      <c r="VXQ93" s="201"/>
      <c r="VXR93" s="201"/>
      <c r="VXS93" s="201"/>
      <c r="VXT93" s="201"/>
      <c r="VXU93" s="201"/>
      <c r="VXV93" s="201"/>
      <c r="VXW93" s="201"/>
      <c r="VXX93" s="201"/>
      <c r="VXY93" s="201"/>
      <c r="VXZ93" s="201"/>
      <c r="VYA93" s="201"/>
      <c r="VYB93" s="201"/>
      <c r="VYC93" s="201"/>
      <c r="VYD93" s="201"/>
      <c r="VYE93" s="201"/>
      <c r="VYF93" s="201"/>
      <c r="VYG93" s="201"/>
      <c r="VYH93" s="201"/>
      <c r="VYI93" s="201"/>
      <c r="VYJ93" s="201"/>
      <c r="VYK93" s="201"/>
      <c r="VYL93" s="201"/>
      <c r="VYM93" s="201"/>
      <c r="VYN93" s="201"/>
      <c r="VYO93" s="201"/>
      <c r="VYP93" s="201"/>
      <c r="VYQ93" s="201"/>
      <c r="VYR93" s="201"/>
      <c r="VYS93" s="201"/>
      <c r="VYT93" s="201"/>
      <c r="VYU93" s="201"/>
      <c r="VYV93" s="201"/>
      <c r="VYW93" s="201"/>
      <c r="VYX93" s="201"/>
      <c r="VYY93" s="201"/>
      <c r="VYZ93" s="201"/>
      <c r="VZA93" s="201"/>
      <c r="VZB93" s="201"/>
      <c r="VZC93" s="201"/>
      <c r="VZD93" s="201"/>
      <c r="VZE93" s="201"/>
      <c r="VZF93" s="201"/>
      <c r="VZG93" s="201"/>
      <c r="VZH93" s="201"/>
      <c r="VZI93" s="201"/>
      <c r="VZJ93" s="201"/>
      <c r="VZK93" s="201"/>
      <c r="VZL93" s="201"/>
      <c r="VZM93" s="201"/>
      <c r="VZN93" s="201"/>
      <c r="VZO93" s="201"/>
      <c r="VZP93" s="201"/>
      <c r="VZQ93" s="201"/>
      <c r="VZR93" s="201"/>
      <c r="VZS93" s="201"/>
      <c r="VZT93" s="201"/>
      <c r="VZU93" s="201"/>
      <c r="VZV93" s="201"/>
      <c r="VZW93" s="201"/>
      <c r="VZX93" s="201"/>
      <c r="VZY93" s="201"/>
      <c r="VZZ93" s="201"/>
      <c r="WAA93" s="201"/>
      <c r="WAB93" s="201"/>
      <c r="WAC93" s="201"/>
      <c r="WAD93" s="201"/>
      <c r="WAE93" s="201"/>
      <c r="WAF93" s="201"/>
      <c r="WAG93" s="201"/>
      <c r="WAH93" s="201"/>
      <c r="WAI93" s="201"/>
      <c r="WAJ93" s="201"/>
      <c r="WAK93" s="201"/>
      <c r="WAL93" s="201"/>
      <c r="WAM93" s="201"/>
      <c r="WAN93" s="201"/>
      <c r="WAO93" s="201"/>
      <c r="WAP93" s="201"/>
      <c r="WAQ93" s="201"/>
      <c r="WAR93" s="201"/>
      <c r="WAS93" s="201"/>
      <c r="WAT93" s="201"/>
      <c r="WAU93" s="201"/>
      <c r="WAV93" s="201"/>
      <c r="WAW93" s="201"/>
      <c r="WAX93" s="201"/>
      <c r="WAY93" s="201"/>
      <c r="WAZ93" s="201"/>
      <c r="WBA93" s="201"/>
      <c r="WBB93" s="201"/>
      <c r="WBC93" s="201"/>
      <c r="WBD93" s="201"/>
      <c r="WBE93" s="201"/>
      <c r="WBF93" s="201"/>
      <c r="WBG93" s="201"/>
      <c r="WBH93" s="201"/>
      <c r="WBI93" s="201"/>
      <c r="WBJ93" s="201"/>
      <c r="WBK93" s="201"/>
      <c r="WBL93" s="201"/>
      <c r="WBM93" s="201"/>
      <c r="WBN93" s="201"/>
      <c r="WBO93" s="201"/>
      <c r="WBP93" s="201"/>
      <c r="WBQ93" s="201"/>
      <c r="WBR93" s="201"/>
      <c r="WBS93" s="201"/>
      <c r="WBT93" s="201"/>
      <c r="WBU93" s="201"/>
      <c r="WBV93" s="201"/>
      <c r="WBW93" s="201"/>
      <c r="WBX93" s="201"/>
      <c r="WBY93" s="201"/>
      <c r="WBZ93" s="201"/>
      <c r="WCA93" s="201"/>
      <c r="WCB93" s="201"/>
      <c r="WCC93" s="201"/>
      <c r="WCD93" s="201"/>
      <c r="WCE93" s="201"/>
      <c r="WCF93" s="201"/>
      <c r="WCG93" s="201"/>
      <c r="WCH93" s="201"/>
      <c r="WCI93" s="201"/>
      <c r="WCJ93" s="201"/>
      <c r="WCK93" s="201"/>
      <c r="WCL93" s="201"/>
      <c r="WCM93" s="201"/>
      <c r="WCN93" s="201"/>
      <c r="WCO93" s="201"/>
      <c r="WCP93" s="201"/>
      <c r="WCQ93" s="201"/>
      <c r="WCR93" s="201"/>
      <c r="WCS93" s="201"/>
      <c r="WCT93" s="201"/>
      <c r="WCU93" s="201"/>
      <c r="WCV93" s="201"/>
      <c r="WCW93" s="201"/>
      <c r="WCX93" s="201"/>
      <c r="WCY93" s="201"/>
      <c r="WCZ93" s="201"/>
      <c r="WDA93" s="201"/>
      <c r="WDB93" s="201"/>
      <c r="WDC93" s="201"/>
      <c r="WDD93" s="201"/>
      <c r="WDE93" s="201"/>
      <c r="WDF93" s="201"/>
      <c r="WDG93" s="201"/>
      <c r="WDH93" s="201"/>
      <c r="WDI93" s="201"/>
      <c r="WDJ93" s="201"/>
      <c r="WDK93" s="201"/>
      <c r="WDL93" s="201"/>
      <c r="WDM93" s="201"/>
      <c r="WDN93" s="201"/>
      <c r="WDO93" s="201"/>
      <c r="WDP93" s="201"/>
      <c r="WDQ93" s="201"/>
      <c r="WDR93" s="201"/>
      <c r="WDS93" s="201"/>
      <c r="WDT93" s="201"/>
      <c r="WDU93" s="201"/>
      <c r="WDV93" s="201"/>
      <c r="WDW93" s="201"/>
      <c r="WDX93" s="201"/>
      <c r="WDY93" s="201"/>
      <c r="WDZ93" s="201"/>
      <c r="WEA93" s="201"/>
      <c r="WEB93" s="201"/>
      <c r="WEC93" s="201"/>
      <c r="WED93" s="201"/>
      <c r="WEE93" s="201"/>
      <c r="WEF93" s="201"/>
      <c r="WEG93" s="201"/>
      <c r="WEH93" s="201"/>
      <c r="WEI93" s="201"/>
      <c r="WEJ93" s="201"/>
      <c r="WEK93" s="201"/>
      <c r="WEL93" s="201"/>
      <c r="WEM93" s="201"/>
      <c r="WEN93" s="201"/>
      <c r="WEO93" s="201"/>
      <c r="WEP93" s="201"/>
      <c r="WEQ93" s="201"/>
      <c r="WER93" s="201"/>
      <c r="WES93" s="201"/>
      <c r="WET93" s="201"/>
      <c r="WEU93" s="201"/>
      <c r="WEV93" s="201"/>
      <c r="WEW93" s="201"/>
      <c r="WEX93" s="201"/>
      <c r="WEY93" s="201"/>
      <c r="WEZ93" s="201"/>
      <c r="WFA93" s="201"/>
      <c r="WFB93" s="201"/>
      <c r="WFC93" s="201"/>
      <c r="WFD93" s="201"/>
      <c r="WFE93" s="201"/>
      <c r="WFF93" s="201"/>
      <c r="WFG93" s="201"/>
      <c r="WFH93" s="201"/>
      <c r="WFI93" s="201"/>
      <c r="WFJ93" s="201"/>
      <c r="WFK93" s="201"/>
      <c r="WFL93" s="201"/>
      <c r="WFM93" s="201"/>
      <c r="WFN93" s="201"/>
      <c r="WFO93" s="201"/>
      <c r="WFP93" s="201"/>
      <c r="WFQ93" s="201"/>
      <c r="WFR93" s="201"/>
      <c r="WFS93" s="201"/>
      <c r="WFT93" s="201"/>
      <c r="WFU93" s="201"/>
      <c r="WFV93" s="201"/>
      <c r="WFW93" s="201"/>
      <c r="WFX93" s="201"/>
      <c r="WFY93" s="201"/>
      <c r="WFZ93" s="201"/>
      <c r="WGA93" s="201"/>
      <c r="WGB93" s="201"/>
      <c r="WGC93" s="201"/>
      <c r="WGD93" s="201"/>
      <c r="WGE93" s="201"/>
      <c r="WGF93" s="201"/>
      <c r="WGG93" s="201"/>
      <c r="WGH93" s="201"/>
      <c r="WGI93" s="201"/>
      <c r="WGJ93" s="201"/>
      <c r="WGK93" s="201"/>
      <c r="WGL93" s="201"/>
      <c r="WGM93" s="201"/>
      <c r="WGN93" s="201"/>
      <c r="WGO93" s="201"/>
      <c r="WGP93" s="201"/>
      <c r="WGQ93" s="201"/>
      <c r="WGR93" s="201"/>
      <c r="WGS93" s="201"/>
      <c r="WGT93" s="201"/>
      <c r="WGU93" s="201"/>
      <c r="WGV93" s="201"/>
      <c r="WGW93" s="201"/>
      <c r="WGX93" s="201"/>
      <c r="WGY93" s="201"/>
      <c r="WGZ93" s="201"/>
      <c r="WHA93" s="201"/>
      <c r="WHB93" s="201"/>
      <c r="WHC93" s="201"/>
      <c r="WHD93" s="201"/>
      <c r="WHE93" s="201"/>
      <c r="WHF93" s="201"/>
      <c r="WHG93" s="201"/>
      <c r="WHH93" s="201"/>
      <c r="WHI93" s="201"/>
      <c r="WHJ93" s="201"/>
      <c r="WHK93" s="201"/>
      <c r="WHL93" s="201"/>
      <c r="WHM93" s="201"/>
      <c r="WHN93" s="201"/>
      <c r="WHO93" s="201"/>
      <c r="WHP93" s="201"/>
      <c r="WHQ93" s="201"/>
      <c r="WHR93" s="201"/>
      <c r="WHS93" s="201"/>
      <c r="WHT93" s="201"/>
      <c r="WHU93" s="201"/>
      <c r="WHV93" s="201"/>
      <c r="WHW93" s="201"/>
      <c r="WHX93" s="201"/>
      <c r="WHY93" s="201"/>
      <c r="WHZ93" s="201"/>
      <c r="WIA93" s="201"/>
      <c r="WIB93" s="201"/>
      <c r="WIC93" s="201"/>
      <c r="WID93" s="201"/>
      <c r="WIE93" s="201"/>
      <c r="WIF93" s="201"/>
      <c r="WIG93" s="201"/>
      <c r="WIH93" s="201"/>
      <c r="WII93" s="201"/>
      <c r="WIJ93" s="201"/>
      <c r="WIK93" s="201"/>
      <c r="WIL93" s="201"/>
      <c r="WIM93" s="201"/>
      <c r="WIN93" s="201"/>
      <c r="WIO93" s="201"/>
      <c r="WIP93" s="201"/>
      <c r="WIQ93" s="201"/>
      <c r="WIR93" s="201"/>
      <c r="WIS93" s="201"/>
      <c r="WIT93" s="201"/>
      <c r="WIU93" s="201"/>
      <c r="WIV93" s="201"/>
      <c r="WIW93" s="201"/>
      <c r="WIX93" s="201"/>
      <c r="WIY93" s="201"/>
      <c r="WIZ93" s="201"/>
      <c r="WJA93" s="201"/>
      <c r="WJB93" s="201"/>
      <c r="WJC93" s="201"/>
      <c r="WJD93" s="201"/>
      <c r="WJE93" s="201"/>
      <c r="WJF93" s="201"/>
      <c r="WJG93" s="201"/>
      <c r="WJH93" s="201"/>
      <c r="WJI93" s="201"/>
      <c r="WJJ93" s="201"/>
      <c r="WJK93" s="201"/>
      <c r="WJL93" s="201"/>
      <c r="WJM93" s="201"/>
      <c r="WJN93" s="201"/>
      <c r="WJO93" s="201"/>
      <c r="WJP93" s="201"/>
      <c r="WJQ93" s="201"/>
      <c r="WJR93" s="201"/>
      <c r="WJS93" s="201"/>
      <c r="WJT93" s="201"/>
      <c r="WJU93" s="201"/>
      <c r="WJV93" s="201"/>
      <c r="WJW93" s="201"/>
      <c r="WJX93" s="201"/>
      <c r="WJY93" s="201"/>
      <c r="WJZ93" s="201"/>
      <c r="WKA93" s="201"/>
      <c r="WKB93" s="201"/>
      <c r="WKC93" s="201"/>
      <c r="WKD93" s="201"/>
      <c r="WKE93" s="201"/>
      <c r="WKF93" s="201"/>
      <c r="WKG93" s="201"/>
      <c r="WKH93" s="201"/>
      <c r="WKI93" s="201"/>
      <c r="WKJ93" s="201"/>
      <c r="WKK93" s="201"/>
      <c r="WKL93" s="201"/>
      <c r="WKM93" s="201"/>
      <c r="WKN93" s="201"/>
      <c r="WKO93" s="201"/>
      <c r="WKP93" s="201"/>
      <c r="WKQ93" s="201"/>
      <c r="WKR93" s="201"/>
      <c r="WKS93" s="201"/>
      <c r="WKT93" s="201"/>
      <c r="WKU93" s="201"/>
      <c r="WKV93" s="201"/>
      <c r="WKW93" s="201"/>
      <c r="WKX93" s="201"/>
      <c r="WKY93" s="201"/>
      <c r="WKZ93" s="201"/>
      <c r="WLA93" s="201"/>
      <c r="WLB93" s="201"/>
      <c r="WLC93" s="201"/>
      <c r="WLD93" s="201"/>
      <c r="WLE93" s="201"/>
      <c r="WLF93" s="201"/>
      <c r="WLG93" s="201"/>
      <c r="WLH93" s="201"/>
      <c r="WLI93" s="201"/>
      <c r="WLJ93" s="201"/>
      <c r="WLK93" s="201"/>
      <c r="WLL93" s="201"/>
      <c r="WLM93" s="201"/>
      <c r="WLN93" s="201"/>
      <c r="WLO93" s="201"/>
      <c r="WLP93" s="201"/>
      <c r="WLQ93" s="201"/>
      <c r="WLR93" s="201"/>
      <c r="WLS93" s="201"/>
      <c r="WLT93" s="201"/>
      <c r="WLU93" s="201"/>
      <c r="WLV93" s="201"/>
      <c r="WLW93" s="201"/>
      <c r="WLX93" s="201"/>
      <c r="WLY93" s="201"/>
      <c r="WLZ93" s="201"/>
      <c r="WMA93" s="201"/>
      <c r="WMB93" s="201"/>
      <c r="WMC93" s="201"/>
      <c r="WMD93" s="201"/>
      <c r="WME93" s="201"/>
      <c r="WMF93" s="201"/>
      <c r="WMG93" s="201"/>
      <c r="WMH93" s="201"/>
      <c r="WMI93" s="201"/>
      <c r="WMJ93" s="201"/>
      <c r="WMK93" s="201"/>
      <c r="WML93" s="201"/>
      <c r="WMM93" s="201"/>
      <c r="WMN93" s="201"/>
      <c r="WMO93" s="201"/>
      <c r="WMP93" s="201"/>
      <c r="WMQ93" s="201"/>
      <c r="WMR93" s="201"/>
      <c r="WMS93" s="201"/>
      <c r="WMT93" s="201"/>
      <c r="WMU93" s="201"/>
      <c r="WMV93" s="201"/>
      <c r="WMW93" s="201"/>
      <c r="WMX93" s="201"/>
      <c r="WMY93" s="201"/>
      <c r="WMZ93" s="201"/>
      <c r="WNA93" s="201"/>
      <c r="WNB93" s="201"/>
      <c r="WNC93" s="201"/>
      <c r="WND93" s="201"/>
      <c r="WNE93" s="201"/>
      <c r="WNF93" s="201"/>
      <c r="WNG93" s="201"/>
      <c r="WNH93" s="201"/>
      <c r="WNI93" s="201"/>
      <c r="WNJ93" s="201"/>
      <c r="WNK93" s="201"/>
      <c r="WNL93" s="201"/>
      <c r="WNM93" s="201"/>
      <c r="WNN93" s="201"/>
      <c r="WNO93" s="201"/>
      <c r="WNP93" s="201"/>
      <c r="WNQ93" s="201"/>
      <c r="WNR93" s="201"/>
      <c r="WNS93" s="201"/>
      <c r="WNT93" s="201"/>
      <c r="WNU93" s="201"/>
      <c r="WNV93" s="201"/>
      <c r="WNW93" s="201"/>
      <c r="WNX93" s="201"/>
      <c r="WNY93" s="201"/>
      <c r="WNZ93" s="201"/>
      <c r="WOA93" s="201"/>
      <c r="WOB93" s="201"/>
      <c r="WOC93" s="201"/>
      <c r="WOD93" s="201"/>
      <c r="WOE93" s="201"/>
      <c r="WOF93" s="201"/>
      <c r="WOG93" s="201"/>
      <c r="WOH93" s="201"/>
      <c r="WOI93" s="201"/>
      <c r="WOJ93" s="201"/>
      <c r="WOK93" s="201"/>
      <c r="WOL93" s="201"/>
      <c r="WOM93" s="201"/>
      <c r="WON93" s="201"/>
      <c r="WOO93" s="201"/>
      <c r="WOP93" s="201"/>
      <c r="WOQ93" s="201"/>
      <c r="WOR93" s="201"/>
      <c r="WOS93" s="201"/>
      <c r="WOT93" s="201"/>
      <c r="WOU93" s="201"/>
      <c r="WOV93" s="201"/>
      <c r="WOW93" s="201"/>
      <c r="WOX93" s="201"/>
      <c r="WOY93" s="201"/>
      <c r="WOZ93" s="201"/>
      <c r="WPA93" s="201"/>
      <c r="WPB93" s="201"/>
      <c r="WPC93" s="201"/>
      <c r="WPD93" s="201"/>
      <c r="WPE93" s="201"/>
      <c r="WPF93" s="201"/>
      <c r="WPG93" s="201"/>
      <c r="WPH93" s="201"/>
      <c r="WPI93" s="201"/>
      <c r="WPJ93" s="201"/>
      <c r="WPK93" s="201"/>
      <c r="WPL93" s="201"/>
      <c r="WPM93" s="201"/>
      <c r="WPN93" s="201"/>
      <c r="WPO93" s="201"/>
      <c r="WPP93" s="201"/>
      <c r="WPQ93" s="201"/>
      <c r="WPR93" s="201"/>
      <c r="WPS93" s="201"/>
      <c r="WPT93" s="201"/>
      <c r="WPU93" s="201"/>
      <c r="WPV93" s="201"/>
      <c r="WPW93" s="201"/>
      <c r="WPX93" s="201"/>
      <c r="WPY93" s="201"/>
      <c r="WPZ93" s="201"/>
      <c r="WQA93" s="201"/>
      <c r="WQB93" s="201"/>
      <c r="WQC93" s="201"/>
      <c r="WQD93" s="201"/>
      <c r="WQE93" s="201"/>
      <c r="WQF93" s="201"/>
      <c r="WQG93" s="201"/>
      <c r="WQH93" s="201"/>
      <c r="WQI93" s="201"/>
      <c r="WQJ93" s="201"/>
      <c r="WQK93" s="201"/>
      <c r="WQL93" s="201"/>
      <c r="WQM93" s="201"/>
      <c r="WQN93" s="201"/>
      <c r="WQO93" s="201"/>
      <c r="WQP93" s="201"/>
      <c r="WQQ93" s="201"/>
      <c r="WQR93" s="201"/>
      <c r="WQS93" s="201"/>
      <c r="WQT93" s="201"/>
      <c r="WQU93" s="201"/>
      <c r="WQV93" s="201"/>
      <c r="WQW93" s="201"/>
      <c r="WQX93" s="201"/>
      <c r="WQY93" s="201"/>
      <c r="WQZ93" s="201"/>
      <c r="WRA93" s="201"/>
      <c r="WRB93" s="201"/>
      <c r="WRC93" s="201"/>
      <c r="WRD93" s="201"/>
      <c r="WRE93" s="201"/>
      <c r="WRF93" s="201"/>
      <c r="WRG93" s="201"/>
      <c r="WRH93" s="201"/>
      <c r="WRI93" s="201"/>
      <c r="WRJ93" s="201"/>
      <c r="WRK93" s="201"/>
      <c r="WRL93" s="201"/>
      <c r="WRM93" s="201"/>
      <c r="WRN93" s="201"/>
      <c r="WRO93" s="201"/>
      <c r="WRP93" s="201"/>
      <c r="WRQ93" s="201"/>
      <c r="WRR93" s="201"/>
      <c r="WRS93" s="201"/>
      <c r="WRT93" s="201"/>
      <c r="WRU93" s="201"/>
      <c r="WRV93" s="201"/>
      <c r="WRW93" s="201"/>
      <c r="WRX93" s="201"/>
      <c r="WRY93" s="201"/>
      <c r="WRZ93" s="201"/>
      <c r="WSA93" s="201"/>
      <c r="WSB93" s="201"/>
      <c r="WSC93" s="201"/>
      <c r="WSD93" s="201"/>
      <c r="WSE93" s="201"/>
      <c r="WSF93" s="201"/>
      <c r="WSG93" s="201"/>
      <c r="WSH93" s="201"/>
      <c r="WSI93" s="201"/>
      <c r="WSJ93" s="201"/>
      <c r="WSK93" s="201"/>
      <c r="WSL93" s="201"/>
      <c r="WSM93" s="201"/>
      <c r="WSN93" s="201"/>
      <c r="WSO93" s="201"/>
      <c r="WSP93" s="201"/>
      <c r="WSQ93" s="201"/>
      <c r="WSR93" s="201"/>
      <c r="WSS93" s="201"/>
      <c r="WST93" s="201"/>
      <c r="WSU93" s="201"/>
      <c r="WSV93" s="201"/>
      <c r="WSW93" s="201"/>
      <c r="WSX93" s="201"/>
      <c r="WSY93" s="201"/>
      <c r="WSZ93" s="201"/>
      <c r="WTA93" s="201"/>
      <c r="WTB93" s="201"/>
      <c r="WTC93" s="201"/>
      <c r="WTD93" s="201"/>
      <c r="WTE93" s="201"/>
      <c r="WTF93" s="201"/>
      <c r="WTG93" s="201"/>
      <c r="WTH93" s="201"/>
      <c r="WTI93" s="201"/>
      <c r="WTJ93" s="201"/>
      <c r="WTK93" s="201"/>
      <c r="WTL93" s="201"/>
      <c r="WTM93" s="201"/>
      <c r="WTN93" s="201"/>
      <c r="WTO93" s="201"/>
      <c r="WTP93" s="201"/>
      <c r="WTQ93" s="201"/>
      <c r="WTR93" s="201"/>
      <c r="WTS93" s="201"/>
      <c r="WTT93" s="201"/>
      <c r="WTU93" s="201"/>
      <c r="WTV93" s="201"/>
      <c r="WTW93" s="201"/>
      <c r="WTX93" s="201"/>
      <c r="WTY93" s="201"/>
      <c r="WTZ93" s="201"/>
      <c r="WUA93" s="201"/>
      <c r="WUB93" s="201"/>
      <c r="WUC93" s="201"/>
      <c r="WUD93" s="201"/>
      <c r="WUE93" s="201"/>
      <c r="WUF93" s="201"/>
      <c r="WUG93" s="201"/>
      <c r="WUH93" s="201"/>
      <c r="WUI93" s="201"/>
      <c r="WUJ93" s="201"/>
      <c r="WUK93" s="201"/>
      <c r="WUL93" s="201"/>
      <c r="WUM93" s="201"/>
      <c r="WUN93" s="201"/>
      <c r="WUO93" s="201"/>
      <c r="WUP93" s="201"/>
      <c r="WUQ93" s="201"/>
      <c r="WUR93" s="201"/>
      <c r="WUS93" s="201"/>
      <c r="WUT93" s="201"/>
      <c r="WUU93" s="201"/>
      <c r="WUV93" s="201"/>
      <c r="WUW93" s="201"/>
      <c r="WUX93" s="201"/>
      <c r="WUY93" s="201"/>
      <c r="WUZ93" s="201"/>
      <c r="WVA93" s="201"/>
      <c r="WVB93" s="201"/>
      <c r="WVC93" s="201"/>
      <c r="WVD93" s="201"/>
      <c r="WVE93" s="201"/>
      <c r="WVF93" s="201"/>
      <c r="WVG93" s="201"/>
      <c r="WVH93" s="201"/>
      <c r="WVI93" s="201"/>
      <c r="WVJ93" s="201"/>
      <c r="WVK93" s="201"/>
      <c r="WVL93" s="201"/>
      <c r="WVM93" s="201"/>
      <c r="WVN93" s="201"/>
      <c r="WVO93" s="201"/>
      <c r="WVP93" s="201"/>
      <c r="WVQ93" s="201"/>
      <c r="WVR93" s="201"/>
      <c r="WVS93" s="201"/>
      <c r="WVT93" s="201"/>
      <c r="WVU93" s="201"/>
      <c r="WVV93" s="201"/>
      <c r="WVW93" s="201"/>
      <c r="WVX93" s="201"/>
      <c r="WVY93" s="201"/>
      <c r="WVZ93" s="201"/>
      <c r="WWA93" s="201"/>
      <c r="WWB93" s="201"/>
      <c r="WWC93" s="201"/>
      <c r="WWD93" s="201"/>
      <c r="WWE93" s="201"/>
      <c r="WWF93" s="201"/>
      <c r="WWG93" s="201"/>
      <c r="WWH93" s="201"/>
      <c r="WWI93" s="201"/>
      <c r="WWJ93" s="201"/>
      <c r="WWK93" s="201"/>
      <c r="WWL93" s="201"/>
      <c r="WWM93" s="201"/>
      <c r="WWN93" s="201"/>
      <c r="WWO93" s="201"/>
      <c r="WWP93" s="201"/>
      <c r="WWQ93" s="201"/>
      <c r="WWR93" s="201"/>
      <c r="WWS93" s="201"/>
      <c r="WWT93" s="201"/>
      <c r="WWU93" s="201"/>
      <c r="WWV93" s="201"/>
      <c r="WWW93" s="201"/>
      <c r="WWX93" s="201"/>
      <c r="WWY93" s="201"/>
      <c r="WWZ93" s="201"/>
      <c r="WXA93" s="201"/>
      <c r="WXB93" s="201"/>
      <c r="WXC93" s="201"/>
      <c r="WXD93" s="201"/>
      <c r="WXE93" s="201"/>
      <c r="WXF93" s="201"/>
      <c r="WXG93" s="201"/>
      <c r="WXH93" s="201"/>
      <c r="WXI93" s="201"/>
      <c r="WXJ93" s="201"/>
      <c r="WXK93" s="201"/>
      <c r="WXL93" s="201"/>
      <c r="WXM93" s="201"/>
      <c r="WXN93" s="201"/>
      <c r="WXO93" s="201"/>
      <c r="WXP93" s="201"/>
      <c r="WXQ93" s="201"/>
      <c r="WXR93" s="201"/>
      <c r="WXS93" s="201"/>
      <c r="WXT93" s="201"/>
      <c r="WXU93" s="201"/>
      <c r="WXV93" s="201"/>
      <c r="WXW93" s="201"/>
      <c r="WXX93" s="201"/>
      <c r="WXY93" s="201"/>
      <c r="WXZ93" s="201"/>
      <c r="WYA93" s="201"/>
      <c r="WYB93" s="201"/>
      <c r="WYC93" s="201"/>
      <c r="WYD93" s="201"/>
      <c r="WYE93" s="201"/>
      <c r="WYF93" s="201"/>
      <c r="WYG93" s="201"/>
      <c r="WYH93" s="201"/>
      <c r="WYI93" s="201"/>
      <c r="WYJ93" s="201"/>
      <c r="WYK93" s="201"/>
      <c r="WYL93" s="201"/>
      <c r="WYM93" s="201"/>
      <c r="WYN93" s="201"/>
      <c r="WYO93" s="201"/>
      <c r="WYP93" s="201"/>
      <c r="WYQ93" s="201"/>
      <c r="WYR93" s="201"/>
      <c r="WYS93" s="201"/>
      <c r="WYT93" s="201"/>
      <c r="WYU93" s="201"/>
      <c r="WYV93" s="201"/>
      <c r="WYW93" s="201"/>
      <c r="WYX93" s="201"/>
      <c r="WYY93" s="201"/>
      <c r="WYZ93" s="201"/>
      <c r="WZA93" s="201"/>
      <c r="WZB93" s="201"/>
      <c r="WZC93" s="201"/>
      <c r="WZD93" s="201"/>
      <c r="WZE93" s="201"/>
      <c r="WZF93" s="201"/>
      <c r="WZG93" s="201"/>
      <c r="WZH93" s="201"/>
      <c r="WZI93" s="201"/>
      <c r="WZJ93" s="201"/>
      <c r="WZK93" s="201"/>
      <c r="WZL93" s="201"/>
      <c r="WZM93" s="201"/>
      <c r="WZN93" s="201"/>
      <c r="WZO93" s="201"/>
      <c r="WZP93" s="201"/>
      <c r="WZQ93" s="201"/>
      <c r="WZR93" s="201"/>
      <c r="WZS93" s="201"/>
      <c r="WZT93" s="201"/>
      <c r="WZU93" s="201"/>
      <c r="WZV93" s="201"/>
      <c r="WZW93" s="201"/>
      <c r="WZX93" s="201"/>
      <c r="WZY93" s="201"/>
      <c r="WZZ93" s="201"/>
      <c r="XAA93" s="201"/>
      <c r="XAB93" s="201"/>
      <c r="XAC93" s="201"/>
      <c r="XAD93" s="201"/>
      <c r="XAE93" s="201"/>
      <c r="XAF93" s="201"/>
      <c r="XAG93" s="201"/>
      <c r="XAH93" s="201"/>
      <c r="XAI93" s="201"/>
      <c r="XAJ93" s="201"/>
      <c r="XAK93" s="201"/>
      <c r="XAL93" s="201"/>
      <c r="XAM93" s="201"/>
      <c r="XAN93" s="201"/>
      <c r="XAO93" s="201"/>
      <c r="XAP93" s="201"/>
      <c r="XAQ93" s="201"/>
      <c r="XAR93" s="201"/>
      <c r="XAS93" s="201"/>
      <c r="XAT93" s="201"/>
      <c r="XAU93" s="201"/>
      <c r="XAV93" s="201"/>
      <c r="XAW93" s="201"/>
      <c r="XAX93" s="201"/>
      <c r="XAY93" s="201"/>
      <c r="XAZ93" s="201"/>
      <c r="XBA93" s="201"/>
      <c r="XBB93" s="201"/>
      <c r="XBC93" s="201"/>
      <c r="XBD93" s="201"/>
      <c r="XBE93" s="201"/>
      <c r="XBF93" s="201"/>
      <c r="XBG93" s="201"/>
      <c r="XBH93" s="201"/>
      <c r="XBI93" s="201"/>
      <c r="XBJ93" s="201"/>
      <c r="XBK93" s="201"/>
      <c r="XBL93" s="201"/>
      <c r="XBM93" s="201"/>
      <c r="XBN93" s="201"/>
      <c r="XBO93" s="201"/>
      <c r="XBP93" s="201"/>
      <c r="XBQ93" s="201"/>
      <c r="XBR93" s="201"/>
      <c r="XBS93" s="201"/>
      <c r="XBT93" s="201"/>
      <c r="XBU93" s="201"/>
      <c r="XBV93" s="201"/>
      <c r="XBW93" s="201"/>
      <c r="XBX93" s="201"/>
      <c r="XBY93" s="201"/>
      <c r="XBZ93" s="201"/>
      <c r="XCA93" s="201"/>
      <c r="XCB93" s="201"/>
      <c r="XCC93" s="201"/>
      <c r="XCD93" s="201"/>
      <c r="XCE93" s="201"/>
      <c r="XCF93" s="201"/>
      <c r="XCG93" s="201"/>
      <c r="XCH93" s="201"/>
      <c r="XCI93" s="201"/>
      <c r="XCJ93" s="201"/>
      <c r="XCK93" s="201"/>
      <c r="XCL93" s="201"/>
      <c r="XCM93" s="201"/>
      <c r="XCN93" s="201"/>
      <c r="XCO93" s="201"/>
      <c r="XCP93" s="201"/>
      <c r="XCQ93" s="201"/>
      <c r="XCR93" s="201"/>
      <c r="XCS93" s="201"/>
      <c r="XCT93" s="201"/>
      <c r="XCU93" s="201"/>
      <c r="XCV93" s="201"/>
      <c r="XCW93" s="201"/>
      <c r="XCX93" s="201"/>
      <c r="XCY93" s="201"/>
      <c r="XCZ93" s="201"/>
      <c r="XDA93" s="201"/>
      <c r="XDB93" s="201"/>
      <c r="XDC93" s="201"/>
      <c r="XDD93" s="201"/>
      <c r="XDE93" s="201"/>
      <c r="XDF93" s="201"/>
      <c r="XDG93" s="201"/>
      <c r="XDH93" s="201"/>
      <c r="XDI93" s="201"/>
      <c r="XDJ93" s="201"/>
      <c r="XDK93" s="201"/>
      <c r="XDL93" s="201"/>
      <c r="XDM93" s="201"/>
      <c r="XDN93" s="201"/>
      <c r="XDO93" s="201"/>
      <c r="XDP93" s="201"/>
      <c r="XDQ93" s="201"/>
      <c r="XDR93" s="201"/>
      <c r="XDS93" s="201"/>
      <c r="XDT93" s="201"/>
      <c r="XDU93" s="201"/>
      <c r="XDV93" s="201"/>
      <c r="XDW93" s="201"/>
      <c r="XDX93" s="201"/>
      <c r="XDY93" s="201"/>
      <c r="XDZ93" s="201"/>
      <c r="XEA93" s="201"/>
      <c r="XEB93" s="201"/>
      <c r="XEC93" s="201"/>
      <c r="XED93" s="201"/>
      <c r="XEE93" s="201"/>
      <c r="XEF93" s="201"/>
      <c r="XEG93" s="201"/>
      <c r="XEH93" s="201"/>
      <c r="XEI93" s="201"/>
      <c r="XEJ93" s="201"/>
      <c r="XEK93" s="201"/>
      <c r="XEL93" s="201"/>
      <c r="XEM93" s="201"/>
      <c r="XEN93" s="201"/>
      <c r="XEO93" s="201"/>
      <c r="XEP93" s="201"/>
      <c r="XEQ93" s="201"/>
      <c r="XER93" s="201"/>
      <c r="XES93" s="201"/>
      <c r="XET93" s="201"/>
      <c r="XEU93" s="201"/>
      <c r="XEV93" s="201"/>
      <c r="XEW93" s="201"/>
      <c r="XEX93" s="201"/>
      <c r="XEY93" s="201"/>
      <c r="XEZ93" s="201"/>
      <c r="XFA93" s="201"/>
      <c r="XFB93" s="201"/>
      <c r="XFC93" s="201"/>
      <c r="XFD93" s="201"/>
    </row>
    <row r="94" spans="1:16384" ht="30" customHeight="1" outlineLevel="1" x14ac:dyDescent="0.3">
      <c r="A94" s="201" t="s">
        <v>49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1"/>
      <c r="P94" s="201"/>
      <c r="Q94" s="201"/>
      <c r="R94" s="201"/>
      <c r="S94" s="201"/>
      <c r="T94" s="201"/>
      <c r="U94" s="201"/>
      <c r="V94" s="201"/>
      <c r="W94" s="201"/>
      <c r="X94" s="201"/>
      <c r="Y94" s="201"/>
      <c r="Z94" s="201"/>
      <c r="AA94" s="201"/>
      <c r="AB94" s="201"/>
      <c r="AC94" s="201"/>
      <c r="AD94" s="201"/>
      <c r="AE94" s="201"/>
      <c r="AF94" s="201"/>
      <c r="AG94" s="201"/>
      <c r="AH94" s="201"/>
      <c r="AI94" s="201"/>
      <c r="AJ94" s="201"/>
      <c r="AK94" s="201"/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201"/>
      <c r="CE94" s="201"/>
      <c r="CF94" s="201"/>
      <c r="CG94" s="201"/>
      <c r="CH94" s="201"/>
      <c r="CI94" s="201"/>
      <c r="CJ94" s="201"/>
      <c r="CK94" s="201"/>
      <c r="CL94" s="201"/>
      <c r="CM94" s="201"/>
      <c r="CN94" s="201"/>
      <c r="CO94" s="201"/>
      <c r="CP94" s="201"/>
      <c r="CQ94" s="201"/>
      <c r="CR94" s="201"/>
      <c r="CS94" s="201"/>
      <c r="CT94" s="201"/>
      <c r="CU94" s="201"/>
      <c r="CV94" s="201"/>
      <c r="CW94" s="201"/>
      <c r="CX94" s="201"/>
      <c r="CY94" s="201"/>
      <c r="CZ94" s="201"/>
      <c r="DA94" s="201"/>
      <c r="DB94" s="201"/>
      <c r="DC94" s="201"/>
      <c r="DD94" s="201"/>
      <c r="DE94" s="201"/>
      <c r="DF94" s="201"/>
      <c r="DG94" s="201"/>
      <c r="DH94" s="201"/>
      <c r="DI94" s="201"/>
      <c r="DJ94" s="201"/>
      <c r="DK94" s="201"/>
      <c r="DL94" s="201"/>
      <c r="DM94" s="201"/>
      <c r="DN94" s="201"/>
      <c r="DO94" s="201"/>
      <c r="DP94" s="201"/>
      <c r="DQ94" s="201"/>
      <c r="DR94" s="201"/>
      <c r="DS94" s="201"/>
      <c r="DT94" s="201"/>
      <c r="DU94" s="201"/>
      <c r="DV94" s="201"/>
      <c r="DW94" s="201"/>
      <c r="DX94" s="201"/>
      <c r="DY94" s="201"/>
      <c r="DZ94" s="201"/>
      <c r="EA94" s="201"/>
      <c r="EB94" s="201"/>
      <c r="EC94" s="201"/>
      <c r="ED94" s="201"/>
      <c r="EE94" s="201"/>
      <c r="EF94" s="201"/>
      <c r="EG94" s="201"/>
      <c r="EH94" s="201"/>
      <c r="EI94" s="201"/>
      <c r="EJ94" s="201"/>
      <c r="EK94" s="201"/>
      <c r="EL94" s="201"/>
      <c r="EM94" s="201"/>
      <c r="EN94" s="201"/>
      <c r="EO94" s="201"/>
      <c r="EP94" s="201"/>
      <c r="EQ94" s="201"/>
      <c r="ER94" s="201"/>
      <c r="ES94" s="201"/>
      <c r="ET94" s="201"/>
      <c r="EU94" s="201"/>
      <c r="EV94" s="201"/>
      <c r="EW94" s="201"/>
      <c r="EX94" s="201"/>
      <c r="EY94" s="201"/>
      <c r="EZ94" s="201"/>
      <c r="FA94" s="201"/>
      <c r="FB94" s="201"/>
      <c r="FC94" s="201"/>
      <c r="FD94" s="201"/>
      <c r="FE94" s="201"/>
      <c r="FF94" s="201"/>
      <c r="FG94" s="201"/>
      <c r="FH94" s="201"/>
      <c r="FI94" s="201"/>
      <c r="FJ94" s="201"/>
      <c r="FK94" s="201"/>
      <c r="FL94" s="201"/>
      <c r="FM94" s="201"/>
      <c r="FN94" s="201"/>
      <c r="FO94" s="201"/>
      <c r="FP94" s="201"/>
      <c r="FQ94" s="201"/>
      <c r="FR94" s="201"/>
      <c r="FS94" s="201"/>
      <c r="FT94" s="201"/>
      <c r="FU94" s="201"/>
      <c r="FV94" s="201"/>
      <c r="FW94" s="201"/>
      <c r="FX94" s="201"/>
      <c r="FY94" s="201"/>
      <c r="FZ94" s="201"/>
      <c r="GA94" s="201"/>
      <c r="GB94" s="201"/>
      <c r="GC94" s="201"/>
      <c r="GD94" s="201"/>
      <c r="GE94" s="201"/>
      <c r="GF94" s="201"/>
      <c r="GG94" s="201"/>
      <c r="GH94" s="201"/>
      <c r="GI94" s="201"/>
      <c r="GJ94" s="201"/>
      <c r="GK94" s="201"/>
      <c r="GL94" s="201"/>
      <c r="GM94" s="201"/>
      <c r="GN94" s="201"/>
      <c r="GO94" s="201"/>
      <c r="GP94" s="201"/>
      <c r="GQ94" s="201"/>
      <c r="GR94" s="201"/>
      <c r="GS94" s="201"/>
      <c r="GT94" s="201"/>
      <c r="GU94" s="201"/>
      <c r="GV94" s="201"/>
      <c r="GW94" s="201"/>
      <c r="GX94" s="201"/>
      <c r="GY94" s="201"/>
      <c r="GZ94" s="201"/>
      <c r="HA94" s="201"/>
      <c r="HB94" s="201"/>
      <c r="HC94" s="201"/>
      <c r="HD94" s="201"/>
      <c r="HE94" s="201"/>
      <c r="HF94" s="201"/>
      <c r="HG94" s="201"/>
      <c r="HH94" s="201"/>
      <c r="HI94" s="201"/>
      <c r="HJ94" s="201"/>
      <c r="HK94" s="201"/>
      <c r="HL94" s="201"/>
      <c r="HM94" s="201"/>
      <c r="HN94" s="201"/>
      <c r="HO94" s="201"/>
      <c r="HP94" s="201"/>
      <c r="HQ94" s="201"/>
      <c r="HR94" s="201"/>
      <c r="HS94" s="201"/>
      <c r="HT94" s="201"/>
      <c r="HU94" s="201"/>
      <c r="HV94" s="201"/>
      <c r="HW94" s="201"/>
      <c r="HX94" s="201"/>
      <c r="HY94" s="201"/>
      <c r="HZ94" s="201"/>
      <c r="IA94" s="201"/>
      <c r="IB94" s="201"/>
      <c r="IC94" s="201"/>
      <c r="ID94" s="201"/>
      <c r="IE94" s="201"/>
      <c r="IF94" s="201"/>
      <c r="IG94" s="201"/>
      <c r="IH94" s="201"/>
      <c r="II94" s="201"/>
      <c r="IJ94" s="201"/>
      <c r="IK94" s="201"/>
      <c r="IL94" s="201"/>
      <c r="IM94" s="201"/>
      <c r="IN94" s="201"/>
      <c r="IO94" s="201"/>
      <c r="IP94" s="201"/>
      <c r="IQ94" s="201"/>
      <c r="IR94" s="201"/>
      <c r="IS94" s="201"/>
      <c r="IT94" s="201"/>
      <c r="IU94" s="201"/>
      <c r="IV94" s="201"/>
      <c r="IW94" s="201"/>
      <c r="IX94" s="201"/>
      <c r="IY94" s="201"/>
      <c r="IZ94" s="201"/>
      <c r="JA94" s="201"/>
      <c r="JB94" s="201"/>
      <c r="JC94" s="201"/>
      <c r="JD94" s="201"/>
      <c r="JE94" s="201"/>
      <c r="JF94" s="201"/>
      <c r="JG94" s="201"/>
      <c r="JH94" s="201"/>
      <c r="JI94" s="201"/>
      <c r="JJ94" s="201"/>
      <c r="JK94" s="201"/>
      <c r="JL94" s="201"/>
      <c r="JM94" s="201"/>
      <c r="JN94" s="201"/>
      <c r="JO94" s="201"/>
      <c r="JP94" s="201"/>
      <c r="JQ94" s="201"/>
      <c r="JR94" s="201"/>
      <c r="JS94" s="201"/>
      <c r="JT94" s="201"/>
      <c r="JU94" s="201"/>
      <c r="JV94" s="201"/>
      <c r="JW94" s="201"/>
      <c r="JX94" s="201"/>
      <c r="JY94" s="201"/>
      <c r="JZ94" s="201"/>
      <c r="KA94" s="201"/>
      <c r="KB94" s="201"/>
      <c r="KC94" s="201"/>
      <c r="KD94" s="201"/>
      <c r="KE94" s="201"/>
      <c r="KF94" s="201"/>
      <c r="KG94" s="201"/>
      <c r="KH94" s="201"/>
      <c r="KI94" s="201"/>
      <c r="KJ94" s="201"/>
      <c r="KK94" s="201"/>
      <c r="KL94" s="201"/>
      <c r="KM94" s="201"/>
      <c r="KN94" s="201"/>
      <c r="KO94" s="201"/>
      <c r="KP94" s="201"/>
      <c r="KQ94" s="201"/>
      <c r="KR94" s="201"/>
      <c r="KS94" s="201"/>
      <c r="KT94" s="201"/>
      <c r="KU94" s="201"/>
      <c r="KV94" s="201"/>
      <c r="KW94" s="201"/>
      <c r="KX94" s="201"/>
      <c r="KY94" s="201"/>
      <c r="KZ94" s="201"/>
      <c r="LA94" s="201"/>
      <c r="LB94" s="201"/>
      <c r="LC94" s="201"/>
      <c r="LD94" s="201"/>
      <c r="LE94" s="201"/>
      <c r="LF94" s="201"/>
      <c r="LG94" s="201"/>
      <c r="LH94" s="201"/>
      <c r="LI94" s="201"/>
      <c r="LJ94" s="201"/>
      <c r="LK94" s="201"/>
      <c r="LL94" s="201"/>
      <c r="LM94" s="201"/>
      <c r="LN94" s="201"/>
      <c r="LO94" s="201"/>
      <c r="LP94" s="201"/>
      <c r="LQ94" s="201"/>
      <c r="LR94" s="201"/>
      <c r="LS94" s="201"/>
      <c r="LT94" s="201"/>
      <c r="LU94" s="201"/>
      <c r="LV94" s="201"/>
      <c r="LW94" s="201"/>
      <c r="LX94" s="201"/>
      <c r="LY94" s="201"/>
      <c r="LZ94" s="201"/>
      <c r="MA94" s="201"/>
      <c r="MB94" s="201"/>
      <c r="MC94" s="201"/>
      <c r="MD94" s="201"/>
      <c r="ME94" s="201"/>
      <c r="MF94" s="201"/>
      <c r="MG94" s="201"/>
      <c r="MH94" s="201"/>
      <c r="MI94" s="201"/>
      <c r="MJ94" s="201"/>
      <c r="MK94" s="201"/>
      <c r="ML94" s="201"/>
      <c r="MM94" s="201"/>
      <c r="MN94" s="201"/>
      <c r="MO94" s="201"/>
      <c r="MP94" s="201"/>
      <c r="MQ94" s="201"/>
      <c r="MR94" s="201"/>
      <c r="MS94" s="201"/>
      <c r="MT94" s="201"/>
      <c r="MU94" s="201"/>
      <c r="MV94" s="201"/>
      <c r="MW94" s="201"/>
      <c r="MX94" s="201"/>
      <c r="MY94" s="201"/>
      <c r="MZ94" s="201"/>
      <c r="NA94" s="201"/>
      <c r="NB94" s="201"/>
      <c r="NC94" s="201"/>
      <c r="ND94" s="201"/>
      <c r="NE94" s="201"/>
      <c r="NF94" s="201"/>
      <c r="NG94" s="201"/>
      <c r="NH94" s="201"/>
      <c r="NI94" s="201"/>
      <c r="NJ94" s="201"/>
      <c r="NK94" s="201"/>
      <c r="NL94" s="201"/>
      <c r="NM94" s="201"/>
      <c r="NN94" s="201"/>
      <c r="NO94" s="201"/>
      <c r="NP94" s="201"/>
      <c r="NQ94" s="201"/>
      <c r="NR94" s="201"/>
      <c r="NS94" s="201"/>
      <c r="NT94" s="201"/>
      <c r="NU94" s="201"/>
      <c r="NV94" s="201"/>
      <c r="NW94" s="201"/>
      <c r="NX94" s="201"/>
      <c r="NY94" s="201"/>
      <c r="NZ94" s="201"/>
      <c r="OA94" s="201"/>
      <c r="OB94" s="201"/>
      <c r="OC94" s="201"/>
      <c r="OD94" s="201"/>
      <c r="OE94" s="201"/>
      <c r="OF94" s="201"/>
      <c r="OG94" s="201"/>
      <c r="OH94" s="201"/>
      <c r="OI94" s="201"/>
      <c r="OJ94" s="201"/>
      <c r="OK94" s="201"/>
      <c r="OL94" s="201"/>
      <c r="OM94" s="201"/>
      <c r="ON94" s="201"/>
      <c r="OO94" s="201"/>
      <c r="OP94" s="201"/>
      <c r="OQ94" s="201"/>
      <c r="OR94" s="201"/>
      <c r="OS94" s="201"/>
      <c r="OT94" s="201"/>
      <c r="OU94" s="201"/>
      <c r="OV94" s="201"/>
      <c r="OW94" s="201"/>
      <c r="OX94" s="201"/>
      <c r="OY94" s="201"/>
      <c r="OZ94" s="201"/>
      <c r="PA94" s="201"/>
      <c r="PB94" s="201"/>
      <c r="PC94" s="201"/>
      <c r="PD94" s="201"/>
      <c r="PE94" s="201"/>
      <c r="PF94" s="201"/>
      <c r="PG94" s="201"/>
      <c r="PH94" s="201"/>
      <c r="PI94" s="201"/>
      <c r="PJ94" s="201"/>
      <c r="PK94" s="201"/>
      <c r="PL94" s="201"/>
      <c r="PM94" s="201"/>
      <c r="PN94" s="201"/>
      <c r="PO94" s="201"/>
      <c r="PP94" s="201"/>
      <c r="PQ94" s="201"/>
      <c r="PR94" s="201"/>
      <c r="PS94" s="201"/>
      <c r="PT94" s="201"/>
      <c r="PU94" s="201"/>
      <c r="PV94" s="201"/>
      <c r="PW94" s="201"/>
      <c r="PX94" s="201"/>
      <c r="PY94" s="201"/>
      <c r="PZ94" s="201"/>
      <c r="QA94" s="201"/>
      <c r="QB94" s="201"/>
      <c r="QC94" s="201"/>
      <c r="QD94" s="201"/>
      <c r="QE94" s="201"/>
      <c r="QF94" s="201"/>
      <c r="QG94" s="201"/>
      <c r="QH94" s="201"/>
      <c r="QI94" s="201"/>
      <c r="QJ94" s="201"/>
      <c r="QK94" s="201"/>
      <c r="QL94" s="201"/>
      <c r="QM94" s="201"/>
      <c r="QN94" s="201"/>
      <c r="QO94" s="201"/>
      <c r="QP94" s="201"/>
      <c r="QQ94" s="201"/>
      <c r="QR94" s="201"/>
      <c r="QS94" s="201"/>
      <c r="QT94" s="201"/>
      <c r="QU94" s="201"/>
      <c r="QV94" s="201"/>
      <c r="QW94" s="201"/>
      <c r="QX94" s="201"/>
      <c r="QY94" s="201"/>
      <c r="QZ94" s="201"/>
      <c r="RA94" s="201"/>
      <c r="RB94" s="201"/>
      <c r="RC94" s="201"/>
      <c r="RD94" s="201"/>
      <c r="RE94" s="201"/>
      <c r="RF94" s="201"/>
      <c r="RG94" s="201"/>
      <c r="RH94" s="201"/>
      <c r="RI94" s="201"/>
      <c r="RJ94" s="201"/>
      <c r="RK94" s="201"/>
      <c r="RL94" s="201"/>
      <c r="RM94" s="201"/>
      <c r="RN94" s="201"/>
      <c r="RO94" s="201"/>
      <c r="RP94" s="201"/>
      <c r="RQ94" s="201"/>
      <c r="RR94" s="201"/>
      <c r="RS94" s="201"/>
      <c r="RT94" s="201"/>
      <c r="RU94" s="201"/>
      <c r="RV94" s="201"/>
      <c r="RW94" s="201"/>
      <c r="RX94" s="201"/>
      <c r="RY94" s="201"/>
      <c r="RZ94" s="201"/>
      <c r="SA94" s="201"/>
      <c r="SB94" s="201"/>
      <c r="SC94" s="201"/>
      <c r="SD94" s="201"/>
      <c r="SE94" s="201"/>
      <c r="SF94" s="201"/>
      <c r="SG94" s="201"/>
      <c r="SH94" s="201"/>
      <c r="SI94" s="201"/>
      <c r="SJ94" s="201"/>
      <c r="SK94" s="201"/>
      <c r="SL94" s="201"/>
      <c r="SM94" s="201"/>
      <c r="SN94" s="201"/>
      <c r="SO94" s="201"/>
      <c r="SP94" s="201"/>
      <c r="SQ94" s="201"/>
      <c r="SR94" s="201"/>
      <c r="SS94" s="201"/>
      <c r="ST94" s="201"/>
      <c r="SU94" s="201"/>
      <c r="SV94" s="201"/>
      <c r="SW94" s="201"/>
      <c r="SX94" s="201"/>
      <c r="SY94" s="201"/>
      <c r="SZ94" s="201"/>
      <c r="TA94" s="201"/>
      <c r="TB94" s="201"/>
      <c r="TC94" s="201"/>
      <c r="TD94" s="201"/>
      <c r="TE94" s="201"/>
      <c r="TF94" s="201"/>
      <c r="TG94" s="201"/>
      <c r="TH94" s="201"/>
      <c r="TI94" s="201"/>
      <c r="TJ94" s="201"/>
      <c r="TK94" s="201"/>
      <c r="TL94" s="201"/>
      <c r="TM94" s="201"/>
      <c r="TN94" s="201"/>
      <c r="TO94" s="201"/>
      <c r="TP94" s="201"/>
      <c r="TQ94" s="201"/>
      <c r="TR94" s="201"/>
      <c r="TS94" s="201"/>
      <c r="TT94" s="201"/>
      <c r="TU94" s="201"/>
      <c r="TV94" s="201"/>
      <c r="TW94" s="201"/>
      <c r="TX94" s="201"/>
      <c r="TY94" s="201"/>
      <c r="TZ94" s="201"/>
      <c r="UA94" s="201"/>
      <c r="UB94" s="201"/>
      <c r="UC94" s="201"/>
      <c r="UD94" s="201"/>
      <c r="UE94" s="201"/>
      <c r="UF94" s="201"/>
      <c r="UG94" s="201"/>
      <c r="UH94" s="201"/>
      <c r="UI94" s="201"/>
      <c r="UJ94" s="201"/>
      <c r="UK94" s="201"/>
      <c r="UL94" s="201"/>
      <c r="UM94" s="201"/>
      <c r="UN94" s="201"/>
      <c r="UO94" s="201"/>
      <c r="UP94" s="201"/>
      <c r="UQ94" s="201"/>
      <c r="UR94" s="201"/>
      <c r="US94" s="201"/>
      <c r="UT94" s="201"/>
      <c r="UU94" s="201"/>
      <c r="UV94" s="201"/>
      <c r="UW94" s="201"/>
      <c r="UX94" s="201"/>
      <c r="UY94" s="201"/>
      <c r="UZ94" s="201"/>
      <c r="VA94" s="201"/>
      <c r="VB94" s="201"/>
      <c r="VC94" s="201"/>
      <c r="VD94" s="201"/>
      <c r="VE94" s="201"/>
      <c r="VF94" s="201"/>
      <c r="VG94" s="201"/>
      <c r="VH94" s="201"/>
      <c r="VI94" s="201"/>
      <c r="VJ94" s="201"/>
      <c r="VK94" s="201"/>
      <c r="VL94" s="201"/>
      <c r="VM94" s="201"/>
      <c r="VN94" s="201"/>
      <c r="VO94" s="201"/>
      <c r="VP94" s="201"/>
      <c r="VQ94" s="201"/>
      <c r="VR94" s="201"/>
      <c r="VS94" s="201"/>
      <c r="VT94" s="201"/>
      <c r="VU94" s="201"/>
      <c r="VV94" s="201"/>
      <c r="VW94" s="201"/>
      <c r="VX94" s="201"/>
      <c r="VY94" s="201"/>
      <c r="VZ94" s="201"/>
      <c r="WA94" s="201"/>
      <c r="WB94" s="201"/>
      <c r="WC94" s="201"/>
      <c r="WD94" s="201"/>
      <c r="WE94" s="201"/>
      <c r="WF94" s="201"/>
      <c r="WG94" s="201"/>
      <c r="WH94" s="201"/>
      <c r="WI94" s="201"/>
      <c r="WJ94" s="201"/>
      <c r="WK94" s="201"/>
      <c r="WL94" s="201"/>
      <c r="WM94" s="201"/>
      <c r="WN94" s="201"/>
      <c r="WO94" s="201"/>
      <c r="WP94" s="201"/>
      <c r="WQ94" s="201"/>
      <c r="WR94" s="201"/>
      <c r="WS94" s="201"/>
      <c r="WT94" s="201"/>
      <c r="WU94" s="201"/>
      <c r="WV94" s="201"/>
      <c r="WW94" s="201"/>
      <c r="WX94" s="201"/>
      <c r="WY94" s="201"/>
      <c r="WZ94" s="201"/>
      <c r="XA94" s="201"/>
      <c r="XB94" s="201"/>
      <c r="XC94" s="201"/>
      <c r="XD94" s="201"/>
      <c r="XE94" s="201"/>
      <c r="XF94" s="201"/>
      <c r="XG94" s="201"/>
      <c r="XH94" s="201"/>
      <c r="XI94" s="201"/>
      <c r="XJ94" s="201"/>
      <c r="XK94" s="201"/>
      <c r="XL94" s="201"/>
      <c r="XM94" s="201"/>
      <c r="XN94" s="201"/>
      <c r="XO94" s="201"/>
      <c r="XP94" s="201"/>
      <c r="XQ94" s="201"/>
      <c r="XR94" s="201"/>
      <c r="XS94" s="201"/>
      <c r="XT94" s="201"/>
      <c r="XU94" s="201"/>
      <c r="XV94" s="201"/>
      <c r="XW94" s="201"/>
      <c r="XX94" s="201"/>
      <c r="XY94" s="201"/>
      <c r="XZ94" s="201"/>
      <c r="YA94" s="201"/>
      <c r="YB94" s="201"/>
      <c r="YC94" s="201"/>
      <c r="YD94" s="201"/>
      <c r="YE94" s="201"/>
      <c r="YF94" s="201"/>
      <c r="YG94" s="201"/>
      <c r="YH94" s="201"/>
      <c r="YI94" s="201"/>
      <c r="YJ94" s="201"/>
      <c r="YK94" s="201"/>
      <c r="YL94" s="201"/>
      <c r="YM94" s="201"/>
      <c r="YN94" s="201"/>
      <c r="YO94" s="201"/>
      <c r="YP94" s="201"/>
      <c r="YQ94" s="201"/>
      <c r="YR94" s="201"/>
      <c r="YS94" s="201"/>
      <c r="YT94" s="201"/>
      <c r="YU94" s="201"/>
      <c r="YV94" s="201"/>
      <c r="YW94" s="201"/>
      <c r="YX94" s="201"/>
      <c r="YY94" s="201"/>
      <c r="YZ94" s="201"/>
      <c r="ZA94" s="201"/>
      <c r="ZB94" s="201"/>
      <c r="ZC94" s="201"/>
      <c r="ZD94" s="201"/>
      <c r="ZE94" s="201"/>
      <c r="ZF94" s="201"/>
      <c r="ZG94" s="201"/>
      <c r="ZH94" s="201"/>
      <c r="ZI94" s="201"/>
      <c r="ZJ94" s="201"/>
      <c r="ZK94" s="201"/>
      <c r="ZL94" s="201"/>
      <c r="ZM94" s="201"/>
      <c r="ZN94" s="201"/>
      <c r="ZO94" s="201"/>
      <c r="ZP94" s="201"/>
      <c r="ZQ94" s="201"/>
      <c r="ZR94" s="201"/>
      <c r="ZS94" s="201"/>
      <c r="ZT94" s="201"/>
      <c r="ZU94" s="201"/>
      <c r="ZV94" s="201"/>
      <c r="ZW94" s="201"/>
      <c r="ZX94" s="201"/>
      <c r="ZY94" s="201"/>
      <c r="ZZ94" s="201"/>
      <c r="AAA94" s="201"/>
      <c r="AAB94" s="201"/>
      <c r="AAC94" s="201"/>
      <c r="AAD94" s="201"/>
      <c r="AAE94" s="201"/>
      <c r="AAF94" s="201"/>
      <c r="AAG94" s="201"/>
      <c r="AAH94" s="201"/>
      <c r="AAI94" s="201"/>
      <c r="AAJ94" s="201"/>
      <c r="AAK94" s="201"/>
      <c r="AAL94" s="201"/>
      <c r="AAM94" s="201"/>
      <c r="AAN94" s="201"/>
      <c r="AAO94" s="201"/>
      <c r="AAP94" s="201"/>
      <c r="AAQ94" s="201"/>
      <c r="AAR94" s="201"/>
      <c r="AAS94" s="201"/>
      <c r="AAT94" s="201"/>
      <c r="AAU94" s="201"/>
      <c r="AAV94" s="201"/>
      <c r="AAW94" s="201"/>
      <c r="AAX94" s="201"/>
      <c r="AAY94" s="201"/>
      <c r="AAZ94" s="201"/>
      <c r="ABA94" s="201"/>
      <c r="ABB94" s="201"/>
      <c r="ABC94" s="201"/>
      <c r="ABD94" s="201"/>
      <c r="ABE94" s="201"/>
      <c r="ABF94" s="201"/>
      <c r="ABG94" s="201"/>
      <c r="ABH94" s="201"/>
      <c r="ABI94" s="201"/>
      <c r="ABJ94" s="201"/>
      <c r="ABK94" s="201"/>
      <c r="ABL94" s="201"/>
      <c r="ABM94" s="201"/>
      <c r="ABN94" s="201"/>
      <c r="ABO94" s="201"/>
      <c r="ABP94" s="201"/>
      <c r="ABQ94" s="201"/>
      <c r="ABR94" s="201"/>
      <c r="ABS94" s="201"/>
      <c r="ABT94" s="201"/>
      <c r="ABU94" s="201"/>
      <c r="ABV94" s="201"/>
      <c r="ABW94" s="201"/>
      <c r="ABX94" s="201"/>
      <c r="ABY94" s="201"/>
      <c r="ABZ94" s="201"/>
      <c r="ACA94" s="201"/>
      <c r="ACB94" s="201"/>
      <c r="ACC94" s="201"/>
      <c r="ACD94" s="201"/>
      <c r="ACE94" s="201"/>
      <c r="ACF94" s="201"/>
      <c r="ACG94" s="201"/>
      <c r="ACH94" s="201"/>
      <c r="ACI94" s="201"/>
      <c r="ACJ94" s="201"/>
      <c r="ACK94" s="201"/>
      <c r="ACL94" s="201"/>
      <c r="ACM94" s="201"/>
      <c r="ACN94" s="201"/>
      <c r="ACO94" s="201"/>
      <c r="ACP94" s="201"/>
      <c r="ACQ94" s="201"/>
      <c r="ACR94" s="201"/>
      <c r="ACS94" s="201"/>
      <c r="ACT94" s="201"/>
      <c r="ACU94" s="201"/>
      <c r="ACV94" s="201"/>
      <c r="ACW94" s="201"/>
      <c r="ACX94" s="201"/>
      <c r="ACY94" s="201"/>
      <c r="ACZ94" s="201"/>
      <c r="ADA94" s="201"/>
      <c r="ADB94" s="201"/>
      <c r="ADC94" s="201"/>
      <c r="ADD94" s="201"/>
      <c r="ADE94" s="201"/>
      <c r="ADF94" s="201"/>
      <c r="ADG94" s="201"/>
      <c r="ADH94" s="201"/>
      <c r="ADI94" s="201"/>
      <c r="ADJ94" s="201"/>
      <c r="ADK94" s="201"/>
      <c r="ADL94" s="201"/>
      <c r="ADM94" s="201"/>
      <c r="ADN94" s="201"/>
      <c r="ADO94" s="201"/>
      <c r="ADP94" s="201"/>
      <c r="ADQ94" s="201"/>
      <c r="ADR94" s="201"/>
      <c r="ADS94" s="201"/>
      <c r="ADT94" s="201"/>
      <c r="ADU94" s="201"/>
      <c r="ADV94" s="201"/>
      <c r="ADW94" s="201"/>
      <c r="ADX94" s="201"/>
      <c r="ADY94" s="201"/>
      <c r="ADZ94" s="201"/>
      <c r="AEA94" s="201"/>
      <c r="AEB94" s="201"/>
      <c r="AEC94" s="201"/>
      <c r="AED94" s="201"/>
      <c r="AEE94" s="201"/>
      <c r="AEF94" s="201"/>
      <c r="AEG94" s="201"/>
      <c r="AEH94" s="201"/>
      <c r="AEI94" s="201"/>
      <c r="AEJ94" s="201"/>
      <c r="AEK94" s="201"/>
      <c r="AEL94" s="201"/>
      <c r="AEM94" s="201"/>
      <c r="AEN94" s="201"/>
      <c r="AEO94" s="201"/>
      <c r="AEP94" s="201"/>
      <c r="AEQ94" s="201"/>
      <c r="AER94" s="201"/>
      <c r="AES94" s="201"/>
      <c r="AET94" s="201"/>
      <c r="AEU94" s="201"/>
      <c r="AEV94" s="201"/>
      <c r="AEW94" s="201"/>
      <c r="AEX94" s="201"/>
      <c r="AEY94" s="201"/>
      <c r="AEZ94" s="201"/>
      <c r="AFA94" s="201"/>
      <c r="AFB94" s="201"/>
      <c r="AFC94" s="201"/>
      <c r="AFD94" s="201"/>
      <c r="AFE94" s="201"/>
      <c r="AFF94" s="201"/>
      <c r="AFG94" s="201"/>
      <c r="AFH94" s="201"/>
      <c r="AFI94" s="201"/>
      <c r="AFJ94" s="201"/>
      <c r="AFK94" s="201"/>
      <c r="AFL94" s="201"/>
      <c r="AFM94" s="201"/>
      <c r="AFN94" s="201"/>
      <c r="AFO94" s="201"/>
      <c r="AFP94" s="201"/>
      <c r="AFQ94" s="201"/>
      <c r="AFR94" s="201"/>
      <c r="AFS94" s="201"/>
      <c r="AFT94" s="201"/>
      <c r="AFU94" s="201"/>
      <c r="AFV94" s="201"/>
      <c r="AFW94" s="201"/>
      <c r="AFX94" s="201"/>
      <c r="AFY94" s="201"/>
      <c r="AFZ94" s="201"/>
      <c r="AGA94" s="201"/>
      <c r="AGB94" s="201"/>
      <c r="AGC94" s="201"/>
      <c r="AGD94" s="201"/>
      <c r="AGE94" s="201"/>
      <c r="AGF94" s="201"/>
      <c r="AGG94" s="201"/>
      <c r="AGH94" s="201"/>
      <c r="AGI94" s="201"/>
      <c r="AGJ94" s="201"/>
      <c r="AGK94" s="201"/>
      <c r="AGL94" s="201"/>
      <c r="AGM94" s="201"/>
      <c r="AGN94" s="201"/>
      <c r="AGO94" s="201"/>
      <c r="AGP94" s="201"/>
      <c r="AGQ94" s="201"/>
      <c r="AGR94" s="201"/>
      <c r="AGS94" s="201"/>
      <c r="AGT94" s="201"/>
      <c r="AGU94" s="201"/>
      <c r="AGV94" s="201"/>
      <c r="AGW94" s="201"/>
      <c r="AGX94" s="201"/>
      <c r="AGY94" s="201"/>
      <c r="AGZ94" s="201"/>
      <c r="AHA94" s="201"/>
      <c r="AHB94" s="201"/>
      <c r="AHC94" s="201"/>
      <c r="AHD94" s="201"/>
      <c r="AHE94" s="201"/>
      <c r="AHF94" s="201"/>
      <c r="AHG94" s="201"/>
      <c r="AHH94" s="201"/>
      <c r="AHI94" s="201"/>
      <c r="AHJ94" s="201"/>
      <c r="AHK94" s="201"/>
      <c r="AHL94" s="201"/>
      <c r="AHM94" s="201"/>
      <c r="AHN94" s="201"/>
      <c r="AHO94" s="201"/>
      <c r="AHP94" s="201"/>
      <c r="AHQ94" s="201"/>
      <c r="AHR94" s="201"/>
      <c r="AHS94" s="201"/>
      <c r="AHT94" s="201"/>
      <c r="AHU94" s="201"/>
      <c r="AHV94" s="201"/>
      <c r="AHW94" s="201"/>
      <c r="AHX94" s="201"/>
      <c r="AHY94" s="201"/>
      <c r="AHZ94" s="201"/>
      <c r="AIA94" s="201"/>
      <c r="AIB94" s="201"/>
      <c r="AIC94" s="201"/>
      <c r="AID94" s="201"/>
      <c r="AIE94" s="201"/>
      <c r="AIF94" s="201"/>
      <c r="AIG94" s="201"/>
      <c r="AIH94" s="201"/>
      <c r="AII94" s="201"/>
      <c r="AIJ94" s="201"/>
      <c r="AIK94" s="201"/>
      <c r="AIL94" s="201"/>
      <c r="AIM94" s="201"/>
      <c r="AIN94" s="201"/>
      <c r="AIO94" s="201"/>
      <c r="AIP94" s="201"/>
      <c r="AIQ94" s="201"/>
      <c r="AIR94" s="201"/>
      <c r="AIS94" s="201"/>
      <c r="AIT94" s="201"/>
      <c r="AIU94" s="201"/>
      <c r="AIV94" s="201"/>
      <c r="AIW94" s="201"/>
      <c r="AIX94" s="201"/>
      <c r="AIY94" s="201"/>
      <c r="AIZ94" s="201"/>
      <c r="AJA94" s="201"/>
      <c r="AJB94" s="201"/>
      <c r="AJC94" s="201"/>
      <c r="AJD94" s="201"/>
      <c r="AJE94" s="201"/>
      <c r="AJF94" s="201"/>
      <c r="AJG94" s="201"/>
      <c r="AJH94" s="201"/>
      <c r="AJI94" s="201"/>
      <c r="AJJ94" s="201"/>
      <c r="AJK94" s="201"/>
      <c r="AJL94" s="201"/>
      <c r="AJM94" s="201"/>
      <c r="AJN94" s="201"/>
      <c r="AJO94" s="201"/>
      <c r="AJP94" s="201"/>
      <c r="AJQ94" s="201"/>
      <c r="AJR94" s="201"/>
      <c r="AJS94" s="201"/>
      <c r="AJT94" s="201"/>
      <c r="AJU94" s="201"/>
      <c r="AJV94" s="201"/>
      <c r="AJW94" s="201"/>
      <c r="AJX94" s="201"/>
      <c r="AJY94" s="201"/>
      <c r="AJZ94" s="201"/>
      <c r="AKA94" s="201"/>
      <c r="AKB94" s="201"/>
      <c r="AKC94" s="201"/>
      <c r="AKD94" s="201"/>
      <c r="AKE94" s="201"/>
      <c r="AKF94" s="201"/>
      <c r="AKG94" s="201"/>
      <c r="AKH94" s="201"/>
      <c r="AKI94" s="201"/>
      <c r="AKJ94" s="201"/>
      <c r="AKK94" s="201"/>
      <c r="AKL94" s="201"/>
      <c r="AKM94" s="201"/>
      <c r="AKN94" s="201"/>
      <c r="AKO94" s="201"/>
      <c r="AKP94" s="201"/>
      <c r="AKQ94" s="201"/>
      <c r="AKR94" s="201"/>
      <c r="AKS94" s="201"/>
      <c r="AKT94" s="201"/>
      <c r="AKU94" s="201"/>
      <c r="AKV94" s="201"/>
      <c r="AKW94" s="201"/>
      <c r="AKX94" s="201"/>
      <c r="AKY94" s="201"/>
      <c r="AKZ94" s="201"/>
      <c r="ALA94" s="201"/>
      <c r="ALB94" s="201"/>
      <c r="ALC94" s="201"/>
      <c r="ALD94" s="201"/>
      <c r="ALE94" s="201"/>
      <c r="ALF94" s="201"/>
      <c r="ALG94" s="201"/>
      <c r="ALH94" s="201"/>
      <c r="ALI94" s="201"/>
      <c r="ALJ94" s="201"/>
      <c r="ALK94" s="201"/>
      <c r="ALL94" s="201"/>
      <c r="ALM94" s="201"/>
      <c r="ALN94" s="201"/>
      <c r="ALO94" s="201"/>
      <c r="ALP94" s="201"/>
      <c r="ALQ94" s="201"/>
      <c r="ALR94" s="201"/>
      <c r="ALS94" s="201"/>
      <c r="ALT94" s="201"/>
      <c r="ALU94" s="201"/>
      <c r="ALV94" s="201"/>
      <c r="ALW94" s="201"/>
      <c r="ALX94" s="201"/>
      <c r="ALY94" s="201"/>
      <c r="ALZ94" s="201"/>
      <c r="AMA94" s="201"/>
      <c r="AMB94" s="201"/>
      <c r="AMC94" s="201"/>
      <c r="AMD94" s="201"/>
      <c r="AME94" s="201"/>
      <c r="AMF94" s="201"/>
      <c r="AMG94" s="201"/>
      <c r="AMH94" s="201"/>
      <c r="AMI94" s="201"/>
      <c r="AMJ94" s="201"/>
      <c r="AMK94" s="201"/>
      <c r="AML94" s="201"/>
      <c r="AMM94" s="201"/>
      <c r="AMN94" s="201"/>
      <c r="AMO94" s="201"/>
      <c r="AMP94" s="201"/>
      <c r="AMQ94" s="201"/>
      <c r="AMR94" s="201"/>
      <c r="AMS94" s="201"/>
      <c r="AMT94" s="201"/>
      <c r="AMU94" s="201"/>
      <c r="AMV94" s="201"/>
      <c r="AMW94" s="201"/>
      <c r="AMX94" s="201"/>
      <c r="AMY94" s="201"/>
      <c r="AMZ94" s="201"/>
      <c r="ANA94" s="201"/>
      <c r="ANB94" s="201"/>
      <c r="ANC94" s="201"/>
      <c r="AND94" s="201"/>
      <c r="ANE94" s="201"/>
      <c r="ANF94" s="201"/>
      <c r="ANG94" s="201"/>
      <c r="ANH94" s="201"/>
      <c r="ANI94" s="201"/>
      <c r="ANJ94" s="201"/>
      <c r="ANK94" s="201"/>
      <c r="ANL94" s="201"/>
      <c r="ANM94" s="201"/>
      <c r="ANN94" s="201"/>
      <c r="ANO94" s="201"/>
      <c r="ANP94" s="201"/>
      <c r="ANQ94" s="201"/>
      <c r="ANR94" s="201"/>
      <c r="ANS94" s="201"/>
      <c r="ANT94" s="201"/>
      <c r="ANU94" s="201"/>
      <c r="ANV94" s="201"/>
      <c r="ANW94" s="201"/>
      <c r="ANX94" s="201"/>
      <c r="ANY94" s="201"/>
      <c r="ANZ94" s="201"/>
      <c r="AOA94" s="201"/>
      <c r="AOB94" s="201"/>
      <c r="AOC94" s="201"/>
      <c r="AOD94" s="201"/>
      <c r="AOE94" s="201"/>
      <c r="AOF94" s="201"/>
      <c r="AOG94" s="201"/>
      <c r="AOH94" s="201"/>
      <c r="AOI94" s="201"/>
      <c r="AOJ94" s="201"/>
      <c r="AOK94" s="201"/>
      <c r="AOL94" s="201"/>
      <c r="AOM94" s="201"/>
      <c r="AON94" s="201"/>
      <c r="AOO94" s="201"/>
      <c r="AOP94" s="201"/>
      <c r="AOQ94" s="201"/>
      <c r="AOR94" s="201"/>
      <c r="AOS94" s="201"/>
      <c r="AOT94" s="201"/>
      <c r="AOU94" s="201"/>
      <c r="AOV94" s="201"/>
      <c r="AOW94" s="201"/>
      <c r="AOX94" s="201"/>
      <c r="AOY94" s="201"/>
      <c r="AOZ94" s="201"/>
      <c r="APA94" s="201"/>
      <c r="APB94" s="201"/>
      <c r="APC94" s="201"/>
      <c r="APD94" s="201"/>
      <c r="APE94" s="201"/>
      <c r="APF94" s="201"/>
      <c r="APG94" s="201"/>
      <c r="APH94" s="201"/>
      <c r="API94" s="201"/>
      <c r="APJ94" s="201"/>
      <c r="APK94" s="201"/>
      <c r="APL94" s="201"/>
      <c r="APM94" s="201"/>
      <c r="APN94" s="201"/>
      <c r="APO94" s="201"/>
      <c r="APP94" s="201"/>
      <c r="APQ94" s="201"/>
      <c r="APR94" s="201"/>
      <c r="APS94" s="201"/>
      <c r="APT94" s="201"/>
      <c r="APU94" s="201"/>
      <c r="APV94" s="201"/>
      <c r="APW94" s="201"/>
      <c r="APX94" s="201"/>
      <c r="APY94" s="201"/>
      <c r="APZ94" s="201"/>
      <c r="AQA94" s="201"/>
      <c r="AQB94" s="201"/>
      <c r="AQC94" s="201"/>
      <c r="AQD94" s="201"/>
      <c r="AQE94" s="201"/>
      <c r="AQF94" s="201"/>
      <c r="AQG94" s="201"/>
      <c r="AQH94" s="201"/>
      <c r="AQI94" s="201"/>
      <c r="AQJ94" s="201"/>
      <c r="AQK94" s="201"/>
      <c r="AQL94" s="201"/>
      <c r="AQM94" s="201"/>
      <c r="AQN94" s="201"/>
      <c r="AQO94" s="201"/>
      <c r="AQP94" s="201"/>
      <c r="AQQ94" s="201"/>
      <c r="AQR94" s="201"/>
      <c r="AQS94" s="201"/>
      <c r="AQT94" s="201"/>
      <c r="AQU94" s="201"/>
      <c r="AQV94" s="201"/>
      <c r="AQW94" s="201"/>
      <c r="AQX94" s="201"/>
      <c r="AQY94" s="201"/>
      <c r="AQZ94" s="201"/>
      <c r="ARA94" s="201"/>
      <c r="ARB94" s="201"/>
      <c r="ARC94" s="201"/>
      <c r="ARD94" s="201"/>
      <c r="ARE94" s="201"/>
      <c r="ARF94" s="201"/>
      <c r="ARG94" s="201"/>
      <c r="ARH94" s="201"/>
      <c r="ARI94" s="201"/>
      <c r="ARJ94" s="201"/>
      <c r="ARK94" s="201"/>
      <c r="ARL94" s="201"/>
      <c r="ARM94" s="201"/>
      <c r="ARN94" s="201"/>
      <c r="ARO94" s="201"/>
      <c r="ARP94" s="201"/>
      <c r="ARQ94" s="201"/>
      <c r="ARR94" s="201"/>
      <c r="ARS94" s="201"/>
      <c r="ART94" s="201"/>
      <c r="ARU94" s="201"/>
      <c r="ARV94" s="201"/>
      <c r="ARW94" s="201"/>
      <c r="ARX94" s="201"/>
      <c r="ARY94" s="201"/>
      <c r="ARZ94" s="201"/>
      <c r="ASA94" s="201"/>
      <c r="ASB94" s="201"/>
      <c r="ASC94" s="201"/>
      <c r="ASD94" s="201"/>
      <c r="ASE94" s="201"/>
      <c r="ASF94" s="201"/>
      <c r="ASG94" s="201"/>
      <c r="ASH94" s="201"/>
      <c r="ASI94" s="201"/>
      <c r="ASJ94" s="201"/>
      <c r="ASK94" s="201"/>
      <c r="ASL94" s="201"/>
      <c r="ASM94" s="201"/>
      <c r="ASN94" s="201"/>
      <c r="ASO94" s="201"/>
      <c r="ASP94" s="201"/>
      <c r="ASQ94" s="201"/>
      <c r="ASR94" s="201"/>
      <c r="ASS94" s="201"/>
      <c r="AST94" s="201"/>
      <c r="ASU94" s="201"/>
      <c r="ASV94" s="201"/>
      <c r="ASW94" s="201"/>
      <c r="ASX94" s="201"/>
      <c r="ASY94" s="201"/>
      <c r="ASZ94" s="201"/>
      <c r="ATA94" s="201"/>
      <c r="ATB94" s="201"/>
      <c r="ATC94" s="201"/>
      <c r="ATD94" s="201"/>
      <c r="ATE94" s="201"/>
      <c r="ATF94" s="201"/>
      <c r="ATG94" s="201"/>
      <c r="ATH94" s="201"/>
      <c r="ATI94" s="201"/>
      <c r="ATJ94" s="201"/>
      <c r="ATK94" s="201"/>
      <c r="ATL94" s="201"/>
      <c r="ATM94" s="201"/>
      <c r="ATN94" s="201"/>
      <c r="ATO94" s="201"/>
      <c r="ATP94" s="201"/>
      <c r="ATQ94" s="201"/>
      <c r="ATR94" s="201"/>
      <c r="ATS94" s="201"/>
      <c r="ATT94" s="201"/>
      <c r="ATU94" s="201"/>
      <c r="ATV94" s="201"/>
      <c r="ATW94" s="201"/>
      <c r="ATX94" s="201"/>
      <c r="ATY94" s="201"/>
      <c r="ATZ94" s="201"/>
      <c r="AUA94" s="201"/>
      <c r="AUB94" s="201"/>
      <c r="AUC94" s="201"/>
      <c r="AUD94" s="201"/>
      <c r="AUE94" s="201"/>
      <c r="AUF94" s="201"/>
      <c r="AUG94" s="201"/>
      <c r="AUH94" s="201"/>
      <c r="AUI94" s="201"/>
      <c r="AUJ94" s="201"/>
      <c r="AUK94" s="201"/>
      <c r="AUL94" s="201"/>
      <c r="AUM94" s="201"/>
      <c r="AUN94" s="201"/>
      <c r="AUO94" s="201"/>
      <c r="AUP94" s="201"/>
      <c r="AUQ94" s="201"/>
      <c r="AUR94" s="201"/>
      <c r="AUS94" s="201"/>
      <c r="AUT94" s="201"/>
      <c r="AUU94" s="201"/>
      <c r="AUV94" s="201"/>
      <c r="AUW94" s="201"/>
      <c r="AUX94" s="201"/>
      <c r="AUY94" s="201"/>
      <c r="AUZ94" s="201"/>
      <c r="AVA94" s="201"/>
      <c r="AVB94" s="201"/>
      <c r="AVC94" s="201"/>
      <c r="AVD94" s="201"/>
      <c r="AVE94" s="201"/>
      <c r="AVF94" s="201"/>
      <c r="AVG94" s="201"/>
      <c r="AVH94" s="201"/>
      <c r="AVI94" s="201"/>
      <c r="AVJ94" s="201"/>
      <c r="AVK94" s="201"/>
      <c r="AVL94" s="201"/>
      <c r="AVM94" s="201"/>
      <c r="AVN94" s="201"/>
      <c r="AVO94" s="201"/>
      <c r="AVP94" s="201"/>
      <c r="AVQ94" s="201"/>
      <c r="AVR94" s="201"/>
      <c r="AVS94" s="201"/>
      <c r="AVT94" s="201"/>
      <c r="AVU94" s="201"/>
      <c r="AVV94" s="201"/>
      <c r="AVW94" s="201"/>
      <c r="AVX94" s="201"/>
      <c r="AVY94" s="201"/>
      <c r="AVZ94" s="201"/>
      <c r="AWA94" s="201"/>
      <c r="AWB94" s="201"/>
      <c r="AWC94" s="201"/>
      <c r="AWD94" s="201"/>
      <c r="AWE94" s="201"/>
      <c r="AWF94" s="201"/>
      <c r="AWG94" s="201"/>
      <c r="AWH94" s="201"/>
      <c r="AWI94" s="201"/>
      <c r="AWJ94" s="201"/>
      <c r="AWK94" s="201"/>
      <c r="AWL94" s="201"/>
      <c r="AWM94" s="201"/>
      <c r="AWN94" s="201"/>
      <c r="AWO94" s="201"/>
      <c r="AWP94" s="201"/>
      <c r="AWQ94" s="201"/>
      <c r="AWR94" s="201"/>
      <c r="AWS94" s="201"/>
      <c r="AWT94" s="201"/>
      <c r="AWU94" s="201"/>
      <c r="AWV94" s="201"/>
      <c r="AWW94" s="201"/>
      <c r="AWX94" s="201"/>
      <c r="AWY94" s="201"/>
      <c r="AWZ94" s="201"/>
      <c r="AXA94" s="201"/>
      <c r="AXB94" s="201"/>
      <c r="AXC94" s="201"/>
      <c r="AXD94" s="201"/>
      <c r="AXE94" s="201"/>
      <c r="AXF94" s="201"/>
      <c r="AXG94" s="201"/>
      <c r="AXH94" s="201"/>
      <c r="AXI94" s="201"/>
      <c r="AXJ94" s="201"/>
      <c r="AXK94" s="201"/>
      <c r="AXL94" s="201"/>
      <c r="AXM94" s="201"/>
      <c r="AXN94" s="201"/>
      <c r="AXO94" s="201"/>
      <c r="AXP94" s="201"/>
      <c r="AXQ94" s="201"/>
      <c r="AXR94" s="201"/>
      <c r="AXS94" s="201"/>
      <c r="AXT94" s="201"/>
      <c r="AXU94" s="201"/>
      <c r="AXV94" s="201"/>
      <c r="AXW94" s="201"/>
      <c r="AXX94" s="201"/>
      <c r="AXY94" s="201"/>
      <c r="AXZ94" s="201"/>
      <c r="AYA94" s="201"/>
      <c r="AYB94" s="201"/>
      <c r="AYC94" s="201"/>
      <c r="AYD94" s="201"/>
      <c r="AYE94" s="201"/>
      <c r="AYF94" s="201"/>
      <c r="AYG94" s="201"/>
      <c r="AYH94" s="201"/>
      <c r="AYI94" s="201"/>
      <c r="AYJ94" s="201"/>
      <c r="AYK94" s="201"/>
      <c r="AYL94" s="201"/>
      <c r="AYM94" s="201"/>
      <c r="AYN94" s="201"/>
      <c r="AYO94" s="201"/>
      <c r="AYP94" s="201"/>
      <c r="AYQ94" s="201"/>
      <c r="AYR94" s="201"/>
      <c r="AYS94" s="201"/>
      <c r="AYT94" s="201"/>
      <c r="AYU94" s="201"/>
      <c r="AYV94" s="201"/>
      <c r="AYW94" s="201"/>
      <c r="AYX94" s="201"/>
      <c r="AYY94" s="201"/>
      <c r="AYZ94" s="201"/>
      <c r="AZA94" s="201"/>
      <c r="AZB94" s="201"/>
      <c r="AZC94" s="201"/>
      <c r="AZD94" s="201"/>
      <c r="AZE94" s="201"/>
      <c r="AZF94" s="201"/>
      <c r="AZG94" s="201"/>
      <c r="AZH94" s="201"/>
      <c r="AZI94" s="201"/>
      <c r="AZJ94" s="201"/>
      <c r="AZK94" s="201"/>
      <c r="AZL94" s="201"/>
      <c r="AZM94" s="201"/>
      <c r="AZN94" s="201"/>
      <c r="AZO94" s="201"/>
      <c r="AZP94" s="201"/>
      <c r="AZQ94" s="201"/>
      <c r="AZR94" s="201"/>
      <c r="AZS94" s="201"/>
      <c r="AZT94" s="201"/>
      <c r="AZU94" s="201"/>
      <c r="AZV94" s="201"/>
      <c r="AZW94" s="201"/>
      <c r="AZX94" s="201"/>
      <c r="AZY94" s="201"/>
      <c r="AZZ94" s="201"/>
      <c r="BAA94" s="201"/>
      <c r="BAB94" s="201"/>
      <c r="BAC94" s="201"/>
      <c r="BAD94" s="201"/>
      <c r="BAE94" s="201"/>
      <c r="BAF94" s="201"/>
      <c r="BAG94" s="201"/>
      <c r="BAH94" s="201"/>
      <c r="BAI94" s="201"/>
      <c r="BAJ94" s="201"/>
      <c r="BAK94" s="201"/>
      <c r="BAL94" s="201"/>
      <c r="BAM94" s="201"/>
      <c r="BAN94" s="201"/>
      <c r="BAO94" s="201"/>
      <c r="BAP94" s="201"/>
      <c r="BAQ94" s="201"/>
      <c r="BAR94" s="201"/>
      <c r="BAS94" s="201"/>
      <c r="BAT94" s="201"/>
      <c r="BAU94" s="201"/>
      <c r="BAV94" s="201"/>
      <c r="BAW94" s="201"/>
      <c r="BAX94" s="201"/>
      <c r="BAY94" s="201"/>
      <c r="BAZ94" s="201"/>
      <c r="BBA94" s="201"/>
      <c r="BBB94" s="201"/>
      <c r="BBC94" s="201"/>
      <c r="BBD94" s="201"/>
      <c r="BBE94" s="201"/>
      <c r="BBF94" s="201"/>
      <c r="BBG94" s="201"/>
      <c r="BBH94" s="201"/>
      <c r="BBI94" s="201"/>
      <c r="BBJ94" s="201"/>
      <c r="BBK94" s="201"/>
      <c r="BBL94" s="201"/>
      <c r="BBM94" s="201"/>
      <c r="BBN94" s="201"/>
      <c r="BBO94" s="201"/>
      <c r="BBP94" s="201"/>
      <c r="BBQ94" s="201"/>
      <c r="BBR94" s="201"/>
      <c r="BBS94" s="201"/>
      <c r="BBT94" s="201"/>
      <c r="BBU94" s="201"/>
      <c r="BBV94" s="201"/>
      <c r="BBW94" s="201"/>
      <c r="BBX94" s="201"/>
      <c r="BBY94" s="201"/>
      <c r="BBZ94" s="201"/>
      <c r="BCA94" s="201"/>
      <c r="BCB94" s="201"/>
      <c r="BCC94" s="201"/>
      <c r="BCD94" s="201"/>
      <c r="BCE94" s="201"/>
      <c r="BCF94" s="201"/>
      <c r="BCG94" s="201"/>
      <c r="BCH94" s="201"/>
      <c r="BCI94" s="201"/>
      <c r="BCJ94" s="201"/>
      <c r="BCK94" s="201"/>
      <c r="BCL94" s="201"/>
      <c r="BCM94" s="201"/>
      <c r="BCN94" s="201"/>
      <c r="BCO94" s="201"/>
      <c r="BCP94" s="201"/>
      <c r="BCQ94" s="201"/>
      <c r="BCR94" s="201"/>
      <c r="BCS94" s="201"/>
      <c r="BCT94" s="201"/>
      <c r="BCU94" s="201"/>
      <c r="BCV94" s="201"/>
      <c r="BCW94" s="201"/>
      <c r="BCX94" s="201"/>
      <c r="BCY94" s="201"/>
      <c r="BCZ94" s="201"/>
      <c r="BDA94" s="201"/>
      <c r="BDB94" s="201"/>
      <c r="BDC94" s="201"/>
      <c r="BDD94" s="201"/>
      <c r="BDE94" s="201"/>
      <c r="BDF94" s="201"/>
      <c r="BDG94" s="201"/>
      <c r="BDH94" s="201"/>
      <c r="BDI94" s="201"/>
      <c r="BDJ94" s="201"/>
      <c r="BDK94" s="201"/>
      <c r="BDL94" s="201"/>
      <c r="BDM94" s="201"/>
      <c r="BDN94" s="201"/>
      <c r="BDO94" s="201"/>
      <c r="BDP94" s="201"/>
      <c r="BDQ94" s="201"/>
      <c r="BDR94" s="201"/>
      <c r="BDS94" s="201"/>
      <c r="BDT94" s="201"/>
      <c r="BDU94" s="201"/>
      <c r="BDV94" s="201"/>
      <c r="BDW94" s="201"/>
      <c r="BDX94" s="201"/>
      <c r="BDY94" s="201"/>
      <c r="BDZ94" s="201"/>
      <c r="BEA94" s="201"/>
      <c r="BEB94" s="201"/>
      <c r="BEC94" s="201"/>
      <c r="BED94" s="201"/>
      <c r="BEE94" s="201"/>
      <c r="BEF94" s="201"/>
      <c r="BEG94" s="201"/>
      <c r="BEH94" s="201"/>
      <c r="BEI94" s="201"/>
      <c r="BEJ94" s="201"/>
      <c r="BEK94" s="201"/>
      <c r="BEL94" s="201"/>
      <c r="BEM94" s="201"/>
      <c r="BEN94" s="201"/>
      <c r="BEO94" s="201"/>
      <c r="BEP94" s="201"/>
      <c r="BEQ94" s="201"/>
      <c r="BER94" s="201"/>
      <c r="BES94" s="201"/>
      <c r="BET94" s="201"/>
      <c r="BEU94" s="201"/>
      <c r="BEV94" s="201"/>
      <c r="BEW94" s="201"/>
      <c r="BEX94" s="201"/>
      <c r="BEY94" s="201"/>
      <c r="BEZ94" s="201"/>
      <c r="BFA94" s="201"/>
      <c r="BFB94" s="201"/>
      <c r="BFC94" s="201"/>
      <c r="BFD94" s="201"/>
      <c r="BFE94" s="201"/>
      <c r="BFF94" s="201"/>
      <c r="BFG94" s="201"/>
      <c r="BFH94" s="201"/>
      <c r="BFI94" s="201"/>
      <c r="BFJ94" s="201"/>
      <c r="BFK94" s="201"/>
      <c r="BFL94" s="201"/>
      <c r="BFM94" s="201"/>
      <c r="BFN94" s="201"/>
      <c r="BFO94" s="201"/>
      <c r="BFP94" s="201"/>
      <c r="BFQ94" s="201"/>
      <c r="BFR94" s="201"/>
      <c r="BFS94" s="201"/>
      <c r="BFT94" s="201"/>
      <c r="BFU94" s="201"/>
      <c r="BFV94" s="201"/>
      <c r="BFW94" s="201"/>
      <c r="BFX94" s="201"/>
      <c r="BFY94" s="201"/>
      <c r="BFZ94" s="201"/>
      <c r="BGA94" s="201"/>
      <c r="BGB94" s="201"/>
      <c r="BGC94" s="201"/>
      <c r="BGD94" s="201"/>
      <c r="BGE94" s="201"/>
      <c r="BGF94" s="201"/>
      <c r="BGG94" s="201"/>
      <c r="BGH94" s="201"/>
      <c r="BGI94" s="201"/>
      <c r="BGJ94" s="201"/>
      <c r="BGK94" s="201"/>
      <c r="BGL94" s="201"/>
      <c r="BGM94" s="201"/>
      <c r="BGN94" s="201"/>
      <c r="BGO94" s="201"/>
      <c r="BGP94" s="201"/>
      <c r="BGQ94" s="201"/>
      <c r="BGR94" s="201"/>
      <c r="BGS94" s="201"/>
      <c r="BGT94" s="201"/>
      <c r="BGU94" s="201"/>
      <c r="BGV94" s="201"/>
      <c r="BGW94" s="201"/>
      <c r="BGX94" s="201"/>
      <c r="BGY94" s="201"/>
      <c r="BGZ94" s="201"/>
      <c r="BHA94" s="201"/>
      <c r="BHB94" s="201"/>
      <c r="BHC94" s="201"/>
      <c r="BHD94" s="201"/>
      <c r="BHE94" s="201"/>
      <c r="BHF94" s="201"/>
      <c r="BHG94" s="201"/>
      <c r="BHH94" s="201"/>
      <c r="BHI94" s="201"/>
      <c r="BHJ94" s="201"/>
      <c r="BHK94" s="201"/>
      <c r="BHL94" s="201"/>
      <c r="BHM94" s="201"/>
      <c r="BHN94" s="201"/>
      <c r="BHO94" s="201"/>
      <c r="BHP94" s="201"/>
      <c r="BHQ94" s="201"/>
      <c r="BHR94" s="201"/>
      <c r="BHS94" s="201"/>
      <c r="BHT94" s="201"/>
      <c r="BHU94" s="201"/>
      <c r="BHV94" s="201"/>
      <c r="BHW94" s="201"/>
      <c r="BHX94" s="201"/>
      <c r="BHY94" s="201"/>
      <c r="BHZ94" s="201"/>
      <c r="BIA94" s="201"/>
      <c r="BIB94" s="201"/>
      <c r="BIC94" s="201"/>
      <c r="BID94" s="201"/>
      <c r="BIE94" s="201"/>
      <c r="BIF94" s="201"/>
      <c r="BIG94" s="201"/>
      <c r="BIH94" s="201"/>
      <c r="BII94" s="201"/>
      <c r="BIJ94" s="201"/>
      <c r="BIK94" s="201"/>
      <c r="BIL94" s="201"/>
      <c r="BIM94" s="201"/>
      <c r="BIN94" s="201"/>
      <c r="BIO94" s="201"/>
      <c r="BIP94" s="201"/>
      <c r="BIQ94" s="201"/>
      <c r="BIR94" s="201"/>
      <c r="BIS94" s="201"/>
      <c r="BIT94" s="201"/>
      <c r="BIU94" s="201"/>
      <c r="BIV94" s="201"/>
      <c r="BIW94" s="201"/>
      <c r="BIX94" s="201"/>
      <c r="BIY94" s="201"/>
      <c r="BIZ94" s="201"/>
      <c r="BJA94" s="201"/>
      <c r="BJB94" s="201"/>
      <c r="BJC94" s="201"/>
      <c r="BJD94" s="201"/>
      <c r="BJE94" s="201"/>
      <c r="BJF94" s="201"/>
      <c r="BJG94" s="201"/>
      <c r="BJH94" s="201"/>
      <c r="BJI94" s="201"/>
      <c r="BJJ94" s="201"/>
      <c r="BJK94" s="201"/>
      <c r="BJL94" s="201"/>
      <c r="BJM94" s="201"/>
      <c r="BJN94" s="201"/>
      <c r="BJO94" s="201"/>
      <c r="BJP94" s="201"/>
      <c r="BJQ94" s="201"/>
      <c r="BJR94" s="201"/>
      <c r="BJS94" s="201"/>
      <c r="BJT94" s="201"/>
      <c r="BJU94" s="201"/>
      <c r="BJV94" s="201"/>
      <c r="BJW94" s="201"/>
      <c r="BJX94" s="201"/>
      <c r="BJY94" s="201"/>
      <c r="BJZ94" s="201"/>
      <c r="BKA94" s="201"/>
      <c r="BKB94" s="201"/>
      <c r="BKC94" s="201"/>
      <c r="BKD94" s="201"/>
      <c r="BKE94" s="201"/>
      <c r="BKF94" s="201"/>
      <c r="BKG94" s="201"/>
      <c r="BKH94" s="201"/>
      <c r="BKI94" s="201"/>
      <c r="BKJ94" s="201"/>
      <c r="BKK94" s="201"/>
      <c r="BKL94" s="201"/>
      <c r="BKM94" s="201"/>
      <c r="BKN94" s="201"/>
      <c r="BKO94" s="201"/>
      <c r="BKP94" s="201"/>
      <c r="BKQ94" s="201"/>
      <c r="BKR94" s="201"/>
      <c r="BKS94" s="201"/>
      <c r="BKT94" s="201"/>
      <c r="BKU94" s="201"/>
      <c r="BKV94" s="201"/>
      <c r="BKW94" s="201"/>
      <c r="BKX94" s="201"/>
      <c r="BKY94" s="201"/>
      <c r="BKZ94" s="201"/>
      <c r="BLA94" s="201"/>
      <c r="BLB94" s="201"/>
      <c r="BLC94" s="201"/>
      <c r="BLD94" s="201"/>
      <c r="BLE94" s="201"/>
      <c r="BLF94" s="201"/>
      <c r="BLG94" s="201"/>
      <c r="BLH94" s="201"/>
      <c r="BLI94" s="201"/>
      <c r="BLJ94" s="201"/>
      <c r="BLK94" s="201"/>
      <c r="BLL94" s="201"/>
      <c r="BLM94" s="201"/>
      <c r="BLN94" s="201"/>
      <c r="BLO94" s="201"/>
      <c r="BLP94" s="201"/>
      <c r="BLQ94" s="201"/>
      <c r="BLR94" s="201"/>
      <c r="BLS94" s="201"/>
      <c r="BLT94" s="201"/>
      <c r="BLU94" s="201"/>
      <c r="BLV94" s="201"/>
      <c r="BLW94" s="201"/>
      <c r="BLX94" s="201"/>
      <c r="BLY94" s="201"/>
      <c r="BLZ94" s="201"/>
      <c r="BMA94" s="201"/>
      <c r="BMB94" s="201"/>
      <c r="BMC94" s="201"/>
      <c r="BMD94" s="201"/>
      <c r="BME94" s="201"/>
      <c r="BMF94" s="201"/>
      <c r="BMG94" s="201"/>
      <c r="BMH94" s="201"/>
      <c r="BMI94" s="201"/>
      <c r="BMJ94" s="201"/>
      <c r="BMK94" s="201"/>
      <c r="BML94" s="201"/>
      <c r="BMM94" s="201"/>
      <c r="BMN94" s="201"/>
      <c r="BMO94" s="201"/>
      <c r="BMP94" s="201"/>
      <c r="BMQ94" s="201"/>
      <c r="BMR94" s="201"/>
      <c r="BMS94" s="201"/>
      <c r="BMT94" s="201"/>
      <c r="BMU94" s="201"/>
      <c r="BMV94" s="201"/>
      <c r="BMW94" s="201"/>
      <c r="BMX94" s="201"/>
      <c r="BMY94" s="201"/>
      <c r="BMZ94" s="201"/>
      <c r="BNA94" s="201"/>
      <c r="BNB94" s="201"/>
      <c r="BNC94" s="201"/>
      <c r="BND94" s="201"/>
      <c r="BNE94" s="201"/>
      <c r="BNF94" s="201"/>
      <c r="BNG94" s="201"/>
      <c r="BNH94" s="201"/>
      <c r="BNI94" s="201"/>
      <c r="BNJ94" s="201"/>
      <c r="BNK94" s="201"/>
      <c r="BNL94" s="201"/>
      <c r="BNM94" s="201"/>
      <c r="BNN94" s="201"/>
      <c r="BNO94" s="201"/>
      <c r="BNP94" s="201"/>
      <c r="BNQ94" s="201"/>
      <c r="BNR94" s="201"/>
      <c r="BNS94" s="201"/>
      <c r="BNT94" s="201"/>
      <c r="BNU94" s="201"/>
      <c r="BNV94" s="201"/>
      <c r="BNW94" s="201"/>
      <c r="BNX94" s="201"/>
      <c r="BNY94" s="201"/>
      <c r="BNZ94" s="201"/>
      <c r="BOA94" s="201"/>
      <c r="BOB94" s="201"/>
      <c r="BOC94" s="201"/>
      <c r="BOD94" s="201"/>
      <c r="BOE94" s="201"/>
      <c r="BOF94" s="201"/>
      <c r="BOG94" s="201"/>
      <c r="BOH94" s="201"/>
      <c r="BOI94" s="201"/>
      <c r="BOJ94" s="201"/>
      <c r="BOK94" s="201"/>
      <c r="BOL94" s="201"/>
      <c r="BOM94" s="201"/>
      <c r="BON94" s="201"/>
      <c r="BOO94" s="201"/>
      <c r="BOP94" s="201"/>
      <c r="BOQ94" s="201"/>
      <c r="BOR94" s="201"/>
      <c r="BOS94" s="201"/>
      <c r="BOT94" s="201"/>
      <c r="BOU94" s="201"/>
      <c r="BOV94" s="201"/>
      <c r="BOW94" s="201"/>
      <c r="BOX94" s="201"/>
      <c r="BOY94" s="201"/>
      <c r="BOZ94" s="201"/>
      <c r="BPA94" s="201"/>
      <c r="BPB94" s="201"/>
      <c r="BPC94" s="201"/>
      <c r="BPD94" s="201"/>
      <c r="BPE94" s="201"/>
      <c r="BPF94" s="201"/>
      <c r="BPG94" s="201"/>
      <c r="BPH94" s="201"/>
      <c r="BPI94" s="201"/>
      <c r="BPJ94" s="201"/>
      <c r="BPK94" s="201"/>
      <c r="BPL94" s="201"/>
      <c r="BPM94" s="201"/>
      <c r="BPN94" s="201"/>
      <c r="BPO94" s="201"/>
      <c r="BPP94" s="201"/>
      <c r="BPQ94" s="201"/>
      <c r="BPR94" s="201"/>
      <c r="BPS94" s="201"/>
      <c r="BPT94" s="201"/>
      <c r="BPU94" s="201"/>
      <c r="BPV94" s="201"/>
      <c r="BPW94" s="201"/>
      <c r="BPX94" s="201"/>
      <c r="BPY94" s="201"/>
      <c r="BPZ94" s="201"/>
      <c r="BQA94" s="201"/>
      <c r="BQB94" s="201"/>
      <c r="BQC94" s="201"/>
      <c r="BQD94" s="201"/>
      <c r="BQE94" s="201"/>
      <c r="BQF94" s="201"/>
      <c r="BQG94" s="201"/>
      <c r="BQH94" s="201"/>
      <c r="BQI94" s="201"/>
      <c r="BQJ94" s="201"/>
      <c r="BQK94" s="201"/>
      <c r="BQL94" s="201"/>
      <c r="BQM94" s="201"/>
      <c r="BQN94" s="201"/>
      <c r="BQO94" s="201"/>
      <c r="BQP94" s="201"/>
      <c r="BQQ94" s="201"/>
      <c r="BQR94" s="201"/>
      <c r="BQS94" s="201"/>
      <c r="BQT94" s="201"/>
      <c r="BQU94" s="201"/>
      <c r="BQV94" s="201"/>
      <c r="BQW94" s="201"/>
      <c r="BQX94" s="201"/>
      <c r="BQY94" s="201"/>
      <c r="BQZ94" s="201"/>
      <c r="BRA94" s="201"/>
      <c r="BRB94" s="201"/>
      <c r="BRC94" s="201"/>
      <c r="BRD94" s="201"/>
      <c r="BRE94" s="201"/>
      <c r="BRF94" s="201"/>
      <c r="BRG94" s="201"/>
      <c r="BRH94" s="201"/>
      <c r="BRI94" s="201"/>
      <c r="BRJ94" s="201"/>
      <c r="BRK94" s="201"/>
      <c r="BRL94" s="201"/>
      <c r="BRM94" s="201"/>
      <c r="BRN94" s="201"/>
      <c r="BRO94" s="201"/>
      <c r="BRP94" s="201"/>
      <c r="BRQ94" s="201"/>
      <c r="BRR94" s="201"/>
      <c r="BRS94" s="201"/>
      <c r="BRT94" s="201"/>
      <c r="BRU94" s="201"/>
      <c r="BRV94" s="201"/>
      <c r="BRW94" s="201"/>
      <c r="BRX94" s="201"/>
      <c r="BRY94" s="201"/>
      <c r="BRZ94" s="201"/>
      <c r="BSA94" s="201"/>
      <c r="BSB94" s="201"/>
      <c r="BSC94" s="201"/>
      <c r="BSD94" s="201"/>
      <c r="BSE94" s="201"/>
      <c r="BSF94" s="201"/>
      <c r="BSG94" s="201"/>
      <c r="BSH94" s="201"/>
      <c r="BSI94" s="201"/>
      <c r="BSJ94" s="201"/>
      <c r="BSK94" s="201"/>
      <c r="BSL94" s="201"/>
      <c r="BSM94" s="201"/>
      <c r="BSN94" s="201"/>
      <c r="BSO94" s="201"/>
      <c r="BSP94" s="201"/>
      <c r="BSQ94" s="201"/>
      <c r="BSR94" s="201"/>
      <c r="BSS94" s="201"/>
      <c r="BST94" s="201"/>
      <c r="BSU94" s="201"/>
      <c r="BSV94" s="201"/>
      <c r="BSW94" s="201"/>
      <c r="BSX94" s="201"/>
      <c r="BSY94" s="201"/>
      <c r="BSZ94" s="201"/>
      <c r="BTA94" s="201"/>
      <c r="BTB94" s="201"/>
      <c r="BTC94" s="201"/>
      <c r="BTD94" s="201"/>
      <c r="BTE94" s="201"/>
      <c r="BTF94" s="201"/>
      <c r="BTG94" s="201"/>
      <c r="BTH94" s="201"/>
      <c r="BTI94" s="201"/>
      <c r="BTJ94" s="201"/>
      <c r="BTK94" s="201"/>
      <c r="BTL94" s="201"/>
      <c r="BTM94" s="201"/>
      <c r="BTN94" s="201"/>
      <c r="BTO94" s="201"/>
      <c r="BTP94" s="201"/>
      <c r="BTQ94" s="201"/>
      <c r="BTR94" s="201"/>
      <c r="BTS94" s="201"/>
      <c r="BTT94" s="201"/>
      <c r="BTU94" s="201"/>
      <c r="BTV94" s="201"/>
      <c r="BTW94" s="201"/>
      <c r="BTX94" s="201"/>
      <c r="BTY94" s="201"/>
      <c r="BTZ94" s="201"/>
      <c r="BUA94" s="201"/>
      <c r="BUB94" s="201"/>
      <c r="BUC94" s="201"/>
      <c r="BUD94" s="201"/>
      <c r="BUE94" s="201"/>
      <c r="BUF94" s="201"/>
      <c r="BUG94" s="201"/>
      <c r="BUH94" s="201"/>
      <c r="BUI94" s="201"/>
      <c r="BUJ94" s="201"/>
      <c r="BUK94" s="201"/>
      <c r="BUL94" s="201"/>
      <c r="BUM94" s="201"/>
      <c r="BUN94" s="201"/>
      <c r="BUO94" s="201"/>
      <c r="BUP94" s="201"/>
      <c r="BUQ94" s="201"/>
      <c r="BUR94" s="201"/>
      <c r="BUS94" s="201"/>
      <c r="BUT94" s="201"/>
      <c r="BUU94" s="201"/>
      <c r="BUV94" s="201"/>
      <c r="BUW94" s="201"/>
      <c r="BUX94" s="201"/>
      <c r="BUY94" s="201"/>
      <c r="BUZ94" s="201"/>
      <c r="BVA94" s="201"/>
      <c r="BVB94" s="201"/>
      <c r="BVC94" s="201"/>
      <c r="BVD94" s="201"/>
      <c r="BVE94" s="201"/>
      <c r="BVF94" s="201"/>
      <c r="BVG94" s="201"/>
      <c r="BVH94" s="201"/>
      <c r="BVI94" s="201"/>
      <c r="BVJ94" s="201"/>
      <c r="BVK94" s="201"/>
      <c r="BVL94" s="201"/>
      <c r="BVM94" s="201"/>
      <c r="BVN94" s="201"/>
      <c r="BVO94" s="201"/>
      <c r="BVP94" s="201"/>
      <c r="BVQ94" s="201"/>
      <c r="BVR94" s="201"/>
      <c r="BVS94" s="201"/>
      <c r="BVT94" s="201"/>
      <c r="BVU94" s="201"/>
      <c r="BVV94" s="201"/>
      <c r="BVW94" s="201"/>
      <c r="BVX94" s="201"/>
      <c r="BVY94" s="201"/>
      <c r="BVZ94" s="201"/>
      <c r="BWA94" s="201"/>
      <c r="BWB94" s="201"/>
      <c r="BWC94" s="201"/>
      <c r="BWD94" s="201"/>
      <c r="BWE94" s="201"/>
      <c r="BWF94" s="201"/>
      <c r="BWG94" s="201"/>
      <c r="BWH94" s="201"/>
      <c r="BWI94" s="201"/>
      <c r="BWJ94" s="201"/>
      <c r="BWK94" s="201"/>
      <c r="BWL94" s="201"/>
      <c r="BWM94" s="201"/>
      <c r="BWN94" s="201"/>
      <c r="BWO94" s="201"/>
      <c r="BWP94" s="201"/>
      <c r="BWQ94" s="201"/>
      <c r="BWR94" s="201"/>
      <c r="BWS94" s="201"/>
      <c r="BWT94" s="201"/>
      <c r="BWU94" s="201"/>
      <c r="BWV94" s="201"/>
      <c r="BWW94" s="201"/>
      <c r="BWX94" s="201"/>
      <c r="BWY94" s="201"/>
      <c r="BWZ94" s="201"/>
      <c r="BXA94" s="201"/>
      <c r="BXB94" s="201"/>
      <c r="BXC94" s="201"/>
      <c r="BXD94" s="201"/>
      <c r="BXE94" s="201"/>
      <c r="BXF94" s="201"/>
      <c r="BXG94" s="201"/>
      <c r="BXH94" s="201"/>
      <c r="BXI94" s="201"/>
      <c r="BXJ94" s="201"/>
      <c r="BXK94" s="201"/>
      <c r="BXL94" s="201"/>
      <c r="BXM94" s="201"/>
      <c r="BXN94" s="201"/>
      <c r="BXO94" s="201"/>
      <c r="BXP94" s="201"/>
      <c r="BXQ94" s="201"/>
      <c r="BXR94" s="201"/>
      <c r="BXS94" s="201"/>
      <c r="BXT94" s="201"/>
      <c r="BXU94" s="201"/>
      <c r="BXV94" s="201"/>
      <c r="BXW94" s="201"/>
      <c r="BXX94" s="201"/>
      <c r="BXY94" s="201"/>
      <c r="BXZ94" s="201"/>
      <c r="BYA94" s="201"/>
      <c r="BYB94" s="201"/>
      <c r="BYC94" s="201"/>
      <c r="BYD94" s="201"/>
      <c r="BYE94" s="201"/>
      <c r="BYF94" s="201"/>
      <c r="BYG94" s="201"/>
      <c r="BYH94" s="201"/>
      <c r="BYI94" s="201"/>
      <c r="BYJ94" s="201"/>
      <c r="BYK94" s="201"/>
      <c r="BYL94" s="201"/>
      <c r="BYM94" s="201"/>
      <c r="BYN94" s="201"/>
      <c r="BYO94" s="201"/>
      <c r="BYP94" s="201"/>
      <c r="BYQ94" s="201"/>
      <c r="BYR94" s="201"/>
      <c r="BYS94" s="201"/>
      <c r="BYT94" s="201"/>
      <c r="BYU94" s="201"/>
      <c r="BYV94" s="201"/>
      <c r="BYW94" s="201"/>
      <c r="BYX94" s="201"/>
      <c r="BYY94" s="201"/>
      <c r="BYZ94" s="201"/>
      <c r="BZA94" s="201"/>
      <c r="BZB94" s="201"/>
      <c r="BZC94" s="201"/>
      <c r="BZD94" s="201"/>
      <c r="BZE94" s="201"/>
      <c r="BZF94" s="201"/>
      <c r="BZG94" s="201"/>
      <c r="BZH94" s="201"/>
      <c r="BZI94" s="201"/>
      <c r="BZJ94" s="201"/>
      <c r="BZK94" s="201"/>
      <c r="BZL94" s="201"/>
      <c r="BZM94" s="201"/>
      <c r="BZN94" s="201"/>
      <c r="BZO94" s="201"/>
      <c r="BZP94" s="201"/>
      <c r="BZQ94" s="201"/>
      <c r="BZR94" s="201"/>
      <c r="BZS94" s="201"/>
      <c r="BZT94" s="201"/>
      <c r="BZU94" s="201"/>
      <c r="BZV94" s="201"/>
      <c r="BZW94" s="201"/>
      <c r="BZX94" s="201"/>
      <c r="BZY94" s="201"/>
      <c r="BZZ94" s="201"/>
      <c r="CAA94" s="201"/>
      <c r="CAB94" s="201"/>
      <c r="CAC94" s="201"/>
      <c r="CAD94" s="201"/>
      <c r="CAE94" s="201"/>
      <c r="CAF94" s="201"/>
      <c r="CAG94" s="201"/>
      <c r="CAH94" s="201"/>
      <c r="CAI94" s="201"/>
      <c r="CAJ94" s="201"/>
      <c r="CAK94" s="201"/>
      <c r="CAL94" s="201"/>
      <c r="CAM94" s="201"/>
      <c r="CAN94" s="201"/>
      <c r="CAO94" s="201"/>
      <c r="CAP94" s="201"/>
      <c r="CAQ94" s="201"/>
      <c r="CAR94" s="201"/>
      <c r="CAS94" s="201"/>
      <c r="CAT94" s="201"/>
      <c r="CAU94" s="201"/>
      <c r="CAV94" s="201"/>
      <c r="CAW94" s="201"/>
      <c r="CAX94" s="201"/>
      <c r="CAY94" s="201"/>
      <c r="CAZ94" s="201"/>
      <c r="CBA94" s="201"/>
      <c r="CBB94" s="201"/>
      <c r="CBC94" s="201"/>
      <c r="CBD94" s="201"/>
      <c r="CBE94" s="201"/>
      <c r="CBF94" s="201"/>
      <c r="CBG94" s="201"/>
      <c r="CBH94" s="201"/>
      <c r="CBI94" s="201"/>
      <c r="CBJ94" s="201"/>
      <c r="CBK94" s="201"/>
      <c r="CBL94" s="201"/>
      <c r="CBM94" s="201"/>
      <c r="CBN94" s="201"/>
      <c r="CBO94" s="201"/>
      <c r="CBP94" s="201"/>
      <c r="CBQ94" s="201"/>
      <c r="CBR94" s="201"/>
      <c r="CBS94" s="201"/>
      <c r="CBT94" s="201"/>
      <c r="CBU94" s="201"/>
      <c r="CBV94" s="201"/>
      <c r="CBW94" s="201"/>
      <c r="CBX94" s="201"/>
      <c r="CBY94" s="201"/>
      <c r="CBZ94" s="201"/>
      <c r="CCA94" s="201"/>
      <c r="CCB94" s="201"/>
      <c r="CCC94" s="201"/>
      <c r="CCD94" s="201"/>
      <c r="CCE94" s="201"/>
      <c r="CCF94" s="201"/>
      <c r="CCG94" s="201"/>
      <c r="CCH94" s="201"/>
      <c r="CCI94" s="201"/>
      <c r="CCJ94" s="201"/>
      <c r="CCK94" s="201"/>
      <c r="CCL94" s="201"/>
      <c r="CCM94" s="201"/>
      <c r="CCN94" s="201"/>
      <c r="CCO94" s="201"/>
      <c r="CCP94" s="201"/>
      <c r="CCQ94" s="201"/>
      <c r="CCR94" s="201"/>
      <c r="CCS94" s="201"/>
      <c r="CCT94" s="201"/>
      <c r="CCU94" s="201"/>
      <c r="CCV94" s="201"/>
      <c r="CCW94" s="201"/>
      <c r="CCX94" s="201"/>
      <c r="CCY94" s="201"/>
      <c r="CCZ94" s="201"/>
      <c r="CDA94" s="201"/>
      <c r="CDB94" s="201"/>
      <c r="CDC94" s="201"/>
      <c r="CDD94" s="201"/>
      <c r="CDE94" s="201"/>
      <c r="CDF94" s="201"/>
      <c r="CDG94" s="201"/>
      <c r="CDH94" s="201"/>
      <c r="CDI94" s="201"/>
      <c r="CDJ94" s="201"/>
      <c r="CDK94" s="201"/>
      <c r="CDL94" s="201"/>
      <c r="CDM94" s="201"/>
      <c r="CDN94" s="201"/>
      <c r="CDO94" s="201"/>
      <c r="CDP94" s="201"/>
      <c r="CDQ94" s="201"/>
      <c r="CDR94" s="201"/>
      <c r="CDS94" s="201"/>
      <c r="CDT94" s="201"/>
      <c r="CDU94" s="201"/>
      <c r="CDV94" s="201"/>
      <c r="CDW94" s="201"/>
      <c r="CDX94" s="201"/>
      <c r="CDY94" s="201"/>
      <c r="CDZ94" s="201"/>
      <c r="CEA94" s="201"/>
      <c r="CEB94" s="201"/>
      <c r="CEC94" s="201"/>
      <c r="CED94" s="201"/>
      <c r="CEE94" s="201"/>
      <c r="CEF94" s="201"/>
      <c r="CEG94" s="201"/>
      <c r="CEH94" s="201"/>
      <c r="CEI94" s="201"/>
      <c r="CEJ94" s="201"/>
      <c r="CEK94" s="201"/>
      <c r="CEL94" s="201"/>
      <c r="CEM94" s="201"/>
      <c r="CEN94" s="201"/>
      <c r="CEO94" s="201"/>
      <c r="CEP94" s="201"/>
      <c r="CEQ94" s="201"/>
      <c r="CER94" s="201"/>
      <c r="CES94" s="201"/>
      <c r="CET94" s="201"/>
      <c r="CEU94" s="201"/>
      <c r="CEV94" s="201"/>
      <c r="CEW94" s="201"/>
      <c r="CEX94" s="201"/>
      <c r="CEY94" s="201"/>
      <c r="CEZ94" s="201"/>
      <c r="CFA94" s="201"/>
      <c r="CFB94" s="201"/>
      <c r="CFC94" s="201"/>
      <c r="CFD94" s="201"/>
      <c r="CFE94" s="201"/>
      <c r="CFF94" s="201"/>
      <c r="CFG94" s="201"/>
      <c r="CFH94" s="201"/>
      <c r="CFI94" s="201"/>
      <c r="CFJ94" s="201"/>
      <c r="CFK94" s="201"/>
      <c r="CFL94" s="201"/>
      <c r="CFM94" s="201"/>
      <c r="CFN94" s="201"/>
      <c r="CFO94" s="201"/>
      <c r="CFP94" s="201"/>
      <c r="CFQ94" s="201"/>
      <c r="CFR94" s="201"/>
      <c r="CFS94" s="201"/>
      <c r="CFT94" s="201"/>
      <c r="CFU94" s="201"/>
      <c r="CFV94" s="201"/>
      <c r="CFW94" s="201"/>
      <c r="CFX94" s="201"/>
      <c r="CFY94" s="201"/>
      <c r="CFZ94" s="201"/>
      <c r="CGA94" s="201"/>
      <c r="CGB94" s="201"/>
      <c r="CGC94" s="201"/>
      <c r="CGD94" s="201"/>
      <c r="CGE94" s="201"/>
      <c r="CGF94" s="201"/>
      <c r="CGG94" s="201"/>
      <c r="CGH94" s="201"/>
      <c r="CGI94" s="201"/>
      <c r="CGJ94" s="201"/>
      <c r="CGK94" s="201"/>
      <c r="CGL94" s="201"/>
      <c r="CGM94" s="201"/>
      <c r="CGN94" s="201"/>
      <c r="CGO94" s="201"/>
      <c r="CGP94" s="201"/>
      <c r="CGQ94" s="201"/>
      <c r="CGR94" s="201"/>
      <c r="CGS94" s="201"/>
      <c r="CGT94" s="201"/>
      <c r="CGU94" s="201"/>
      <c r="CGV94" s="201"/>
      <c r="CGW94" s="201"/>
      <c r="CGX94" s="201"/>
      <c r="CGY94" s="201"/>
      <c r="CGZ94" s="201"/>
      <c r="CHA94" s="201"/>
      <c r="CHB94" s="201"/>
      <c r="CHC94" s="201"/>
      <c r="CHD94" s="201"/>
      <c r="CHE94" s="201"/>
      <c r="CHF94" s="201"/>
      <c r="CHG94" s="201"/>
      <c r="CHH94" s="201"/>
      <c r="CHI94" s="201"/>
      <c r="CHJ94" s="201"/>
      <c r="CHK94" s="201"/>
      <c r="CHL94" s="201"/>
      <c r="CHM94" s="201"/>
      <c r="CHN94" s="201"/>
      <c r="CHO94" s="201"/>
      <c r="CHP94" s="201"/>
      <c r="CHQ94" s="201"/>
      <c r="CHR94" s="201"/>
      <c r="CHS94" s="201"/>
      <c r="CHT94" s="201"/>
      <c r="CHU94" s="201"/>
      <c r="CHV94" s="201"/>
      <c r="CHW94" s="201"/>
      <c r="CHX94" s="201"/>
      <c r="CHY94" s="201"/>
      <c r="CHZ94" s="201"/>
      <c r="CIA94" s="201"/>
      <c r="CIB94" s="201"/>
      <c r="CIC94" s="201"/>
      <c r="CID94" s="201"/>
      <c r="CIE94" s="201"/>
      <c r="CIF94" s="201"/>
      <c r="CIG94" s="201"/>
      <c r="CIH94" s="201"/>
      <c r="CII94" s="201"/>
      <c r="CIJ94" s="201"/>
      <c r="CIK94" s="201"/>
      <c r="CIL94" s="201"/>
      <c r="CIM94" s="201"/>
      <c r="CIN94" s="201"/>
      <c r="CIO94" s="201"/>
      <c r="CIP94" s="201"/>
      <c r="CIQ94" s="201"/>
      <c r="CIR94" s="201"/>
      <c r="CIS94" s="201"/>
      <c r="CIT94" s="201"/>
      <c r="CIU94" s="201"/>
      <c r="CIV94" s="201"/>
      <c r="CIW94" s="201"/>
      <c r="CIX94" s="201"/>
      <c r="CIY94" s="201"/>
      <c r="CIZ94" s="201"/>
      <c r="CJA94" s="201"/>
      <c r="CJB94" s="201"/>
      <c r="CJC94" s="201"/>
      <c r="CJD94" s="201"/>
      <c r="CJE94" s="201"/>
      <c r="CJF94" s="201"/>
      <c r="CJG94" s="201"/>
      <c r="CJH94" s="201"/>
      <c r="CJI94" s="201"/>
      <c r="CJJ94" s="201"/>
      <c r="CJK94" s="201"/>
      <c r="CJL94" s="201"/>
      <c r="CJM94" s="201"/>
      <c r="CJN94" s="201"/>
      <c r="CJO94" s="201"/>
      <c r="CJP94" s="201"/>
      <c r="CJQ94" s="201"/>
      <c r="CJR94" s="201"/>
      <c r="CJS94" s="201"/>
      <c r="CJT94" s="201"/>
      <c r="CJU94" s="201"/>
      <c r="CJV94" s="201"/>
      <c r="CJW94" s="201"/>
      <c r="CJX94" s="201"/>
      <c r="CJY94" s="201"/>
      <c r="CJZ94" s="201"/>
      <c r="CKA94" s="201"/>
      <c r="CKB94" s="201"/>
      <c r="CKC94" s="201"/>
      <c r="CKD94" s="201"/>
      <c r="CKE94" s="201"/>
      <c r="CKF94" s="201"/>
      <c r="CKG94" s="201"/>
      <c r="CKH94" s="201"/>
      <c r="CKI94" s="201"/>
      <c r="CKJ94" s="201"/>
      <c r="CKK94" s="201"/>
      <c r="CKL94" s="201"/>
      <c r="CKM94" s="201"/>
      <c r="CKN94" s="201"/>
      <c r="CKO94" s="201"/>
      <c r="CKP94" s="201"/>
      <c r="CKQ94" s="201"/>
      <c r="CKR94" s="201"/>
      <c r="CKS94" s="201"/>
      <c r="CKT94" s="201"/>
      <c r="CKU94" s="201"/>
      <c r="CKV94" s="201"/>
      <c r="CKW94" s="201"/>
      <c r="CKX94" s="201"/>
      <c r="CKY94" s="201"/>
      <c r="CKZ94" s="201"/>
      <c r="CLA94" s="201"/>
      <c r="CLB94" s="201"/>
      <c r="CLC94" s="201"/>
      <c r="CLD94" s="201"/>
      <c r="CLE94" s="201"/>
      <c r="CLF94" s="201"/>
      <c r="CLG94" s="201"/>
      <c r="CLH94" s="201"/>
      <c r="CLI94" s="201"/>
      <c r="CLJ94" s="201"/>
      <c r="CLK94" s="201"/>
      <c r="CLL94" s="201"/>
      <c r="CLM94" s="201"/>
      <c r="CLN94" s="201"/>
      <c r="CLO94" s="201"/>
      <c r="CLP94" s="201"/>
      <c r="CLQ94" s="201"/>
      <c r="CLR94" s="201"/>
      <c r="CLS94" s="201"/>
      <c r="CLT94" s="201"/>
      <c r="CLU94" s="201"/>
      <c r="CLV94" s="201"/>
      <c r="CLW94" s="201"/>
      <c r="CLX94" s="201"/>
      <c r="CLY94" s="201"/>
      <c r="CLZ94" s="201"/>
      <c r="CMA94" s="201"/>
      <c r="CMB94" s="201"/>
      <c r="CMC94" s="201"/>
      <c r="CMD94" s="201"/>
      <c r="CME94" s="201"/>
      <c r="CMF94" s="201"/>
      <c r="CMG94" s="201"/>
      <c r="CMH94" s="201"/>
      <c r="CMI94" s="201"/>
      <c r="CMJ94" s="201"/>
      <c r="CMK94" s="201"/>
      <c r="CML94" s="201"/>
      <c r="CMM94" s="201"/>
      <c r="CMN94" s="201"/>
      <c r="CMO94" s="201"/>
      <c r="CMP94" s="201"/>
      <c r="CMQ94" s="201"/>
      <c r="CMR94" s="201"/>
      <c r="CMS94" s="201"/>
      <c r="CMT94" s="201"/>
      <c r="CMU94" s="201"/>
      <c r="CMV94" s="201"/>
      <c r="CMW94" s="201"/>
      <c r="CMX94" s="201"/>
      <c r="CMY94" s="201"/>
      <c r="CMZ94" s="201"/>
      <c r="CNA94" s="201"/>
      <c r="CNB94" s="201"/>
      <c r="CNC94" s="201"/>
      <c r="CND94" s="201"/>
      <c r="CNE94" s="201"/>
      <c r="CNF94" s="201"/>
      <c r="CNG94" s="201"/>
      <c r="CNH94" s="201"/>
      <c r="CNI94" s="201"/>
      <c r="CNJ94" s="201"/>
      <c r="CNK94" s="201"/>
      <c r="CNL94" s="201"/>
      <c r="CNM94" s="201"/>
      <c r="CNN94" s="201"/>
      <c r="CNO94" s="201"/>
      <c r="CNP94" s="201"/>
      <c r="CNQ94" s="201"/>
      <c r="CNR94" s="201"/>
      <c r="CNS94" s="201"/>
      <c r="CNT94" s="201"/>
      <c r="CNU94" s="201"/>
      <c r="CNV94" s="201"/>
      <c r="CNW94" s="201"/>
      <c r="CNX94" s="201"/>
      <c r="CNY94" s="201"/>
      <c r="CNZ94" s="201"/>
      <c r="COA94" s="201"/>
      <c r="COB94" s="201"/>
      <c r="COC94" s="201"/>
      <c r="COD94" s="201"/>
      <c r="COE94" s="201"/>
      <c r="COF94" s="201"/>
      <c r="COG94" s="201"/>
      <c r="COH94" s="201"/>
      <c r="COI94" s="201"/>
      <c r="COJ94" s="201"/>
      <c r="COK94" s="201"/>
      <c r="COL94" s="201"/>
      <c r="COM94" s="201"/>
      <c r="CON94" s="201"/>
      <c r="COO94" s="201"/>
      <c r="COP94" s="201"/>
      <c r="COQ94" s="201"/>
      <c r="COR94" s="201"/>
      <c r="COS94" s="201"/>
      <c r="COT94" s="201"/>
      <c r="COU94" s="201"/>
      <c r="COV94" s="201"/>
      <c r="COW94" s="201"/>
      <c r="COX94" s="201"/>
      <c r="COY94" s="201"/>
      <c r="COZ94" s="201"/>
      <c r="CPA94" s="201"/>
      <c r="CPB94" s="201"/>
      <c r="CPC94" s="201"/>
      <c r="CPD94" s="201"/>
      <c r="CPE94" s="201"/>
      <c r="CPF94" s="201"/>
      <c r="CPG94" s="201"/>
      <c r="CPH94" s="201"/>
      <c r="CPI94" s="201"/>
      <c r="CPJ94" s="201"/>
      <c r="CPK94" s="201"/>
      <c r="CPL94" s="201"/>
      <c r="CPM94" s="201"/>
      <c r="CPN94" s="201"/>
      <c r="CPO94" s="201"/>
      <c r="CPP94" s="201"/>
      <c r="CPQ94" s="201"/>
      <c r="CPR94" s="201"/>
      <c r="CPS94" s="201"/>
      <c r="CPT94" s="201"/>
      <c r="CPU94" s="201"/>
      <c r="CPV94" s="201"/>
      <c r="CPW94" s="201"/>
      <c r="CPX94" s="201"/>
      <c r="CPY94" s="201"/>
      <c r="CPZ94" s="201"/>
      <c r="CQA94" s="201"/>
      <c r="CQB94" s="201"/>
      <c r="CQC94" s="201"/>
      <c r="CQD94" s="201"/>
      <c r="CQE94" s="201"/>
      <c r="CQF94" s="201"/>
      <c r="CQG94" s="201"/>
      <c r="CQH94" s="201"/>
      <c r="CQI94" s="201"/>
      <c r="CQJ94" s="201"/>
      <c r="CQK94" s="201"/>
      <c r="CQL94" s="201"/>
      <c r="CQM94" s="201"/>
      <c r="CQN94" s="201"/>
      <c r="CQO94" s="201"/>
      <c r="CQP94" s="201"/>
      <c r="CQQ94" s="201"/>
      <c r="CQR94" s="201"/>
      <c r="CQS94" s="201"/>
      <c r="CQT94" s="201"/>
      <c r="CQU94" s="201"/>
      <c r="CQV94" s="201"/>
      <c r="CQW94" s="201"/>
      <c r="CQX94" s="201"/>
      <c r="CQY94" s="201"/>
      <c r="CQZ94" s="201"/>
      <c r="CRA94" s="201"/>
      <c r="CRB94" s="201"/>
      <c r="CRC94" s="201"/>
      <c r="CRD94" s="201"/>
      <c r="CRE94" s="201"/>
      <c r="CRF94" s="201"/>
      <c r="CRG94" s="201"/>
      <c r="CRH94" s="201"/>
      <c r="CRI94" s="201"/>
      <c r="CRJ94" s="201"/>
      <c r="CRK94" s="201"/>
      <c r="CRL94" s="201"/>
      <c r="CRM94" s="201"/>
      <c r="CRN94" s="201"/>
      <c r="CRO94" s="201"/>
      <c r="CRP94" s="201"/>
      <c r="CRQ94" s="201"/>
      <c r="CRR94" s="201"/>
      <c r="CRS94" s="201"/>
      <c r="CRT94" s="201"/>
      <c r="CRU94" s="201"/>
      <c r="CRV94" s="201"/>
      <c r="CRW94" s="201"/>
      <c r="CRX94" s="201"/>
      <c r="CRY94" s="201"/>
      <c r="CRZ94" s="201"/>
      <c r="CSA94" s="201"/>
      <c r="CSB94" s="201"/>
      <c r="CSC94" s="201"/>
      <c r="CSD94" s="201"/>
      <c r="CSE94" s="201"/>
      <c r="CSF94" s="201"/>
      <c r="CSG94" s="201"/>
      <c r="CSH94" s="201"/>
      <c r="CSI94" s="201"/>
      <c r="CSJ94" s="201"/>
      <c r="CSK94" s="201"/>
      <c r="CSL94" s="201"/>
      <c r="CSM94" s="201"/>
      <c r="CSN94" s="201"/>
      <c r="CSO94" s="201"/>
      <c r="CSP94" s="201"/>
      <c r="CSQ94" s="201"/>
      <c r="CSR94" s="201"/>
      <c r="CSS94" s="201"/>
      <c r="CST94" s="201"/>
      <c r="CSU94" s="201"/>
      <c r="CSV94" s="201"/>
      <c r="CSW94" s="201"/>
      <c r="CSX94" s="201"/>
      <c r="CSY94" s="201"/>
      <c r="CSZ94" s="201"/>
      <c r="CTA94" s="201"/>
      <c r="CTB94" s="201"/>
      <c r="CTC94" s="201"/>
      <c r="CTD94" s="201"/>
      <c r="CTE94" s="201"/>
      <c r="CTF94" s="201"/>
      <c r="CTG94" s="201"/>
      <c r="CTH94" s="201"/>
      <c r="CTI94" s="201"/>
      <c r="CTJ94" s="201"/>
      <c r="CTK94" s="201"/>
      <c r="CTL94" s="201"/>
      <c r="CTM94" s="201"/>
      <c r="CTN94" s="201"/>
      <c r="CTO94" s="201"/>
      <c r="CTP94" s="201"/>
      <c r="CTQ94" s="201"/>
      <c r="CTR94" s="201"/>
      <c r="CTS94" s="201"/>
      <c r="CTT94" s="201"/>
      <c r="CTU94" s="201"/>
      <c r="CTV94" s="201"/>
      <c r="CTW94" s="201"/>
      <c r="CTX94" s="201"/>
      <c r="CTY94" s="201"/>
      <c r="CTZ94" s="201"/>
      <c r="CUA94" s="201"/>
      <c r="CUB94" s="201"/>
      <c r="CUC94" s="201"/>
      <c r="CUD94" s="201"/>
      <c r="CUE94" s="201"/>
      <c r="CUF94" s="201"/>
      <c r="CUG94" s="201"/>
      <c r="CUH94" s="201"/>
      <c r="CUI94" s="201"/>
      <c r="CUJ94" s="201"/>
      <c r="CUK94" s="201"/>
      <c r="CUL94" s="201"/>
      <c r="CUM94" s="201"/>
      <c r="CUN94" s="201"/>
      <c r="CUO94" s="201"/>
      <c r="CUP94" s="201"/>
      <c r="CUQ94" s="201"/>
      <c r="CUR94" s="201"/>
      <c r="CUS94" s="201"/>
      <c r="CUT94" s="201"/>
      <c r="CUU94" s="201"/>
      <c r="CUV94" s="201"/>
      <c r="CUW94" s="201"/>
      <c r="CUX94" s="201"/>
      <c r="CUY94" s="201"/>
      <c r="CUZ94" s="201"/>
      <c r="CVA94" s="201"/>
      <c r="CVB94" s="201"/>
      <c r="CVC94" s="201"/>
      <c r="CVD94" s="201"/>
      <c r="CVE94" s="201"/>
      <c r="CVF94" s="201"/>
      <c r="CVG94" s="201"/>
      <c r="CVH94" s="201"/>
      <c r="CVI94" s="201"/>
      <c r="CVJ94" s="201"/>
      <c r="CVK94" s="201"/>
      <c r="CVL94" s="201"/>
      <c r="CVM94" s="201"/>
      <c r="CVN94" s="201"/>
      <c r="CVO94" s="201"/>
      <c r="CVP94" s="201"/>
      <c r="CVQ94" s="201"/>
      <c r="CVR94" s="201"/>
      <c r="CVS94" s="201"/>
      <c r="CVT94" s="201"/>
      <c r="CVU94" s="201"/>
      <c r="CVV94" s="201"/>
      <c r="CVW94" s="201"/>
      <c r="CVX94" s="201"/>
      <c r="CVY94" s="201"/>
      <c r="CVZ94" s="201"/>
      <c r="CWA94" s="201"/>
      <c r="CWB94" s="201"/>
      <c r="CWC94" s="201"/>
      <c r="CWD94" s="201"/>
      <c r="CWE94" s="201"/>
      <c r="CWF94" s="201"/>
      <c r="CWG94" s="201"/>
      <c r="CWH94" s="201"/>
      <c r="CWI94" s="201"/>
      <c r="CWJ94" s="201"/>
      <c r="CWK94" s="201"/>
      <c r="CWL94" s="201"/>
      <c r="CWM94" s="201"/>
      <c r="CWN94" s="201"/>
      <c r="CWO94" s="201"/>
      <c r="CWP94" s="201"/>
      <c r="CWQ94" s="201"/>
      <c r="CWR94" s="201"/>
      <c r="CWS94" s="201"/>
      <c r="CWT94" s="201"/>
      <c r="CWU94" s="201"/>
      <c r="CWV94" s="201"/>
      <c r="CWW94" s="201"/>
      <c r="CWX94" s="201"/>
      <c r="CWY94" s="201"/>
      <c r="CWZ94" s="201"/>
      <c r="CXA94" s="201"/>
      <c r="CXB94" s="201"/>
      <c r="CXC94" s="201"/>
      <c r="CXD94" s="201"/>
      <c r="CXE94" s="201"/>
      <c r="CXF94" s="201"/>
      <c r="CXG94" s="201"/>
      <c r="CXH94" s="201"/>
      <c r="CXI94" s="201"/>
      <c r="CXJ94" s="201"/>
      <c r="CXK94" s="201"/>
      <c r="CXL94" s="201"/>
      <c r="CXM94" s="201"/>
      <c r="CXN94" s="201"/>
      <c r="CXO94" s="201"/>
      <c r="CXP94" s="201"/>
      <c r="CXQ94" s="201"/>
      <c r="CXR94" s="201"/>
      <c r="CXS94" s="201"/>
      <c r="CXT94" s="201"/>
      <c r="CXU94" s="201"/>
      <c r="CXV94" s="201"/>
      <c r="CXW94" s="201"/>
      <c r="CXX94" s="201"/>
      <c r="CXY94" s="201"/>
      <c r="CXZ94" s="201"/>
      <c r="CYA94" s="201"/>
      <c r="CYB94" s="201"/>
      <c r="CYC94" s="201"/>
      <c r="CYD94" s="201"/>
      <c r="CYE94" s="201"/>
      <c r="CYF94" s="201"/>
      <c r="CYG94" s="201"/>
      <c r="CYH94" s="201"/>
      <c r="CYI94" s="201"/>
      <c r="CYJ94" s="201"/>
      <c r="CYK94" s="201"/>
      <c r="CYL94" s="201"/>
      <c r="CYM94" s="201"/>
      <c r="CYN94" s="201"/>
      <c r="CYO94" s="201"/>
      <c r="CYP94" s="201"/>
      <c r="CYQ94" s="201"/>
      <c r="CYR94" s="201"/>
      <c r="CYS94" s="201"/>
      <c r="CYT94" s="201"/>
      <c r="CYU94" s="201"/>
      <c r="CYV94" s="201"/>
      <c r="CYW94" s="201"/>
      <c r="CYX94" s="201"/>
      <c r="CYY94" s="201"/>
      <c r="CYZ94" s="201"/>
      <c r="CZA94" s="201"/>
      <c r="CZB94" s="201"/>
      <c r="CZC94" s="201"/>
      <c r="CZD94" s="201"/>
      <c r="CZE94" s="201"/>
      <c r="CZF94" s="201"/>
      <c r="CZG94" s="201"/>
      <c r="CZH94" s="201"/>
      <c r="CZI94" s="201"/>
      <c r="CZJ94" s="201"/>
      <c r="CZK94" s="201"/>
      <c r="CZL94" s="201"/>
      <c r="CZM94" s="201"/>
      <c r="CZN94" s="201"/>
      <c r="CZO94" s="201"/>
      <c r="CZP94" s="201"/>
      <c r="CZQ94" s="201"/>
      <c r="CZR94" s="201"/>
      <c r="CZS94" s="201"/>
      <c r="CZT94" s="201"/>
      <c r="CZU94" s="201"/>
      <c r="CZV94" s="201"/>
      <c r="CZW94" s="201"/>
      <c r="CZX94" s="201"/>
      <c r="CZY94" s="201"/>
      <c r="CZZ94" s="201"/>
      <c r="DAA94" s="201"/>
      <c r="DAB94" s="201"/>
      <c r="DAC94" s="201"/>
      <c r="DAD94" s="201"/>
      <c r="DAE94" s="201"/>
      <c r="DAF94" s="201"/>
      <c r="DAG94" s="201"/>
      <c r="DAH94" s="201"/>
      <c r="DAI94" s="201"/>
      <c r="DAJ94" s="201"/>
      <c r="DAK94" s="201"/>
      <c r="DAL94" s="201"/>
      <c r="DAM94" s="201"/>
      <c r="DAN94" s="201"/>
      <c r="DAO94" s="201"/>
      <c r="DAP94" s="201"/>
      <c r="DAQ94" s="201"/>
      <c r="DAR94" s="201"/>
      <c r="DAS94" s="201"/>
      <c r="DAT94" s="201"/>
      <c r="DAU94" s="201"/>
      <c r="DAV94" s="201"/>
      <c r="DAW94" s="201"/>
      <c r="DAX94" s="201"/>
      <c r="DAY94" s="201"/>
      <c r="DAZ94" s="201"/>
      <c r="DBA94" s="201"/>
      <c r="DBB94" s="201"/>
      <c r="DBC94" s="201"/>
      <c r="DBD94" s="201"/>
      <c r="DBE94" s="201"/>
      <c r="DBF94" s="201"/>
      <c r="DBG94" s="201"/>
      <c r="DBH94" s="201"/>
      <c r="DBI94" s="201"/>
      <c r="DBJ94" s="201"/>
      <c r="DBK94" s="201"/>
      <c r="DBL94" s="201"/>
      <c r="DBM94" s="201"/>
      <c r="DBN94" s="201"/>
      <c r="DBO94" s="201"/>
      <c r="DBP94" s="201"/>
      <c r="DBQ94" s="201"/>
      <c r="DBR94" s="201"/>
      <c r="DBS94" s="201"/>
      <c r="DBT94" s="201"/>
      <c r="DBU94" s="201"/>
      <c r="DBV94" s="201"/>
      <c r="DBW94" s="201"/>
      <c r="DBX94" s="201"/>
      <c r="DBY94" s="201"/>
      <c r="DBZ94" s="201"/>
      <c r="DCA94" s="201"/>
      <c r="DCB94" s="201"/>
      <c r="DCC94" s="201"/>
      <c r="DCD94" s="201"/>
      <c r="DCE94" s="201"/>
      <c r="DCF94" s="201"/>
      <c r="DCG94" s="201"/>
      <c r="DCH94" s="201"/>
      <c r="DCI94" s="201"/>
      <c r="DCJ94" s="201"/>
      <c r="DCK94" s="201"/>
      <c r="DCL94" s="201"/>
      <c r="DCM94" s="201"/>
      <c r="DCN94" s="201"/>
      <c r="DCO94" s="201"/>
      <c r="DCP94" s="201"/>
      <c r="DCQ94" s="201"/>
      <c r="DCR94" s="201"/>
      <c r="DCS94" s="201"/>
      <c r="DCT94" s="201"/>
      <c r="DCU94" s="201"/>
      <c r="DCV94" s="201"/>
      <c r="DCW94" s="201"/>
      <c r="DCX94" s="201"/>
      <c r="DCY94" s="201"/>
      <c r="DCZ94" s="201"/>
      <c r="DDA94" s="201"/>
      <c r="DDB94" s="201"/>
      <c r="DDC94" s="201"/>
      <c r="DDD94" s="201"/>
      <c r="DDE94" s="201"/>
      <c r="DDF94" s="201"/>
      <c r="DDG94" s="201"/>
      <c r="DDH94" s="201"/>
      <c r="DDI94" s="201"/>
      <c r="DDJ94" s="201"/>
      <c r="DDK94" s="201"/>
      <c r="DDL94" s="201"/>
      <c r="DDM94" s="201"/>
      <c r="DDN94" s="201"/>
      <c r="DDO94" s="201"/>
      <c r="DDP94" s="201"/>
      <c r="DDQ94" s="201"/>
      <c r="DDR94" s="201"/>
      <c r="DDS94" s="201"/>
      <c r="DDT94" s="201"/>
      <c r="DDU94" s="201"/>
      <c r="DDV94" s="201"/>
      <c r="DDW94" s="201"/>
      <c r="DDX94" s="201"/>
      <c r="DDY94" s="201"/>
      <c r="DDZ94" s="201"/>
      <c r="DEA94" s="201"/>
      <c r="DEB94" s="201"/>
      <c r="DEC94" s="201"/>
      <c r="DED94" s="201"/>
      <c r="DEE94" s="201"/>
      <c r="DEF94" s="201"/>
      <c r="DEG94" s="201"/>
      <c r="DEH94" s="201"/>
      <c r="DEI94" s="201"/>
      <c r="DEJ94" s="201"/>
      <c r="DEK94" s="201"/>
      <c r="DEL94" s="201"/>
      <c r="DEM94" s="201"/>
      <c r="DEN94" s="201"/>
      <c r="DEO94" s="201"/>
      <c r="DEP94" s="201"/>
      <c r="DEQ94" s="201"/>
      <c r="DER94" s="201"/>
      <c r="DES94" s="201"/>
      <c r="DET94" s="201"/>
      <c r="DEU94" s="201"/>
      <c r="DEV94" s="201"/>
      <c r="DEW94" s="201"/>
      <c r="DEX94" s="201"/>
      <c r="DEY94" s="201"/>
      <c r="DEZ94" s="201"/>
      <c r="DFA94" s="201"/>
      <c r="DFB94" s="201"/>
      <c r="DFC94" s="201"/>
      <c r="DFD94" s="201"/>
      <c r="DFE94" s="201"/>
      <c r="DFF94" s="201"/>
      <c r="DFG94" s="201"/>
      <c r="DFH94" s="201"/>
      <c r="DFI94" s="201"/>
      <c r="DFJ94" s="201"/>
      <c r="DFK94" s="201"/>
      <c r="DFL94" s="201"/>
      <c r="DFM94" s="201"/>
      <c r="DFN94" s="201"/>
      <c r="DFO94" s="201"/>
      <c r="DFP94" s="201"/>
      <c r="DFQ94" s="201"/>
      <c r="DFR94" s="201"/>
      <c r="DFS94" s="201"/>
      <c r="DFT94" s="201"/>
      <c r="DFU94" s="201"/>
      <c r="DFV94" s="201"/>
      <c r="DFW94" s="201"/>
      <c r="DFX94" s="201"/>
      <c r="DFY94" s="201"/>
      <c r="DFZ94" s="201"/>
      <c r="DGA94" s="201"/>
      <c r="DGB94" s="201"/>
      <c r="DGC94" s="201"/>
      <c r="DGD94" s="201"/>
      <c r="DGE94" s="201"/>
      <c r="DGF94" s="201"/>
      <c r="DGG94" s="201"/>
      <c r="DGH94" s="201"/>
      <c r="DGI94" s="201"/>
      <c r="DGJ94" s="201"/>
      <c r="DGK94" s="201"/>
      <c r="DGL94" s="201"/>
      <c r="DGM94" s="201"/>
      <c r="DGN94" s="201"/>
      <c r="DGO94" s="201"/>
      <c r="DGP94" s="201"/>
      <c r="DGQ94" s="201"/>
      <c r="DGR94" s="201"/>
      <c r="DGS94" s="201"/>
      <c r="DGT94" s="201"/>
      <c r="DGU94" s="201"/>
      <c r="DGV94" s="201"/>
      <c r="DGW94" s="201"/>
      <c r="DGX94" s="201"/>
      <c r="DGY94" s="201"/>
      <c r="DGZ94" s="201"/>
      <c r="DHA94" s="201"/>
      <c r="DHB94" s="201"/>
      <c r="DHC94" s="201"/>
      <c r="DHD94" s="201"/>
      <c r="DHE94" s="201"/>
      <c r="DHF94" s="201"/>
      <c r="DHG94" s="201"/>
      <c r="DHH94" s="201"/>
      <c r="DHI94" s="201"/>
      <c r="DHJ94" s="201"/>
      <c r="DHK94" s="201"/>
      <c r="DHL94" s="201"/>
      <c r="DHM94" s="201"/>
      <c r="DHN94" s="201"/>
      <c r="DHO94" s="201"/>
      <c r="DHP94" s="201"/>
      <c r="DHQ94" s="201"/>
      <c r="DHR94" s="201"/>
      <c r="DHS94" s="201"/>
      <c r="DHT94" s="201"/>
      <c r="DHU94" s="201"/>
      <c r="DHV94" s="201"/>
      <c r="DHW94" s="201"/>
      <c r="DHX94" s="201"/>
      <c r="DHY94" s="201"/>
      <c r="DHZ94" s="201"/>
      <c r="DIA94" s="201"/>
      <c r="DIB94" s="201"/>
      <c r="DIC94" s="201"/>
      <c r="DID94" s="201"/>
      <c r="DIE94" s="201"/>
      <c r="DIF94" s="201"/>
      <c r="DIG94" s="201"/>
      <c r="DIH94" s="201"/>
      <c r="DII94" s="201"/>
      <c r="DIJ94" s="201"/>
      <c r="DIK94" s="201"/>
      <c r="DIL94" s="201"/>
      <c r="DIM94" s="201"/>
      <c r="DIN94" s="201"/>
      <c r="DIO94" s="201"/>
      <c r="DIP94" s="201"/>
      <c r="DIQ94" s="201"/>
      <c r="DIR94" s="201"/>
      <c r="DIS94" s="201"/>
      <c r="DIT94" s="201"/>
      <c r="DIU94" s="201"/>
      <c r="DIV94" s="201"/>
      <c r="DIW94" s="201"/>
      <c r="DIX94" s="201"/>
      <c r="DIY94" s="201"/>
      <c r="DIZ94" s="201"/>
      <c r="DJA94" s="201"/>
      <c r="DJB94" s="201"/>
      <c r="DJC94" s="201"/>
      <c r="DJD94" s="201"/>
      <c r="DJE94" s="201"/>
      <c r="DJF94" s="201"/>
      <c r="DJG94" s="201"/>
      <c r="DJH94" s="201"/>
      <c r="DJI94" s="201"/>
      <c r="DJJ94" s="201"/>
      <c r="DJK94" s="201"/>
      <c r="DJL94" s="201"/>
      <c r="DJM94" s="201"/>
      <c r="DJN94" s="201"/>
      <c r="DJO94" s="201"/>
      <c r="DJP94" s="201"/>
      <c r="DJQ94" s="201"/>
      <c r="DJR94" s="201"/>
      <c r="DJS94" s="201"/>
      <c r="DJT94" s="201"/>
      <c r="DJU94" s="201"/>
      <c r="DJV94" s="201"/>
      <c r="DJW94" s="201"/>
      <c r="DJX94" s="201"/>
      <c r="DJY94" s="201"/>
      <c r="DJZ94" s="201"/>
      <c r="DKA94" s="201"/>
      <c r="DKB94" s="201"/>
      <c r="DKC94" s="201"/>
      <c r="DKD94" s="201"/>
      <c r="DKE94" s="201"/>
      <c r="DKF94" s="201"/>
      <c r="DKG94" s="201"/>
      <c r="DKH94" s="201"/>
      <c r="DKI94" s="201"/>
      <c r="DKJ94" s="201"/>
      <c r="DKK94" s="201"/>
      <c r="DKL94" s="201"/>
      <c r="DKM94" s="201"/>
      <c r="DKN94" s="201"/>
      <c r="DKO94" s="201"/>
      <c r="DKP94" s="201"/>
      <c r="DKQ94" s="201"/>
      <c r="DKR94" s="201"/>
      <c r="DKS94" s="201"/>
      <c r="DKT94" s="201"/>
      <c r="DKU94" s="201"/>
      <c r="DKV94" s="201"/>
      <c r="DKW94" s="201"/>
      <c r="DKX94" s="201"/>
      <c r="DKY94" s="201"/>
      <c r="DKZ94" s="201"/>
      <c r="DLA94" s="201"/>
      <c r="DLB94" s="201"/>
      <c r="DLC94" s="201"/>
      <c r="DLD94" s="201"/>
      <c r="DLE94" s="201"/>
      <c r="DLF94" s="201"/>
      <c r="DLG94" s="201"/>
      <c r="DLH94" s="201"/>
      <c r="DLI94" s="201"/>
      <c r="DLJ94" s="201"/>
      <c r="DLK94" s="201"/>
      <c r="DLL94" s="201"/>
      <c r="DLM94" s="201"/>
      <c r="DLN94" s="201"/>
      <c r="DLO94" s="201"/>
      <c r="DLP94" s="201"/>
      <c r="DLQ94" s="201"/>
      <c r="DLR94" s="201"/>
      <c r="DLS94" s="201"/>
      <c r="DLT94" s="201"/>
      <c r="DLU94" s="201"/>
      <c r="DLV94" s="201"/>
      <c r="DLW94" s="201"/>
      <c r="DLX94" s="201"/>
      <c r="DLY94" s="201"/>
      <c r="DLZ94" s="201"/>
      <c r="DMA94" s="201"/>
      <c r="DMB94" s="201"/>
      <c r="DMC94" s="201"/>
      <c r="DMD94" s="201"/>
      <c r="DME94" s="201"/>
      <c r="DMF94" s="201"/>
      <c r="DMG94" s="201"/>
      <c r="DMH94" s="201"/>
      <c r="DMI94" s="201"/>
      <c r="DMJ94" s="201"/>
      <c r="DMK94" s="201"/>
      <c r="DML94" s="201"/>
      <c r="DMM94" s="201"/>
      <c r="DMN94" s="201"/>
      <c r="DMO94" s="201"/>
      <c r="DMP94" s="201"/>
      <c r="DMQ94" s="201"/>
      <c r="DMR94" s="201"/>
      <c r="DMS94" s="201"/>
      <c r="DMT94" s="201"/>
      <c r="DMU94" s="201"/>
      <c r="DMV94" s="201"/>
      <c r="DMW94" s="201"/>
      <c r="DMX94" s="201"/>
      <c r="DMY94" s="201"/>
      <c r="DMZ94" s="201"/>
      <c r="DNA94" s="201"/>
      <c r="DNB94" s="201"/>
      <c r="DNC94" s="201"/>
      <c r="DND94" s="201"/>
      <c r="DNE94" s="201"/>
      <c r="DNF94" s="201"/>
      <c r="DNG94" s="201"/>
      <c r="DNH94" s="201"/>
      <c r="DNI94" s="201"/>
      <c r="DNJ94" s="201"/>
      <c r="DNK94" s="201"/>
      <c r="DNL94" s="201"/>
      <c r="DNM94" s="201"/>
      <c r="DNN94" s="201"/>
      <c r="DNO94" s="201"/>
      <c r="DNP94" s="201"/>
      <c r="DNQ94" s="201"/>
      <c r="DNR94" s="201"/>
      <c r="DNS94" s="201"/>
      <c r="DNT94" s="201"/>
      <c r="DNU94" s="201"/>
      <c r="DNV94" s="201"/>
      <c r="DNW94" s="201"/>
      <c r="DNX94" s="201"/>
      <c r="DNY94" s="201"/>
      <c r="DNZ94" s="201"/>
      <c r="DOA94" s="201"/>
      <c r="DOB94" s="201"/>
      <c r="DOC94" s="201"/>
      <c r="DOD94" s="201"/>
      <c r="DOE94" s="201"/>
      <c r="DOF94" s="201"/>
      <c r="DOG94" s="201"/>
      <c r="DOH94" s="201"/>
      <c r="DOI94" s="201"/>
      <c r="DOJ94" s="201"/>
      <c r="DOK94" s="201"/>
      <c r="DOL94" s="201"/>
      <c r="DOM94" s="201"/>
      <c r="DON94" s="201"/>
      <c r="DOO94" s="201"/>
      <c r="DOP94" s="201"/>
      <c r="DOQ94" s="201"/>
      <c r="DOR94" s="201"/>
      <c r="DOS94" s="201"/>
      <c r="DOT94" s="201"/>
      <c r="DOU94" s="201"/>
      <c r="DOV94" s="201"/>
      <c r="DOW94" s="201"/>
      <c r="DOX94" s="201"/>
      <c r="DOY94" s="201"/>
      <c r="DOZ94" s="201"/>
      <c r="DPA94" s="201"/>
      <c r="DPB94" s="201"/>
      <c r="DPC94" s="201"/>
      <c r="DPD94" s="201"/>
      <c r="DPE94" s="201"/>
      <c r="DPF94" s="201"/>
      <c r="DPG94" s="201"/>
      <c r="DPH94" s="201"/>
      <c r="DPI94" s="201"/>
      <c r="DPJ94" s="201"/>
      <c r="DPK94" s="201"/>
      <c r="DPL94" s="201"/>
      <c r="DPM94" s="201"/>
      <c r="DPN94" s="201"/>
      <c r="DPO94" s="201"/>
      <c r="DPP94" s="201"/>
      <c r="DPQ94" s="201"/>
      <c r="DPR94" s="201"/>
      <c r="DPS94" s="201"/>
      <c r="DPT94" s="201"/>
      <c r="DPU94" s="201"/>
      <c r="DPV94" s="201"/>
      <c r="DPW94" s="201"/>
      <c r="DPX94" s="201"/>
      <c r="DPY94" s="201"/>
      <c r="DPZ94" s="201"/>
      <c r="DQA94" s="201"/>
      <c r="DQB94" s="201"/>
      <c r="DQC94" s="201"/>
      <c r="DQD94" s="201"/>
      <c r="DQE94" s="201"/>
      <c r="DQF94" s="201"/>
      <c r="DQG94" s="201"/>
      <c r="DQH94" s="201"/>
      <c r="DQI94" s="201"/>
      <c r="DQJ94" s="201"/>
      <c r="DQK94" s="201"/>
      <c r="DQL94" s="201"/>
      <c r="DQM94" s="201"/>
      <c r="DQN94" s="201"/>
      <c r="DQO94" s="201"/>
      <c r="DQP94" s="201"/>
      <c r="DQQ94" s="201"/>
      <c r="DQR94" s="201"/>
      <c r="DQS94" s="201"/>
      <c r="DQT94" s="201"/>
      <c r="DQU94" s="201"/>
      <c r="DQV94" s="201"/>
      <c r="DQW94" s="201"/>
      <c r="DQX94" s="201"/>
      <c r="DQY94" s="201"/>
      <c r="DQZ94" s="201"/>
      <c r="DRA94" s="201"/>
      <c r="DRB94" s="201"/>
      <c r="DRC94" s="201"/>
      <c r="DRD94" s="201"/>
      <c r="DRE94" s="201"/>
      <c r="DRF94" s="201"/>
      <c r="DRG94" s="201"/>
      <c r="DRH94" s="201"/>
      <c r="DRI94" s="201"/>
      <c r="DRJ94" s="201"/>
      <c r="DRK94" s="201"/>
      <c r="DRL94" s="201"/>
      <c r="DRM94" s="201"/>
      <c r="DRN94" s="201"/>
      <c r="DRO94" s="201"/>
      <c r="DRP94" s="201"/>
      <c r="DRQ94" s="201"/>
      <c r="DRR94" s="201"/>
      <c r="DRS94" s="201"/>
      <c r="DRT94" s="201"/>
      <c r="DRU94" s="201"/>
      <c r="DRV94" s="201"/>
      <c r="DRW94" s="201"/>
      <c r="DRX94" s="201"/>
      <c r="DRY94" s="201"/>
      <c r="DRZ94" s="201"/>
      <c r="DSA94" s="201"/>
      <c r="DSB94" s="201"/>
      <c r="DSC94" s="201"/>
      <c r="DSD94" s="201"/>
      <c r="DSE94" s="201"/>
      <c r="DSF94" s="201"/>
      <c r="DSG94" s="201"/>
      <c r="DSH94" s="201"/>
      <c r="DSI94" s="201"/>
      <c r="DSJ94" s="201"/>
      <c r="DSK94" s="201"/>
      <c r="DSL94" s="201"/>
      <c r="DSM94" s="201"/>
      <c r="DSN94" s="201"/>
      <c r="DSO94" s="201"/>
      <c r="DSP94" s="201"/>
      <c r="DSQ94" s="201"/>
      <c r="DSR94" s="201"/>
      <c r="DSS94" s="201"/>
      <c r="DST94" s="201"/>
      <c r="DSU94" s="201"/>
      <c r="DSV94" s="201"/>
      <c r="DSW94" s="201"/>
      <c r="DSX94" s="201"/>
      <c r="DSY94" s="201"/>
      <c r="DSZ94" s="201"/>
      <c r="DTA94" s="201"/>
      <c r="DTB94" s="201"/>
      <c r="DTC94" s="201"/>
      <c r="DTD94" s="201"/>
      <c r="DTE94" s="201"/>
      <c r="DTF94" s="201"/>
      <c r="DTG94" s="201"/>
      <c r="DTH94" s="201"/>
      <c r="DTI94" s="201"/>
      <c r="DTJ94" s="201"/>
      <c r="DTK94" s="201"/>
      <c r="DTL94" s="201"/>
      <c r="DTM94" s="201"/>
      <c r="DTN94" s="201"/>
      <c r="DTO94" s="201"/>
      <c r="DTP94" s="201"/>
      <c r="DTQ94" s="201"/>
      <c r="DTR94" s="201"/>
      <c r="DTS94" s="201"/>
      <c r="DTT94" s="201"/>
      <c r="DTU94" s="201"/>
      <c r="DTV94" s="201"/>
      <c r="DTW94" s="201"/>
      <c r="DTX94" s="201"/>
      <c r="DTY94" s="201"/>
      <c r="DTZ94" s="201"/>
      <c r="DUA94" s="201"/>
      <c r="DUB94" s="201"/>
      <c r="DUC94" s="201"/>
      <c r="DUD94" s="201"/>
      <c r="DUE94" s="201"/>
      <c r="DUF94" s="201"/>
      <c r="DUG94" s="201"/>
      <c r="DUH94" s="201"/>
      <c r="DUI94" s="201"/>
      <c r="DUJ94" s="201"/>
      <c r="DUK94" s="201"/>
      <c r="DUL94" s="201"/>
      <c r="DUM94" s="201"/>
      <c r="DUN94" s="201"/>
      <c r="DUO94" s="201"/>
      <c r="DUP94" s="201"/>
      <c r="DUQ94" s="201"/>
      <c r="DUR94" s="201"/>
      <c r="DUS94" s="201"/>
      <c r="DUT94" s="201"/>
      <c r="DUU94" s="201"/>
      <c r="DUV94" s="201"/>
      <c r="DUW94" s="201"/>
      <c r="DUX94" s="201"/>
      <c r="DUY94" s="201"/>
      <c r="DUZ94" s="201"/>
      <c r="DVA94" s="201"/>
      <c r="DVB94" s="201"/>
      <c r="DVC94" s="201"/>
      <c r="DVD94" s="201"/>
      <c r="DVE94" s="201"/>
      <c r="DVF94" s="201"/>
      <c r="DVG94" s="201"/>
      <c r="DVH94" s="201"/>
      <c r="DVI94" s="201"/>
      <c r="DVJ94" s="201"/>
      <c r="DVK94" s="201"/>
      <c r="DVL94" s="201"/>
      <c r="DVM94" s="201"/>
      <c r="DVN94" s="201"/>
      <c r="DVO94" s="201"/>
      <c r="DVP94" s="201"/>
      <c r="DVQ94" s="201"/>
      <c r="DVR94" s="201"/>
      <c r="DVS94" s="201"/>
      <c r="DVT94" s="201"/>
      <c r="DVU94" s="201"/>
      <c r="DVV94" s="201"/>
      <c r="DVW94" s="201"/>
      <c r="DVX94" s="201"/>
      <c r="DVY94" s="201"/>
      <c r="DVZ94" s="201"/>
      <c r="DWA94" s="201"/>
      <c r="DWB94" s="201"/>
      <c r="DWC94" s="201"/>
      <c r="DWD94" s="201"/>
      <c r="DWE94" s="201"/>
      <c r="DWF94" s="201"/>
      <c r="DWG94" s="201"/>
      <c r="DWH94" s="201"/>
      <c r="DWI94" s="201"/>
      <c r="DWJ94" s="201"/>
      <c r="DWK94" s="201"/>
      <c r="DWL94" s="201"/>
      <c r="DWM94" s="201"/>
      <c r="DWN94" s="201"/>
      <c r="DWO94" s="201"/>
      <c r="DWP94" s="201"/>
      <c r="DWQ94" s="201"/>
      <c r="DWR94" s="201"/>
      <c r="DWS94" s="201"/>
      <c r="DWT94" s="201"/>
      <c r="DWU94" s="201"/>
      <c r="DWV94" s="201"/>
      <c r="DWW94" s="201"/>
      <c r="DWX94" s="201"/>
      <c r="DWY94" s="201"/>
      <c r="DWZ94" s="201"/>
      <c r="DXA94" s="201"/>
      <c r="DXB94" s="201"/>
      <c r="DXC94" s="201"/>
      <c r="DXD94" s="201"/>
      <c r="DXE94" s="201"/>
      <c r="DXF94" s="201"/>
      <c r="DXG94" s="201"/>
      <c r="DXH94" s="201"/>
      <c r="DXI94" s="201"/>
      <c r="DXJ94" s="201"/>
      <c r="DXK94" s="201"/>
      <c r="DXL94" s="201"/>
      <c r="DXM94" s="201"/>
      <c r="DXN94" s="201"/>
      <c r="DXO94" s="201"/>
      <c r="DXP94" s="201"/>
      <c r="DXQ94" s="201"/>
      <c r="DXR94" s="201"/>
      <c r="DXS94" s="201"/>
      <c r="DXT94" s="201"/>
      <c r="DXU94" s="201"/>
      <c r="DXV94" s="201"/>
      <c r="DXW94" s="201"/>
      <c r="DXX94" s="201"/>
      <c r="DXY94" s="201"/>
      <c r="DXZ94" s="201"/>
      <c r="DYA94" s="201"/>
      <c r="DYB94" s="201"/>
      <c r="DYC94" s="201"/>
      <c r="DYD94" s="201"/>
      <c r="DYE94" s="201"/>
      <c r="DYF94" s="201"/>
      <c r="DYG94" s="201"/>
      <c r="DYH94" s="201"/>
      <c r="DYI94" s="201"/>
      <c r="DYJ94" s="201"/>
      <c r="DYK94" s="201"/>
      <c r="DYL94" s="201"/>
      <c r="DYM94" s="201"/>
      <c r="DYN94" s="201"/>
      <c r="DYO94" s="201"/>
      <c r="DYP94" s="201"/>
      <c r="DYQ94" s="201"/>
      <c r="DYR94" s="201"/>
      <c r="DYS94" s="201"/>
      <c r="DYT94" s="201"/>
      <c r="DYU94" s="201"/>
      <c r="DYV94" s="201"/>
      <c r="DYW94" s="201"/>
      <c r="DYX94" s="201"/>
      <c r="DYY94" s="201"/>
      <c r="DYZ94" s="201"/>
      <c r="DZA94" s="201"/>
      <c r="DZB94" s="201"/>
      <c r="DZC94" s="201"/>
      <c r="DZD94" s="201"/>
      <c r="DZE94" s="201"/>
      <c r="DZF94" s="201"/>
      <c r="DZG94" s="201"/>
      <c r="DZH94" s="201"/>
      <c r="DZI94" s="201"/>
      <c r="DZJ94" s="201"/>
      <c r="DZK94" s="201"/>
      <c r="DZL94" s="201"/>
      <c r="DZM94" s="201"/>
      <c r="DZN94" s="201"/>
      <c r="DZO94" s="201"/>
      <c r="DZP94" s="201"/>
      <c r="DZQ94" s="201"/>
      <c r="DZR94" s="201"/>
      <c r="DZS94" s="201"/>
      <c r="DZT94" s="201"/>
      <c r="DZU94" s="201"/>
      <c r="DZV94" s="201"/>
      <c r="DZW94" s="201"/>
      <c r="DZX94" s="201"/>
      <c r="DZY94" s="201"/>
      <c r="DZZ94" s="201"/>
      <c r="EAA94" s="201"/>
      <c r="EAB94" s="201"/>
      <c r="EAC94" s="201"/>
      <c r="EAD94" s="201"/>
      <c r="EAE94" s="201"/>
      <c r="EAF94" s="201"/>
      <c r="EAG94" s="201"/>
      <c r="EAH94" s="201"/>
      <c r="EAI94" s="201"/>
      <c r="EAJ94" s="201"/>
      <c r="EAK94" s="201"/>
      <c r="EAL94" s="201"/>
      <c r="EAM94" s="201"/>
      <c r="EAN94" s="201"/>
      <c r="EAO94" s="201"/>
      <c r="EAP94" s="201"/>
      <c r="EAQ94" s="201"/>
      <c r="EAR94" s="201"/>
      <c r="EAS94" s="201"/>
      <c r="EAT94" s="201"/>
      <c r="EAU94" s="201"/>
      <c r="EAV94" s="201"/>
      <c r="EAW94" s="201"/>
      <c r="EAX94" s="201"/>
      <c r="EAY94" s="201"/>
      <c r="EAZ94" s="201"/>
      <c r="EBA94" s="201"/>
      <c r="EBB94" s="201"/>
      <c r="EBC94" s="201"/>
      <c r="EBD94" s="201"/>
      <c r="EBE94" s="201"/>
      <c r="EBF94" s="201"/>
      <c r="EBG94" s="201"/>
      <c r="EBH94" s="201"/>
      <c r="EBI94" s="201"/>
      <c r="EBJ94" s="201"/>
      <c r="EBK94" s="201"/>
      <c r="EBL94" s="201"/>
      <c r="EBM94" s="201"/>
      <c r="EBN94" s="201"/>
      <c r="EBO94" s="201"/>
      <c r="EBP94" s="201"/>
      <c r="EBQ94" s="201"/>
      <c r="EBR94" s="201"/>
      <c r="EBS94" s="201"/>
      <c r="EBT94" s="201"/>
      <c r="EBU94" s="201"/>
      <c r="EBV94" s="201"/>
      <c r="EBW94" s="201"/>
      <c r="EBX94" s="201"/>
      <c r="EBY94" s="201"/>
      <c r="EBZ94" s="201"/>
      <c r="ECA94" s="201"/>
      <c r="ECB94" s="201"/>
      <c r="ECC94" s="201"/>
      <c r="ECD94" s="201"/>
      <c r="ECE94" s="201"/>
      <c r="ECF94" s="201"/>
      <c r="ECG94" s="201"/>
      <c r="ECH94" s="201"/>
      <c r="ECI94" s="201"/>
      <c r="ECJ94" s="201"/>
      <c r="ECK94" s="201"/>
      <c r="ECL94" s="201"/>
      <c r="ECM94" s="201"/>
      <c r="ECN94" s="201"/>
      <c r="ECO94" s="201"/>
      <c r="ECP94" s="201"/>
      <c r="ECQ94" s="201"/>
      <c r="ECR94" s="201"/>
      <c r="ECS94" s="201"/>
      <c r="ECT94" s="201"/>
      <c r="ECU94" s="201"/>
      <c r="ECV94" s="201"/>
      <c r="ECW94" s="201"/>
      <c r="ECX94" s="201"/>
      <c r="ECY94" s="201"/>
      <c r="ECZ94" s="201"/>
      <c r="EDA94" s="201"/>
      <c r="EDB94" s="201"/>
      <c r="EDC94" s="201"/>
      <c r="EDD94" s="201"/>
      <c r="EDE94" s="201"/>
      <c r="EDF94" s="201"/>
      <c r="EDG94" s="201"/>
      <c r="EDH94" s="201"/>
      <c r="EDI94" s="201"/>
      <c r="EDJ94" s="201"/>
      <c r="EDK94" s="201"/>
      <c r="EDL94" s="201"/>
      <c r="EDM94" s="201"/>
      <c r="EDN94" s="201"/>
      <c r="EDO94" s="201"/>
      <c r="EDP94" s="201"/>
      <c r="EDQ94" s="201"/>
      <c r="EDR94" s="201"/>
      <c r="EDS94" s="201"/>
      <c r="EDT94" s="201"/>
      <c r="EDU94" s="201"/>
      <c r="EDV94" s="201"/>
      <c r="EDW94" s="201"/>
      <c r="EDX94" s="201"/>
      <c r="EDY94" s="201"/>
      <c r="EDZ94" s="201"/>
      <c r="EEA94" s="201"/>
      <c r="EEB94" s="201"/>
      <c r="EEC94" s="201"/>
      <c r="EED94" s="201"/>
      <c r="EEE94" s="201"/>
      <c r="EEF94" s="201"/>
      <c r="EEG94" s="201"/>
      <c r="EEH94" s="201"/>
      <c r="EEI94" s="201"/>
      <c r="EEJ94" s="201"/>
      <c r="EEK94" s="201"/>
      <c r="EEL94" s="201"/>
      <c r="EEM94" s="201"/>
      <c r="EEN94" s="201"/>
      <c r="EEO94" s="201"/>
      <c r="EEP94" s="201"/>
      <c r="EEQ94" s="201"/>
      <c r="EER94" s="201"/>
      <c r="EES94" s="201"/>
      <c r="EET94" s="201"/>
      <c r="EEU94" s="201"/>
      <c r="EEV94" s="201"/>
      <c r="EEW94" s="201"/>
      <c r="EEX94" s="201"/>
      <c r="EEY94" s="201"/>
      <c r="EEZ94" s="201"/>
      <c r="EFA94" s="201"/>
      <c r="EFB94" s="201"/>
      <c r="EFC94" s="201"/>
      <c r="EFD94" s="201"/>
      <c r="EFE94" s="201"/>
      <c r="EFF94" s="201"/>
      <c r="EFG94" s="201"/>
      <c r="EFH94" s="201"/>
      <c r="EFI94" s="201"/>
      <c r="EFJ94" s="201"/>
      <c r="EFK94" s="201"/>
      <c r="EFL94" s="201"/>
      <c r="EFM94" s="201"/>
      <c r="EFN94" s="201"/>
      <c r="EFO94" s="201"/>
      <c r="EFP94" s="201"/>
      <c r="EFQ94" s="201"/>
      <c r="EFR94" s="201"/>
      <c r="EFS94" s="201"/>
      <c r="EFT94" s="201"/>
      <c r="EFU94" s="201"/>
      <c r="EFV94" s="201"/>
      <c r="EFW94" s="201"/>
      <c r="EFX94" s="201"/>
      <c r="EFY94" s="201"/>
      <c r="EFZ94" s="201"/>
      <c r="EGA94" s="201"/>
      <c r="EGB94" s="201"/>
      <c r="EGC94" s="201"/>
      <c r="EGD94" s="201"/>
      <c r="EGE94" s="201"/>
      <c r="EGF94" s="201"/>
      <c r="EGG94" s="201"/>
      <c r="EGH94" s="201"/>
      <c r="EGI94" s="201"/>
      <c r="EGJ94" s="201"/>
      <c r="EGK94" s="201"/>
      <c r="EGL94" s="201"/>
      <c r="EGM94" s="201"/>
      <c r="EGN94" s="201"/>
      <c r="EGO94" s="201"/>
      <c r="EGP94" s="201"/>
      <c r="EGQ94" s="201"/>
      <c r="EGR94" s="201"/>
      <c r="EGS94" s="201"/>
      <c r="EGT94" s="201"/>
      <c r="EGU94" s="201"/>
      <c r="EGV94" s="201"/>
      <c r="EGW94" s="201"/>
      <c r="EGX94" s="201"/>
      <c r="EGY94" s="201"/>
      <c r="EGZ94" s="201"/>
      <c r="EHA94" s="201"/>
      <c r="EHB94" s="201"/>
      <c r="EHC94" s="201"/>
      <c r="EHD94" s="201"/>
      <c r="EHE94" s="201"/>
      <c r="EHF94" s="201"/>
      <c r="EHG94" s="201"/>
      <c r="EHH94" s="201"/>
      <c r="EHI94" s="201"/>
      <c r="EHJ94" s="201"/>
      <c r="EHK94" s="201"/>
      <c r="EHL94" s="201"/>
      <c r="EHM94" s="201"/>
      <c r="EHN94" s="201"/>
      <c r="EHO94" s="201"/>
      <c r="EHP94" s="201"/>
      <c r="EHQ94" s="201"/>
      <c r="EHR94" s="201"/>
      <c r="EHS94" s="201"/>
      <c r="EHT94" s="201"/>
      <c r="EHU94" s="201"/>
      <c r="EHV94" s="201"/>
      <c r="EHW94" s="201"/>
      <c r="EHX94" s="201"/>
      <c r="EHY94" s="201"/>
      <c r="EHZ94" s="201"/>
      <c r="EIA94" s="201"/>
      <c r="EIB94" s="201"/>
      <c r="EIC94" s="201"/>
      <c r="EID94" s="201"/>
      <c r="EIE94" s="201"/>
      <c r="EIF94" s="201"/>
      <c r="EIG94" s="201"/>
      <c r="EIH94" s="201"/>
      <c r="EII94" s="201"/>
      <c r="EIJ94" s="201"/>
      <c r="EIK94" s="201"/>
      <c r="EIL94" s="201"/>
      <c r="EIM94" s="201"/>
      <c r="EIN94" s="201"/>
      <c r="EIO94" s="201"/>
      <c r="EIP94" s="201"/>
      <c r="EIQ94" s="201"/>
      <c r="EIR94" s="201"/>
      <c r="EIS94" s="201"/>
      <c r="EIT94" s="201"/>
      <c r="EIU94" s="201"/>
      <c r="EIV94" s="201"/>
      <c r="EIW94" s="201"/>
      <c r="EIX94" s="201"/>
      <c r="EIY94" s="201"/>
      <c r="EIZ94" s="201"/>
      <c r="EJA94" s="201"/>
      <c r="EJB94" s="201"/>
      <c r="EJC94" s="201"/>
      <c r="EJD94" s="201"/>
      <c r="EJE94" s="201"/>
      <c r="EJF94" s="201"/>
      <c r="EJG94" s="201"/>
      <c r="EJH94" s="201"/>
      <c r="EJI94" s="201"/>
      <c r="EJJ94" s="201"/>
      <c r="EJK94" s="201"/>
      <c r="EJL94" s="201"/>
      <c r="EJM94" s="201"/>
      <c r="EJN94" s="201"/>
      <c r="EJO94" s="201"/>
      <c r="EJP94" s="201"/>
      <c r="EJQ94" s="201"/>
      <c r="EJR94" s="201"/>
      <c r="EJS94" s="201"/>
      <c r="EJT94" s="201"/>
      <c r="EJU94" s="201"/>
      <c r="EJV94" s="201"/>
      <c r="EJW94" s="201"/>
      <c r="EJX94" s="201"/>
      <c r="EJY94" s="201"/>
      <c r="EJZ94" s="201"/>
      <c r="EKA94" s="201"/>
      <c r="EKB94" s="201"/>
      <c r="EKC94" s="201"/>
      <c r="EKD94" s="201"/>
      <c r="EKE94" s="201"/>
      <c r="EKF94" s="201"/>
      <c r="EKG94" s="201"/>
      <c r="EKH94" s="201"/>
      <c r="EKI94" s="201"/>
      <c r="EKJ94" s="201"/>
      <c r="EKK94" s="201"/>
      <c r="EKL94" s="201"/>
      <c r="EKM94" s="201"/>
      <c r="EKN94" s="201"/>
      <c r="EKO94" s="201"/>
      <c r="EKP94" s="201"/>
      <c r="EKQ94" s="201"/>
      <c r="EKR94" s="201"/>
      <c r="EKS94" s="201"/>
      <c r="EKT94" s="201"/>
      <c r="EKU94" s="201"/>
      <c r="EKV94" s="201"/>
      <c r="EKW94" s="201"/>
      <c r="EKX94" s="201"/>
      <c r="EKY94" s="201"/>
      <c r="EKZ94" s="201"/>
      <c r="ELA94" s="201"/>
      <c r="ELB94" s="201"/>
      <c r="ELC94" s="201"/>
      <c r="ELD94" s="201"/>
      <c r="ELE94" s="201"/>
      <c r="ELF94" s="201"/>
      <c r="ELG94" s="201"/>
      <c r="ELH94" s="201"/>
      <c r="ELI94" s="201"/>
      <c r="ELJ94" s="201"/>
      <c r="ELK94" s="201"/>
      <c r="ELL94" s="201"/>
      <c r="ELM94" s="201"/>
      <c r="ELN94" s="201"/>
      <c r="ELO94" s="201"/>
      <c r="ELP94" s="201"/>
      <c r="ELQ94" s="201"/>
      <c r="ELR94" s="201"/>
      <c r="ELS94" s="201"/>
      <c r="ELT94" s="201"/>
      <c r="ELU94" s="201"/>
      <c r="ELV94" s="201"/>
      <c r="ELW94" s="201"/>
      <c r="ELX94" s="201"/>
      <c r="ELY94" s="201"/>
      <c r="ELZ94" s="201"/>
      <c r="EMA94" s="201"/>
      <c r="EMB94" s="201"/>
      <c r="EMC94" s="201"/>
      <c r="EMD94" s="201"/>
      <c r="EME94" s="201"/>
      <c r="EMF94" s="201"/>
      <c r="EMG94" s="201"/>
      <c r="EMH94" s="201"/>
      <c r="EMI94" s="201"/>
      <c r="EMJ94" s="201"/>
      <c r="EMK94" s="201"/>
      <c r="EML94" s="201"/>
      <c r="EMM94" s="201"/>
      <c r="EMN94" s="201"/>
      <c r="EMO94" s="201"/>
      <c r="EMP94" s="201"/>
      <c r="EMQ94" s="201"/>
      <c r="EMR94" s="201"/>
      <c r="EMS94" s="201"/>
      <c r="EMT94" s="201"/>
      <c r="EMU94" s="201"/>
      <c r="EMV94" s="201"/>
      <c r="EMW94" s="201"/>
      <c r="EMX94" s="201"/>
      <c r="EMY94" s="201"/>
      <c r="EMZ94" s="201"/>
      <c r="ENA94" s="201"/>
      <c r="ENB94" s="201"/>
      <c r="ENC94" s="201"/>
      <c r="END94" s="201"/>
      <c r="ENE94" s="201"/>
      <c r="ENF94" s="201"/>
      <c r="ENG94" s="201"/>
      <c r="ENH94" s="201"/>
      <c r="ENI94" s="201"/>
      <c r="ENJ94" s="201"/>
      <c r="ENK94" s="201"/>
      <c r="ENL94" s="201"/>
      <c r="ENM94" s="201"/>
      <c r="ENN94" s="201"/>
      <c r="ENO94" s="201"/>
      <c r="ENP94" s="201"/>
      <c r="ENQ94" s="201"/>
      <c r="ENR94" s="201"/>
      <c r="ENS94" s="201"/>
      <c r="ENT94" s="201"/>
      <c r="ENU94" s="201"/>
      <c r="ENV94" s="201"/>
      <c r="ENW94" s="201"/>
      <c r="ENX94" s="201"/>
      <c r="ENY94" s="201"/>
      <c r="ENZ94" s="201"/>
      <c r="EOA94" s="201"/>
      <c r="EOB94" s="201"/>
      <c r="EOC94" s="201"/>
      <c r="EOD94" s="201"/>
      <c r="EOE94" s="201"/>
      <c r="EOF94" s="201"/>
      <c r="EOG94" s="201"/>
      <c r="EOH94" s="201"/>
      <c r="EOI94" s="201"/>
      <c r="EOJ94" s="201"/>
      <c r="EOK94" s="201"/>
      <c r="EOL94" s="201"/>
      <c r="EOM94" s="201"/>
      <c r="EON94" s="201"/>
      <c r="EOO94" s="201"/>
      <c r="EOP94" s="201"/>
      <c r="EOQ94" s="201"/>
      <c r="EOR94" s="201"/>
      <c r="EOS94" s="201"/>
      <c r="EOT94" s="201"/>
      <c r="EOU94" s="201"/>
      <c r="EOV94" s="201"/>
      <c r="EOW94" s="201"/>
      <c r="EOX94" s="201"/>
      <c r="EOY94" s="201"/>
      <c r="EOZ94" s="201"/>
      <c r="EPA94" s="201"/>
      <c r="EPB94" s="201"/>
      <c r="EPC94" s="201"/>
      <c r="EPD94" s="201"/>
      <c r="EPE94" s="201"/>
      <c r="EPF94" s="201"/>
      <c r="EPG94" s="201"/>
      <c r="EPH94" s="201"/>
      <c r="EPI94" s="201"/>
      <c r="EPJ94" s="201"/>
      <c r="EPK94" s="201"/>
      <c r="EPL94" s="201"/>
      <c r="EPM94" s="201"/>
      <c r="EPN94" s="201"/>
      <c r="EPO94" s="201"/>
      <c r="EPP94" s="201"/>
      <c r="EPQ94" s="201"/>
      <c r="EPR94" s="201"/>
      <c r="EPS94" s="201"/>
      <c r="EPT94" s="201"/>
      <c r="EPU94" s="201"/>
      <c r="EPV94" s="201"/>
      <c r="EPW94" s="201"/>
      <c r="EPX94" s="201"/>
      <c r="EPY94" s="201"/>
      <c r="EPZ94" s="201"/>
      <c r="EQA94" s="201"/>
      <c r="EQB94" s="201"/>
      <c r="EQC94" s="201"/>
      <c r="EQD94" s="201"/>
      <c r="EQE94" s="201"/>
      <c r="EQF94" s="201"/>
      <c r="EQG94" s="201"/>
      <c r="EQH94" s="201"/>
      <c r="EQI94" s="201"/>
      <c r="EQJ94" s="201"/>
      <c r="EQK94" s="201"/>
      <c r="EQL94" s="201"/>
      <c r="EQM94" s="201"/>
      <c r="EQN94" s="201"/>
      <c r="EQO94" s="201"/>
      <c r="EQP94" s="201"/>
      <c r="EQQ94" s="201"/>
      <c r="EQR94" s="201"/>
      <c r="EQS94" s="201"/>
      <c r="EQT94" s="201"/>
      <c r="EQU94" s="201"/>
      <c r="EQV94" s="201"/>
      <c r="EQW94" s="201"/>
      <c r="EQX94" s="201"/>
      <c r="EQY94" s="201"/>
      <c r="EQZ94" s="201"/>
      <c r="ERA94" s="201"/>
      <c r="ERB94" s="201"/>
      <c r="ERC94" s="201"/>
      <c r="ERD94" s="201"/>
      <c r="ERE94" s="201"/>
      <c r="ERF94" s="201"/>
      <c r="ERG94" s="201"/>
      <c r="ERH94" s="201"/>
      <c r="ERI94" s="201"/>
      <c r="ERJ94" s="201"/>
      <c r="ERK94" s="201"/>
      <c r="ERL94" s="201"/>
      <c r="ERM94" s="201"/>
      <c r="ERN94" s="201"/>
      <c r="ERO94" s="201"/>
      <c r="ERP94" s="201"/>
      <c r="ERQ94" s="201"/>
      <c r="ERR94" s="201"/>
      <c r="ERS94" s="201"/>
      <c r="ERT94" s="201"/>
      <c r="ERU94" s="201"/>
      <c r="ERV94" s="201"/>
      <c r="ERW94" s="201"/>
      <c r="ERX94" s="201"/>
      <c r="ERY94" s="201"/>
      <c r="ERZ94" s="201"/>
      <c r="ESA94" s="201"/>
      <c r="ESB94" s="201"/>
      <c r="ESC94" s="201"/>
      <c r="ESD94" s="201"/>
      <c r="ESE94" s="201"/>
      <c r="ESF94" s="201"/>
      <c r="ESG94" s="201"/>
      <c r="ESH94" s="201"/>
      <c r="ESI94" s="201"/>
      <c r="ESJ94" s="201"/>
      <c r="ESK94" s="201"/>
      <c r="ESL94" s="201"/>
      <c r="ESM94" s="201"/>
      <c r="ESN94" s="201"/>
      <c r="ESO94" s="201"/>
      <c r="ESP94" s="201"/>
      <c r="ESQ94" s="201"/>
      <c r="ESR94" s="201"/>
      <c r="ESS94" s="201"/>
      <c r="EST94" s="201"/>
      <c r="ESU94" s="201"/>
      <c r="ESV94" s="201"/>
      <c r="ESW94" s="201"/>
      <c r="ESX94" s="201"/>
      <c r="ESY94" s="201"/>
      <c r="ESZ94" s="201"/>
      <c r="ETA94" s="201"/>
      <c r="ETB94" s="201"/>
      <c r="ETC94" s="201"/>
      <c r="ETD94" s="201"/>
      <c r="ETE94" s="201"/>
      <c r="ETF94" s="201"/>
      <c r="ETG94" s="201"/>
      <c r="ETH94" s="201"/>
      <c r="ETI94" s="201"/>
      <c r="ETJ94" s="201"/>
      <c r="ETK94" s="201"/>
      <c r="ETL94" s="201"/>
      <c r="ETM94" s="201"/>
      <c r="ETN94" s="201"/>
      <c r="ETO94" s="201"/>
      <c r="ETP94" s="201"/>
      <c r="ETQ94" s="201"/>
      <c r="ETR94" s="201"/>
      <c r="ETS94" s="201"/>
      <c r="ETT94" s="201"/>
      <c r="ETU94" s="201"/>
      <c r="ETV94" s="201"/>
      <c r="ETW94" s="201"/>
      <c r="ETX94" s="201"/>
      <c r="ETY94" s="201"/>
      <c r="ETZ94" s="201"/>
      <c r="EUA94" s="201"/>
      <c r="EUB94" s="201"/>
      <c r="EUC94" s="201"/>
      <c r="EUD94" s="201"/>
      <c r="EUE94" s="201"/>
      <c r="EUF94" s="201"/>
      <c r="EUG94" s="201"/>
      <c r="EUH94" s="201"/>
      <c r="EUI94" s="201"/>
      <c r="EUJ94" s="201"/>
      <c r="EUK94" s="201"/>
      <c r="EUL94" s="201"/>
      <c r="EUM94" s="201"/>
      <c r="EUN94" s="201"/>
      <c r="EUO94" s="201"/>
      <c r="EUP94" s="201"/>
      <c r="EUQ94" s="201"/>
      <c r="EUR94" s="201"/>
      <c r="EUS94" s="201"/>
      <c r="EUT94" s="201"/>
      <c r="EUU94" s="201"/>
      <c r="EUV94" s="201"/>
      <c r="EUW94" s="201"/>
      <c r="EUX94" s="201"/>
      <c r="EUY94" s="201"/>
      <c r="EUZ94" s="201"/>
      <c r="EVA94" s="201"/>
      <c r="EVB94" s="201"/>
      <c r="EVC94" s="201"/>
      <c r="EVD94" s="201"/>
      <c r="EVE94" s="201"/>
      <c r="EVF94" s="201"/>
      <c r="EVG94" s="201"/>
      <c r="EVH94" s="201"/>
      <c r="EVI94" s="201"/>
      <c r="EVJ94" s="201"/>
      <c r="EVK94" s="201"/>
      <c r="EVL94" s="201"/>
      <c r="EVM94" s="201"/>
      <c r="EVN94" s="201"/>
      <c r="EVO94" s="201"/>
      <c r="EVP94" s="201"/>
      <c r="EVQ94" s="201"/>
      <c r="EVR94" s="201"/>
      <c r="EVS94" s="201"/>
      <c r="EVT94" s="201"/>
      <c r="EVU94" s="201"/>
      <c r="EVV94" s="201"/>
      <c r="EVW94" s="201"/>
      <c r="EVX94" s="201"/>
      <c r="EVY94" s="201"/>
      <c r="EVZ94" s="201"/>
      <c r="EWA94" s="201"/>
      <c r="EWB94" s="201"/>
      <c r="EWC94" s="201"/>
      <c r="EWD94" s="201"/>
      <c r="EWE94" s="201"/>
      <c r="EWF94" s="201"/>
      <c r="EWG94" s="201"/>
      <c r="EWH94" s="201"/>
      <c r="EWI94" s="201"/>
      <c r="EWJ94" s="201"/>
      <c r="EWK94" s="201"/>
      <c r="EWL94" s="201"/>
      <c r="EWM94" s="201"/>
      <c r="EWN94" s="201"/>
      <c r="EWO94" s="201"/>
      <c r="EWP94" s="201"/>
      <c r="EWQ94" s="201"/>
      <c r="EWR94" s="201"/>
      <c r="EWS94" s="201"/>
      <c r="EWT94" s="201"/>
      <c r="EWU94" s="201"/>
      <c r="EWV94" s="201"/>
      <c r="EWW94" s="201"/>
      <c r="EWX94" s="201"/>
      <c r="EWY94" s="201"/>
      <c r="EWZ94" s="201"/>
      <c r="EXA94" s="201"/>
      <c r="EXB94" s="201"/>
      <c r="EXC94" s="201"/>
      <c r="EXD94" s="201"/>
      <c r="EXE94" s="201"/>
      <c r="EXF94" s="201"/>
      <c r="EXG94" s="201"/>
      <c r="EXH94" s="201"/>
      <c r="EXI94" s="201"/>
      <c r="EXJ94" s="201"/>
      <c r="EXK94" s="201"/>
      <c r="EXL94" s="201"/>
      <c r="EXM94" s="201"/>
      <c r="EXN94" s="201"/>
      <c r="EXO94" s="201"/>
      <c r="EXP94" s="201"/>
      <c r="EXQ94" s="201"/>
      <c r="EXR94" s="201"/>
      <c r="EXS94" s="201"/>
      <c r="EXT94" s="201"/>
      <c r="EXU94" s="201"/>
      <c r="EXV94" s="201"/>
      <c r="EXW94" s="201"/>
      <c r="EXX94" s="201"/>
      <c r="EXY94" s="201"/>
      <c r="EXZ94" s="201"/>
      <c r="EYA94" s="201"/>
      <c r="EYB94" s="201"/>
      <c r="EYC94" s="201"/>
      <c r="EYD94" s="201"/>
      <c r="EYE94" s="201"/>
      <c r="EYF94" s="201"/>
      <c r="EYG94" s="201"/>
      <c r="EYH94" s="201"/>
      <c r="EYI94" s="201"/>
      <c r="EYJ94" s="201"/>
      <c r="EYK94" s="201"/>
      <c r="EYL94" s="201"/>
      <c r="EYM94" s="201"/>
      <c r="EYN94" s="201"/>
      <c r="EYO94" s="201"/>
      <c r="EYP94" s="201"/>
      <c r="EYQ94" s="201"/>
      <c r="EYR94" s="201"/>
      <c r="EYS94" s="201"/>
      <c r="EYT94" s="201"/>
      <c r="EYU94" s="201"/>
      <c r="EYV94" s="201"/>
      <c r="EYW94" s="201"/>
      <c r="EYX94" s="201"/>
      <c r="EYY94" s="201"/>
      <c r="EYZ94" s="201"/>
      <c r="EZA94" s="201"/>
      <c r="EZB94" s="201"/>
      <c r="EZC94" s="201"/>
      <c r="EZD94" s="201"/>
      <c r="EZE94" s="201"/>
      <c r="EZF94" s="201"/>
      <c r="EZG94" s="201"/>
      <c r="EZH94" s="201"/>
      <c r="EZI94" s="201"/>
      <c r="EZJ94" s="201"/>
      <c r="EZK94" s="201"/>
      <c r="EZL94" s="201"/>
      <c r="EZM94" s="201"/>
      <c r="EZN94" s="201"/>
      <c r="EZO94" s="201"/>
      <c r="EZP94" s="201"/>
      <c r="EZQ94" s="201"/>
      <c r="EZR94" s="201"/>
      <c r="EZS94" s="201"/>
      <c r="EZT94" s="201"/>
      <c r="EZU94" s="201"/>
      <c r="EZV94" s="201"/>
      <c r="EZW94" s="201"/>
      <c r="EZX94" s="201"/>
      <c r="EZY94" s="201"/>
      <c r="EZZ94" s="201"/>
      <c r="FAA94" s="201"/>
      <c r="FAB94" s="201"/>
      <c r="FAC94" s="201"/>
      <c r="FAD94" s="201"/>
      <c r="FAE94" s="201"/>
      <c r="FAF94" s="201"/>
      <c r="FAG94" s="201"/>
      <c r="FAH94" s="201"/>
      <c r="FAI94" s="201"/>
      <c r="FAJ94" s="201"/>
      <c r="FAK94" s="201"/>
      <c r="FAL94" s="201"/>
      <c r="FAM94" s="201"/>
      <c r="FAN94" s="201"/>
      <c r="FAO94" s="201"/>
      <c r="FAP94" s="201"/>
      <c r="FAQ94" s="201"/>
      <c r="FAR94" s="201"/>
      <c r="FAS94" s="201"/>
      <c r="FAT94" s="201"/>
      <c r="FAU94" s="201"/>
      <c r="FAV94" s="201"/>
      <c r="FAW94" s="201"/>
      <c r="FAX94" s="201"/>
      <c r="FAY94" s="201"/>
      <c r="FAZ94" s="201"/>
      <c r="FBA94" s="201"/>
      <c r="FBB94" s="201"/>
      <c r="FBC94" s="201"/>
      <c r="FBD94" s="201"/>
      <c r="FBE94" s="201"/>
      <c r="FBF94" s="201"/>
      <c r="FBG94" s="201"/>
      <c r="FBH94" s="201"/>
      <c r="FBI94" s="201"/>
      <c r="FBJ94" s="201"/>
      <c r="FBK94" s="201"/>
      <c r="FBL94" s="201"/>
      <c r="FBM94" s="201"/>
      <c r="FBN94" s="201"/>
      <c r="FBO94" s="201"/>
      <c r="FBP94" s="201"/>
      <c r="FBQ94" s="201"/>
      <c r="FBR94" s="201"/>
      <c r="FBS94" s="201"/>
      <c r="FBT94" s="201"/>
      <c r="FBU94" s="201"/>
      <c r="FBV94" s="201"/>
      <c r="FBW94" s="201"/>
      <c r="FBX94" s="201"/>
      <c r="FBY94" s="201"/>
      <c r="FBZ94" s="201"/>
      <c r="FCA94" s="201"/>
      <c r="FCB94" s="201"/>
      <c r="FCC94" s="201"/>
      <c r="FCD94" s="201"/>
      <c r="FCE94" s="201"/>
      <c r="FCF94" s="201"/>
      <c r="FCG94" s="201"/>
      <c r="FCH94" s="201"/>
      <c r="FCI94" s="201"/>
      <c r="FCJ94" s="201"/>
      <c r="FCK94" s="201"/>
      <c r="FCL94" s="201"/>
      <c r="FCM94" s="201"/>
      <c r="FCN94" s="201"/>
      <c r="FCO94" s="201"/>
      <c r="FCP94" s="201"/>
      <c r="FCQ94" s="201"/>
      <c r="FCR94" s="201"/>
      <c r="FCS94" s="201"/>
      <c r="FCT94" s="201"/>
      <c r="FCU94" s="201"/>
      <c r="FCV94" s="201"/>
      <c r="FCW94" s="201"/>
      <c r="FCX94" s="201"/>
      <c r="FCY94" s="201"/>
      <c r="FCZ94" s="201"/>
      <c r="FDA94" s="201"/>
      <c r="FDB94" s="201"/>
      <c r="FDC94" s="201"/>
      <c r="FDD94" s="201"/>
      <c r="FDE94" s="201"/>
      <c r="FDF94" s="201"/>
      <c r="FDG94" s="201"/>
      <c r="FDH94" s="201"/>
      <c r="FDI94" s="201"/>
      <c r="FDJ94" s="201"/>
      <c r="FDK94" s="201"/>
      <c r="FDL94" s="201"/>
      <c r="FDM94" s="201"/>
      <c r="FDN94" s="201"/>
      <c r="FDO94" s="201"/>
      <c r="FDP94" s="201"/>
      <c r="FDQ94" s="201"/>
      <c r="FDR94" s="201"/>
      <c r="FDS94" s="201"/>
      <c r="FDT94" s="201"/>
      <c r="FDU94" s="201"/>
      <c r="FDV94" s="201"/>
      <c r="FDW94" s="201"/>
      <c r="FDX94" s="201"/>
      <c r="FDY94" s="201"/>
      <c r="FDZ94" s="201"/>
      <c r="FEA94" s="201"/>
      <c r="FEB94" s="201"/>
      <c r="FEC94" s="201"/>
      <c r="FED94" s="201"/>
      <c r="FEE94" s="201"/>
      <c r="FEF94" s="201"/>
      <c r="FEG94" s="201"/>
      <c r="FEH94" s="201"/>
      <c r="FEI94" s="201"/>
      <c r="FEJ94" s="201"/>
      <c r="FEK94" s="201"/>
      <c r="FEL94" s="201"/>
      <c r="FEM94" s="201"/>
      <c r="FEN94" s="201"/>
      <c r="FEO94" s="201"/>
      <c r="FEP94" s="201"/>
      <c r="FEQ94" s="201"/>
      <c r="FER94" s="201"/>
      <c r="FES94" s="201"/>
      <c r="FET94" s="201"/>
      <c r="FEU94" s="201"/>
      <c r="FEV94" s="201"/>
      <c r="FEW94" s="201"/>
      <c r="FEX94" s="201"/>
      <c r="FEY94" s="201"/>
      <c r="FEZ94" s="201"/>
      <c r="FFA94" s="201"/>
      <c r="FFB94" s="201"/>
      <c r="FFC94" s="201"/>
      <c r="FFD94" s="201"/>
      <c r="FFE94" s="201"/>
      <c r="FFF94" s="201"/>
      <c r="FFG94" s="201"/>
      <c r="FFH94" s="201"/>
      <c r="FFI94" s="201"/>
      <c r="FFJ94" s="201"/>
      <c r="FFK94" s="201"/>
      <c r="FFL94" s="201"/>
      <c r="FFM94" s="201"/>
      <c r="FFN94" s="201"/>
      <c r="FFO94" s="201"/>
      <c r="FFP94" s="201"/>
      <c r="FFQ94" s="201"/>
      <c r="FFR94" s="201"/>
      <c r="FFS94" s="201"/>
      <c r="FFT94" s="201"/>
      <c r="FFU94" s="201"/>
      <c r="FFV94" s="201"/>
      <c r="FFW94" s="201"/>
      <c r="FFX94" s="201"/>
      <c r="FFY94" s="201"/>
      <c r="FFZ94" s="201"/>
      <c r="FGA94" s="201"/>
      <c r="FGB94" s="201"/>
      <c r="FGC94" s="201"/>
      <c r="FGD94" s="201"/>
      <c r="FGE94" s="201"/>
      <c r="FGF94" s="201"/>
      <c r="FGG94" s="201"/>
      <c r="FGH94" s="201"/>
      <c r="FGI94" s="201"/>
      <c r="FGJ94" s="201"/>
      <c r="FGK94" s="201"/>
      <c r="FGL94" s="201"/>
      <c r="FGM94" s="201"/>
      <c r="FGN94" s="201"/>
      <c r="FGO94" s="201"/>
      <c r="FGP94" s="201"/>
      <c r="FGQ94" s="201"/>
      <c r="FGR94" s="201"/>
      <c r="FGS94" s="201"/>
      <c r="FGT94" s="201"/>
      <c r="FGU94" s="201"/>
      <c r="FGV94" s="201"/>
      <c r="FGW94" s="201"/>
      <c r="FGX94" s="201"/>
      <c r="FGY94" s="201"/>
      <c r="FGZ94" s="201"/>
      <c r="FHA94" s="201"/>
      <c r="FHB94" s="201"/>
      <c r="FHC94" s="201"/>
      <c r="FHD94" s="201"/>
      <c r="FHE94" s="201"/>
      <c r="FHF94" s="201"/>
      <c r="FHG94" s="201"/>
      <c r="FHH94" s="201"/>
      <c r="FHI94" s="201"/>
      <c r="FHJ94" s="201"/>
      <c r="FHK94" s="201"/>
      <c r="FHL94" s="201"/>
      <c r="FHM94" s="201"/>
      <c r="FHN94" s="201"/>
      <c r="FHO94" s="201"/>
      <c r="FHP94" s="201"/>
      <c r="FHQ94" s="201"/>
      <c r="FHR94" s="201"/>
      <c r="FHS94" s="201"/>
      <c r="FHT94" s="201"/>
      <c r="FHU94" s="201"/>
      <c r="FHV94" s="201"/>
      <c r="FHW94" s="201"/>
      <c r="FHX94" s="201"/>
      <c r="FHY94" s="201"/>
      <c r="FHZ94" s="201"/>
      <c r="FIA94" s="201"/>
      <c r="FIB94" s="201"/>
      <c r="FIC94" s="201"/>
      <c r="FID94" s="201"/>
      <c r="FIE94" s="201"/>
      <c r="FIF94" s="201"/>
      <c r="FIG94" s="201"/>
      <c r="FIH94" s="201"/>
      <c r="FII94" s="201"/>
      <c r="FIJ94" s="201"/>
      <c r="FIK94" s="201"/>
      <c r="FIL94" s="201"/>
      <c r="FIM94" s="201"/>
      <c r="FIN94" s="201"/>
      <c r="FIO94" s="201"/>
      <c r="FIP94" s="201"/>
      <c r="FIQ94" s="201"/>
      <c r="FIR94" s="201"/>
      <c r="FIS94" s="201"/>
      <c r="FIT94" s="201"/>
      <c r="FIU94" s="201"/>
      <c r="FIV94" s="201"/>
      <c r="FIW94" s="201"/>
      <c r="FIX94" s="201"/>
      <c r="FIY94" s="201"/>
      <c r="FIZ94" s="201"/>
      <c r="FJA94" s="201"/>
      <c r="FJB94" s="201"/>
      <c r="FJC94" s="201"/>
      <c r="FJD94" s="201"/>
      <c r="FJE94" s="201"/>
      <c r="FJF94" s="201"/>
      <c r="FJG94" s="201"/>
      <c r="FJH94" s="201"/>
      <c r="FJI94" s="201"/>
      <c r="FJJ94" s="201"/>
      <c r="FJK94" s="201"/>
      <c r="FJL94" s="201"/>
      <c r="FJM94" s="201"/>
      <c r="FJN94" s="201"/>
      <c r="FJO94" s="201"/>
      <c r="FJP94" s="201"/>
      <c r="FJQ94" s="201"/>
      <c r="FJR94" s="201"/>
      <c r="FJS94" s="201"/>
      <c r="FJT94" s="201"/>
      <c r="FJU94" s="201"/>
      <c r="FJV94" s="201"/>
      <c r="FJW94" s="201"/>
      <c r="FJX94" s="201"/>
      <c r="FJY94" s="201"/>
      <c r="FJZ94" s="201"/>
      <c r="FKA94" s="201"/>
      <c r="FKB94" s="201"/>
      <c r="FKC94" s="201"/>
      <c r="FKD94" s="201"/>
      <c r="FKE94" s="201"/>
      <c r="FKF94" s="201"/>
      <c r="FKG94" s="201"/>
      <c r="FKH94" s="201"/>
      <c r="FKI94" s="201"/>
      <c r="FKJ94" s="201"/>
      <c r="FKK94" s="201"/>
      <c r="FKL94" s="201"/>
      <c r="FKM94" s="201"/>
      <c r="FKN94" s="201"/>
      <c r="FKO94" s="201"/>
      <c r="FKP94" s="201"/>
      <c r="FKQ94" s="201"/>
      <c r="FKR94" s="201"/>
      <c r="FKS94" s="201"/>
      <c r="FKT94" s="201"/>
      <c r="FKU94" s="201"/>
      <c r="FKV94" s="201"/>
      <c r="FKW94" s="201"/>
      <c r="FKX94" s="201"/>
      <c r="FKY94" s="201"/>
      <c r="FKZ94" s="201"/>
      <c r="FLA94" s="201"/>
      <c r="FLB94" s="201"/>
      <c r="FLC94" s="201"/>
      <c r="FLD94" s="201"/>
      <c r="FLE94" s="201"/>
      <c r="FLF94" s="201"/>
      <c r="FLG94" s="201"/>
      <c r="FLH94" s="201"/>
      <c r="FLI94" s="201"/>
      <c r="FLJ94" s="201"/>
      <c r="FLK94" s="201"/>
      <c r="FLL94" s="201"/>
      <c r="FLM94" s="201"/>
      <c r="FLN94" s="201"/>
      <c r="FLO94" s="201"/>
      <c r="FLP94" s="201"/>
      <c r="FLQ94" s="201"/>
      <c r="FLR94" s="201"/>
      <c r="FLS94" s="201"/>
      <c r="FLT94" s="201"/>
      <c r="FLU94" s="201"/>
      <c r="FLV94" s="201"/>
      <c r="FLW94" s="201"/>
      <c r="FLX94" s="201"/>
      <c r="FLY94" s="201"/>
      <c r="FLZ94" s="201"/>
      <c r="FMA94" s="201"/>
      <c r="FMB94" s="201"/>
      <c r="FMC94" s="201"/>
      <c r="FMD94" s="201"/>
      <c r="FME94" s="201"/>
      <c r="FMF94" s="201"/>
      <c r="FMG94" s="201"/>
      <c r="FMH94" s="201"/>
      <c r="FMI94" s="201"/>
      <c r="FMJ94" s="201"/>
      <c r="FMK94" s="201"/>
      <c r="FML94" s="201"/>
      <c r="FMM94" s="201"/>
      <c r="FMN94" s="201"/>
      <c r="FMO94" s="201"/>
      <c r="FMP94" s="201"/>
      <c r="FMQ94" s="201"/>
      <c r="FMR94" s="201"/>
      <c r="FMS94" s="201"/>
      <c r="FMT94" s="201"/>
      <c r="FMU94" s="201"/>
      <c r="FMV94" s="201"/>
      <c r="FMW94" s="201"/>
      <c r="FMX94" s="201"/>
      <c r="FMY94" s="201"/>
      <c r="FMZ94" s="201"/>
      <c r="FNA94" s="201"/>
      <c r="FNB94" s="201"/>
      <c r="FNC94" s="201"/>
      <c r="FND94" s="201"/>
      <c r="FNE94" s="201"/>
      <c r="FNF94" s="201"/>
      <c r="FNG94" s="201"/>
      <c r="FNH94" s="201"/>
      <c r="FNI94" s="201"/>
      <c r="FNJ94" s="201"/>
      <c r="FNK94" s="201"/>
      <c r="FNL94" s="201"/>
      <c r="FNM94" s="201"/>
      <c r="FNN94" s="201"/>
      <c r="FNO94" s="201"/>
      <c r="FNP94" s="201"/>
      <c r="FNQ94" s="201"/>
      <c r="FNR94" s="201"/>
      <c r="FNS94" s="201"/>
      <c r="FNT94" s="201"/>
      <c r="FNU94" s="201"/>
      <c r="FNV94" s="201"/>
      <c r="FNW94" s="201"/>
      <c r="FNX94" s="201"/>
      <c r="FNY94" s="201"/>
      <c r="FNZ94" s="201"/>
      <c r="FOA94" s="201"/>
      <c r="FOB94" s="201"/>
      <c r="FOC94" s="201"/>
      <c r="FOD94" s="201"/>
      <c r="FOE94" s="201"/>
      <c r="FOF94" s="201"/>
      <c r="FOG94" s="201"/>
      <c r="FOH94" s="201"/>
      <c r="FOI94" s="201"/>
      <c r="FOJ94" s="201"/>
      <c r="FOK94" s="201"/>
      <c r="FOL94" s="201"/>
      <c r="FOM94" s="201"/>
      <c r="FON94" s="201"/>
      <c r="FOO94" s="201"/>
      <c r="FOP94" s="201"/>
      <c r="FOQ94" s="201"/>
      <c r="FOR94" s="201"/>
      <c r="FOS94" s="201"/>
      <c r="FOT94" s="201"/>
      <c r="FOU94" s="201"/>
      <c r="FOV94" s="201"/>
      <c r="FOW94" s="201"/>
      <c r="FOX94" s="201"/>
      <c r="FOY94" s="201"/>
      <c r="FOZ94" s="201"/>
      <c r="FPA94" s="201"/>
      <c r="FPB94" s="201"/>
      <c r="FPC94" s="201"/>
      <c r="FPD94" s="201"/>
      <c r="FPE94" s="201"/>
      <c r="FPF94" s="201"/>
      <c r="FPG94" s="201"/>
      <c r="FPH94" s="201"/>
      <c r="FPI94" s="201"/>
      <c r="FPJ94" s="201"/>
      <c r="FPK94" s="201"/>
      <c r="FPL94" s="201"/>
      <c r="FPM94" s="201"/>
      <c r="FPN94" s="201"/>
      <c r="FPO94" s="201"/>
      <c r="FPP94" s="201"/>
      <c r="FPQ94" s="201"/>
      <c r="FPR94" s="201"/>
      <c r="FPS94" s="201"/>
      <c r="FPT94" s="201"/>
      <c r="FPU94" s="201"/>
      <c r="FPV94" s="201"/>
      <c r="FPW94" s="201"/>
      <c r="FPX94" s="201"/>
      <c r="FPY94" s="201"/>
      <c r="FPZ94" s="201"/>
      <c r="FQA94" s="201"/>
      <c r="FQB94" s="201"/>
      <c r="FQC94" s="201"/>
      <c r="FQD94" s="201"/>
      <c r="FQE94" s="201"/>
      <c r="FQF94" s="201"/>
      <c r="FQG94" s="201"/>
      <c r="FQH94" s="201"/>
      <c r="FQI94" s="201"/>
      <c r="FQJ94" s="201"/>
      <c r="FQK94" s="201"/>
      <c r="FQL94" s="201"/>
      <c r="FQM94" s="201"/>
      <c r="FQN94" s="201"/>
      <c r="FQO94" s="201"/>
      <c r="FQP94" s="201"/>
      <c r="FQQ94" s="201"/>
      <c r="FQR94" s="201"/>
      <c r="FQS94" s="201"/>
      <c r="FQT94" s="201"/>
      <c r="FQU94" s="201"/>
      <c r="FQV94" s="201"/>
      <c r="FQW94" s="201"/>
      <c r="FQX94" s="201"/>
      <c r="FQY94" s="201"/>
      <c r="FQZ94" s="201"/>
      <c r="FRA94" s="201"/>
      <c r="FRB94" s="201"/>
      <c r="FRC94" s="201"/>
      <c r="FRD94" s="201"/>
      <c r="FRE94" s="201"/>
      <c r="FRF94" s="201"/>
      <c r="FRG94" s="201"/>
      <c r="FRH94" s="201"/>
      <c r="FRI94" s="201"/>
      <c r="FRJ94" s="201"/>
      <c r="FRK94" s="201"/>
      <c r="FRL94" s="201"/>
      <c r="FRM94" s="201"/>
      <c r="FRN94" s="201"/>
      <c r="FRO94" s="201"/>
      <c r="FRP94" s="201"/>
      <c r="FRQ94" s="201"/>
      <c r="FRR94" s="201"/>
      <c r="FRS94" s="201"/>
      <c r="FRT94" s="201"/>
      <c r="FRU94" s="201"/>
      <c r="FRV94" s="201"/>
      <c r="FRW94" s="201"/>
      <c r="FRX94" s="201"/>
      <c r="FRY94" s="201"/>
      <c r="FRZ94" s="201"/>
      <c r="FSA94" s="201"/>
      <c r="FSB94" s="201"/>
      <c r="FSC94" s="201"/>
      <c r="FSD94" s="201"/>
      <c r="FSE94" s="201"/>
      <c r="FSF94" s="201"/>
      <c r="FSG94" s="201"/>
      <c r="FSH94" s="201"/>
      <c r="FSI94" s="201"/>
      <c r="FSJ94" s="201"/>
      <c r="FSK94" s="201"/>
      <c r="FSL94" s="201"/>
      <c r="FSM94" s="201"/>
      <c r="FSN94" s="201"/>
      <c r="FSO94" s="201"/>
      <c r="FSP94" s="201"/>
      <c r="FSQ94" s="201"/>
      <c r="FSR94" s="201"/>
      <c r="FSS94" s="201"/>
      <c r="FST94" s="201"/>
      <c r="FSU94" s="201"/>
      <c r="FSV94" s="201"/>
      <c r="FSW94" s="201"/>
      <c r="FSX94" s="201"/>
      <c r="FSY94" s="201"/>
      <c r="FSZ94" s="201"/>
      <c r="FTA94" s="201"/>
      <c r="FTB94" s="201"/>
      <c r="FTC94" s="201"/>
      <c r="FTD94" s="201"/>
      <c r="FTE94" s="201"/>
      <c r="FTF94" s="201"/>
      <c r="FTG94" s="201"/>
      <c r="FTH94" s="201"/>
      <c r="FTI94" s="201"/>
      <c r="FTJ94" s="201"/>
      <c r="FTK94" s="201"/>
      <c r="FTL94" s="201"/>
      <c r="FTM94" s="201"/>
      <c r="FTN94" s="201"/>
      <c r="FTO94" s="201"/>
      <c r="FTP94" s="201"/>
      <c r="FTQ94" s="201"/>
      <c r="FTR94" s="201"/>
      <c r="FTS94" s="201"/>
      <c r="FTT94" s="201"/>
      <c r="FTU94" s="201"/>
      <c r="FTV94" s="201"/>
      <c r="FTW94" s="201"/>
      <c r="FTX94" s="201"/>
      <c r="FTY94" s="201"/>
      <c r="FTZ94" s="201"/>
      <c r="FUA94" s="201"/>
      <c r="FUB94" s="201"/>
      <c r="FUC94" s="201"/>
      <c r="FUD94" s="201"/>
      <c r="FUE94" s="201"/>
      <c r="FUF94" s="201"/>
      <c r="FUG94" s="201"/>
      <c r="FUH94" s="201"/>
      <c r="FUI94" s="201"/>
      <c r="FUJ94" s="201"/>
      <c r="FUK94" s="201"/>
      <c r="FUL94" s="201"/>
      <c r="FUM94" s="201"/>
      <c r="FUN94" s="201"/>
      <c r="FUO94" s="201"/>
      <c r="FUP94" s="201"/>
      <c r="FUQ94" s="201"/>
      <c r="FUR94" s="201"/>
      <c r="FUS94" s="201"/>
      <c r="FUT94" s="201"/>
      <c r="FUU94" s="201"/>
      <c r="FUV94" s="201"/>
      <c r="FUW94" s="201"/>
      <c r="FUX94" s="201"/>
      <c r="FUY94" s="201"/>
      <c r="FUZ94" s="201"/>
      <c r="FVA94" s="201"/>
      <c r="FVB94" s="201"/>
      <c r="FVC94" s="201"/>
      <c r="FVD94" s="201"/>
      <c r="FVE94" s="201"/>
      <c r="FVF94" s="201"/>
      <c r="FVG94" s="201"/>
      <c r="FVH94" s="201"/>
      <c r="FVI94" s="201"/>
      <c r="FVJ94" s="201"/>
      <c r="FVK94" s="201"/>
      <c r="FVL94" s="201"/>
      <c r="FVM94" s="201"/>
      <c r="FVN94" s="201"/>
      <c r="FVO94" s="201"/>
      <c r="FVP94" s="201"/>
      <c r="FVQ94" s="201"/>
      <c r="FVR94" s="201"/>
      <c r="FVS94" s="201"/>
      <c r="FVT94" s="201"/>
      <c r="FVU94" s="201"/>
      <c r="FVV94" s="201"/>
      <c r="FVW94" s="201"/>
      <c r="FVX94" s="201"/>
      <c r="FVY94" s="201"/>
      <c r="FVZ94" s="201"/>
      <c r="FWA94" s="201"/>
      <c r="FWB94" s="201"/>
      <c r="FWC94" s="201"/>
      <c r="FWD94" s="201"/>
      <c r="FWE94" s="201"/>
      <c r="FWF94" s="201"/>
      <c r="FWG94" s="201"/>
      <c r="FWH94" s="201"/>
      <c r="FWI94" s="201"/>
      <c r="FWJ94" s="201"/>
      <c r="FWK94" s="201"/>
      <c r="FWL94" s="201"/>
      <c r="FWM94" s="201"/>
      <c r="FWN94" s="201"/>
      <c r="FWO94" s="201"/>
      <c r="FWP94" s="201"/>
      <c r="FWQ94" s="201"/>
      <c r="FWR94" s="201"/>
      <c r="FWS94" s="201"/>
      <c r="FWT94" s="201"/>
      <c r="FWU94" s="201"/>
      <c r="FWV94" s="201"/>
      <c r="FWW94" s="201"/>
      <c r="FWX94" s="201"/>
      <c r="FWY94" s="201"/>
      <c r="FWZ94" s="201"/>
      <c r="FXA94" s="201"/>
      <c r="FXB94" s="201"/>
      <c r="FXC94" s="201"/>
      <c r="FXD94" s="201"/>
      <c r="FXE94" s="201"/>
      <c r="FXF94" s="201"/>
      <c r="FXG94" s="201"/>
      <c r="FXH94" s="201"/>
      <c r="FXI94" s="201"/>
      <c r="FXJ94" s="201"/>
      <c r="FXK94" s="201"/>
      <c r="FXL94" s="201"/>
      <c r="FXM94" s="201"/>
      <c r="FXN94" s="201"/>
      <c r="FXO94" s="201"/>
      <c r="FXP94" s="201"/>
      <c r="FXQ94" s="201"/>
      <c r="FXR94" s="201"/>
      <c r="FXS94" s="201"/>
      <c r="FXT94" s="201"/>
      <c r="FXU94" s="201"/>
      <c r="FXV94" s="201"/>
      <c r="FXW94" s="201"/>
      <c r="FXX94" s="201"/>
      <c r="FXY94" s="201"/>
      <c r="FXZ94" s="201"/>
      <c r="FYA94" s="201"/>
      <c r="FYB94" s="201"/>
      <c r="FYC94" s="201"/>
      <c r="FYD94" s="201"/>
      <c r="FYE94" s="201"/>
      <c r="FYF94" s="201"/>
      <c r="FYG94" s="201"/>
      <c r="FYH94" s="201"/>
      <c r="FYI94" s="201"/>
      <c r="FYJ94" s="201"/>
      <c r="FYK94" s="201"/>
      <c r="FYL94" s="201"/>
      <c r="FYM94" s="201"/>
      <c r="FYN94" s="201"/>
      <c r="FYO94" s="201"/>
      <c r="FYP94" s="201"/>
      <c r="FYQ94" s="201"/>
      <c r="FYR94" s="201"/>
      <c r="FYS94" s="201"/>
      <c r="FYT94" s="201"/>
      <c r="FYU94" s="201"/>
      <c r="FYV94" s="201"/>
      <c r="FYW94" s="201"/>
      <c r="FYX94" s="201"/>
      <c r="FYY94" s="201"/>
      <c r="FYZ94" s="201"/>
      <c r="FZA94" s="201"/>
      <c r="FZB94" s="201"/>
      <c r="FZC94" s="201"/>
      <c r="FZD94" s="201"/>
      <c r="FZE94" s="201"/>
      <c r="FZF94" s="201"/>
      <c r="FZG94" s="201"/>
      <c r="FZH94" s="201"/>
      <c r="FZI94" s="201"/>
      <c r="FZJ94" s="201"/>
      <c r="FZK94" s="201"/>
      <c r="FZL94" s="201"/>
      <c r="FZM94" s="201"/>
      <c r="FZN94" s="201"/>
      <c r="FZO94" s="201"/>
      <c r="FZP94" s="201"/>
      <c r="FZQ94" s="201"/>
      <c r="FZR94" s="201"/>
      <c r="FZS94" s="201"/>
      <c r="FZT94" s="201"/>
      <c r="FZU94" s="201"/>
      <c r="FZV94" s="201"/>
      <c r="FZW94" s="201"/>
      <c r="FZX94" s="201"/>
      <c r="FZY94" s="201"/>
      <c r="FZZ94" s="201"/>
      <c r="GAA94" s="201"/>
      <c r="GAB94" s="201"/>
      <c r="GAC94" s="201"/>
      <c r="GAD94" s="201"/>
      <c r="GAE94" s="201"/>
      <c r="GAF94" s="201"/>
      <c r="GAG94" s="201"/>
      <c r="GAH94" s="201"/>
      <c r="GAI94" s="201"/>
      <c r="GAJ94" s="201"/>
      <c r="GAK94" s="201"/>
      <c r="GAL94" s="201"/>
      <c r="GAM94" s="201"/>
      <c r="GAN94" s="201"/>
      <c r="GAO94" s="201"/>
      <c r="GAP94" s="201"/>
      <c r="GAQ94" s="201"/>
      <c r="GAR94" s="201"/>
      <c r="GAS94" s="201"/>
      <c r="GAT94" s="201"/>
      <c r="GAU94" s="201"/>
      <c r="GAV94" s="201"/>
      <c r="GAW94" s="201"/>
      <c r="GAX94" s="201"/>
      <c r="GAY94" s="201"/>
      <c r="GAZ94" s="201"/>
      <c r="GBA94" s="201"/>
      <c r="GBB94" s="201"/>
      <c r="GBC94" s="201"/>
      <c r="GBD94" s="201"/>
      <c r="GBE94" s="201"/>
      <c r="GBF94" s="201"/>
      <c r="GBG94" s="201"/>
      <c r="GBH94" s="201"/>
      <c r="GBI94" s="201"/>
      <c r="GBJ94" s="201"/>
      <c r="GBK94" s="201"/>
      <c r="GBL94" s="201"/>
      <c r="GBM94" s="201"/>
      <c r="GBN94" s="201"/>
      <c r="GBO94" s="201"/>
      <c r="GBP94" s="201"/>
      <c r="GBQ94" s="201"/>
      <c r="GBR94" s="201"/>
      <c r="GBS94" s="201"/>
      <c r="GBT94" s="201"/>
      <c r="GBU94" s="201"/>
      <c r="GBV94" s="201"/>
      <c r="GBW94" s="201"/>
      <c r="GBX94" s="201"/>
      <c r="GBY94" s="201"/>
      <c r="GBZ94" s="201"/>
      <c r="GCA94" s="201"/>
      <c r="GCB94" s="201"/>
      <c r="GCC94" s="201"/>
      <c r="GCD94" s="201"/>
      <c r="GCE94" s="201"/>
      <c r="GCF94" s="201"/>
      <c r="GCG94" s="201"/>
      <c r="GCH94" s="201"/>
      <c r="GCI94" s="201"/>
      <c r="GCJ94" s="201"/>
      <c r="GCK94" s="201"/>
      <c r="GCL94" s="201"/>
      <c r="GCM94" s="201"/>
      <c r="GCN94" s="201"/>
      <c r="GCO94" s="201"/>
      <c r="GCP94" s="201"/>
      <c r="GCQ94" s="201"/>
      <c r="GCR94" s="201"/>
      <c r="GCS94" s="201"/>
      <c r="GCT94" s="201"/>
      <c r="GCU94" s="201"/>
      <c r="GCV94" s="201"/>
      <c r="GCW94" s="201"/>
      <c r="GCX94" s="201"/>
      <c r="GCY94" s="201"/>
      <c r="GCZ94" s="201"/>
      <c r="GDA94" s="201"/>
      <c r="GDB94" s="201"/>
      <c r="GDC94" s="201"/>
      <c r="GDD94" s="201"/>
      <c r="GDE94" s="201"/>
      <c r="GDF94" s="201"/>
      <c r="GDG94" s="201"/>
      <c r="GDH94" s="201"/>
      <c r="GDI94" s="201"/>
      <c r="GDJ94" s="201"/>
      <c r="GDK94" s="201"/>
      <c r="GDL94" s="201"/>
      <c r="GDM94" s="201"/>
      <c r="GDN94" s="201"/>
      <c r="GDO94" s="201"/>
      <c r="GDP94" s="201"/>
      <c r="GDQ94" s="201"/>
      <c r="GDR94" s="201"/>
      <c r="GDS94" s="201"/>
      <c r="GDT94" s="201"/>
      <c r="GDU94" s="201"/>
      <c r="GDV94" s="201"/>
      <c r="GDW94" s="201"/>
      <c r="GDX94" s="201"/>
      <c r="GDY94" s="201"/>
      <c r="GDZ94" s="201"/>
      <c r="GEA94" s="201"/>
      <c r="GEB94" s="201"/>
      <c r="GEC94" s="201"/>
      <c r="GED94" s="201"/>
      <c r="GEE94" s="201"/>
      <c r="GEF94" s="201"/>
      <c r="GEG94" s="201"/>
      <c r="GEH94" s="201"/>
      <c r="GEI94" s="201"/>
      <c r="GEJ94" s="201"/>
      <c r="GEK94" s="201"/>
      <c r="GEL94" s="201"/>
      <c r="GEM94" s="201"/>
      <c r="GEN94" s="201"/>
      <c r="GEO94" s="201"/>
      <c r="GEP94" s="201"/>
      <c r="GEQ94" s="201"/>
      <c r="GER94" s="201"/>
      <c r="GES94" s="201"/>
      <c r="GET94" s="201"/>
      <c r="GEU94" s="201"/>
      <c r="GEV94" s="201"/>
      <c r="GEW94" s="201"/>
      <c r="GEX94" s="201"/>
      <c r="GEY94" s="201"/>
      <c r="GEZ94" s="201"/>
      <c r="GFA94" s="201"/>
      <c r="GFB94" s="201"/>
      <c r="GFC94" s="201"/>
      <c r="GFD94" s="201"/>
      <c r="GFE94" s="201"/>
      <c r="GFF94" s="201"/>
      <c r="GFG94" s="201"/>
      <c r="GFH94" s="201"/>
      <c r="GFI94" s="201"/>
      <c r="GFJ94" s="201"/>
      <c r="GFK94" s="201"/>
      <c r="GFL94" s="201"/>
      <c r="GFM94" s="201"/>
      <c r="GFN94" s="201"/>
      <c r="GFO94" s="201"/>
      <c r="GFP94" s="201"/>
      <c r="GFQ94" s="201"/>
      <c r="GFR94" s="201"/>
      <c r="GFS94" s="201"/>
      <c r="GFT94" s="201"/>
      <c r="GFU94" s="201"/>
      <c r="GFV94" s="201"/>
      <c r="GFW94" s="201"/>
      <c r="GFX94" s="201"/>
      <c r="GFY94" s="201"/>
      <c r="GFZ94" s="201"/>
      <c r="GGA94" s="201"/>
      <c r="GGB94" s="201"/>
      <c r="GGC94" s="201"/>
      <c r="GGD94" s="201"/>
      <c r="GGE94" s="201"/>
      <c r="GGF94" s="201"/>
      <c r="GGG94" s="201"/>
      <c r="GGH94" s="201"/>
      <c r="GGI94" s="201"/>
      <c r="GGJ94" s="201"/>
      <c r="GGK94" s="201"/>
      <c r="GGL94" s="201"/>
      <c r="GGM94" s="201"/>
      <c r="GGN94" s="201"/>
      <c r="GGO94" s="201"/>
      <c r="GGP94" s="201"/>
      <c r="GGQ94" s="201"/>
      <c r="GGR94" s="201"/>
      <c r="GGS94" s="201"/>
      <c r="GGT94" s="201"/>
      <c r="GGU94" s="201"/>
      <c r="GGV94" s="201"/>
      <c r="GGW94" s="201"/>
      <c r="GGX94" s="201"/>
      <c r="GGY94" s="201"/>
      <c r="GGZ94" s="201"/>
      <c r="GHA94" s="201"/>
      <c r="GHB94" s="201"/>
      <c r="GHC94" s="201"/>
      <c r="GHD94" s="201"/>
      <c r="GHE94" s="201"/>
      <c r="GHF94" s="201"/>
      <c r="GHG94" s="201"/>
      <c r="GHH94" s="201"/>
      <c r="GHI94" s="201"/>
      <c r="GHJ94" s="201"/>
      <c r="GHK94" s="201"/>
      <c r="GHL94" s="201"/>
      <c r="GHM94" s="201"/>
      <c r="GHN94" s="201"/>
      <c r="GHO94" s="201"/>
      <c r="GHP94" s="201"/>
      <c r="GHQ94" s="201"/>
      <c r="GHR94" s="201"/>
      <c r="GHS94" s="201"/>
      <c r="GHT94" s="201"/>
      <c r="GHU94" s="201"/>
      <c r="GHV94" s="201"/>
      <c r="GHW94" s="201"/>
      <c r="GHX94" s="201"/>
      <c r="GHY94" s="201"/>
      <c r="GHZ94" s="201"/>
      <c r="GIA94" s="201"/>
      <c r="GIB94" s="201"/>
      <c r="GIC94" s="201"/>
      <c r="GID94" s="201"/>
      <c r="GIE94" s="201"/>
      <c r="GIF94" s="201"/>
      <c r="GIG94" s="201"/>
      <c r="GIH94" s="201"/>
      <c r="GII94" s="201"/>
      <c r="GIJ94" s="201"/>
      <c r="GIK94" s="201"/>
      <c r="GIL94" s="201"/>
      <c r="GIM94" s="201"/>
      <c r="GIN94" s="201"/>
      <c r="GIO94" s="201"/>
      <c r="GIP94" s="201"/>
      <c r="GIQ94" s="201"/>
      <c r="GIR94" s="201"/>
      <c r="GIS94" s="201"/>
      <c r="GIT94" s="201"/>
      <c r="GIU94" s="201"/>
      <c r="GIV94" s="201"/>
      <c r="GIW94" s="201"/>
      <c r="GIX94" s="201"/>
      <c r="GIY94" s="201"/>
      <c r="GIZ94" s="201"/>
      <c r="GJA94" s="201"/>
      <c r="GJB94" s="201"/>
      <c r="GJC94" s="201"/>
      <c r="GJD94" s="201"/>
      <c r="GJE94" s="201"/>
      <c r="GJF94" s="201"/>
      <c r="GJG94" s="201"/>
      <c r="GJH94" s="201"/>
      <c r="GJI94" s="201"/>
      <c r="GJJ94" s="201"/>
      <c r="GJK94" s="201"/>
      <c r="GJL94" s="201"/>
      <c r="GJM94" s="201"/>
      <c r="GJN94" s="201"/>
      <c r="GJO94" s="201"/>
      <c r="GJP94" s="201"/>
      <c r="GJQ94" s="201"/>
      <c r="GJR94" s="201"/>
      <c r="GJS94" s="201"/>
      <c r="GJT94" s="201"/>
      <c r="GJU94" s="201"/>
      <c r="GJV94" s="201"/>
      <c r="GJW94" s="201"/>
      <c r="GJX94" s="201"/>
      <c r="GJY94" s="201"/>
      <c r="GJZ94" s="201"/>
      <c r="GKA94" s="201"/>
      <c r="GKB94" s="201"/>
      <c r="GKC94" s="201"/>
      <c r="GKD94" s="201"/>
      <c r="GKE94" s="201"/>
      <c r="GKF94" s="201"/>
      <c r="GKG94" s="201"/>
      <c r="GKH94" s="201"/>
      <c r="GKI94" s="201"/>
      <c r="GKJ94" s="201"/>
      <c r="GKK94" s="201"/>
      <c r="GKL94" s="201"/>
      <c r="GKM94" s="201"/>
      <c r="GKN94" s="201"/>
      <c r="GKO94" s="201"/>
      <c r="GKP94" s="201"/>
      <c r="GKQ94" s="201"/>
      <c r="GKR94" s="201"/>
      <c r="GKS94" s="201"/>
      <c r="GKT94" s="201"/>
      <c r="GKU94" s="201"/>
      <c r="GKV94" s="201"/>
      <c r="GKW94" s="201"/>
      <c r="GKX94" s="201"/>
      <c r="GKY94" s="201"/>
      <c r="GKZ94" s="201"/>
      <c r="GLA94" s="201"/>
      <c r="GLB94" s="201"/>
      <c r="GLC94" s="201"/>
      <c r="GLD94" s="201"/>
      <c r="GLE94" s="201"/>
      <c r="GLF94" s="201"/>
      <c r="GLG94" s="201"/>
      <c r="GLH94" s="201"/>
      <c r="GLI94" s="201"/>
      <c r="GLJ94" s="201"/>
      <c r="GLK94" s="201"/>
      <c r="GLL94" s="201"/>
      <c r="GLM94" s="201"/>
      <c r="GLN94" s="201"/>
      <c r="GLO94" s="201"/>
      <c r="GLP94" s="201"/>
      <c r="GLQ94" s="201"/>
      <c r="GLR94" s="201"/>
      <c r="GLS94" s="201"/>
      <c r="GLT94" s="201"/>
      <c r="GLU94" s="201"/>
      <c r="GLV94" s="201"/>
      <c r="GLW94" s="201"/>
      <c r="GLX94" s="201"/>
      <c r="GLY94" s="201"/>
      <c r="GLZ94" s="201"/>
      <c r="GMA94" s="201"/>
      <c r="GMB94" s="201"/>
      <c r="GMC94" s="201"/>
      <c r="GMD94" s="201"/>
      <c r="GME94" s="201"/>
      <c r="GMF94" s="201"/>
      <c r="GMG94" s="201"/>
      <c r="GMH94" s="201"/>
      <c r="GMI94" s="201"/>
      <c r="GMJ94" s="201"/>
      <c r="GMK94" s="201"/>
      <c r="GML94" s="201"/>
      <c r="GMM94" s="201"/>
      <c r="GMN94" s="201"/>
      <c r="GMO94" s="201"/>
      <c r="GMP94" s="201"/>
      <c r="GMQ94" s="201"/>
      <c r="GMR94" s="201"/>
      <c r="GMS94" s="201"/>
      <c r="GMT94" s="201"/>
      <c r="GMU94" s="201"/>
      <c r="GMV94" s="201"/>
      <c r="GMW94" s="201"/>
      <c r="GMX94" s="201"/>
      <c r="GMY94" s="201"/>
      <c r="GMZ94" s="201"/>
      <c r="GNA94" s="201"/>
      <c r="GNB94" s="201"/>
      <c r="GNC94" s="201"/>
      <c r="GND94" s="201"/>
      <c r="GNE94" s="201"/>
      <c r="GNF94" s="201"/>
      <c r="GNG94" s="201"/>
      <c r="GNH94" s="201"/>
      <c r="GNI94" s="201"/>
      <c r="GNJ94" s="201"/>
      <c r="GNK94" s="201"/>
      <c r="GNL94" s="201"/>
      <c r="GNM94" s="201"/>
      <c r="GNN94" s="201"/>
      <c r="GNO94" s="201"/>
      <c r="GNP94" s="201"/>
      <c r="GNQ94" s="201"/>
      <c r="GNR94" s="201"/>
      <c r="GNS94" s="201"/>
      <c r="GNT94" s="201"/>
      <c r="GNU94" s="201"/>
      <c r="GNV94" s="201"/>
      <c r="GNW94" s="201"/>
      <c r="GNX94" s="201"/>
      <c r="GNY94" s="201"/>
      <c r="GNZ94" s="201"/>
      <c r="GOA94" s="201"/>
      <c r="GOB94" s="201"/>
      <c r="GOC94" s="201"/>
      <c r="GOD94" s="201"/>
      <c r="GOE94" s="201"/>
      <c r="GOF94" s="201"/>
      <c r="GOG94" s="201"/>
      <c r="GOH94" s="201"/>
      <c r="GOI94" s="201"/>
      <c r="GOJ94" s="201"/>
      <c r="GOK94" s="201"/>
      <c r="GOL94" s="201"/>
      <c r="GOM94" s="201"/>
      <c r="GON94" s="201"/>
      <c r="GOO94" s="201"/>
      <c r="GOP94" s="201"/>
      <c r="GOQ94" s="201"/>
      <c r="GOR94" s="201"/>
      <c r="GOS94" s="201"/>
      <c r="GOT94" s="201"/>
      <c r="GOU94" s="201"/>
      <c r="GOV94" s="201"/>
      <c r="GOW94" s="201"/>
      <c r="GOX94" s="201"/>
      <c r="GOY94" s="201"/>
      <c r="GOZ94" s="201"/>
      <c r="GPA94" s="201"/>
      <c r="GPB94" s="201"/>
      <c r="GPC94" s="201"/>
      <c r="GPD94" s="201"/>
      <c r="GPE94" s="201"/>
      <c r="GPF94" s="201"/>
      <c r="GPG94" s="201"/>
      <c r="GPH94" s="201"/>
      <c r="GPI94" s="201"/>
      <c r="GPJ94" s="201"/>
      <c r="GPK94" s="201"/>
      <c r="GPL94" s="201"/>
      <c r="GPM94" s="201"/>
      <c r="GPN94" s="201"/>
      <c r="GPO94" s="201"/>
      <c r="GPP94" s="201"/>
      <c r="GPQ94" s="201"/>
      <c r="GPR94" s="201"/>
      <c r="GPS94" s="201"/>
      <c r="GPT94" s="201"/>
      <c r="GPU94" s="201"/>
      <c r="GPV94" s="201"/>
      <c r="GPW94" s="201"/>
      <c r="GPX94" s="201"/>
      <c r="GPY94" s="201"/>
      <c r="GPZ94" s="201"/>
      <c r="GQA94" s="201"/>
      <c r="GQB94" s="201"/>
      <c r="GQC94" s="201"/>
      <c r="GQD94" s="201"/>
      <c r="GQE94" s="201"/>
      <c r="GQF94" s="201"/>
      <c r="GQG94" s="201"/>
      <c r="GQH94" s="201"/>
      <c r="GQI94" s="201"/>
      <c r="GQJ94" s="201"/>
      <c r="GQK94" s="201"/>
      <c r="GQL94" s="201"/>
      <c r="GQM94" s="201"/>
      <c r="GQN94" s="201"/>
      <c r="GQO94" s="201"/>
      <c r="GQP94" s="201"/>
      <c r="GQQ94" s="201"/>
      <c r="GQR94" s="201"/>
      <c r="GQS94" s="201"/>
      <c r="GQT94" s="201"/>
      <c r="GQU94" s="201"/>
      <c r="GQV94" s="201"/>
      <c r="GQW94" s="201"/>
      <c r="GQX94" s="201"/>
      <c r="GQY94" s="201"/>
      <c r="GQZ94" s="201"/>
      <c r="GRA94" s="201"/>
      <c r="GRB94" s="201"/>
      <c r="GRC94" s="201"/>
      <c r="GRD94" s="201"/>
      <c r="GRE94" s="201"/>
      <c r="GRF94" s="201"/>
      <c r="GRG94" s="201"/>
      <c r="GRH94" s="201"/>
      <c r="GRI94" s="201"/>
      <c r="GRJ94" s="201"/>
      <c r="GRK94" s="201"/>
      <c r="GRL94" s="201"/>
      <c r="GRM94" s="201"/>
      <c r="GRN94" s="201"/>
      <c r="GRO94" s="201"/>
      <c r="GRP94" s="201"/>
      <c r="GRQ94" s="201"/>
      <c r="GRR94" s="201"/>
      <c r="GRS94" s="201"/>
      <c r="GRT94" s="201"/>
      <c r="GRU94" s="201"/>
      <c r="GRV94" s="201"/>
      <c r="GRW94" s="201"/>
      <c r="GRX94" s="201"/>
      <c r="GRY94" s="201"/>
      <c r="GRZ94" s="201"/>
      <c r="GSA94" s="201"/>
      <c r="GSB94" s="201"/>
      <c r="GSC94" s="201"/>
      <c r="GSD94" s="201"/>
      <c r="GSE94" s="201"/>
      <c r="GSF94" s="201"/>
      <c r="GSG94" s="201"/>
      <c r="GSH94" s="201"/>
      <c r="GSI94" s="201"/>
      <c r="GSJ94" s="201"/>
      <c r="GSK94" s="201"/>
      <c r="GSL94" s="201"/>
      <c r="GSM94" s="201"/>
      <c r="GSN94" s="201"/>
      <c r="GSO94" s="201"/>
      <c r="GSP94" s="201"/>
      <c r="GSQ94" s="201"/>
      <c r="GSR94" s="201"/>
      <c r="GSS94" s="201"/>
      <c r="GST94" s="201"/>
      <c r="GSU94" s="201"/>
      <c r="GSV94" s="201"/>
      <c r="GSW94" s="201"/>
      <c r="GSX94" s="201"/>
      <c r="GSY94" s="201"/>
      <c r="GSZ94" s="201"/>
      <c r="GTA94" s="201"/>
      <c r="GTB94" s="201"/>
      <c r="GTC94" s="201"/>
      <c r="GTD94" s="201"/>
      <c r="GTE94" s="201"/>
      <c r="GTF94" s="201"/>
      <c r="GTG94" s="201"/>
      <c r="GTH94" s="201"/>
      <c r="GTI94" s="201"/>
      <c r="GTJ94" s="201"/>
      <c r="GTK94" s="201"/>
      <c r="GTL94" s="201"/>
      <c r="GTM94" s="201"/>
      <c r="GTN94" s="201"/>
      <c r="GTO94" s="201"/>
      <c r="GTP94" s="201"/>
      <c r="GTQ94" s="201"/>
      <c r="GTR94" s="201"/>
      <c r="GTS94" s="201"/>
      <c r="GTT94" s="201"/>
      <c r="GTU94" s="201"/>
      <c r="GTV94" s="201"/>
      <c r="GTW94" s="201"/>
      <c r="GTX94" s="201"/>
      <c r="GTY94" s="201"/>
      <c r="GTZ94" s="201"/>
      <c r="GUA94" s="201"/>
      <c r="GUB94" s="201"/>
      <c r="GUC94" s="201"/>
      <c r="GUD94" s="201"/>
      <c r="GUE94" s="201"/>
      <c r="GUF94" s="201"/>
      <c r="GUG94" s="201"/>
      <c r="GUH94" s="201"/>
      <c r="GUI94" s="201"/>
      <c r="GUJ94" s="201"/>
      <c r="GUK94" s="201"/>
      <c r="GUL94" s="201"/>
      <c r="GUM94" s="201"/>
      <c r="GUN94" s="201"/>
      <c r="GUO94" s="201"/>
      <c r="GUP94" s="201"/>
      <c r="GUQ94" s="201"/>
      <c r="GUR94" s="201"/>
      <c r="GUS94" s="201"/>
      <c r="GUT94" s="201"/>
      <c r="GUU94" s="201"/>
      <c r="GUV94" s="201"/>
      <c r="GUW94" s="201"/>
      <c r="GUX94" s="201"/>
      <c r="GUY94" s="201"/>
      <c r="GUZ94" s="201"/>
      <c r="GVA94" s="201"/>
      <c r="GVB94" s="201"/>
      <c r="GVC94" s="201"/>
      <c r="GVD94" s="201"/>
      <c r="GVE94" s="201"/>
      <c r="GVF94" s="201"/>
      <c r="GVG94" s="201"/>
      <c r="GVH94" s="201"/>
      <c r="GVI94" s="201"/>
      <c r="GVJ94" s="201"/>
      <c r="GVK94" s="201"/>
      <c r="GVL94" s="201"/>
      <c r="GVM94" s="201"/>
      <c r="GVN94" s="201"/>
      <c r="GVO94" s="201"/>
      <c r="GVP94" s="201"/>
      <c r="GVQ94" s="201"/>
      <c r="GVR94" s="201"/>
      <c r="GVS94" s="201"/>
      <c r="GVT94" s="201"/>
      <c r="GVU94" s="201"/>
      <c r="GVV94" s="201"/>
      <c r="GVW94" s="201"/>
      <c r="GVX94" s="201"/>
      <c r="GVY94" s="201"/>
      <c r="GVZ94" s="201"/>
      <c r="GWA94" s="201"/>
      <c r="GWB94" s="201"/>
      <c r="GWC94" s="201"/>
      <c r="GWD94" s="201"/>
      <c r="GWE94" s="201"/>
      <c r="GWF94" s="201"/>
      <c r="GWG94" s="201"/>
      <c r="GWH94" s="201"/>
      <c r="GWI94" s="201"/>
      <c r="GWJ94" s="201"/>
      <c r="GWK94" s="201"/>
      <c r="GWL94" s="201"/>
      <c r="GWM94" s="201"/>
      <c r="GWN94" s="201"/>
      <c r="GWO94" s="201"/>
      <c r="GWP94" s="201"/>
      <c r="GWQ94" s="201"/>
      <c r="GWR94" s="201"/>
      <c r="GWS94" s="201"/>
      <c r="GWT94" s="201"/>
      <c r="GWU94" s="201"/>
      <c r="GWV94" s="201"/>
      <c r="GWW94" s="201"/>
      <c r="GWX94" s="201"/>
      <c r="GWY94" s="201"/>
      <c r="GWZ94" s="201"/>
      <c r="GXA94" s="201"/>
      <c r="GXB94" s="201"/>
      <c r="GXC94" s="201"/>
      <c r="GXD94" s="201"/>
      <c r="GXE94" s="201"/>
      <c r="GXF94" s="201"/>
      <c r="GXG94" s="201"/>
      <c r="GXH94" s="201"/>
      <c r="GXI94" s="201"/>
      <c r="GXJ94" s="201"/>
      <c r="GXK94" s="201"/>
      <c r="GXL94" s="201"/>
      <c r="GXM94" s="201"/>
      <c r="GXN94" s="201"/>
      <c r="GXO94" s="201"/>
      <c r="GXP94" s="201"/>
      <c r="GXQ94" s="201"/>
      <c r="GXR94" s="201"/>
      <c r="GXS94" s="201"/>
      <c r="GXT94" s="201"/>
      <c r="GXU94" s="201"/>
      <c r="GXV94" s="201"/>
      <c r="GXW94" s="201"/>
      <c r="GXX94" s="201"/>
      <c r="GXY94" s="201"/>
      <c r="GXZ94" s="201"/>
      <c r="GYA94" s="201"/>
      <c r="GYB94" s="201"/>
      <c r="GYC94" s="201"/>
      <c r="GYD94" s="201"/>
      <c r="GYE94" s="201"/>
      <c r="GYF94" s="201"/>
      <c r="GYG94" s="201"/>
      <c r="GYH94" s="201"/>
      <c r="GYI94" s="201"/>
      <c r="GYJ94" s="201"/>
      <c r="GYK94" s="201"/>
      <c r="GYL94" s="201"/>
      <c r="GYM94" s="201"/>
      <c r="GYN94" s="201"/>
      <c r="GYO94" s="201"/>
      <c r="GYP94" s="201"/>
      <c r="GYQ94" s="201"/>
      <c r="GYR94" s="201"/>
      <c r="GYS94" s="201"/>
      <c r="GYT94" s="201"/>
      <c r="GYU94" s="201"/>
      <c r="GYV94" s="201"/>
      <c r="GYW94" s="201"/>
      <c r="GYX94" s="201"/>
      <c r="GYY94" s="201"/>
      <c r="GYZ94" s="201"/>
      <c r="GZA94" s="201"/>
      <c r="GZB94" s="201"/>
      <c r="GZC94" s="201"/>
      <c r="GZD94" s="201"/>
      <c r="GZE94" s="201"/>
      <c r="GZF94" s="201"/>
      <c r="GZG94" s="201"/>
      <c r="GZH94" s="201"/>
      <c r="GZI94" s="201"/>
      <c r="GZJ94" s="201"/>
      <c r="GZK94" s="201"/>
      <c r="GZL94" s="201"/>
      <c r="GZM94" s="201"/>
      <c r="GZN94" s="201"/>
      <c r="GZO94" s="201"/>
      <c r="GZP94" s="201"/>
      <c r="GZQ94" s="201"/>
      <c r="GZR94" s="201"/>
      <c r="GZS94" s="201"/>
      <c r="GZT94" s="201"/>
      <c r="GZU94" s="201"/>
      <c r="GZV94" s="201"/>
      <c r="GZW94" s="201"/>
      <c r="GZX94" s="201"/>
      <c r="GZY94" s="201"/>
      <c r="GZZ94" s="201"/>
      <c r="HAA94" s="201"/>
      <c r="HAB94" s="201"/>
      <c r="HAC94" s="201"/>
      <c r="HAD94" s="201"/>
      <c r="HAE94" s="201"/>
      <c r="HAF94" s="201"/>
      <c r="HAG94" s="201"/>
      <c r="HAH94" s="201"/>
      <c r="HAI94" s="201"/>
      <c r="HAJ94" s="201"/>
      <c r="HAK94" s="201"/>
      <c r="HAL94" s="201"/>
      <c r="HAM94" s="201"/>
      <c r="HAN94" s="201"/>
      <c r="HAO94" s="201"/>
      <c r="HAP94" s="201"/>
      <c r="HAQ94" s="201"/>
      <c r="HAR94" s="201"/>
      <c r="HAS94" s="201"/>
      <c r="HAT94" s="201"/>
      <c r="HAU94" s="201"/>
      <c r="HAV94" s="201"/>
      <c r="HAW94" s="201"/>
      <c r="HAX94" s="201"/>
      <c r="HAY94" s="201"/>
      <c r="HAZ94" s="201"/>
      <c r="HBA94" s="201"/>
      <c r="HBB94" s="201"/>
      <c r="HBC94" s="201"/>
      <c r="HBD94" s="201"/>
      <c r="HBE94" s="201"/>
      <c r="HBF94" s="201"/>
      <c r="HBG94" s="201"/>
      <c r="HBH94" s="201"/>
      <c r="HBI94" s="201"/>
      <c r="HBJ94" s="201"/>
      <c r="HBK94" s="201"/>
      <c r="HBL94" s="201"/>
      <c r="HBM94" s="201"/>
      <c r="HBN94" s="201"/>
      <c r="HBO94" s="201"/>
      <c r="HBP94" s="201"/>
      <c r="HBQ94" s="201"/>
      <c r="HBR94" s="201"/>
      <c r="HBS94" s="201"/>
      <c r="HBT94" s="201"/>
      <c r="HBU94" s="201"/>
      <c r="HBV94" s="201"/>
      <c r="HBW94" s="201"/>
      <c r="HBX94" s="201"/>
      <c r="HBY94" s="201"/>
      <c r="HBZ94" s="201"/>
      <c r="HCA94" s="201"/>
      <c r="HCB94" s="201"/>
      <c r="HCC94" s="201"/>
      <c r="HCD94" s="201"/>
      <c r="HCE94" s="201"/>
      <c r="HCF94" s="201"/>
      <c r="HCG94" s="201"/>
      <c r="HCH94" s="201"/>
      <c r="HCI94" s="201"/>
      <c r="HCJ94" s="201"/>
      <c r="HCK94" s="201"/>
      <c r="HCL94" s="201"/>
      <c r="HCM94" s="201"/>
      <c r="HCN94" s="201"/>
      <c r="HCO94" s="201"/>
      <c r="HCP94" s="201"/>
      <c r="HCQ94" s="201"/>
      <c r="HCR94" s="201"/>
      <c r="HCS94" s="201"/>
      <c r="HCT94" s="201"/>
      <c r="HCU94" s="201"/>
      <c r="HCV94" s="201"/>
      <c r="HCW94" s="201"/>
      <c r="HCX94" s="201"/>
      <c r="HCY94" s="201"/>
      <c r="HCZ94" s="201"/>
      <c r="HDA94" s="201"/>
      <c r="HDB94" s="201"/>
      <c r="HDC94" s="201"/>
      <c r="HDD94" s="201"/>
      <c r="HDE94" s="201"/>
      <c r="HDF94" s="201"/>
      <c r="HDG94" s="201"/>
      <c r="HDH94" s="201"/>
      <c r="HDI94" s="201"/>
      <c r="HDJ94" s="201"/>
      <c r="HDK94" s="201"/>
      <c r="HDL94" s="201"/>
      <c r="HDM94" s="201"/>
      <c r="HDN94" s="201"/>
      <c r="HDO94" s="201"/>
      <c r="HDP94" s="201"/>
      <c r="HDQ94" s="201"/>
      <c r="HDR94" s="201"/>
      <c r="HDS94" s="201"/>
      <c r="HDT94" s="201"/>
      <c r="HDU94" s="201"/>
      <c r="HDV94" s="201"/>
      <c r="HDW94" s="201"/>
      <c r="HDX94" s="201"/>
      <c r="HDY94" s="201"/>
      <c r="HDZ94" s="201"/>
      <c r="HEA94" s="201"/>
      <c r="HEB94" s="201"/>
      <c r="HEC94" s="201"/>
      <c r="HED94" s="201"/>
      <c r="HEE94" s="201"/>
      <c r="HEF94" s="201"/>
      <c r="HEG94" s="201"/>
      <c r="HEH94" s="201"/>
      <c r="HEI94" s="201"/>
      <c r="HEJ94" s="201"/>
      <c r="HEK94" s="201"/>
      <c r="HEL94" s="201"/>
      <c r="HEM94" s="201"/>
      <c r="HEN94" s="201"/>
      <c r="HEO94" s="201"/>
      <c r="HEP94" s="201"/>
      <c r="HEQ94" s="201"/>
      <c r="HER94" s="201"/>
      <c r="HES94" s="201"/>
      <c r="HET94" s="201"/>
      <c r="HEU94" s="201"/>
      <c r="HEV94" s="201"/>
      <c r="HEW94" s="201"/>
      <c r="HEX94" s="201"/>
      <c r="HEY94" s="201"/>
      <c r="HEZ94" s="201"/>
      <c r="HFA94" s="201"/>
      <c r="HFB94" s="201"/>
      <c r="HFC94" s="201"/>
      <c r="HFD94" s="201"/>
      <c r="HFE94" s="201"/>
      <c r="HFF94" s="201"/>
      <c r="HFG94" s="201"/>
      <c r="HFH94" s="201"/>
      <c r="HFI94" s="201"/>
      <c r="HFJ94" s="201"/>
      <c r="HFK94" s="201"/>
      <c r="HFL94" s="201"/>
      <c r="HFM94" s="201"/>
      <c r="HFN94" s="201"/>
      <c r="HFO94" s="201"/>
      <c r="HFP94" s="201"/>
      <c r="HFQ94" s="201"/>
      <c r="HFR94" s="201"/>
      <c r="HFS94" s="201"/>
      <c r="HFT94" s="201"/>
      <c r="HFU94" s="201"/>
      <c r="HFV94" s="201"/>
      <c r="HFW94" s="201"/>
      <c r="HFX94" s="201"/>
      <c r="HFY94" s="201"/>
      <c r="HFZ94" s="201"/>
      <c r="HGA94" s="201"/>
      <c r="HGB94" s="201"/>
      <c r="HGC94" s="201"/>
      <c r="HGD94" s="201"/>
      <c r="HGE94" s="201"/>
      <c r="HGF94" s="201"/>
      <c r="HGG94" s="201"/>
      <c r="HGH94" s="201"/>
      <c r="HGI94" s="201"/>
      <c r="HGJ94" s="201"/>
      <c r="HGK94" s="201"/>
      <c r="HGL94" s="201"/>
      <c r="HGM94" s="201"/>
      <c r="HGN94" s="201"/>
      <c r="HGO94" s="201"/>
      <c r="HGP94" s="201"/>
      <c r="HGQ94" s="201"/>
      <c r="HGR94" s="201"/>
      <c r="HGS94" s="201"/>
      <c r="HGT94" s="201"/>
      <c r="HGU94" s="201"/>
      <c r="HGV94" s="201"/>
      <c r="HGW94" s="201"/>
      <c r="HGX94" s="201"/>
      <c r="HGY94" s="201"/>
      <c r="HGZ94" s="201"/>
      <c r="HHA94" s="201"/>
      <c r="HHB94" s="201"/>
      <c r="HHC94" s="201"/>
      <c r="HHD94" s="201"/>
      <c r="HHE94" s="201"/>
      <c r="HHF94" s="201"/>
      <c r="HHG94" s="201"/>
      <c r="HHH94" s="201"/>
      <c r="HHI94" s="201"/>
      <c r="HHJ94" s="201"/>
      <c r="HHK94" s="201"/>
      <c r="HHL94" s="201"/>
      <c r="HHM94" s="201"/>
      <c r="HHN94" s="201"/>
      <c r="HHO94" s="201"/>
      <c r="HHP94" s="201"/>
      <c r="HHQ94" s="201"/>
      <c r="HHR94" s="201"/>
      <c r="HHS94" s="201"/>
      <c r="HHT94" s="201"/>
      <c r="HHU94" s="201"/>
      <c r="HHV94" s="201"/>
      <c r="HHW94" s="201"/>
      <c r="HHX94" s="201"/>
      <c r="HHY94" s="201"/>
      <c r="HHZ94" s="201"/>
      <c r="HIA94" s="201"/>
      <c r="HIB94" s="201"/>
      <c r="HIC94" s="201"/>
      <c r="HID94" s="201"/>
      <c r="HIE94" s="201"/>
      <c r="HIF94" s="201"/>
      <c r="HIG94" s="201"/>
      <c r="HIH94" s="201"/>
      <c r="HII94" s="201"/>
      <c r="HIJ94" s="201"/>
      <c r="HIK94" s="201"/>
      <c r="HIL94" s="201"/>
      <c r="HIM94" s="201"/>
      <c r="HIN94" s="201"/>
      <c r="HIO94" s="201"/>
      <c r="HIP94" s="201"/>
      <c r="HIQ94" s="201"/>
      <c r="HIR94" s="201"/>
      <c r="HIS94" s="201"/>
      <c r="HIT94" s="201"/>
      <c r="HIU94" s="201"/>
      <c r="HIV94" s="201"/>
      <c r="HIW94" s="201"/>
      <c r="HIX94" s="201"/>
      <c r="HIY94" s="201"/>
      <c r="HIZ94" s="201"/>
      <c r="HJA94" s="201"/>
      <c r="HJB94" s="201"/>
      <c r="HJC94" s="201"/>
      <c r="HJD94" s="201"/>
      <c r="HJE94" s="201"/>
      <c r="HJF94" s="201"/>
      <c r="HJG94" s="201"/>
      <c r="HJH94" s="201"/>
      <c r="HJI94" s="201"/>
      <c r="HJJ94" s="201"/>
      <c r="HJK94" s="201"/>
      <c r="HJL94" s="201"/>
      <c r="HJM94" s="201"/>
      <c r="HJN94" s="201"/>
      <c r="HJO94" s="201"/>
      <c r="HJP94" s="201"/>
      <c r="HJQ94" s="201"/>
      <c r="HJR94" s="201"/>
      <c r="HJS94" s="201"/>
      <c r="HJT94" s="201"/>
      <c r="HJU94" s="201"/>
      <c r="HJV94" s="201"/>
      <c r="HJW94" s="201"/>
      <c r="HJX94" s="201"/>
      <c r="HJY94" s="201"/>
      <c r="HJZ94" s="201"/>
      <c r="HKA94" s="201"/>
      <c r="HKB94" s="201"/>
      <c r="HKC94" s="201"/>
      <c r="HKD94" s="201"/>
      <c r="HKE94" s="201"/>
      <c r="HKF94" s="201"/>
      <c r="HKG94" s="201"/>
      <c r="HKH94" s="201"/>
      <c r="HKI94" s="201"/>
      <c r="HKJ94" s="201"/>
      <c r="HKK94" s="201"/>
      <c r="HKL94" s="201"/>
      <c r="HKM94" s="201"/>
      <c r="HKN94" s="201"/>
      <c r="HKO94" s="201"/>
      <c r="HKP94" s="201"/>
      <c r="HKQ94" s="201"/>
      <c r="HKR94" s="201"/>
      <c r="HKS94" s="201"/>
      <c r="HKT94" s="201"/>
      <c r="HKU94" s="201"/>
      <c r="HKV94" s="201"/>
      <c r="HKW94" s="201"/>
      <c r="HKX94" s="201"/>
      <c r="HKY94" s="201"/>
      <c r="HKZ94" s="201"/>
      <c r="HLA94" s="201"/>
      <c r="HLB94" s="201"/>
      <c r="HLC94" s="201"/>
      <c r="HLD94" s="201"/>
      <c r="HLE94" s="201"/>
      <c r="HLF94" s="201"/>
      <c r="HLG94" s="201"/>
      <c r="HLH94" s="201"/>
      <c r="HLI94" s="201"/>
      <c r="HLJ94" s="201"/>
      <c r="HLK94" s="201"/>
      <c r="HLL94" s="201"/>
      <c r="HLM94" s="201"/>
      <c r="HLN94" s="201"/>
      <c r="HLO94" s="201"/>
      <c r="HLP94" s="201"/>
      <c r="HLQ94" s="201"/>
      <c r="HLR94" s="201"/>
      <c r="HLS94" s="201"/>
      <c r="HLT94" s="201"/>
      <c r="HLU94" s="201"/>
      <c r="HLV94" s="201"/>
      <c r="HLW94" s="201"/>
      <c r="HLX94" s="201"/>
      <c r="HLY94" s="201"/>
      <c r="HLZ94" s="201"/>
      <c r="HMA94" s="201"/>
      <c r="HMB94" s="201"/>
      <c r="HMC94" s="201"/>
      <c r="HMD94" s="201"/>
      <c r="HME94" s="201"/>
      <c r="HMF94" s="201"/>
      <c r="HMG94" s="201"/>
      <c r="HMH94" s="201"/>
      <c r="HMI94" s="201"/>
      <c r="HMJ94" s="201"/>
      <c r="HMK94" s="201"/>
      <c r="HML94" s="201"/>
      <c r="HMM94" s="201"/>
      <c r="HMN94" s="201"/>
      <c r="HMO94" s="201"/>
      <c r="HMP94" s="201"/>
      <c r="HMQ94" s="201"/>
      <c r="HMR94" s="201"/>
      <c r="HMS94" s="201"/>
      <c r="HMT94" s="201"/>
      <c r="HMU94" s="201"/>
      <c r="HMV94" s="201"/>
      <c r="HMW94" s="201"/>
      <c r="HMX94" s="201"/>
      <c r="HMY94" s="201"/>
      <c r="HMZ94" s="201"/>
      <c r="HNA94" s="201"/>
      <c r="HNB94" s="201"/>
      <c r="HNC94" s="201"/>
      <c r="HND94" s="201"/>
      <c r="HNE94" s="201"/>
      <c r="HNF94" s="201"/>
      <c r="HNG94" s="201"/>
      <c r="HNH94" s="201"/>
      <c r="HNI94" s="201"/>
      <c r="HNJ94" s="201"/>
      <c r="HNK94" s="201"/>
      <c r="HNL94" s="201"/>
      <c r="HNM94" s="201"/>
      <c r="HNN94" s="201"/>
      <c r="HNO94" s="201"/>
      <c r="HNP94" s="201"/>
      <c r="HNQ94" s="201"/>
      <c r="HNR94" s="201"/>
      <c r="HNS94" s="201"/>
      <c r="HNT94" s="201"/>
      <c r="HNU94" s="201"/>
      <c r="HNV94" s="201"/>
      <c r="HNW94" s="201"/>
      <c r="HNX94" s="201"/>
      <c r="HNY94" s="201"/>
      <c r="HNZ94" s="201"/>
      <c r="HOA94" s="201"/>
      <c r="HOB94" s="201"/>
      <c r="HOC94" s="201"/>
      <c r="HOD94" s="201"/>
      <c r="HOE94" s="201"/>
      <c r="HOF94" s="201"/>
      <c r="HOG94" s="201"/>
      <c r="HOH94" s="201"/>
      <c r="HOI94" s="201"/>
      <c r="HOJ94" s="201"/>
      <c r="HOK94" s="201"/>
      <c r="HOL94" s="201"/>
      <c r="HOM94" s="201"/>
      <c r="HON94" s="201"/>
      <c r="HOO94" s="201"/>
      <c r="HOP94" s="201"/>
      <c r="HOQ94" s="201"/>
      <c r="HOR94" s="201"/>
      <c r="HOS94" s="201"/>
      <c r="HOT94" s="201"/>
      <c r="HOU94" s="201"/>
      <c r="HOV94" s="201"/>
      <c r="HOW94" s="201"/>
      <c r="HOX94" s="201"/>
      <c r="HOY94" s="201"/>
      <c r="HOZ94" s="201"/>
      <c r="HPA94" s="201"/>
      <c r="HPB94" s="201"/>
      <c r="HPC94" s="201"/>
      <c r="HPD94" s="201"/>
      <c r="HPE94" s="201"/>
      <c r="HPF94" s="201"/>
      <c r="HPG94" s="201"/>
      <c r="HPH94" s="201"/>
      <c r="HPI94" s="201"/>
      <c r="HPJ94" s="201"/>
      <c r="HPK94" s="201"/>
      <c r="HPL94" s="201"/>
      <c r="HPM94" s="201"/>
      <c r="HPN94" s="201"/>
      <c r="HPO94" s="201"/>
      <c r="HPP94" s="201"/>
      <c r="HPQ94" s="201"/>
      <c r="HPR94" s="201"/>
      <c r="HPS94" s="201"/>
      <c r="HPT94" s="201"/>
      <c r="HPU94" s="201"/>
      <c r="HPV94" s="201"/>
      <c r="HPW94" s="201"/>
      <c r="HPX94" s="201"/>
      <c r="HPY94" s="201"/>
      <c r="HPZ94" s="201"/>
      <c r="HQA94" s="201"/>
      <c r="HQB94" s="201"/>
      <c r="HQC94" s="201"/>
      <c r="HQD94" s="201"/>
      <c r="HQE94" s="201"/>
      <c r="HQF94" s="201"/>
      <c r="HQG94" s="201"/>
      <c r="HQH94" s="201"/>
      <c r="HQI94" s="201"/>
      <c r="HQJ94" s="201"/>
      <c r="HQK94" s="201"/>
      <c r="HQL94" s="201"/>
      <c r="HQM94" s="201"/>
      <c r="HQN94" s="201"/>
      <c r="HQO94" s="201"/>
      <c r="HQP94" s="201"/>
      <c r="HQQ94" s="201"/>
      <c r="HQR94" s="201"/>
      <c r="HQS94" s="201"/>
      <c r="HQT94" s="201"/>
      <c r="HQU94" s="201"/>
      <c r="HQV94" s="201"/>
      <c r="HQW94" s="201"/>
      <c r="HQX94" s="201"/>
      <c r="HQY94" s="201"/>
      <c r="HQZ94" s="201"/>
      <c r="HRA94" s="201"/>
      <c r="HRB94" s="201"/>
      <c r="HRC94" s="201"/>
      <c r="HRD94" s="201"/>
      <c r="HRE94" s="201"/>
      <c r="HRF94" s="201"/>
      <c r="HRG94" s="201"/>
      <c r="HRH94" s="201"/>
      <c r="HRI94" s="201"/>
      <c r="HRJ94" s="201"/>
      <c r="HRK94" s="201"/>
      <c r="HRL94" s="201"/>
      <c r="HRM94" s="201"/>
      <c r="HRN94" s="201"/>
      <c r="HRO94" s="201"/>
      <c r="HRP94" s="201"/>
      <c r="HRQ94" s="201"/>
      <c r="HRR94" s="201"/>
      <c r="HRS94" s="201"/>
      <c r="HRT94" s="201"/>
      <c r="HRU94" s="201"/>
      <c r="HRV94" s="201"/>
      <c r="HRW94" s="201"/>
      <c r="HRX94" s="201"/>
      <c r="HRY94" s="201"/>
      <c r="HRZ94" s="201"/>
      <c r="HSA94" s="201"/>
      <c r="HSB94" s="201"/>
      <c r="HSC94" s="201"/>
      <c r="HSD94" s="201"/>
      <c r="HSE94" s="201"/>
      <c r="HSF94" s="201"/>
      <c r="HSG94" s="201"/>
      <c r="HSH94" s="201"/>
      <c r="HSI94" s="201"/>
      <c r="HSJ94" s="201"/>
      <c r="HSK94" s="201"/>
      <c r="HSL94" s="201"/>
      <c r="HSM94" s="201"/>
      <c r="HSN94" s="201"/>
      <c r="HSO94" s="201"/>
      <c r="HSP94" s="201"/>
      <c r="HSQ94" s="201"/>
      <c r="HSR94" s="201"/>
      <c r="HSS94" s="201"/>
      <c r="HST94" s="201"/>
      <c r="HSU94" s="201"/>
      <c r="HSV94" s="201"/>
      <c r="HSW94" s="201"/>
      <c r="HSX94" s="201"/>
      <c r="HSY94" s="201"/>
      <c r="HSZ94" s="201"/>
      <c r="HTA94" s="201"/>
      <c r="HTB94" s="201"/>
      <c r="HTC94" s="201"/>
      <c r="HTD94" s="201"/>
      <c r="HTE94" s="201"/>
      <c r="HTF94" s="201"/>
      <c r="HTG94" s="201"/>
      <c r="HTH94" s="201"/>
      <c r="HTI94" s="201"/>
      <c r="HTJ94" s="201"/>
      <c r="HTK94" s="201"/>
      <c r="HTL94" s="201"/>
      <c r="HTM94" s="201"/>
      <c r="HTN94" s="201"/>
      <c r="HTO94" s="201"/>
      <c r="HTP94" s="201"/>
      <c r="HTQ94" s="201"/>
      <c r="HTR94" s="201"/>
      <c r="HTS94" s="201"/>
      <c r="HTT94" s="201"/>
      <c r="HTU94" s="201"/>
      <c r="HTV94" s="201"/>
      <c r="HTW94" s="201"/>
      <c r="HTX94" s="201"/>
      <c r="HTY94" s="201"/>
      <c r="HTZ94" s="201"/>
      <c r="HUA94" s="201"/>
      <c r="HUB94" s="201"/>
      <c r="HUC94" s="201"/>
      <c r="HUD94" s="201"/>
      <c r="HUE94" s="201"/>
      <c r="HUF94" s="201"/>
      <c r="HUG94" s="201"/>
      <c r="HUH94" s="201"/>
      <c r="HUI94" s="201"/>
      <c r="HUJ94" s="201"/>
      <c r="HUK94" s="201"/>
      <c r="HUL94" s="201"/>
      <c r="HUM94" s="201"/>
      <c r="HUN94" s="201"/>
      <c r="HUO94" s="201"/>
      <c r="HUP94" s="201"/>
      <c r="HUQ94" s="201"/>
      <c r="HUR94" s="201"/>
      <c r="HUS94" s="201"/>
      <c r="HUT94" s="201"/>
      <c r="HUU94" s="201"/>
      <c r="HUV94" s="201"/>
      <c r="HUW94" s="201"/>
      <c r="HUX94" s="201"/>
      <c r="HUY94" s="201"/>
      <c r="HUZ94" s="201"/>
      <c r="HVA94" s="201"/>
      <c r="HVB94" s="201"/>
      <c r="HVC94" s="201"/>
      <c r="HVD94" s="201"/>
      <c r="HVE94" s="201"/>
      <c r="HVF94" s="201"/>
      <c r="HVG94" s="201"/>
      <c r="HVH94" s="201"/>
      <c r="HVI94" s="201"/>
      <c r="HVJ94" s="201"/>
      <c r="HVK94" s="201"/>
      <c r="HVL94" s="201"/>
      <c r="HVM94" s="201"/>
      <c r="HVN94" s="201"/>
      <c r="HVO94" s="201"/>
      <c r="HVP94" s="201"/>
      <c r="HVQ94" s="201"/>
      <c r="HVR94" s="201"/>
      <c r="HVS94" s="201"/>
      <c r="HVT94" s="201"/>
      <c r="HVU94" s="201"/>
      <c r="HVV94" s="201"/>
      <c r="HVW94" s="201"/>
      <c r="HVX94" s="201"/>
      <c r="HVY94" s="201"/>
      <c r="HVZ94" s="201"/>
      <c r="HWA94" s="201"/>
      <c r="HWB94" s="201"/>
      <c r="HWC94" s="201"/>
      <c r="HWD94" s="201"/>
      <c r="HWE94" s="201"/>
      <c r="HWF94" s="201"/>
      <c r="HWG94" s="201"/>
      <c r="HWH94" s="201"/>
      <c r="HWI94" s="201"/>
      <c r="HWJ94" s="201"/>
      <c r="HWK94" s="201"/>
      <c r="HWL94" s="201"/>
      <c r="HWM94" s="201"/>
      <c r="HWN94" s="201"/>
      <c r="HWO94" s="201"/>
      <c r="HWP94" s="201"/>
      <c r="HWQ94" s="201"/>
      <c r="HWR94" s="201"/>
      <c r="HWS94" s="201"/>
      <c r="HWT94" s="201"/>
      <c r="HWU94" s="201"/>
      <c r="HWV94" s="201"/>
      <c r="HWW94" s="201"/>
      <c r="HWX94" s="201"/>
      <c r="HWY94" s="201"/>
      <c r="HWZ94" s="201"/>
      <c r="HXA94" s="201"/>
      <c r="HXB94" s="201"/>
      <c r="HXC94" s="201"/>
      <c r="HXD94" s="201"/>
      <c r="HXE94" s="201"/>
      <c r="HXF94" s="201"/>
      <c r="HXG94" s="201"/>
      <c r="HXH94" s="201"/>
      <c r="HXI94" s="201"/>
      <c r="HXJ94" s="201"/>
      <c r="HXK94" s="201"/>
      <c r="HXL94" s="201"/>
      <c r="HXM94" s="201"/>
      <c r="HXN94" s="201"/>
      <c r="HXO94" s="201"/>
      <c r="HXP94" s="201"/>
      <c r="HXQ94" s="201"/>
      <c r="HXR94" s="201"/>
      <c r="HXS94" s="201"/>
      <c r="HXT94" s="201"/>
      <c r="HXU94" s="201"/>
      <c r="HXV94" s="201"/>
      <c r="HXW94" s="201"/>
      <c r="HXX94" s="201"/>
      <c r="HXY94" s="201"/>
      <c r="HXZ94" s="201"/>
      <c r="HYA94" s="201"/>
      <c r="HYB94" s="201"/>
      <c r="HYC94" s="201"/>
      <c r="HYD94" s="201"/>
      <c r="HYE94" s="201"/>
      <c r="HYF94" s="201"/>
      <c r="HYG94" s="201"/>
      <c r="HYH94" s="201"/>
      <c r="HYI94" s="201"/>
      <c r="HYJ94" s="201"/>
      <c r="HYK94" s="201"/>
      <c r="HYL94" s="201"/>
      <c r="HYM94" s="201"/>
      <c r="HYN94" s="201"/>
      <c r="HYO94" s="201"/>
      <c r="HYP94" s="201"/>
      <c r="HYQ94" s="201"/>
      <c r="HYR94" s="201"/>
      <c r="HYS94" s="201"/>
      <c r="HYT94" s="201"/>
      <c r="HYU94" s="201"/>
      <c r="HYV94" s="201"/>
      <c r="HYW94" s="201"/>
      <c r="HYX94" s="201"/>
      <c r="HYY94" s="201"/>
      <c r="HYZ94" s="201"/>
      <c r="HZA94" s="201"/>
      <c r="HZB94" s="201"/>
      <c r="HZC94" s="201"/>
      <c r="HZD94" s="201"/>
      <c r="HZE94" s="201"/>
      <c r="HZF94" s="201"/>
      <c r="HZG94" s="201"/>
      <c r="HZH94" s="201"/>
      <c r="HZI94" s="201"/>
      <c r="HZJ94" s="201"/>
      <c r="HZK94" s="201"/>
      <c r="HZL94" s="201"/>
      <c r="HZM94" s="201"/>
      <c r="HZN94" s="201"/>
      <c r="HZO94" s="201"/>
      <c r="HZP94" s="201"/>
      <c r="HZQ94" s="201"/>
      <c r="HZR94" s="201"/>
      <c r="HZS94" s="201"/>
      <c r="HZT94" s="201"/>
      <c r="HZU94" s="201"/>
      <c r="HZV94" s="201"/>
      <c r="HZW94" s="201"/>
      <c r="HZX94" s="201"/>
      <c r="HZY94" s="201"/>
      <c r="HZZ94" s="201"/>
      <c r="IAA94" s="201"/>
      <c r="IAB94" s="201"/>
      <c r="IAC94" s="201"/>
      <c r="IAD94" s="201"/>
      <c r="IAE94" s="201"/>
      <c r="IAF94" s="201"/>
      <c r="IAG94" s="201"/>
      <c r="IAH94" s="201"/>
      <c r="IAI94" s="201"/>
      <c r="IAJ94" s="201"/>
      <c r="IAK94" s="201"/>
      <c r="IAL94" s="201"/>
      <c r="IAM94" s="201"/>
      <c r="IAN94" s="201"/>
      <c r="IAO94" s="201"/>
      <c r="IAP94" s="201"/>
      <c r="IAQ94" s="201"/>
      <c r="IAR94" s="201"/>
      <c r="IAS94" s="201"/>
      <c r="IAT94" s="201"/>
      <c r="IAU94" s="201"/>
      <c r="IAV94" s="201"/>
      <c r="IAW94" s="201"/>
      <c r="IAX94" s="201"/>
      <c r="IAY94" s="201"/>
      <c r="IAZ94" s="201"/>
      <c r="IBA94" s="201"/>
      <c r="IBB94" s="201"/>
      <c r="IBC94" s="201"/>
      <c r="IBD94" s="201"/>
      <c r="IBE94" s="201"/>
      <c r="IBF94" s="201"/>
      <c r="IBG94" s="201"/>
      <c r="IBH94" s="201"/>
      <c r="IBI94" s="201"/>
      <c r="IBJ94" s="201"/>
      <c r="IBK94" s="201"/>
      <c r="IBL94" s="201"/>
      <c r="IBM94" s="201"/>
      <c r="IBN94" s="201"/>
      <c r="IBO94" s="201"/>
      <c r="IBP94" s="201"/>
      <c r="IBQ94" s="201"/>
      <c r="IBR94" s="201"/>
      <c r="IBS94" s="201"/>
      <c r="IBT94" s="201"/>
      <c r="IBU94" s="201"/>
      <c r="IBV94" s="201"/>
      <c r="IBW94" s="201"/>
      <c r="IBX94" s="201"/>
      <c r="IBY94" s="201"/>
      <c r="IBZ94" s="201"/>
      <c r="ICA94" s="201"/>
      <c r="ICB94" s="201"/>
      <c r="ICC94" s="201"/>
      <c r="ICD94" s="201"/>
      <c r="ICE94" s="201"/>
      <c r="ICF94" s="201"/>
      <c r="ICG94" s="201"/>
      <c r="ICH94" s="201"/>
      <c r="ICI94" s="201"/>
      <c r="ICJ94" s="201"/>
      <c r="ICK94" s="201"/>
      <c r="ICL94" s="201"/>
      <c r="ICM94" s="201"/>
      <c r="ICN94" s="201"/>
      <c r="ICO94" s="201"/>
      <c r="ICP94" s="201"/>
      <c r="ICQ94" s="201"/>
      <c r="ICR94" s="201"/>
      <c r="ICS94" s="201"/>
      <c r="ICT94" s="201"/>
      <c r="ICU94" s="201"/>
      <c r="ICV94" s="201"/>
      <c r="ICW94" s="201"/>
      <c r="ICX94" s="201"/>
      <c r="ICY94" s="201"/>
      <c r="ICZ94" s="201"/>
      <c r="IDA94" s="201"/>
      <c r="IDB94" s="201"/>
      <c r="IDC94" s="201"/>
      <c r="IDD94" s="201"/>
      <c r="IDE94" s="201"/>
      <c r="IDF94" s="201"/>
      <c r="IDG94" s="201"/>
      <c r="IDH94" s="201"/>
      <c r="IDI94" s="201"/>
      <c r="IDJ94" s="201"/>
      <c r="IDK94" s="201"/>
      <c r="IDL94" s="201"/>
      <c r="IDM94" s="201"/>
      <c r="IDN94" s="201"/>
      <c r="IDO94" s="201"/>
      <c r="IDP94" s="201"/>
      <c r="IDQ94" s="201"/>
      <c r="IDR94" s="201"/>
      <c r="IDS94" s="201"/>
      <c r="IDT94" s="201"/>
      <c r="IDU94" s="201"/>
      <c r="IDV94" s="201"/>
      <c r="IDW94" s="201"/>
      <c r="IDX94" s="201"/>
      <c r="IDY94" s="201"/>
      <c r="IDZ94" s="201"/>
      <c r="IEA94" s="201"/>
      <c r="IEB94" s="201"/>
      <c r="IEC94" s="201"/>
      <c r="IED94" s="201"/>
      <c r="IEE94" s="201"/>
      <c r="IEF94" s="201"/>
      <c r="IEG94" s="201"/>
      <c r="IEH94" s="201"/>
      <c r="IEI94" s="201"/>
      <c r="IEJ94" s="201"/>
      <c r="IEK94" s="201"/>
      <c r="IEL94" s="201"/>
      <c r="IEM94" s="201"/>
      <c r="IEN94" s="201"/>
      <c r="IEO94" s="201"/>
      <c r="IEP94" s="201"/>
      <c r="IEQ94" s="201"/>
      <c r="IER94" s="201"/>
      <c r="IES94" s="201"/>
      <c r="IET94" s="201"/>
      <c r="IEU94" s="201"/>
      <c r="IEV94" s="201"/>
      <c r="IEW94" s="201"/>
      <c r="IEX94" s="201"/>
      <c r="IEY94" s="201"/>
      <c r="IEZ94" s="201"/>
      <c r="IFA94" s="201"/>
      <c r="IFB94" s="201"/>
      <c r="IFC94" s="201"/>
      <c r="IFD94" s="201"/>
      <c r="IFE94" s="201"/>
      <c r="IFF94" s="201"/>
      <c r="IFG94" s="201"/>
      <c r="IFH94" s="201"/>
      <c r="IFI94" s="201"/>
      <c r="IFJ94" s="201"/>
      <c r="IFK94" s="201"/>
      <c r="IFL94" s="201"/>
      <c r="IFM94" s="201"/>
      <c r="IFN94" s="201"/>
      <c r="IFO94" s="201"/>
      <c r="IFP94" s="201"/>
      <c r="IFQ94" s="201"/>
      <c r="IFR94" s="201"/>
      <c r="IFS94" s="201"/>
      <c r="IFT94" s="201"/>
      <c r="IFU94" s="201"/>
      <c r="IFV94" s="201"/>
      <c r="IFW94" s="201"/>
      <c r="IFX94" s="201"/>
      <c r="IFY94" s="201"/>
      <c r="IFZ94" s="201"/>
      <c r="IGA94" s="201"/>
      <c r="IGB94" s="201"/>
      <c r="IGC94" s="201"/>
      <c r="IGD94" s="201"/>
      <c r="IGE94" s="201"/>
      <c r="IGF94" s="201"/>
      <c r="IGG94" s="201"/>
      <c r="IGH94" s="201"/>
      <c r="IGI94" s="201"/>
      <c r="IGJ94" s="201"/>
      <c r="IGK94" s="201"/>
      <c r="IGL94" s="201"/>
      <c r="IGM94" s="201"/>
      <c r="IGN94" s="201"/>
      <c r="IGO94" s="201"/>
      <c r="IGP94" s="201"/>
      <c r="IGQ94" s="201"/>
      <c r="IGR94" s="201"/>
      <c r="IGS94" s="201"/>
      <c r="IGT94" s="201"/>
      <c r="IGU94" s="201"/>
      <c r="IGV94" s="201"/>
      <c r="IGW94" s="201"/>
      <c r="IGX94" s="201"/>
      <c r="IGY94" s="201"/>
      <c r="IGZ94" s="201"/>
      <c r="IHA94" s="201"/>
      <c r="IHB94" s="201"/>
      <c r="IHC94" s="201"/>
      <c r="IHD94" s="201"/>
      <c r="IHE94" s="201"/>
      <c r="IHF94" s="201"/>
      <c r="IHG94" s="201"/>
      <c r="IHH94" s="201"/>
      <c r="IHI94" s="201"/>
      <c r="IHJ94" s="201"/>
      <c r="IHK94" s="201"/>
      <c r="IHL94" s="201"/>
      <c r="IHM94" s="201"/>
      <c r="IHN94" s="201"/>
      <c r="IHO94" s="201"/>
      <c r="IHP94" s="201"/>
      <c r="IHQ94" s="201"/>
      <c r="IHR94" s="201"/>
      <c r="IHS94" s="201"/>
      <c r="IHT94" s="201"/>
      <c r="IHU94" s="201"/>
      <c r="IHV94" s="201"/>
      <c r="IHW94" s="201"/>
      <c r="IHX94" s="201"/>
      <c r="IHY94" s="201"/>
      <c r="IHZ94" s="201"/>
      <c r="IIA94" s="201"/>
      <c r="IIB94" s="201"/>
      <c r="IIC94" s="201"/>
      <c r="IID94" s="201"/>
      <c r="IIE94" s="201"/>
      <c r="IIF94" s="201"/>
      <c r="IIG94" s="201"/>
      <c r="IIH94" s="201"/>
      <c r="III94" s="201"/>
      <c r="IIJ94" s="201"/>
      <c r="IIK94" s="201"/>
      <c r="IIL94" s="201"/>
      <c r="IIM94" s="201"/>
      <c r="IIN94" s="201"/>
      <c r="IIO94" s="201"/>
      <c r="IIP94" s="201"/>
      <c r="IIQ94" s="201"/>
      <c r="IIR94" s="201"/>
      <c r="IIS94" s="201"/>
      <c r="IIT94" s="201"/>
      <c r="IIU94" s="201"/>
      <c r="IIV94" s="201"/>
      <c r="IIW94" s="201"/>
      <c r="IIX94" s="201"/>
      <c r="IIY94" s="201"/>
      <c r="IIZ94" s="201"/>
      <c r="IJA94" s="201"/>
      <c r="IJB94" s="201"/>
      <c r="IJC94" s="201"/>
      <c r="IJD94" s="201"/>
      <c r="IJE94" s="201"/>
      <c r="IJF94" s="201"/>
      <c r="IJG94" s="201"/>
      <c r="IJH94" s="201"/>
      <c r="IJI94" s="201"/>
      <c r="IJJ94" s="201"/>
      <c r="IJK94" s="201"/>
      <c r="IJL94" s="201"/>
      <c r="IJM94" s="201"/>
      <c r="IJN94" s="201"/>
      <c r="IJO94" s="201"/>
      <c r="IJP94" s="201"/>
      <c r="IJQ94" s="201"/>
      <c r="IJR94" s="201"/>
      <c r="IJS94" s="201"/>
      <c r="IJT94" s="201"/>
      <c r="IJU94" s="201"/>
      <c r="IJV94" s="201"/>
      <c r="IJW94" s="201"/>
      <c r="IJX94" s="201"/>
      <c r="IJY94" s="201"/>
      <c r="IJZ94" s="201"/>
      <c r="IKA94" s="201"/>
      <c r="IKB94" s="201"/>
      <c r="IKC94" s="201"/>
      <c r="IKD94" s="201"/>
      <c r="IKE94" s="201"/>
      <c r="IKF94" s="201"/>
      <c r="IKG94" s="201"/>
      <c r="IKH94" s="201"/>
      <c r="IKI94" s="201"/>
      <c r="IKJ94" s="201"/>
      <c r="IKK94" s="201"/>
      <c r="IKL94" s="201"/>
      <c r="IKM94" s="201"/>
      <c r="IKN94" s="201"/>
      <c r="IKO94" s="201"/>
      <c r="IKP94" s="201"/>
      <c r="IKQ94" s="201"/>
      <c r="IKR94" s="201"/>
      <c r="IKS94" s="201"/>
      <c r="IKT94" s="201"/>
      <c r="IKU94" s="201"/>
      <c r="IKV94" s="201"/>
      <c r="IKW94" s="201"/>
      <c r="IKX94" s="201"/>
      <c r="IKY94" s="201"/>
      <c r="IKZ94" s="201"/>
      <c r="ILA94" s="201"/>
      <c r="ILB94" s="201"/>
      <c r="ILC94" s="201"/>
      <c r="ILD94" s="201"/>
      <c r="ILE94" s="201"/>
      <c r="ILF94" s="201"/>
      <c r="ILG94" s="201"/>
      <c r="ILH94" s="201"/>
      <c r="ILI94" s="201"/>
      <c r="ILJ94" s="201"/>
      <c r="ILK94" s="201"/>
      <c r="ILL94" s="201"/>
      <c r="ILM94" s="201"/>
      <c r="ILN94" s="201"/>
      <c r="ILO94" s="201"/>
      <c r="ILP94" s="201"/>
      <c r="ILQ94" s="201"/>
      <c r="ILR94" s="201"/>
      <c r="ILS94" s="201"/>
      <c r="ILT94" s="201"/>
      <c r="ILU94" s="201"/>
      <c r="ILV94" s="201"/>
      <c r="ILW94" s="201"/>
      <c r="ILX94" s="201"/>
      <c r="ILY94" s="201"/>
      <c r="ILZ94" s="201"/>
      <c r="IMA94" s="201"/>
      <c r="IMB94" s="201"/>
      <c r="IMC94" s="201"/>
      <c r="IMD94" s="201"/>
      <c r="IME94" s="201"/>
      <c r="IMF94" s="201"/>
      <c r="IMG94" s="201"/>
      <c r="IMH94" s="201"/>
      <c r="IMI94" s="201"/>
      <c r="IMJ94" s="201"/>
      <c r="IMK94" s="201"/>
      <c r="IML94" s="201"/>
      <c r="IMM94" s="201"/>
      <c r="IMN94" s="201"/>
      <c r="IMO94" s="201"/>
      <c r="IMP94" s="201"/>
      <c r="IMQ94" s="201"/>
      <c r="IMR94" s="201"/>
      <c r="IMS94" s="201"/>
      <c r="IMT94" s="201"/>
      <c r="IMU94" s="201"/>
      <c r="IMV94" s="201"/>
      <c r="IMW94" s="201"/>
      <c r="IMX94" s="201"/>
      <c r="IMY94" s="201"/>
      <c r="IMZ94" s="201"/>
      <c r="INA94" s="201"/>
      <c r="INB94" s="201"/>
      <c r="INC94" s="201"/>
      <c r="IND94" s="201"/>
      <c r="INE94" s="201"/>
      <c r="INF94" s="201"/>
      <c r="ING94" s="201"/>
      <c r="INH94" s="201"/>
      <c r="INI94" s="201"/>
      <c r="INJ94" s="201"/>
      <c r="INK94" s="201"/>
      <c r="INL94" s="201"/>
      <c r="INM94" s="201"/>
      <c r="INN94" s="201"/>
      <c r="INO94" s="201"/>
      <c r="INP94" s="201"/>
      <c r="INQ94" s="201"/>
      <c r="INR94" s="201"/>
      <c r="INS94" s="201"/>
      <c r="INT94" s="201"/>
      <c r="INU94" s="201"/>
      <c r="INV94" s="201"/>
      <c r="INW94" s="201"/>
      <c r="INX94" s="201"/>
      <c r="INY94" s="201"/>
      <c r="INZ94" s="201"/>
      <c r="IOA94" s="201"/>
      <c r="IOB94" s="201"/>
      <c r="IOC94" s="201"/>
      <c r="IOD94" s="201"/>
      <c r="IOE94" s="201"/>
      <c r="IOF94" s="201"/>
      <c r="IOG94" s="201"/>
      <c r="IOH94" s="201"/>
      <c r="IOI94" s="201"/>
      <c r="IOJ94" s="201"/>
      <c r="IOK94" s="201"/>
      <c r="IOL94" s="201"/>
      <c r="IOM94" s="201"/>
      <c r="ION94" s="201"/>
      <c r="IOO94" s="201"/>
      <c r="IOP94" s="201"/>
      <c r="IOQ94" s="201"/>
      <c r="IOR94" s="201"/>
      <c r="IOS94" s="201"/>
      <c r="IOT94" s="201"/>
      <c r="IOU94" s="201"/>
      <c r="IOV94" s="201"/>
      <c r="IOW94" s="201"/>
      <c r="IOX94" s="201"/>
      <c r="IOY94" s="201"/>
      <c r="IOZ94" s="201"/>
      <c r="IPA94" s="201"/>
      <c r="IPB94" s="201"/>
      <c r="IPC94" s="201"/>
      <c r="IPD94" s="201"/>
      <c r="IPE94" s="201"/>
      <c r="IPF94" s="201"/>
      <c r="IPG94" s="201"/>
      <c r="IPH94" s="201"/>
      <c r="IPI94" s="201"/>
      <c r="IPJ94" s="201"/>
      <c r="IPK94" s="201"/>
      <c r="IPL94" s="201"/>
      <c r="IPM94" s="201"/>
      <c r="IPN94" s="201"/>
      <c r="IPO94" s="201"/>
      <c r="IPP94" s="201"/>
      <c r="IPQ94" s="201"/>
      <c r="IPR94" s="201"/>
      <c r="IPS94" s="201"/>
      <c r="IPT94" s="201"/>
      <c r="IPU94" s="201"/>
      <c r="IPV94" s="201"/>
      <c r="IPW94" s="201"/>
      <c r="IPX94" s="201"/>
      <c r="IPY94" s="201"/>
      <c r="IPZ94" s="201"/>
      <c r="IQA94" s="201"/>
      <c r="IQB94" s="201"/>
      <c r="IQC94" s="201"/>
      <c r="IQD94" s="201"/>
      <c r="IQE94" s="201"/>
      <c r="IQF94" s="201"/>
      <c r="IQG94" s="201"/>
      <c r="IQH94" s="201"/>
      <c r="IQI94" s="201"/>
      <c r="IQJ94" s="201"/>
      <c r="IQK94" s="201"/>
      <c r="IQL94" s="201"/>
      <c r="IQM94" s="201"/>
      <c r="IQN94" s="201"/>
      <c r="IQO94" s="201"/>
      <c r="IQP94" s="201"/>
      <c r="IQQ94" s="201"/>
      <c r="IQR94" s="201"/>
      <c r="IQS94" s="201"/>
      <c r="IQT94" s="201"/>
      <c r="IQU94" s="201"/>
      <c r="IQV94" s="201"/>
      <c r="IQW94" s="201"/>
      <c r="IQX94" s="201"/>
      <c r="IQY94" s="201"/>
      <c r="IQZ94" s="201"/>
      <c r="IRA94" s="201"/>
      <c r="IRB94" s="201"/>
      <c r="IRC94" s="201"/>
      <c r="IRD94" s="201"/>
      <c r="IRE94" s="201"/>
      <c r="IRF94" s="201"/>
      <c r="IRG94" s="201"/>
      <c r="IRH94" s="201"/>
      <c r="IRI94" s="201"/>
      <c r="IRJ94" s="201"/>
      <c r="IRK94" s="201"/>
      <c r="IRL94" s="201"/>
      <c r="IRM94" s="201"/>
      <c r="IRN94" s="201"/>
      <c r="IRO94" s="201"/>
      <c r="IRP94" s="201"/>
      <c r="IRQ94" s="201"/>
      <c r="IRR94" s="201"/>
      <c r="IRS94" s="201"/>
      <c r="IRT94" s="201"/>
      <c r="IRU94" s="201"/>
      <c r="IRV94" s="201"/>
      <c r="IRW94" s="201"/>
      <c r="IRX94" s="201"/>
      <c r="IRY94" s="201"/>
      <c r="IRZ94" s="201"/>
      <c r="ISA94" s="201"/>
      <c r="ISB94" s="201"/>
      <c r="ISC94" s="201"/>
      <c r="ISD94" s="201"/>
      <c r="ISE94" s="201"/>
      <c r="ISF94" s="201"/>
      <c r="ISG94" s="201"/>
      <c r="ISH94" s="201"/>
      <c r="ISI94" s="201"/>
      <c r="ISJ94" s="201"/>
      <c r="ISK94" s="201"/>
      <c r="ISL94" s="201"/>
      <c r="ISM94" s="201"/>
      <c r="ISN94" s="201"/>
      <c r="ISO94" s="201"/>
      <c r="ISP94" s="201"/>
      <c r="ISQ94" s="201"/>
      <c r="ISR94" s="201"/>
      <c r="ISS94" s="201"/>
      <c r="IST94" s="201"/>
      <c r="ISU94" s="201"/>
      <c r="ISV94" s="201"/>
      <c r="ISW94" s="201"/>
      <c r="ISX94" s="201"/>
      <c r="ISY94" s="201"/>
      <c r="ISZ94" s="201"/>
      <c r="ITA94" s="201"/>
      <c r="ITB94" s="201"/>
      <c r="ITC94" s="201"/>
      <c r="ITD94" s="201"/>
      <c r="ITE94" s="201"/>
      <c r="ITF94" s="201"/>
      <c r="ITG94" s="201"/>
      <c r="ITH94" s="201"/>
      <c r="ITI94" s="201"/>
      <c r="ITJ94" s="201"/>
      <c r="ITK94" s="201"/>
      <c r="ITL94" s="201"/>
      <c r="ITM94" s="201"/>
      <c r="ITN94" s="201"/>
      <c r="ITO94" s="201"/>
      <c r="ITP94" s="201"/>
      <c r="ITQ94" s="201"/>
      <c r="ITR94" s="201"/>
      <c r="ITS94" s="201"/>
      <c r="ITT94" s="201"/>
      <c r="ITU94" s="201"/>
      <c r="ITV94" s="201"/>
      <c r="ITW94" s="201"/>
      <c r="ITX94" s="201"/>
      <c r="ITY94" s="201"/>
      <c r="ITZ94" s="201"/>
      <c r="IUA94" s="201"/>
      <c r="IUB94" s="201"/>
      <c r="IUC94" s="201"/>
      <c r="IUD94" s="201"/>
      <c r="IUE94" s="201"/>
      <c r="IUF94" s="201"/>
      <c r="IUG94" s="201"/>
      <c r="IUH94" s="201"/>
      <c r="IUI94" s="201"/>
      <c r="IUJ94" s="201"/>
      <c r="IUK94" s="201"/>
      <c r="IUL94" s="201"/>
      <c r="IUM94" s="201"/>
      <c r="IUN94" s="201"/>
      <c r="IUO94" s="201"/>
      <c r="IUP94" s="201"/>
      <c r="IUQ94" s="201"/>
      <c r="IUR94" s="201"/>
      <c r="IUS94" s="201"/>
      <c r="IUT94" s="201"/>
      <c r="IUU94" s="201"/>
      <c r="IUV94" s="201"/>
      <c r="IUW94" s="201"/>
      <c r="IUX94" s="201"/>
      <c r="IUY94" s="201"/>
      <c r="IUZ94" s="201"/>
      <c r="IVA94" s="201"/>
      <c r="IVB94" s="201"/>
      <c r="IVC94" s="201"/>
      <c r="IVD94" s="201"/>
      <c r="IVE94" s="201"/>
      <c r="IVF94" s="201"/>
      <c r="IVG94" s="201"/>
      <c r="IVH94" s="201"/>
      <c r="IVI94" s="201"/>
      <c r="IVJ94" s="201"/>
      <c r="IVK94" s="201"/>
      <c r="IVL94" s="201"/>
      <c r="IVM94" s="201"/>
      <c r="IVN94" s="201"/>
      <c r="IVO94" s="201"/>
      <c r="IVP94" s="201"/>
      <c r="IVQ94" s="201"/>
      <c r="IVR94" s="201"/>
      <c r="IVS94" s="201"/>
      <c r="IVT94" s="201"/>
      <c r="IVU94" s="201"/>
      <c r="IVV94" s="201"/>
      <c r="IVW94" s="201"/>
      <c r="IVX94" s="201"/>
      <c r="IVY94" s="201"/>
      <c r="IVZ94" s="201"/>
      <c r="IWA94" s="201"/>
      <c r="IWB94" s="201"/>
      <c r="IWC94" s="201"/>
      <c r="IWD94" s="201"/>
      <c r="IWE94" s="201"/>
      <c r="IWF94" s="201"/>
      <c r="IWG94" s="201"/>
      <c r="IWH94" s="201"/>
      <c r="IWI94" s="201"/>
      <c r="IWJ94" s="201"/>
      <c r="IWK94" s="201"/>
      <c r="IWL94" s="201"/>
      <c r="IWM94" s="201"/>
      <c r="IWN94" s="201"/>
      <c r="IWO94" s="201"/>
      <c r="IWP94" s="201"/>
      <c r="IWQ94" s="201"/>
      <c r="IWR94" s="201"/>
      <c r="IWS94" s="201"/>
      <c r="IWT94" s="201"/>
      <c r="IWU94" s="201"/>
      <c r="IWV94" s="201"/>
      <c r="IWW94" s="201"/>
      <c r="IWX94" s="201"/>
      <c r="IWY94" s="201"/>
      <c r="IWZ94" s="201"/>
      <c r="IXA94" s="201"/>
      <c r="IXB94" s="201"/>
      <c r="IXC94" s="201"/>
      <c r="IXD94" s="201"/>
      <c r="IXE94" s="201"/>
      <c r="IXF94" s="201"/>
      <c r="IXG94" s="201"/>
      <c r="IXH94" s="201"/>
      <c r="IXI94" s="201"/>
      <c r="IXJ94" s="201"/>
      <c r="IXK94" s="201"/>
      <c r="IXL94" s="201"/>
      <c r="IXM94" s="201"/>
      <c r="IXN94" s="201"/>
      <c r="IXO94" s="201"/>
      <c r="IXP94" s="201"/>
      <c r="IXQ94" s="201"/>
      <c r="IXR94" s="201"/>
      <c r="IXS94" s="201"/>
      <c r="IXT94" s="201"/>
      <c r="IXU94" s="201"/>
      <c r="IXV94" s="201"/>
      <c r="IXW94" s="201"/>
      <c r="IXX94" s="201"/>
      <c r="IXY94" s="201"/>
      <c r="IXZ94" s="201"/>
      <c r="IYA94" s="201"/>
      <c r="IYB94" s="201"/>
      <c r="IYC94" s="201"/>
      <c r="IYD94" s="201"/>
      <c r="IYE94" s="201"/>
      <c r="IYF94" s="201"/>
      <c r="IYG94" s="201"/>
      <c r="IYH94" s="201"/>
      <c r="IYI94" s="201"/>
      <c r="IYJ94" s="201"/>
      <c r="IYK94" s="201"/>
      <c r="IYL94" s="201"/>
      <c r="IYM94" s="201"/>
      <c r="IYN94" s="201"/>
      <c r="IYO94" s="201"/>
      <c r="IYP94" s="201"/>
      <c r="IYQ94" s="201"/>
      <c r="IYR94" s="201"/>
      <c r="IYS94" s="201"/>
      <c r="IYT94" s="201"/>
      <c r="IYU94" s="201"/>
      <c r="IYV94" s="201"/>
      <c r="IYW94" s="201"/>
      <c r="IYX94" s="201"/>
      <c r="IYY94" s="201"/>
      <c r="IYZ94" s="201"/>
      <c r="IZA94" s="201"/>
      <c r="IZB94" s="201"/>
      <c r="IZC94" s="201"/>
      <c r="IZD94" s="201"/>
      <c r="IZE94" s="201"/>
      <c r="IZF94" s="201"/>
      <c r="IZG94" s="201"/>
      <c r="IZH94" s="201"/>
      <c r="IZI94" s="201"/>
      <c r="IZJ94" s="201"/>
      <c r="IZK94" s="201"/>
      <c r="IZL94" s="201"/>
      <c r="IZM94" s="201"/>
      <c r="IZN94" s="201"/>
      <c r="IZO94" s="201"/>
      <c r="IZP94" s="201"/>
      <c r="IZQ94" s="201"/>
      <c r="IZR94" s="201"/>
      <c r="IZS94" s="201"/>
      <c r="IZT94" s="201"/>
      <c r="IZU94" s="201"/>
      <c r="IZV94" s="201"/>
      <c r="IZW94" s="201"/>
      <c r="IZX94" s="201"/>
      <c r="IZY94" s="201"/>
      <c r="IZZ94" s="201"/>
      <c r="JAA94" s="201"/>
      <c r="JAB94" s="201"/>
      <c r="JAC94" s="201"/>
      <c r="JAD94" s="201"/>
      <c r="JAE94" s="201"/>
      <c r="JAF94" s="201"/>
      <c r="JAG94" s="201"/>
      <c r="JAH94" s="201"/>
      <c r="JAI94" s="201"/>
      <c r="JAJ94" s="201"/>
      <c r="JAK94" s="201"/>
      <c r="JAL94" s="201"/>
      <c r="JAM94" s="201"/>
      <c r="JAN94" s="201"/>
      <c r="JAO94" s="201"/>
      <c r="JAP94" s="201"/>
      <c r="JAQ94" s="201"/>
      <c r="JAR94" s="201"/>
      <c r="JAS94" s="201"/>
      <c r="JAT94" s="201"/>
      <c r="JAU94" s="201"/>
      <c r="JAV94" s="201"/>
      <c r="JAW94" s="201"/>
      <c r="JAX94" s="201"/>
      <c r="JAY94" s="201"/>
      <c r="JAZ94" s="201"/>
      <c r="JBA94" s="201"/>
      <c r="JBB94" s="201"/>
      <c r="JBC94" s="201"/>
      <c r="JBD94" s="201"/>
      <c r="JBE94" s="201"/>
      <c r="JBF94" s="201"/>
      <c r="JBG94" s="201"/>
      <c r="JBH94" s="201"/>
      <c r="JBI94" s="201"/>
      <c r="JBJ94" s="201"/>
      <c r="JBK94" s="201"/>
      <c r="JBL94" s="201"/>
      <c r="JBM94" s="201"/>
      <c r="JBN94" s="201"/>
      <c r="JBO94" s="201"/>
      <c r="JBP94" s="201"/>
      <c r="JBQ94" s="201"/>
      <c r="JBR94" s="201"/>
      <c r="JBS94" s="201"/>
      <c r="JBT94" s="201"/>
      <c r="JBU94" s="201"/>
      <c r="JBV94" s="201"/>
      <c r="JBW94" s="201"/>
      <c r="JBX94" s="201"/>
      <c r="JBY94" s="201"/>
      <c r="JBZ94" s="201"/>
      <c r="JCA94" s="201"/>
      <c r="JCB94" s="201"/>
      <c r="JCC94" s="201"/>
      <c r="JCD94" s="201"/>
      <c r="JCE94" s="201"/>
      <c r="JCF94" s="201"/>
      <c r="JCG94" s="201"/>
      <c r="JCH94" s="201"/>
      <c r="JCI94" s="201"/>
      <c r="JCJ94" s="201"/>
      <c r="JCK94" s="201"/>
      <c r="JCL94" s="201"/>
      <c r="JCM94" s="201"/>
      <c r="JCN94" s="201"/>
      <c r="JCO94" s="201"/>
      <c r="JCP94" s="201"/>
      <c r="JCQ94" s="201"/>
      <c r="JCR94" s="201"/>
      <c r="JCS94" s="201"/>
      <c r="JCT94" s="201"/>
      <c r="JCU94" s="201"/>
      <c r="JCV94" s="201"/>
      <c r="JCW94" s="201"/>
      <c r="JCX94" s="201"/>
      <c r="JCY94" s="201"/>
      <c r="JCZ94" s="201"/>
      <c r="JDA94" s="201"/>
      <c r="JDB94" s="201"/>
      <c r="JDC94" s="201"/>
      <c r="JDD94" s="201"/>
      <c r="JDE94" s="201"/>
      <c r="JDF94" s="201"/>
      <c r="JDG94" s="201"/>
      <c r="JDH94" s="201"/>
      <c r="JDI94" s="201"/>
      <c r="JDJ94" s="201"/>
      <c r="JDK94" s="201"/>
      <c r="JDL94" s="201"/>
      <c r="JDM94" s="201"/>
      <c r="JDN94" s="201"/>
      <c r="JDO94" s="201"/>
      <c r="JDP94" s="201"/>
      <c r="JDQ94" s="201"/>
      <c r="JDR94" s="201"/>
      <c r="JDS94" s="201"/>
      <c r="JDT94" s="201"/>
      <c r="JDU94" s="201"/>
      <c r="JDV94" s="201"/>
      <c r="JDW94" s="201"/>
      <c r="JDX94" s="201"/>
      <c r="JDY94" s="201"/>
      <c r="JDZ94" s="201"/>
      <c r="JEA94" s="201"/>
      <c r="JEB94" s="201"/>
      <c r="JEC94" s="201"/>
      <c r="JED94" s="201"/>
      <c r="JEE94" s="201"/>
      <c r="JEF94" s="201"/>
      <c r="JEG94" s="201"/>
      <c r="JEH94" s="201"/>
      <c r="JEI94" s="201"/>
      <c r="JEJ94" s="201"/>
      <c r="JEK94" s="201"/>
      <c r="JEL94" s="201"/>
      <c r="JEM94" s="201"/>
      <c r="JEN94" s="201"/>
      <c r="JEO94" s="201"/>
      <c r="JEP94" s="201"/>
      <c r="JEQ94" s="201"/>
      <c r="JER94" s="201"/>
      <c r="JES94" s="201"/>
      <c r="JET94" s="201"/>
      <c r="JEU94" s="201"/>
      <c r="JEV94" s="201"/>
      <c r="JEW94" s="201"/>
      <c r="JEX94" s="201"/>
      <c r="JEY94" s="201"/>
      <c r="JEZ94" s="201"/>
      <c r="JFA94" s="201"/>
      <c r="JFB94" s="201"/>
      <c r="JFC94" s="201"/>
      <c r="JFD94" s="201"/>
      <c r="JFE94" s="201"/>
      <c r="JFF94" s="201"/>
      <c r="JFG94" s="201"/>
      <c r="JFH94" s="201"/>
      <c r="JFI94" s="201"/>
      <c r="JFJ94" s="201"/>
      <c r="JFK94" s="201"/>
      <c r="JFL94" s="201"/>
      <c r="JFM94" s="201"/>
      <c r="JFN94" s="201"/>
      <c r="JFO94" s="201"/>
      <c r="JFP94" s="201"/>
      <c r="JFQ94" s="201"/>
      <c r="JFR94" s="201"/>
      <c r="JFS94" s="201"/>
      <c r="JFT94" s="201"/>
      <c r="JFU94" s="201"/>
      <c r="JFV94" s="201"/>
      <c r="JFW94" s="201"/>
      <c r="JFX94" s="201"/>
      <c r="JFY94" s="201"/>
      <c r="JFZ94" s="201"/>
      <c r="JGA94" s="201"/>
      <c r="JGB94" s="201"/>
      <c r="JGC94" s="201"/>
      <c r="JGD94" s="201"/>
      <c r="JGE94" s="201"/>
      <c r="JGF94" s="201"/>
      <c r="JGG94" s="201"/>
      <c r="JGH94" s="201"/>
      <c r="JGI94" s="201"/>
      <c r="JGJ94" s="201"/>
      <c r="JGK94" s="201"/>
      <c r="JGL94" s="201"/>
      <c r="JGM94" s="201"/>
      <c r="JGN94" s="201"/>
      <c r="JGO94" s="201"/>
      <c r="JGP94" s="201"/>
      <c r="JGQ94" s="201"/>
      <c r="JGR94" s="201"/>
      <c r="JGS94" s="201"/>
      <c r="JGT94" s="201"/>
      <c r="JGU94" s="201"/>
      <c r="JGV94" s="201"/>
      <c r="JGW94" s="201"/>
      <c r="JGX94" s="201"/>
      <c r="JGY94" s="201"/>
      <c r="JGZ94" s="201"/>
      <c r="JHA94" s="201"/>
      <c r="JHB94" s="201"/>
      <c r="JHC94" s="201"/>
      <c r="JHD94" s="201"/>
      <c r="JHE94" s="201"/>
      <c r="JHF94" s="201"/>
      <c r="JHG94" s="201"/>
      <c r="JHH94" s="201"/>
      <c r="JHI94" s="201"/>
      <c r="JHJ94" s="201"/>
      <c r="JHK94" s="201"/>
      <c r="JHL94" s="201"/>
      <c r="JHM94" s="201"/>
      <c r="JHN94" s="201"/>
      <c r="JHO94" s="201"/>
      <c r="JHP94" s="201"/>
      <c r="JHQ94" s="201"/>
      <c r="JHR94" s="201"/>
      <c r="JHS94" s="201"/>
      <c r="JHT94" s="201"/>
      <c r="JHU94" s="201"/>
      <c r="JHV94" s="201"/>
      <c r="JHW94" s="201"/>
      <c r="JHX94" s="201"/>
      <c r="JHY94" s="201"/>
      <c r="JHZ94" s="201"/>
      <c r="JIA94" s="201"/>
      <c r="JIB94" s="201"/>
      <c r="JIC94" s="201"/>
      <c r="JID94" s="201"/>
      <c r="JIE94" s="201"/>
      <c r="JIF94" s="201"/>
      <c r="JIG94" s="201"/>
      <c r="JIH94" s="201"/>
      <c r="JII94" s="201"/>
      <c r="JIJ94" s="201"/>
      <c r="JIK94" s="201"/>
      <c r="JIL94" s="201"/>
      <c r="JIM94" s="201"/>
      <c r="JIN94" s="201"/>
      <c r="JIO94" s="201"/>
      <c r="JIP94" s="201"/>
      <c r="JIQ94" s="201"/>
      <c r="JIR94" s="201"/>
      <c r="JIS94" s="201"/>
      <c r="JIT94" s="201"/>
      <c r="JIU94" s="201"/>
      <c r="JIV94" s="201"/>
      <c r="JIW94" s="201"/>
      <c r="JIX94" s="201"/>
      <c r="JIY94" s="201"/>
      <c r="JIZ94" s="201"/>
      <c r="JJA94" s="201"/>
      <c r="JJB94" s="201"/>
      <c r="JJC94" s="201"/>
      <c r="JJD94" s="201"/>
      <c r="JJE94" s="201"/>
      <c r="JJF94" s="201"/>
      <c r="JJG94" s="201"/>
      <c r="JJH94" s="201"/>
      <c r="JJI94" s="201"/>
      <c r="JJJ94" s="201"/>
      <c r="JJK94" s="201"/>
      <c r="JJL94" s="201"/>
      <c r="JJM94" s="201"/>
      <c r="JJN94" s="201"/>
      <c r="JJO94" s="201"/>
      <c r="JJP94" s="201"/>
      <c r="JJQ94" s="201"/>
      <c r="JJR94" s="201"/>
      <c r="JJS94" s="201"/>
      <c r="JJT94" s="201"/>
      <c r="JJU94" s="201"/>
      <c r="JJV94" s="201"/>
      <c r="JJW94" s="201"/>
      <c r="JJX94" s="201"/>
      <c r="JJY94" s="201"/>
      <c r="JJZ94" s="201"/>
      <c r="JKA94" s="201"/>
      <c r="JKB94" s="201"/>
      <c r="JKC94" s="201"/>
      <c r="JKD94" s="201"/>
      <c r="JKE94" s="201"/>
      <c r="JKF94" s="201"/>
      <c r="JKG94" s="201"/>
      <c r="JKH94" s="201"/>
      <c r="JKI94" s="201"/>
      <c r="JKJ94" s="201"/>
      <c r="JKK94" s="201"/>
      <c r="JKL94" s="201"/>
      <c r="JKM94" s="201"/>
      <c r="JKN94" s="201"/>
      <c r="JKO94" s="201"/>
      <c r="JKP94" s="201"/>
      <c r="JKQ94" s="201"/>
      <c r="JKR94" s="201"/>
      <c r="JKS94" s="201"/>
      <c r="JKT94" s="201"/>
      <c r="JKU94" s="201"/>
      <c r="JKV94" s="201"/>
      <c r="JKW94" s="201"/>
      <c r="JKX94" s="201"/>
      <c r="JKY94" s="201"/>
      <c r="JKZ94" s="201"/>
      <c r="JLA94" s="201"/>
      <c r="JLB94" s="201"/>
      <c r="JLC94" s="201"/>
      <c r="JLD94" s="201"/>
      <c r="JLE94" s="201"/>
      <c r="JLF94" s="201"/>
      <c r="JLG94" s="201"/>
      <c r="JLH94" s="201"/>
      <c r="JLI94" s="201"/>
      <c r="JLJ94" s="201"/>
      <c r="JLK94" s="201"/>
      <c r="JLL94" s="201"/>
      <c r="JLM94" s="201"/>
      <c r="JLN94" s="201"/>
      <c r="JLO94" s="201"/>
      <c r="JLP94" s="201"/>
      <c r="JLQ94" s="201"/>
      <c r="JLR94" s="201"/>
      <c r="JLS94" s="201"/>
      <c r="JLT94" s="201"/>
      <c r="JLU94" s="201"/>
      <c r="JLV94" s="201"/>
      <c r="JLW94" s="201"/>
      <c r="JLX94" s="201"/>
      <c r="JLY94" s="201"/>
      <c r="JLZ94" s="201"/>
      <c r="JMA94" s="201"/>
      <c r="JMB94" s="201"/>
      <c r="JMC94" s="201"/>
      <c r="JMD94" s="201"/>
      <c r="JME94" s="201"/>
      <c r="JMF94" s="201"/>
      <c r="JMG94" s="201"/>
      <c r="JMH94" s="201"/>
      <c r="JMI94" s="201"/>
      <c r="JMJ94" s="201"/>
      <c r="JMK94" s="201"/>
      <c r="JML94" s="201"/>
      <c r="JMM94" s="201"/>
      <c r="JMN94" s="201"/>
      <c r="JMO94" s="201"/>
      <c r="JMP94" s="201"/>
      <c r="JMQ94" s="201"/>
      <c r="JMR94" s="201"/>
      <c r="JMS94" s="201"/>
      <c r="JMT94" s="201"/>
      <c r="JMU94" s="201"/>
      <c r="JMV94" s="201"/>
      <c r="JMW94" s="201"/>
      <c r="JMX94" s="201"/>
      <c r="JMY94" s="201"/>
      <c r="JMZ94" s="201"/>
      <c r="JNA94" s="201"/>
      <c r="JNB94" s="201"/>
      <c r="JNC94" s="201"/>
      <c r="JND94" s="201"/>
      <c r="JNE94" s="201"/>
      <c r="JNF94" s="201"/>
      <c r="JNG94" s="201"/>
      <c r="JNH94" s="201"/>
      <c r="JNI94" s="201"/>
      <c r="JNJ94" s="201"/>
      <c r="JNK94" s="201"/>
      <c r="JNL94" s="201"/>
      <c r="JNM94" s="201"/>
      <c r="JNN94" s="201"/>
      <c r="JNO94" s="201"/>
      <c r="JNP94" s="201"/>
      <c r="JNQ94" s="201"/>
      <c r="JNR94" s="201"/>
      <c r="JNS94" s="201"/>
      <c r="JNT94" s="201"/>
      <c r="JNU94" s="201"/>
      <c r="JNV94" s="201"/>
      <c r="JNW94" s="201"/>
      <c r="JNX94" s="201"/>
      <c r="JNY94" s="201"/>
      <c r="JNZ94" s="201"/>
      <c r="JOA94" s="201"/>
      <c r="JOB94" s="201"/>
      <c r="JOC94" s="201"/>
      <c r="JOD94" s="201"/>
      <c r="JOE94" s="201"/>
      <c r="JOF94" s="201"/>
      <c r="JOG94" s="201"/>
      <c r="JOH94" s="201"/>
      <c r="JOI94" s="201"/>
      <c r="JOJ94" s="201"/>
      <c r="JOK94" s="201"/>
      <c r="JOL94" s="201"/>
      <c r="JOM94" s="201"/>
      <c r="JON94" s="201"/>
      <c r="JOO94" s="201"/>
      <c r="JOP94" s="201"/>
      <c r="JOQ94" s="201"/>
      <c r="JOR94" s="201"/>
      <c r="JOS94" s="201"/>
      <c r="JOT94" s="201"/>
      <c r="JOU94" s="201"/>
      <c r="JOV94" s="201"/>
      <c r="JOW94" s="201"/>
      <c r="JOX94" s="201"/>
      <c r="JOY94" s="201"/>
      <c r="JOZ94" s="201"/>
      <c r="JPA94" s="201"/>
      <c r="JPB94" s="201"/>
      <c r="JPC94" s="201"/>
      <c r="JPD94" s="201"/>
      <c r="JPE94" s="201"/>
      <c r="JPF94" s="201"/>
      <c r="JPG94" s="201"/>
      <c r="JPH94" s="201"/>
      <c r="JPI94" s="201"/>
      <c r="JPJ94" s="201"/>
      <c r="JPK94" s="201"/>
      <c r="JPL94" s="201"/>
      <c r="JPM94" s="201"/>
      <c r="JPN94" s="201"/>
      <c r="JPO94" s="201"/>
      <c r="JPP94" s="201"/>
      <c r="JPQ94" s="201"/>
      <c r="JPR94" s="201"/>
      <c r="JPS94" s="201"/>
      <c r="JPT94" s="201"/>
      <c r="JPU94" s="201"/>
      <c r="JPV94" s="201"/>
      <c r="JPW94" s="201"/>
      <c r="JPX94" s="201"/>
      <c r="JPY94" s="201"/>
      <c r="JPZ94" s="201"/>
      <c r="JQA94" s="201"/>
      <c r="JQB94" s="201"/>
      <c r="JQC94" s="201"/>
      <c r="JQD94" s="201"/>
      <c r="JQE94" s="201"/>
      <c r="JQF94" s="201"/>
      <c r="JQG94" s="201"/>
      <c r="JQH94" s="201"/>
      <c r="JQI94" s="201"/>
      <c r="JQJ94" s="201"/>
      <c r="JQK94" s="201"/>
      <c r="JQL94" s="201"/>
      <c r="JQM94" s="201"/>
      <c r="JQN94" s="201"/>
      <c r="JQO94" s="201"/>
      <c r="JQP94" s="201"/>
      <c r="JQQ94" s="201"/>
      <c r="JQR94" s="201"/>
      <c r="JQS94" s="201"/>
      <c r="JQT94" s="201"/>
      <c r="JQU94" s="201"/>
      <c r="JQV94" s="201"/>
      <c r="JQW94" s="201"/>
      <c r="JQX94" s="201"/>
      <c r="JQY94" s="201"/>
      <c r="JQZ94" s="201"/>
      <c r="JRA94" s="201"/>
      <c r="JRB94" s="201"/>
      <c r="JRC94" s="201"/>
      <c r="JRD94" s="201"/>
      <c r="JRE94" s="201"/>
      <c r="JRF94" s="201"/>
      <c r="JRG94" s="201"/>
      <c r="JRH94" s="201"/>
      <c r="JRI94" s="201"/>
      <c r="JRJ94" s="201"/>
      <c r="JRK94" s="201"/>
      <c r="JRL94" s="201"/>
      <c r="JRM94" s="201"/>
      <c r="JRN94" s="201"/>
      <c r="JRO94" s="201"/>
      <c r="JRP94" s="201"/>
      <c r="JRQ94" s="201"/>
      <c r="JRR94" s="201"/>
      <c r="JRS94" s="201"/>
      <c r="JRT94" s="201"/>
      <c r="JRU94" s="201"/>
      <c r="JRV94" s="201"/>
      <c r="JRW94" s="201"/>
      <c r="JRX94" s="201"/>
      <c r="JRY94" s="201"/>
      <c r="JRZ94" s="201"/>
      <c r="JSA94" s="201"/>
      <c r="JSB94" s="201"/>
      <c r="JSC94" s="201"/>
      <c r="JSD94" s="201"/>
      <c r="JSE94" s="201"/>
      <c r="JSF94" s="201"/>
      <c r="JSG94" s="201"/>
      <c r="JSH94" s="201"/>
      <c r="JSI94" s="201"/>
      <c r="JSJ94" s="201"/>
      <c r="JSK94" s="201"/>
      <c r="JSL94" s="201"/>
      <c r="JSM94" s="201"/>
      <c r="JSN94" s="201"/>
      <c r="JSO94" s="201"/>
      <c r="JSP94" s="201"/>
      <c r="JSQ94" s="201"/>
      <c r="JSR94" s="201"/>
      <c r="JSS94" s="201"/>
      <c r="JST94" s="201"/>
      <c r="JSU94" s="201"/>
      <c r="JSV94" s="201"/>
      <c r="JSW94" s="201"/>
      <c r="JSX94" s="201"/>
      <c r="JSY94" s="201"/>
      <c r="JSZ94" s="201"/>
      <c r="JTA94" s="201"/>
      <c r="JTB94" s="201"/>
      <c r="JTC94" s="201"/>
      <c r="JTD94" s="201"/>
      <c r="JTE94" s="201"/>
      <c r="JTF94" s="201"/>
      <c r="JTG94" s="201"/>
      <c r="JTH94" s="201"/>
      <c r="JTI94" s="201"/>
      <c r="JTJ94" s="201"/>
      <c r="JTK94" s="201"/>
      <c r="JTL94" s="201"/>
      <c r="JTM94" s="201"/>
      <c r="JTN94" s="201"/>
      <c r="JTO94" s="201"/>
      <c r="JTP94" s="201"/>
      <c r="JTQ94" s="201"/>
      <c r="JTR94" s="201"/>
      <c r="JTS94" s="201"/>
      <c r="JTT94" s="201"/>
      <c r="JTU94" s="201"/>
      <c r="JTV94" s="201"/>
      <c r="JTW94" s="201"/>
      <c r="JTX94" s="201"/>
      <c r="JTY94" s="201"/>
      <c r="JTZ94" s="201"/>
      <c r="JUA94" s="201"/>
      <c r="JUB94" s="201"/>
      <c r="JUC94" s="201"/>
      <c r="JUD94" s="201"/>
      <c r="JUE94" s="201"/>
      <c r="JUF94" s="201"/>
      <c r="JUG94" s="201"/>
      <c r="JUH94" s="201"/>
      <c r="JUI94" s="201"/>
      <c r="JUJ94" s="201"/>
      <c r="JUK94" s="201"/>
      <c r="JUL94" s="201"/>
      <c r="JUM94" s="201"/>
      <c r="JUN94" s="201"/>
      <c r="JUO94" s="201"/>
      <c r="JUP94" s="201"/>
      <c r="JUQ94" s="201"/>
      <c r="JUR94" s="201"/>
      <c r="JUS94" s="201"/>
      <c r="JUT94" s="201"/>
      <c r="JUU94" s="201"/>
      <c r="JUV94" s="201"/>
      <c r="JUW94" s="201"/>
      <c r="JUX94" s="201"/>
      <c r="JUY94" s="201"/>
      <c r="JUZ94" s="201"/>
      <c r="JVA94" s="201"/>
      <c r="JVB94" s="201"/>
      <c r="JVC94" s="201"/>
      <c r="JVD94" s="201"/>
      <c r="JVE94" s="201"/>
      <c r="JVF94" s="201"/>
      <c r="JVG94" s="201"/>
      <c r="JVH94" s="201"/>
      <c r="JVI94" s="201"/>
      <c r="JVJ94" s="201"/>
      <c r="JVK94" s="201"/>
      <c r="JVL94" s="201"/>
      <c r="JVM94" s="201"/>
      <c r="JVN94" s="201"/>
      <c r="JVO94" s="201"/>
      <c r="JVP94" s="201"/>
      <c r="JVQ94" s="201"/>
      <c r="JVR94" s="201"/>
      <c r="JVS94" s="201"/>
      <c r="JVT94" s="201"/>
      <c r="JVU94" s="201"/>
      <c r="JVV94" s="201"/>
      <c r="JVW94" s="201"/>
      <c r="JVX94" s="201"/>
      <c r="JVY94" s="201"/>
      <c r="JVZ94" s="201"/>
      <c r="JWA94" s="201"/>
      <c r="JWB94" s="201"/>
      <c r="JWC94" s="201"/>
      <c r="JWD94" s="201"/>
      <c r="JWE94" s="201"/>
      <c r="JWF94" s="201"/>
      <c r="JWG94" s="201"/>
      <c r="JWH94" s="201"/>
      <c r="JWI94" s="201"/>
      <c r="JWJ94" s="201"/>
      <c r="JWK94" s="201"/>
      <c r="JWL94" s="201"/>
      <c r="JWM94" s="201"/>
      <c r="JWN94" s="201"/>
      <c r="JWO94" s="201"/>
      <c r="JWP94" s="201"/>
      <c r="JWQ94" s="201"/>
      <c r="JWR94" s="201"/>
      <c r="JWS94" s="201"/>
      <c r="JWT94" s="201"/>
      <c r="JWU94" s="201"/>
      <c r="JWV94" s="201"/>
      <c r="JWW94" s="201"/>
      <c r="JWX94" s="201"/>
      <c r="JWY94" s="201"/>
      <c r="JWZ94" s="201"/>
      <c r="JXA94" s="201"/>
      <c r="JXB94" s="201"/>
      <c r="JXC94" s="201"/>
      <c r="JXD94" s="201"/>
      <c r="JXE94" s="201"/>
      <c r="JXF94" s="201"/>
      <c r="JXG94" s="201"/>
      <c r="JXH94" s="201"/>
      <c r="JXI94" s="201"/>
      <c r="JXJ94" s="201"/>
      <c r="JXK94" s="201"/>
      <c r="JXL94" s="201"/>
      <c r="JXM94" s="201"/>
      <c r="JXN94" s="201"/>
      <c r="JXO94" s="201"/>
      <c r="JXP94" s="201"/>
      <c r="JXQ94" s="201"/>
      <c r="JXR94" s="201"/>
      <c r="JXS94" s="201"/>
      <c r="JXT94" s="201"/>
      <c r="JXU94" s="201"/>
      <c r="JXV94" s="201"/>
      <c r="JXW94" s="201"/>
      <c r="JXX94" s="201"/>
      <c r="JXY94" s="201"/>
      <c r="JXZ94" s="201"/>
      <c r="JYA94" s="201"/>
      <c r="JYB94" s="201"/>
      <c r="JYC94" s="201"/>
      <c r="JYD94" s="201"/>
      <c r="JYE94" s="201"/>
      <c r="JYF94" s="201"/>
      <c r="JYG94" s="201"/>
      <c r="JYH94" s="201"/>
      <c r="JYI94" s="201"/>
      <c r="JYJ94" s="201"/>
      <c r="JYK94" s="201"/>
      <c r="JYL94" s="201"/>
      <c r="JYM94" s="201"/>
      <c r="JYN94" s="201"/>
      <c r="JYO94" s="201"/>
      <c r="JYP94" s="201"/>
      <c r="JYQ94" s="201"/>
      <c r="JYR94" s="201"/>
      <c r="JYS94" s="201"/>
      <c r="JYT94" s="201"/>
      <c r="JYU94" s="201"/>
      <c r="JYV94" s="201"/>
      <c r="JYW94" s="201"/>
      <c r="JYX94" s="201"/>
      <c r="JYY94" s="201"/>
      <c r="JYZ94" s="201"/>
      <c r="JZA94" s="201"/>
      <c r="JZB94" s="201"/>
      <c r="JZC94" s="201"/>
      <c r="JZD94" s="201"/>
      <c r="JZE94" s="201"/>
      <c r="JZF94" s="201"/>
      <c r="JZG94" s="201"/>
      <c r="JZH94" s="201"/>
      <c r="JZI94" s="201"/>
      <c r="JZJ94" s="201"/>
      <c r="JZK94" s="201"/>
      <c r="JZL94" s="201"/>
      <c r="JZM94" s="201"/>
      <c r="JZN94" s="201"/>
      <c r="JZO94" s="201"/>
      <c r="JZP94" s="201"/>
      <c r="JZQ94" s="201"/>
      <c r="JZR94" s="201"/>
      <c r="JZS94" s="201"/>
      <c r="JZT94" s="201"/>
      <c r="JZU94" s="201"/>
      <c r="JZV94" s="201"/>
      <c r="JZW94" s="201"/>
      <c r="JZX94" s="201"/>
      <c r="JZY94" s="201"/>
      <c r="JZZ94" s="201"/>
      <c r="KAA94" s="201"/>
      <c r="KAB94" s="201"/>
      <c r="KAC94" s="201"/>
      <c r="KAD94" s="201"/>
      <c r="KAE94" s="201"/>
      <c r="KAF94" s="201"/>
      <c r="KAG94" s="201"/>
      <c r="KAH94" s="201"/>
      <c r="KAI94" s="201"/>
      <c r="KAJ94" s="201"/>
      <c r="KAK94" s="201"/>
      <c r="KAL94" s="201"/>
      <c r="KAM94" s="201"/>
      <c r="KAN94" s="201"/>
      <c r="KAO94" s="201"/>
      <c r="KAP94" s="201"/>
      <c r="KAQ94" s="201"/>
      <c r="KAR94" s="201"/>
      <c r="KAS94" s="201"/>
      <c r="KAT94" s="201"/>
      <c r="KAU94" s="201"/>
      <c r="KAV94" s="201"/>
      <c r="KAW94" s="201"/>
      <c r="KAX94" s="201"/>
      <c r="KAY94" s="201"/>
      <c r="KAZ94" s="201"/>
      <c r="KBA94" s="201"/>
      <c r="KBB94" s="201"/>
      <c r="KBC94" s="201"/>
      <c r="KBD94" s="201"/>
      <c r="KBE94" s="201"/>
      <c r="KBF94" s="201"/>
      <c r="KBG94" s="201"/>
      <c r="KBH94" s="201"/>
      <c r="KBI94" s="201"/>
      <c r="KBJ94" s="201"/>
      <c r="KBK94" s="201"/>
      <c r="KBL94" s="201"/>
      <c r="KBM94" s="201"/>
      <c r="KBN94" s="201"/>
      <c r="KBO94" s="201"/>
      <c r="KBP94" s="201"/>
      <c r="KBQ94" s="201"/>
      <c r="KBR94" s="201"/>
      <c r="KBS94" s="201"/>
      <c r="KBT94" s="201"/>
      <c r="KBU94" s="201"/>
      <c r="KBV94" s="201"/>
      <c r="KBW94" s="201"/>
      <c r="KBX94" s="201"/>
      <c r="KBY94" s="201"/>
      <c r="KBZ94" s="201"/>
      <c r="KCA94" s="201"/>
      <c r="KCB94" s="201"/>
      <c r="KCC94" s="201"/>
      <c r="KCD94" s="201"/>
      <c r="KCE94" s="201"/>
      <c r="KCF94" s="201"/>
      <c r="KCG94" s="201"/>
      <c r="KCH94" s="201"/>
      <c r="KCI94" s="201"/>
      <c r="KCJ94" s="201"/>
      <c r="KCK94" s="201"/>
      <c r="KCL94" s="201"/>
      <c r="KCM94" s="201"/>
      <c r="KCN94" s="201"/>
      <c r="KCO94" s="201"/>
      <c r="KCP94" s="201"/>
      <c r="KCQ94" s="201"/>
      <c r="KCR94" s="201"/>
      <c r="KCS94" s="201"/>
      <c r="KCT94" s="201"/>
      <c r="KCU94" s="201"/>
      <c r="KCV94" s="201"/>
      <c r="KCW94" s="201"/>
      <c r="KCX94" s="201"/>
      <c r="KCY94" s="201"/>
      <c r="KCZ94" s="201"/>
      <c r="KDA94" s="201"/>
      <c r="KDB94" s="201"/>
      <c r="KDC94" s="201"/>
      <c r="KDD94" s="201"/>
      <c r="KDE94" s="201"/>
      <c r="KDF94" s="201"/>
      <c r="KDG94" s="201"/>
      <c r="KDH94" s="201"/>
      <c r="KDI94" s="201"/>
      <c r="KDJ94" s="201"/>
      <c r="KDK94" s="201"/>
      <c r="KDL94" s="201"/>
      <c r="KDM94" s="201"/>
      <c r="KDN94" s="201"/>
      <c r="KDO94" s="201"/>
      <c r="KDP94" s="201"/>
      <c r="KDQ94" s="201"/>
      <c r="KDR94" s="201"/>
      <c r="KDS94" s="201"/>
      <c r="KDT94" s="201"/>
      <c r="KDU94" s="201"/>
      <c r="KDV94" s="201"/>
      <c r="KDW94" s="201"/>
      <c r="KDX94" s="201"/>
      <c r="KDY94" s="201"/>
      <c r="KDZ94" s="201"/>
      <c r="KEA94" s="201"/>
      <c r="KEB94" s="201"/>
      <c r="KEC94" s="201"/>
      <c r="KED94" s="201"/>
      <c r="KEE94" s="201"/>
      <c r="KEF94" s="201"/>
      <c r="KEG94" s="201"/>
      <c r="KEH94" s="201"/>
      <c r="KEI94" s="201"/>
      <c r="KEJ94" s="201"/>
      <c r="KEK94" s="201"/>
      <c r="KEL94" s="201"/>
      <c r="KEM94" s="201"/>
      <c r="KEN94" s="201"/>
      <c r="KEO94" s="201"/>
      <c r="KEP94" s="201"/>
      <c r="KEQ94" s="201"/>
      <c r="KER94" s="201"/>
      <c r="KES94" s="201"/>
      <c r="KET94" s="201"/>
      <c r="KEU94" s="201"/>
      <c r="KEV94" s="201"/>
      <c r="KEW94" s="201"/>
      <c r="KEX94" s="201"/>
      <c r="KEY94" s="201"/>
      <c r="KEZ94" s="201"/>
      <c r="KFA94" s="201"/>
      <c r="KFB94" s="201"/>
      <c r="KFC94" s="201"/>
      <c r="KFD94" s="201"/>
      <c r="KFE94" s="201"/>
      <c r="KFF94" s="201"/>
      <c r="KFG94" s="201"/>
      <c r="KFH94" s="201"/>
      <c r="KFI94" s="201"/>
      <c r="KFJ94" s="201"/>
      <c r="KFK94" s="201"/>
      <c r="KFL94" s="201"/>
      <c r="KFM94" s="201"/>
      <c r="KFN94" s="201"/>
      <c r="KFO94" s="201"/>
      <c r="KFP94" s="201"/>
      <c r="KFQ94" s="201"/>
      <c r="KFR94" s="201"/>
      <c r="KFS94" s="201"/>
      <c r="KFT94" s="201"/>
      <c r="KFU94" s="201"/>
      <c r="KFV94" s="201"/>
      <c r="KFW94" s="201"/>
      <c r="KFX94" s="201"/>
      <c r="KFY94" s="201"/>
      <c r="KFZ94" s="201"/>
      <c r="KGA94" s="201"/>
      <c r="KGB94" s="201"/>
      <c r="KGC94" s="201"/>
      <c r="KGD94" s="201"/>
      <c r="KGE94" s="201"/>
      <c r="KGF94" s="201"/>
      <c r="KGG94" s="201"/>
      <c r="KGH94" s="201"/>
      <c r="KGI94" s="201"/>
      <c r="KGJ94" s="201"/>
      <c r="KGK94" s="201"/>
      <c r="KGL94" s="201"/>
      <c r="KGM94" s="201"/>
      <c r="KGN94" s="201"/>
      <c r="KGO94" s="201"/>
      <c r="KGP94" s="201"/>
      <c r="KGQ94" s="201"/>
      <c r="KGR94" s="201"/>
      <c r="KGS94" s="201"/>
      <c r="KGT94" s="201"/>
      <c r="KGU94" s="201"/>
      <c r="KGV94" s="201"/>
      <c r="KGW94" s="201"/>
      <c r="KGX94" s="201"/>
      <c r="KGY94" s="201"/>
      <c r="KGZ94" s="201"/>
      <c r="KHA94" s="201"/>
      <c r="KHB94" s="201"/>
      <c r="KHC94" s="201"/>
      <c r="KHD94" s="201"/>
      <c r="KHE94" s="201"/>
      <c r="KHF94" s="201"/>
      <c r="KHG94" s="201"/>
      <c r="KHH94" s="201"/>
      <c r="KHI94" s="201"/>
      <c r="KHJ94" s="201"/>
      <c r="KHK94" s="201"/>
      <c r="KHL94" s="201"/>
      <c r="KHM94" s="201"/>
      <c r="KHN94" s="201"/>
      <c r="KHO94" s="201"/>
      <c r="KHP94" s="201"/>
      <c r="KHQ94" s="201"/>
      <c r="KHR94" s="201"/>
      <c r="KHS94" s="201"/>
      <c r="KHT94" s="201"/>
      <c r="KHU94" s="201"/>
      <c r="KHV94" s="201"/>
      <c r="KHW94" s="201"/>
      <c r="KHX94" s="201"/>
      <c r="KHY94" s="201"/>
      <c r="KHZ94" s="201"/>
      <c r="KIA94" s="201"/>
      <c r="KIB94" s="201"/>
      <c r="KIC94" s="201"/>
      <c r="KID94" s="201"/>
      <c r="KIE94" s="201"/>
      <c r="KIF94" s="201"/>
      <c r="KIG94" s="201"/>
      <c r="KIH94" s="201"/>
      <c r="KII94" s="201"/>
      <c r="KIJ94" s="201"/>
      <c r="KIK94" s="201"/>
      <c r="KIL94" s="201"/>
      <c r="KIM94" s="201"/>
      <c r="KIN94" s="201"/>
      <c r="KIO94" s="201"/>
      <c r="KIP94" s="201"/>
      <c r="KIQ94" s="201"/>
      <c r="KIR94" s="201"/>
      <c r="KIS94" s="201"/>
      <c r="KIT94" s="201"/>
      <c r="KIU94" s="201"/>
      <c r="KIV94" s="201"/>
      <c r="KIW94" s="201"/>
      <c r="KIX94" s="201"/>
      <c r="KIY94" s="201"/>
      <c r="KIZ94" s="201"/>
      <c r="KJA94" s="201"/>
      <c r="KJB94" s="201"/>
      <c r="KJC94" s="201"/>
      <c r="KJD94" s="201"/>
      <c r="KJE94" s="201"/>
      <c r="KJF94" s="201"/>
      <c r="KJG94" s="201"/>
      <c r="KJH94" s="201"/>
      <c r="KJI94" s="201"/>
      <c r="KJJ94" s="201"/>
      <c r="KJK94" s="201"/>
      <c r="KJL94" s="201"/>
      <c r="KJM94" s="201"/>
      <c r="KJN94" s="201"/>
      <c r="KJO94" s="201"/>
      <c r="KJP94" s="201"/>
      <c r="KJQ94" s="201"/>
      <c r="KJR94" s="201"/>
      <c r="KJS94" s="201"/>
      <c r="KJT94" s="201"/>
      <c r="KJU94" s="201"/>
      <c r="KJV94" s="201"/>
      <c r="KJW94" s="201"/>
      <c r="KJX94" s="201"/>
      <c r="KJY94" s="201"/>
      <c r="KJZ94" s="201"/>
      <c r="KKA94" s="201"/>
      <c r="KKB94" s="201"/>
      <c r="KKC94" s="201"/>
      <c r="KKD94" s="201"/>
      <c r="KKE94" s="201"/>
      <c r="KKF94" s="201"/>
      <c r="KKG94" s="201"/>
      <c r="KKH94" s="201"/>
      <c r="KKI94" s="201"/>
      <c r="KKJ94" s="201"/>
      <c r="KKK94" s="201"/>
      <c r="KKL94" s="201"/>
      <c r="KKM94" s="201"/>
      <c r="KKN94" s="201"/>
      <c r="KKO94" s="201"/>
      <c r="KKP94" s="201"/>
      <c r="KKQ94" s="201"/>
      <c r="KKR94" s="201"/>
      <c r="KKS94" s="201"/>
      <c r="KKT94" s="201"/>
      <c r="KKU94" s="201"/>
      <c r="KKV94" s="201"/>
      <c r="KKW94" s="201"/>
      <c r="KKX94" s="201"/>
      <c r="KKY94" s="201"/>
      <c r="KKZ94" s="201"/>
      <c r="KLA94" s="201"/>
      <c r="KLB94" s="201"/>
      <c r="KLC94" s="201"/>
      <c r="KLD94" s="201"/>
      <c r="KLE94" s="201"/>
      <c r="KLF94" s="201"/>
      <c r="KLG94" s="201"/>
      <c r="KLH94" s="201"/>
      <c r="KLI94" s="201"/>
      <c r="KLJ94" s="201"/>
      <c r="KLK94" s="201"/>
      <c r="KLL94" s="201"/>
      <c r="KLM94" s="201"/>
      <c r="KLN94" s="201"/>
      <c r="KLO94" s="201"/>
      <c r="KLP94" s="201"/>
      <c r="KLQ94" s="201"/>
      <c r="KLR94" s="201"/>
      <c r="KLS94" s="201"/>
      <c r="KLT94" s="201"/>
      <c r="KLU94" s="201"/>
      <c r="KLV94" s="201"/>
      <c r="KLW94" s="201"/>
      <c r="KLX94" s="201"/>
      <c r="KLY94" s="201"/>
      <c r="KLZ94" s="201"/>
      <c r="KMA94" s="201"/>
      <c r="KMB94" s="201"/>
      <c r="KMC94" s="201"/>
      <c r="KMD94" s="201"/>
      <c r="KME94" s="201"/>
      <c r="KMF94" s="201"/>
      <c r="KMG94" s="201"/>
      <c r="KMH94" s="201"/>
      <c r="KMI94" s="201"/>
      <c r="KMJ94" s="201"/>
      <c r="KMK94" s="201"/>
      <c r="KML94" s="201"/>
      <c r="KMM94" s="201"/>
      <c r="KMN94" s="201"/>
      <c r="KMO94" s="201"/>
      <c r="KMP94" s="201"/>
      <c r="KMQ94" s="201"/>
      <c r="KMR94" s="201"/>
      <c r="KMS94" s="201"/>
      <c r="KMT94" s="201"/>
      <c r="KMU94" s="201"/>
      <c r="KMV94" s="201"/>
      <c r="KMW94" s="201"/>
      <c r="KMX94" s="201"/>
      <c r="KMY94" s="201"/>
      <c r="KMZ94" s="201"/>
      <c r="KNA94" s="201"/>
      <c r="KNB94" s="201"/>
      <c r="KNC94" s="201"/>
      <c r="KND94" s="201"/>
      <c r="KNE94" s="201"/>
      <c r="KNF94" s="201"/>
      <c r="KNG94" s="201"/>
      <c r="KNH94" s="201"/>
      <c r="KNI94" s="201"/>
      <c r="KNJ94" s="201"/>
      <c r="KNK94" s="201"/>
      <c r="KNL94" s="201"/>
      <c r="KNM94" s="201"/>
      <c r="KNN94" s="201"/>
      <c r="KNO94" s="201"/>
      <c r="KNP94" s="201"/>
      <c r="KNQ94" s="201"/>
      <c r="KNR94" s="201"/>
      <c r="KNS94" s="201"/>
      <c r="KNT94" s="201"/>
      <c r="KNU94" s="201"/>
      <c r="KNV94" s="201"/>
      <c r="KNW94" s="201"/>
      <c r="KNX94" s="201"/>
      <c r="KNY94" s="201"/>
      <c r="KNZ94" s="201"/>
      <c r="KOA94" s="201"/>
      <c r="KOB94" s="201"/>
      <c r="KOC94" s="201"/>
      <c r="KOD94" s="201"/>
      <c r="KOE94" s="201"/>
      <c r="KOF94" s="201"/>
      <c r="KOG94" s="201"/>
      <c r="KOH94" s="201"/>
      <c r="KOI94" s="201"/>
      <c r="KOJ94" s="201"/>
      <c r="KOK94" s="201"/>
      <c r="KOL94" s="201"/>
      <c r="KOM94" s="201"/>
      <c r="KON94" s="201"/>
      <c r="KOO94" s="201"/>
      <c r="KOP94" s="201"/>
      <c r="KOQ94" s="201"/>
      <c r="KOR94" s="201"/>
      <c r="KOS94" s="201"/>
      <c r="KOT94" s="201"/>
      <c r="KOU94" s="201"/>
      <c r="KOV94" s="201"/>
      <c r="KOW94" s="201"/>
      <c r="KOX94" s="201"/>
      <c r="KOY94" s="201"/>
      <c r="KOZ94" s="201"/>
      <c r="KPA94" s="201"/>
      <c r="KPB94" s="201"/>
      <c r="KPC94" s="201"/>
      <c r="KPD94" s="201"/>
      <c r="KPE94" s="201"/>
      <c r="KPF94" s="201"/>
      <c r="KPG94" s="201"/>
      <c r="KPH94" s="201"/>
      <c r="KPI94" s="201"/>
      <c r="KPJ94" s="201"/>
      <c r="KPK94" s="201"/>
      <c r="KPL94" s="201"/>
      <c r="KPM94" s="201"/>
      <c r="KPN94" s="201"/>
      <c r="KPO94" s="201"/>
      <c r="KPP94" s="201"/>
      <c r="KPQ94" s="201"/>
      <c r="KPR94" s="201"/>
      <c r="KPS94" s="201"/>
      <c r="KPT94" s="201"/>
      <c r="KPU94" s="201"/>
      <c r="KPV94" s="201"/>
      <c r="KPW94" s="201"/>
      <c r="KPX94" s="201"/>
      <c r="KPY94" s="201"/>
      <c r="KPZ94" s="201"/>
      <c r="KQA94" s="201"/>
      <c r="KQB94" s="201"/>
      <c r="KQC94" s="201"/>
      <c r="KQD94" s="201"/>
      <c r="KQE94" s="201"/>
      <c r="KQF94" s="201"/>
      <c r="KQG94" s="201"/>
      <c r="KQH94" s="201"/>
      <c r="KQI94" s="201"/>
      <c r="KQJ94" s="201"/>
      <c r="KQK94" s="201"/>
      <c r="KQL94" s="201"/>
      <c r="KQM94" s="201"/>
      <c r="KQN94" s="201"/>
      <c r="KQO94" s="201"/>
      <c r="KQP94" s="201"/>
      <c r="KQQ94" s="201"/>
      <c r="KQR94" s="201"/>
      <c r="KQS94" s="201"/>
      <c r="KQT94" s="201"/>
      <c r="KQU94" s="201"/>
      <c r="KQV94" s="201"/>
      <c r="KQW94" s="201"/>
      <c r="KQX94" s="201"/>
      <c r="KQY94" s="201"/>
      <c r="KQZ94" s="201"/>
      <c r="KRA94" s="201"/>
      <c r="KRB94" s="201"/>
      <c r="KRC94" s="201"/>
      <c r="KRD94" s="201"/>
      <c r="KRE94" s="201"/>
      <c r="KRF94" s="201"/>
      <c r="KRG94" s="201"/>
      <c r="KRH94" s="201"/>
      <c r="KRI94" s="201"/>
      <c r="KRJ94" s="201"/>
      <c r="KRK94" s="201"/>
      <c r="KRL94" s="201"/>
      <c r="KRM94" s="201"/>
      <c r="KRN94" s="201"/>
      <c r="KRO94" s="201"/>
      <c r="KRP94" s="201"/>
      <c r="KRQ94" s="201"/>
      <c r="KRR94" s="201"/>
      <c r="KRS94" s="201"/>
      <c r="KRT94" s="201"/>
      <c r="KRU94" s="201"/>
      <c r="KRV94" s="201"/>
      <c r="KRW94" s="201"/>
      <c r="KRX94" s="201"/>
      <c r="KRY94" s="201"/>
      <c r="KRZ94" s="201"/>
      <c r="KSA94" s="201"/>
      <c r="KSB94" s="201"/>
      <c r="KSC94" s="201"/>
      <c r="KSD94" s="201"/>
      <c r="KSE94" s="201"/>
      <c r="KSF94" s="201"/>
      <c r="KSG94" s="201"/>
      <c r="KSH94" s="201"/>
      <c r="KSI94" s="201"/>
      <c r="KSJ94" s="201"/>
      <c r="KSK94" s="201"/>
      <c r="KSL94" s="201"/>
      <c r="KSM94" s="201"/>
      <c r="KSN94" s="201"/>
      <c r="KSO94" s="201"/>
      <c r="KSP94" s="201"/>
      <c r="KSQ94" s="201"/>
      <c r="KSR94" s="201"/>
      <c r="KSS94" s="201"/>
      <c r="KST94" s="201"/>
      <c r="KSU94" s="201"/>
      <c r="KSV94" s="201"/>
      <c r="KSW94" s="201"/>
      <c r="KSX94" s="201"/>
      <c r="KSY94" s="201"/>
      <c r="KSZ94" s="201"/>
      <c r="KTA94" s="201"/>
      <c r="KTB94" s="201"/>
      <c r="KTC94" s="201"/>
      <c r="KTD94" s="201"/>
      <c r="KTE94" s="201"/>
      <c r="KTF94" s="201"/>
      <c r="KTG94" s="201"/>
      <c r="KTH94" s="201"/>
      <c r="KTI94" s="201"/>
      <c r="KTJ94" s="201"/>
      <c r="KTK94" s="201"/>
      <c r="KTL94" s="201"/>
      <c r="KTM94" s="201"/>
      <c r="KTN94" s="201"/>
      <c r="KTO94" s="201"/>
      <c r="KTP94" s="201"/>
      <c r="KTQ94" s="201"/>
      <c r="KTR94" s="201"/>
      <c r="KTS94" s="201"/>
      <c r="KTT94" s="201"/>
      <c r="KTU94" s="201"/>
      <c r="KTV94" s="201"/>
      <c r="KTW94" s="201"/>
      <c r="KTX94" s="201"/>
      <c r="KTY94" s="201"/>
      <c r="KTZ94" s="201"/>
      <c r="KUA94" s="201"/>
      <c r="KUB94" s="201"/>
      <c r="KUC94" s="201"/>
      <c r="KUD94" s="201"/>
      <c r="KUE94" s="201"/>
      <c r="KUF94" s="201"/>
      <c r="KUG94" s="201"/>
      <c r="KUH94" s="201"/>
      <c r="KUI94" s="201"/>
      <c r="KUJ94" s="201"/>
      <c r="KUK94" s="201"/>
      <c r="KUL94" s="201"/>
      <c r="KUM94" s="201"/>
      <c r="KUN94" s="201"/>
      <c r="KUO94" s="201"/>
      <c r="KUP94" s="201"/>
      <c r="KUQ94" s="201"/>
      <c r="KUR94" s="201"/>
      <c r="KUS94" s="201"/>
      <c r="KUT94" s="201"/>
      <c r="KUU94" s="201"/>
      <c r="KUV94" s="201"/>
      <c r="KUW94" s="201"/>
      <c r="KUX94" s="201"/>
      <c r="KUY94" s="201"/>
      <c r="KUZ94" s="201"/>
      <c r="KVA94" s="201"/>
      <c r="KVB94" s="201"/>
      <c r="KVC94" s="201"/>
      <c r="KVD94" s="201"/>
      <c r="KVE94" s="201"/>
      <c r="KVF94" s="201"/>
      <c r="KVG94" s="201"/>
      <c r="KVH94" s="201"/>
      <c r="KVI94" s="201"/>
      <c r="KVJ94" s="201"/>
      <c r="KVK94" s="201"/>
      <c r="KVL94" s="201"/>
      <c r="KVM94" s="201"/>
      <c r="KVN94" s="201"/>
      <c r="KVO94" s="201"/>
      <c r="KVP94" s="201"/>
      <c r="KVQ94" s="201"/>
      <c r="KVR94" s="201"/>
      <c r="KVS94" s="201"/>
      <c r="KVT94" s="201"/>
      <c r="KVU94" s="201"/>
      <c r="KVV94" s="201"/>
      <c r="KVW94" s="201"/>
      <c r="KVX94" s="201"/>
      <c r="KVY94" s="201"/>
      <c r="KVZ94" s="201"/>
      <c r="KWA94" s="201"/>
      <c r="KWB94" s="201"/>
      <c r="KWC94" s="201"/>
      <c r="KWD94" s="201"/>
      <c r="KWE94" s="201"/>
      <c r="KWF94" s="201"/>
      <c r="KWG94" s="201"/>
      <c r="KWH94" s="201"/>
      <c r="KWI94" s="201"/>
      <c r="KWJ94" s="201"/>
      <c r="KWK94" s="201"/>
      <c r="KWL94" s="201"/>
      <c r="KWM94" s="201"/>
      <c r="KWN94" s="201"/>
      <c r="KWO94" s="201"/>
      <c r="KWP94" s="201"/>
      <c r="KWQ94" s="201"/>
      <c r="KWR94" s="201"/>
      <c r="KWS94" s="201"/>
      <c r="KWT94" s="201"/>
      <c r="KWU94" s="201"/>
      <c r="KWV94" s="201"/>
      <c r="KWW94" s="201"/>
      <c r="KWX94" s="201"/>
      <c r="KWY94" s="201"/>
      <c r="KWZ94" s="201"/>
      <c r="KXA94" s="201"/>
      <c r="KXB94" s="201"/>
      <c r="KXC94" s="201"/>
      <c r="KXD94" s="201"/>
      <c r="KXE94" s="201"/>
      <c r="KXF94" s="201"/>
      <c r="KXG94" s="201"/>
      <c r="KXH94" s="201"/>
      <c r="KXI94" s="201"/>
      <c r="KXJ94" s="201"/>
      <c r="KXK94" s="201"/>
      <c r="KXL94" s="201"/>
      <c r="KXM94" s="201"/>
      <c r="KXN94" s="201"/>
      <c r="KXO94" s="201"/>
      <c r="KXP94" s="201"/>
      <c r="KXQ94" s="201"/>
      <c r="KXR94" s="201"/>
      <c r="KXS94" s="201"/>
      <c r="KXT94" s="201"/>
      <c r="KXU94" s="201"/>
      <c r="KXV94" s="201"/>
      <c r="KXW94" s="201"/>
      <c r="KXX94" s="201"/>
      <c r="KXY94" s="201"/>
      <c r="KXZ94" s="201"/>
      <c r="KYA94" s="201"/>
      <c r="KYB94" s="201"/>
      <c r="KYC94" s="201"/>
      <c r="KYD94" s="201"/>
      <c r="KYE94" s="201"/>
      <c r="KYF94" s="201"/>
      <c r="KYG94" s="201"/>
      <c r="KYH94" s="201"/>
      <c r="KYI94" s="201"/>
      <c r="KYJ94" s="201"/>
      <c r="KYK94" s="201"/>
      <c r="KYL94" s="201"/>
      <c r="KYM94" s="201"/>
      <c r="KYN94" s="201"/>
      <c r="KYO94" s="201"/>
      <c r="KYP94" s="201"/>
      <c r="KYQ94" s="201"/>
      <c r="KYR94" s="201"/>
      <c r="KYS94" s="201"/>
      <c r="KYT94" s="201"/>
      <c r="KYU94" s="201"/>
      <c r="KYV94" s="201"/>
      <c r="KYW94" s="201"/>
      <c r="KYX94" s="201"/>
      <c r="KYY94" s="201"/>
      <c r="KYZ94" s="201"/>
      <c r="KZA94" s="201"/>
      <c r="KZB94" s="201"/>
      <c r="KZC94" s="201"/>
      <c r="KZD94" s="201"/>
      <c r="KZE94" s="201"/>
      <c r="KZF94" s="201"/>
      <c r="KZG94" s="201"/>
      <c r="KZH94" s="201"/>
      <c r="KZI94" s="201"/>
      <c r="KZJ94" s="201"/>
      <c r="KZK94" s="201"/>
      <c r="KZL94" s="201"/>
      <c r="KZM94" s="201"/>
      <c r="KZN94" s="201"/>
      <c r="KZO94" s="201"/>
      <c r="KZP94" s="201"/>
      <c r="KZQ94" s="201"/>
      <c r="KZR94" s="201"/>
      <c r="KZS94" s="201"/>
      <c r="KZT94" s="201"/>
      <c r="KZU94" s="201"/>
      <c r="KZV94" s="201"/>
      <c r="KZW94" s="201"/>
      <c r="KZX94" s="201"/>
      <c r="KZY94" s="201"/>
      <c r="KZZ94" s="201"/>
      <c r="LAA94" s="201"/>
      <c r="LAB94" s="201"/>
      <c r="LAC94" s="201"/>
      <c r="LAD94" s="201"/>
      <c r="LAE94" s="201"/>
      <c r="LAF94" s="201"/>
      <c r="LAG94" s="201"/>
      <c r="LAH94" s="201"/>
      <c r="LAI94" s="201"/>
      <c r="LAJ94" s="201"/>
      <c r="LAK94" s="201"/>
      <c r="LAL94" s="201"/>
      <c r="LAM94" s="201"/>
      <c r="LAN94" s="201"/>
      <c r="LAO94" s="201"/>
      <c r="LAP94" s="201"/>
      <c r="LAQ94" s="201"/>
      <c r="LAR94" s="201"/>
      <c r="LAS94" s="201"/>
      <c r="LAT94" s="201"/>
      <c r="LAU94" s="201"/>
      <c r="LAV94" s="201"/>
      <c r="LAW94" s="201"/>
      <c r="LAX94" s="201"/>
      <c r="LAY94" s="201"/>
      <c r="LAZ94" s="201"/>
      <c r="LBA94" s="201"/>
      <c r="LBB94" s="201"/>
      <c r="LBC94" s="201"/>
      <c r="LBD94" s="201"/>
      <c r="LBE94" s="201"/>
      <c r="LBF94" s="201"/>
      <c r="LBG94" s="201"/>
      <c r="LBH94" s="201"/>
      <c r="LBI94" s="201"/>
      <c r="LBJ94" s="201"/>
      <c r="LBK94" s="201"/>
      <c r="LBL94" s="201"/>
      <c r="LBM94" s="201"/>
      <c r="LBN94" s="201"/>
      <c r="LBO94" s="201"/>
      <c r="LBP94" s="201"/>
      <c r="LBQ94" s="201"/>
      <c r="LBR94" s="201"/>
      <c r="LBS94" s="201"/>
      <c r="LBT94" s="201"/>
      <c r="LBU94" s="201"/>
      <c r="LBV94" s="201"/>
      <c r="LBW94" s="201"/>
      <c r="LBX94" s="201"/>
      <c r="LBY94" s="201"/>
      <c r="LBZ94" s="201"/>
      <c r="LCA94" s="201"/>
      <c r="LCB94" s="201"/>
      <c r="LCC94" s="201"/>
      <c r="LCD94" s="201"/>
      <c r="LCE94" s="201"/>
      <c r="LCF94" s="201"/>
      <c r="LCG94" s="201"/>
      <c r="LCH94" s="201"/>
      <c r="LCI94" s="201"/>
      <c r="LCJ94" s="201"/>
      <c r="LCK94" s="201"/>
      <c r="LCL94" s="201"/>
      <c r="LCM94" s="201"/>
      <c r="LCN94" s="201"/>
      <c r="LCO94" s="201"/>
      <c r="LCP94" s="201"/>
      <c r="LCQ94" s="201"/>
      <c r="LCR94" s="201"/>
      <c r="LCS94" s="201"/>
      <c r="LCT94" s="201"/>
      <c r="LCU94" s="201"/>
      <c r="LCV94" s="201"/>
      <c r="LCW94" s="201"/>
      <c r="LCX94" s="201"/>
      <c r="LCY94" s="201"/>
      <c r="LCZ94" s="201"/>
      <c r="LDA94" s="201"/>
      <c r="LDB94" s="201"/>
      <c r="LDC94" s="201"/>
      <c r="LDD94" s="201"/>
      <c r="LDE94" s="201"/>
      <c r="LDF94" s="201"/>
      <c r="LDG94" s="201"/>
      <c r="LDH94" s="201"/>
      <c r="LDI94" s="201"/>
      <c r="LDJ94" s="201"/>
      <c r="LDK94" s="201"/>
      <c r="LDL94" s="201"/>
      <c r="LDM94" s="201"/>
      <c r="LDN94" s="201"/>
      <c r="LDO94" s="201"/>
      <c r="LDP94" s="201"/>
      <c r="LDQ94" s="201"/>
      <c r="LDR94" s="201"/>
      <c r="LDS94" s="201"/>
      <c r="LDT94" s="201"/>
      <c r="LDU94" s="201"/>
      <c r="LDV94" s="201"/>
      <c r="LDW94" s="201"/>
      <c r="LDX94" s="201"/>
      <c r="LDY94" s="201"/>
      <c r="LDZ94" s="201"/>
      <c r="LEA94" s="201"/>
      <c r="LEB94" s="201"/>
      <c r="LEC94" s="201"/>
      <c r="LED94" s="201"/>
      <c r="LEE94" s="201"/>
      <c r="LEF94" s="201"/>
      <c r="LEG94" s="201"/>
      <c r="LEH94" s="201"/>
      <c r="LEI94" s="201"/>
      <c r="LEJ94" s="201"/>
      <c r="LEK94" s="201"/>
      <c r="LEL94" s="201"/>
      <c r="LEM94" s="201"/>
      <c r="LEN94" s="201"/>
      <c r="LEO94" s="201"/>
      <c r="LEP94" s="201"/>
      <c r="LEQ94" s="201"/>
      <c r="LER94" s="201"/>
      <c r="LES94" s="201"/>
      <c r="LET94" s="201"/>
      <c r="LEU94" s="201"/>
      <c r="LEV94" s="201"/>
      <c r="LEW94" s="201"/>
      <c r="LEX94" s="201"/>
      <c r="LEY94" s="201"/>
      <c r="LEZ94" s="201"/>
      <c r="LFA94" s="201"/>
      <c r="LFB94" s="201"/>
      <c r="LFC94" s="201"/>
      <c r="LFD94" s="201"/>
      <c r="LFE94" s="201"/>
      <c r="LFF94" s="201"/>
      <c r="LFG94" s="201"/>
      <c r="LFH94" s="201"/>
      <c r="LFI94" s="201"/>
      <c r="LFJ94" s="201"/>
      <c r="LFK94" s="201"/>
      <c r="LFL94" s="201"/>
      <c r="LFM94" s="201"/>
      <c r="LFN94" s="201"/>
      <c r="LFO94" s="201"/>
      <c r="LFP94" s="201"/>
      <c r="LFQ94" s="201"/>
      <c r="LFR94" s="201"/>
      <c r="LFS94" s="201"/>
      <c r="LFT94" s="201"/>
      <c r="LFU94" s="201"/>
      <c r="LFV94" s="201"/>
      <c r="LFW94" s="201"/>
      <c r="LFX94" s="201"/>
      <c r="LFY94" s="201"/>
      <c r="LFZ94" s="201"/>
      <c r="LGA94" s="201"/>
      <c r="LGB94" s="201"/>
      <c r="LGC94" s="201"/>
      <c r="LGD94" s="201"/>
      <c r="LGE94" s="201"/>
      <c r="LGF94" s="201"/>
      <c r="LGG94" s="201"/>
      <c r="LGH94" s="201"/>
      <c r="LGI94" s="201"/>
      <c r="LGJ94" s="201"/>
      <c r="LGK94" s="201"/>
      <c r="LGL94" s="201"/>
      <c r="LGM94" s="201"/>
      <c r="LGN94" s="201"/>
      <c r="LGO94" s="201"/>
      <c r="LGP94" s="201"/>
      <c r="LGQ94" s="201"/>
      <c r="LGR94" s="201"/>
      <c r="LGS94" s="201"/>
      <c r="LGT94" s="201"/>
      <c r="LGU94" s="201"/>
      <c r="LGV94" s="201"/>
      <c r="LGW94" s="201"/>
      <c r="LGX94" s="201"/>
      <c r="LGY94" s="201"/>
      <c r="LGZ94" s="201"/>
      <c r="LHA94" s="201"/>
      <c r="LHB94" s="201"/>
      <c r="LHC94" s="201"/>
      <c r="LHD94" s="201"/>
      <c r="LHE94" s="201"/>
      <c r="LHF94" s="201"/>
      <c r="LHG94" s="201"/>
      <c r="LHH94" s="201"/>
      <c r="LHI94" s="201"/>
      <c r="LHJ94" s="201"/>
      <c r="LHK94" s="201"/>
      <c r="LHL94" s="201"/>
      <c r="LHM94" s="201"/>
      <c r="LHN94" s="201"/>
      <c r="LHO94" s="201"/>
      <c r="LHP94" s="201"/>
      <c r="LHQ94" s="201"/>
      <c r="LHR94" s="201"/>
      <c r="LHS94" s="201"/>
      <c r="LHT94" s="201"/>
      <c r="LHU94" s="201"/>
      <c r="LHV94" s="201"/>
      <c r="LHW94" s="201"/>
      <c r="LHX94" s="201"/>
      <c r="LHY94" s="201"/>
      <c r="LHZ94" s="201"/>
      <c r="LIA94" s="201"/>
      <c r="LIB94" s="201"/>
      <c r="LIC94" s="201"/>
      <c r="LID94" s="201"/>
      <c r="LIE94" s="201"/>
      <c r="LIF94" s="201"/>
      <c r="LIG94" s="201"/>
      <c r="LIH94" s="201"/>
      <c r="LII94" s="201"/>
      <c r="LIJ94" s="201"/>
      <c r="LIK94" s="201"/>
      <c r="LIL94" s="201"/>
      <c r="LIM94" s="201"/>
      <c r="LIN94" s="201"/>
      <c r="LIO94" s="201"/>
      <c r="LIP94" s="201"/>
      <c r="LIQ94" s="201"/>
      <c r="LIR94" s="201"/>
      <c r="LIS94" s="201"/>
      <c r="LIT94" s="201"/>
      <c r="LIU94" s="201"/>
      <c r="LIV94" s="201"/>
      <c r="LIW94" s="201"/>
      <c r="LIX94" s="201"/>
      <c r="LIY94" s="201"/>
      <c r="LIZ94" s="201"/>
      <c r="LJA94" s="201"/>
      <c r="LJB94" s="201"/>
      <c r="LJC94" s="201"/>
      <c r="LJD94" s="201"/>
      <c r="LJE94" s="201"/>
      <c r="LJF94" s="201"/>
      <c r="LJG94" s="201"/>
      <c r="LJH94" s="201"/>
      <c r="LJI94" s="201"/>
      <c r="LJJ94" s="201"/>
      <c r="LJK94" s="201"/>
      <c r="LJL94" s="201"/>
      <c r="LJM94" s="201"/>
      <c r="LJN94" s="201"/>
      <c r="LJO94" s="201"/>
      <c r="LJP94" s="201"/>
      <c r="LJQ94" s="201"/>
      <c r="LJR94" s="201"/>
      <c r="LJS94" s="201"/>
      <c r="LJT94" s="201"/>
      <c r="LJU94" s="201"/>
      <c r="LJV94" s="201"/>
      <c r="LJW94" s="201"/>
      <c r="LJX94" s="201"/>
      <c r="LJY94" s="201"/>
      <c r="LJZ94" s="201"/>
      <c r="LKA94" s="201"/>
      <c r="LKB94" s="201"/>
      <c r="LKC94" s="201"/>
      <c r="LKD94" s="201"/>
      <c r="LKE94" s="201"/>
      <c r="LKF94" s="201"/>
      <c r="LKG94" s="201"/>
      <c r="LKH94" s="201"/>
      <c r="LKI94" s="201"/>
      <c r="LKJ94" s="201"/>
      <c r="LKK94" s="201"/>
      <c r="LKL94" s="201"/>
      <c r="LKM94" s="201"/>
      <c r="LKN94" s="201"/>
      <c r="LKO94" s="201"/>
      <c r="LKP94" s="201"/>
      <c r="LKQ94" s="201"/>
      <c r="LKR94" s="201"/>
      <c r="LKS94" s="201"/>
      <c r="LKT94" s="201"/>
      <c r="LKU94" s="201"/>
      <c r="LKV94" s="201"/>
      <c r="LKW94" s="201"/>
      <c r="LKX94" s="201"/>
      <c r="LKY94" s="201"/>
      <c r="LKZ94" s="201"/>
      <c r="LLA94" s="201"/>
      <c r="LLB94" s="201"/>
      <c r="LLC94" s="201"/>
      <c r="LLD94" s="201"/>
      <c r="LLE94" s="201"/>
      <c r="LLF94" s="201"/>
      <c r="LLG94" s="201"/>
      <c r="LLH94" s="201"/>
      <c r="LLI94" s="201"/>
      <c r="LLJ94" s="201"/>
      <c r="LLK94" s="201"/>
      <c r="LLL94" s="201"/>
      <c r="LLM94" s="201"/>
      <c r="LLN94" s="201"/>
      <c r="LLO94" s="201"/>
      <c r="LLP94" s="201"/>
      <c r="LLQ94" s="201"/>
      <c r="LLR94" s="201"/>
      <c r="LLS94" s="201"/>
      <c r="LLT94" s="201"/>
      <c r="LLU94" s="201"/>
      <c r="LLV94" s="201"/>
      <c r="LLW94" s="201"/>
      <c r="LLX94" s="201"/>
      <c r="LLY94" s="201"/>
      <c r="LLZ94" s="201"/>
      <c r="LMA94" s="201"/>
      <c r="LMB94" s="201"/>
      <c r="LMC94" s="201"/>
      <c r="LMD94" s="201"/>
      <c r="LME94" s="201"/>
      <c r="LMF94" s="201"/>
      <c r="LMG94" s="201"/>
      <c r="LMH94" s="201"/>
      <c r="LMI94" s="201"/>
      <c r="LMJ94" s="201"/>
      <c r="LMK94" s="201"/>
      <c r="LML94" s="201"/>
      <c r="LMM94" s="201"/>
      <c r="LMN94" s="201"/>
      <c r="LMO94" s="201"/>
      <c r="LMP94" s="201"/>
      <c r="LMQ94" s="201"/>
      <c r="LMR94" s="201"/>
      <c r="LMS94" s="201"/>
      <c r="LMT94" s="201"/>
      <c r="LMU94" s="201"/>
      <c r="LMV94" s="201"/>
      <c r="LMW94" s="201"/>
      <c r="LMX94" s="201"/>
      <c r="LMY94" s="201"/>
      <c r="LMZ94" s="201"/>
      <c r="LNA94" s="201"/>
      <c r="LNB94" s="201"/>
      <c r="LNC94" s="201"/>
      <c r="LND94" s="201"/>
      <c r="LNE94" s="201"/>
      <c r="LNF94" s="201"/>
      <c r="LNG94" s="201"/>
      <c r="LNH94" s="201"/>
      <c r="LNI94" s="201"/>
      <c r="LNJ94" s="201"/>
      <c r="LNK94" s="201"/>
      <c r="LNL94" s="201"/>
      <c r="LNM94" s="201"/>
      <c r="LNN94" s="201"/>
      <c r="LNO94" s="201"/>
      <c r="LNP94" s="201"/>
      <c r="LNQ94" s="201"/>
      <c r="LNR94" s="201"/>
      <c r="LNS94" s="201"/>
      <c r="LNT94" s="201"/>
      <c r="LNU94" s="201"/>
      <c r="LNV94" s="201"/>
      <c r="LNW94" s="201"/>
      <c r="LNX94" s="201"/>
      <c r="LNY94" s="201"/>
      <c r="LNZ94" s="201"/>
      <c r="LOA94" s="201"/>
      <c r="LOB94" s="201"/>
      <c r="LOC94" s="201"/>
      <c r="LOD94" s="201"/>
      <c r="LOE94" s="201"/>
      <c r="LOF94" s="201"/>
      <c r="LOG94" s="201"/>
      <c r="LOH94" s="201"/>
      <c r="LOI94" s="201"/>
      <c r="LOJ94" s="201"/>
      <c r="LOK94" s="201"/>
      <c r="LOL94" s="201"/>
      <c r="LOM94" s="201"/>
      <c r="LON94" s="201"/>
      <c r="LOO94" s="201"/>
      <c r="LOP94" s="201"/>
      <c r="LOQ94" s="201"/>
      <c r="LOR94" s="201"/>
      <c r="LOS94" s="201"/>
      <c r="LOT94" s="201"/>
      <c r="LOU94" s="201"/>
      <c r="LOV94" s="201"/>
      <c r="LOW94" s="201"/>
      <c r="LOX94" s="201"/>
      <c r="LOY94" s="201"/>
      <c r="LOZ94" s="201"/>
      <c r="LPA94" s="201"/>
      <c r="LPB94" s="201"/>
      <c r="LPC94" s="201"/>
      <c r="LPD94" s="201"/>
      <c r="LPE94" s="201"/>
      <c r="LPF94" s="201"/>
      <c r="LPG94" s="201"/>
      <c r="LPH94" s="201"/>
      <c r="LPI94" s="201"/>
      <c r="LPJ94" s="201"/>
      <c r="LPK94" s="201"/>
      <c r="LPL94" s="201"/>
      <c r="LPM94" s="201"/>
      <c r="LPN94" s="201"/>
      <c r="LPO94" s="201"/>
      <c r="LPP94" s="201"/>
      <c r="LPQ94" s="201"/>
      <c r="LPR94" s="201"/>
      <c r="LPS94" s="201"/>
      <c r="LPT94" s="201"/>
      <c r="LPU94" s="201"/>
      <c r="LPV94" s="201"/>
      <c r="LPW94" s="201"/>
      <c r="LPX94" s="201"/>
      <c r="LPY94" s="201"/>
      <c r="LPZ94" s="201"/>
      <c r="LQA94" s="201"/>
      <c r="LQB94" s="201"/>
      <c r="LQC94" s="201"/>
      <c r="LQD94" s="201"/>
      <c r="LQE94" s="201"/>
      <c r="LQF94" s="201"/>
      <c r="LQG94" s="201"/>
      <c r="LQH94" s="201"/>
      <c r="LQI94" s="201"/>
      <c r="LQJ94" s="201"/>
      <c r="LQK94" s="201"/>
      <c r="LQL94" s="201"/>
      <c r="LQM94" s="201"/>
      <c r="LQN94" s="201"/>
      <c r="LQO94" s="201"/>
      <c r="LQP94" s="201"/>
      <c r="LQQ94" s="201"/>
      <c r="LQR94" s="201"/>
      <c r="LQS94" s="201"/>
      <c r="LQT94" s="201"/>
      <c r="LQU94" s="201"/>
      <c r="LQV94" s="201"/>
      <c r="LQW94" s="201"/>
      <c r="LQX94" s="201"/>
      <c r="LQY94" s="201"/>
      <c r="LQZ94" s="201"/>
      <c r="LRA94" s="201"/>
      <c r="LRB94" s="201"/>
      <c r="LRC94" s="201"/>
      <c r="LRD94" s="201"/>
      <c r="LRE94" s="201"/>
      <c r="LRF94" s="201"/>
      <c r="LRG94" s="201"/>
      <c r="LRH94" s="201"/>
      <c r="LRI94" s="201"/>
      <c r="LRJ94" s="201"/>
      <c r="LRK94" s="201"/>
      <c r="LRL94" s="201"/>
      <c r="LRM94" s="201"/>
      <c r="LRN94" s="201"/>
      <c r="LRO94" s="201"/>
      <c r="LRP94" s="201"/>
      <c r="LRQ94" s="201"/>
      <c r="LRR94" s="201"/>
      <c r="LRS94" s="201"/>
      <c r="LRT94" s="201"/>
      <c r="LRU94" s="201"/>
      <c r="LRV94" s="201"/>
      <c r="LRW94" s="201"/>
      <c r="LRX94" s="201"/>
      <c r="LRY94" s="201"/>
      <c r="LRZ94" s="201"/>
      <c r="LSA94" s="201"/>
      <c r="LSB94" s="201"/>
      <c r="LSC94" s="201"/>
      <c r="LSD94" s="201"/>
      <c r="LSE94" s="201"/>
      <c r="LSF94" s="201"/>
      <c r="LSG94" s="201"/>
      <c r="LSH94" s="201"/>
      <c r="LSI94" s="201"/>
      <c r="LSJ94" s="201"/>
      <c r="LSK94" s="201"/>
      <c r="LSL94" s="201"/>
      <c r="LSM94" s="201"/>
      <c r="LSN94" s="201"/>
      <c r="LSO94" s="201"/>
      <c r="LSP94" s="201"/>
      <c r="LSQ94" s="201"/>
      <c r="LSR94" s="201"/>
      <c r="LSS94" s="201"/>
      <c r="LST94" s="201"/>
      <c r="LSU94" s="201"/>
      <c r="LSV94" s="201"/>
      <c r="LSW94" s="201"/>
      <c r="LSX94" s="201"/>
      <c r="LSY94" s="201"/>
      <c r="LSZ94" s="201"/>
      <c r="LTA94" s="201"/>
      <c r="LTB94" s="201"/>
      <c r="LTC94" s="201"/>
      <c r="LTD94" s="201"/>
      <c r="LTE94" s="201"/>
      <c r="LTF94" s="201"/>
      <c r="LTG94" s="201"/>
      <c r="LTH94" s="201"/>
      <c r="LTI94" s="201"/>
      <c r="LTJ94" s="201"/>
      <c r="LTK94" s="201"/>
      <c r="LTL94" s="201"/>
      <c r="LTM94" s="201"/>
      <c r="LTN94" s="201"/>
      <c r="LTO94" s="201"/>
      <c r="LTP94" s="201"/>
      <c r="LTQ94" s="201"/>
      <c r="LTR94" s="201"/>
      <c r="LTS94" s="201"/>
      <c r="LTT94" s="201"/>
      <c r="LTU94" s="201"/>
      <c r="LTV94" s="201"/>
      <c r="LTW94" s="201"/>
      <c r="LTX94" s="201"/>
      <c r="LTY94" s="201"/>
      <c r="LTZ94" s="201"/>
      <c r="LUA94" s="201"/>
      <c r="LUB94" s="201"/>
      <c r="LUC94" s="201"/>
      <c r="LUD94" s="201"/>
      <c r="LUE94" s="201"/>
      <c r="LUF94" s="201"/>
      <c r="LUG94" s="201"/>
      <c r="LUH94" s="201"/>
      <c r="LUI94" s="201"/>
      <c r="LUJ94" s="201"/>
      <c r="LUK94" s="201"/>
      <c r="LUL94" s="201"/>
      <c r="LUM94" s="201"/>
      <c r="LUN94" s="201"/>
      <c r="LUO94" s="201"/>
      <c r="LUP94" s="201"/>
      <c r="LUQ94" s="201"/>
      <c r="LUR94" s="201"/>
      <c r="LUS94" s="201"/>
      <c r="LUT94" s="201"/>
      <c r="LUU94" s="201"/>
      <c r="LUV94" s="201"/>
      <c r="LUW94" s="201"/>
      <c r="LUX94" s="201"/>
      <c r="LUY94" s="201"/>
      <c r="LUZ94" s="201"/>
      <c r="LVA94" s="201"/>
      <c r="LVB94" s="201"/>
      <c r="LVC94" s="201"/>
      <c r="LVD94" s="201"/>
      <c r="LVE94" s="201"/>
      <c r="LVF94" s="201"/>
      <c r="LVG94" s="201"/>
      <c r="LVH94" s="201"/>
      <c r="LVI94" s="201"/>
      <c r="LVJ94" s="201"/>
      <c r="LVK94" s="201"/>
      <c r="LVL94" s="201"/>
      <c r="LVM94" s="201"/>
      <c r="LVN94" s="201"/>
      <c r="LVO94" s="201"/>
      <c r="LVP94" s="201"/>
      <c r="LVQ94" s="201"/>
      <c r="LVR94" s="201"/>
      <c r="LVS94" s="201"/>
      <c r="LVT94" s="201"/>
      <c r="LVU94" s="201"/>
      <c r="LVV94" s="201"/>
      <c r="LVW94" s="201"/>
      <c r="LVX94" s="201"/>
      <c r="LVY94" s="201"/>
      <c r="LVZ94" s="201"/>
      <c r="LWA94" s="201"/>
      <c r="LWB94" s="201"/>
      <c r="LWC94" s="201"/>
      <c r="LWD94" s="201"/>
      <c r="LWE94" s="201"/>
      <c r="LWF94" s="201"/>
      <c r="LWG94" s="201"/>
      <c r="LWH94" s="201"/>
      <c r="LWI94" s="201"/>
      <c r="LWJ94" s="201"/>
      <c r="LWK94" s="201"/>
      <c r="LWL94" s="201"/>
      <c r="LWM94" s="201"/>
      <c r="LWN94" s="201"/>
      <c r="LWO94" s="201"/>
      <c r="LWP94" s="201"/>
      <c r="LWQ94" s="201"/>
      <c r="LWR94" s="201"/>
      <c r="LWS94" s="201"/>
      <c r="LWT94" s="201"/>
      <c r="LWU94" s="201"/>
      <c r="LWV94" s="201"/>
      <c r="LWW94" s="201"/>
      <c r="LWX94" s="201"/>
      <c r="LWY94" s="201"/>
      <c r="LWZ94" s="201"/>
      <c r="LXA94" s="201"/>
      <c r="LXB94" s="201"/>
      <c r="LXC94" s="201"/>
      <c r="LXD94" s="201"/>
      <c r="LXE94" s="201"/>
      <c r="LXF94" s="201"/>
      <c r="LXG94" s="201"/>
      <c r="LXH94" s="201"/>
      <c r="LXI94" s="201"/>
      <c r="LXJ94" s="201"/>
      <c r="LXK94" s="201"/>
      <c r="LXL94" s="201"/>
      <c r="LXM94" s="201"/>
      <c r="LXN94" s="201"/>
      <c r="LXO94" s="201"/>
      <c r="LXP94" s="201"/>
      <c r="LXQ94" s="201"/>
      <c r="LXR94" s="201"/>
      <c r="LXS94" s="201"/>
      <c r="LXT94" s="201"/>
      <c r="LXU94" s="201"/>
      <c r="LXV94" s="201"/>
      <c r="LXW94" s="201"/>
      <c r="LXX94" s="201"/>
      <c r="LXY94" s="201"/>
      <c r="LXZ94" s="201"/>
      <c r="LYA94" s="201"/>
      <c r="LYB94" s="201"/>
      <c r="LYC94" s="201"/>
      <c r="LYD94" s="201"/>
      <c r="LYE94" s="201"/>
      <c r="LYF94" s="201"/>
      <c r="LYG94" s="201"/>
      <c r="LYH94" s="201"/>
      <c r="LYI94" s="201"/>
      <c r="LYJ94" s="201"/>
      <c r="LYK94" s="201"/>
      <c r="LYL94" s="201"/>
      <c r="LYM94" s="201"/>
      <c r="LYN94" s="201"/>
      <c r="LYO94" s="201"/>
      <c r="LYP94" s="201"/>
      <c r="LYQ94" s="201"/>
      <c r="LYR94" s="201"/>
      <c r="LYS94" s="201"/>
      <c r="LYT94" s="201"/>
      <c r="LYU94" s="201"/>
      <c r="LYV94" s="201"/>
      <c r="LYW94" s="201"/>
      <c r="LYX94" s="201"/>
      <c r="LYY94" s="201"/>
      <c r="LYZ94" s="201"/>
      <c r="LZA94" s="201"/>
      <c r="LZB94" s="201"/>
      <c r="LZC94" s="201"/>
      <c r="LZD94" s="201"/>
      <c r="LZE94" s="201"/>
      <c r="LZF94" s="201"/>
      <c r="LZG94" s="201"/>
      <c r="LZH94" s="201"/>
      <c r="LZI94" s="201"/>
      <c r="LZJ94" s="201"/>
      <c r="LZK94" s="201"/>
      <c r="LZL94" s="201"/>
      <c r="LZM94" s="201"/>
      <c r="LZN94" s="201"/>
      <c r="LZO94" s="201"/>
      <c r="LZP94" s="201"/>
      <c r="LZQ94" s="201"/>
      <c r="LZR94" s="201"/>
      <c r="LZS94" s="201"/>
      <c r="LZT94" s="201"/>
      <c r="LZU94" s="201"/>
      <c r="LZV94" s="201"/>
      <c r="LZW94" s="201"/>
      <c r="LZX94" s="201"/>
      <c r="LZY94" s="201"/>
      <c r="LZZ94" s="201"/>
      <c r="MAA94" s="201"/>
      <c r="MAB94" s="201"/>
      <c r="MAC94" s="201"/>
      <c r="MAD94" s="201"/>
      <c r="MAE94" s="201"/>
      <c r="MAF94" s="201"/>
      <c r="MAG94" s="201"/>
      <c r="MAH94" s="201"/>
      <c r="MAI94" s="201"/>
      <c r="MAJ94" s="201"/>
      <c r="MAK94" s="201"/>
      <c r="MAL94" s="201"/>
      <c r="MAM94" s="201"/>
      <c r="MAN94" s="201"/>
      <c r="MAO94" s="201"/>
      <c r="MAP94" s="201"/>
      <c r="MAQ94" s="201"/>
      <c r="MAR94" s="201"/>
      <c r="MAS94" s="201"/>
      <c r="MAT94" s="201"/>
      <c r="MAU94" s="201"/>
      <c r="MAV94" s="201"/>
      <c r="MAW94" s="201"/>
      <c r="MAX94" s="201"/>
      <c r="MAY94" s="201"/>
      <c r="MAZ94" s="201"/>
      <c r="MBA94" s="201"/>
      <c r="MBB94" s="201"/>
      <c r="MBC94" s="201"/>
      <c r="MBD94" s="201"/>
      <c r="MBE94" s="201"/>
      <c r="MBF94" s="201"/>
      <c r="MBG94" s="201"/>
      <c r="MBH94" s="201"/>
      <c r="MBI94" s="201"/>
      <c r="MBJ94" s="201"/>
      <c r="MBK94" s="201"/>
      <c r="MBL94" s="201"/>
      <c r="MBM94" s="201"/>
      <c r="MBN94" s="201"/>
      <c r="MBO94" s="201"/>
      <c r="MBP94" s="201"/>
      <c r="MBQ94" s="201"/>
      <c r="MBR94" s="201"/>
      <c r="MBS94" s="201"/>
      <c r="MBT94" s="201"/>
      <c r="MBU94" s="201"/>
      <c r="MBV94" s="201"/>
      <c r="MBW94" s="201"/>
      <c r="MBX94" s="201"/>
      <c r="MBY94" s="201"/>
      <c r="MBZ94" s="201"/>
      <c r="MCA94" s="201"/>
      <c r="MCB94" s="201"/>
      <c r="MCC94" s="201"/>
      <c r="MCD94" s="201"/>
      <c r="MCE94" s="201"/>
      <c r="MCF94" s="201"/>
      <c r="MCG94" s="201"/>
      <c r="MCH94" s="201"/>
      <c r="MCI94" s="201"/>
      <c r="MCJ94" s="201"/>
      <c r="MCK94" s="201"/>
      <c r="MCL94" s="201"/>
      <c r="MCM94" s="201"/>
      <c r="MCN94" s="201"/>
      <c r="MCO94" s="201"/>
      <c r="MCP94" s="201"/>
      <c r="MCQ94" s="201"/>
      <c r="MCR94" s="201"/>
      <c r="MCS94" s="201"/>
      <c r="MCT94" s="201"/>
      <c r="MCU94" s="201"/>
      <c r="MCV94" s="201"/>
      <c r="MCW94" s="201"/>
      <c r="MCX94" s="201"/>
      <c r="MCY94" s="201"/>
      <c r="MCZ94" s="201"/>
      <c r="MDA94" s="201"/>
      <c r="MDB94" s="201"/>
      <c r="MDC94" s="201"/>
      <c r="MDD94" s="201"/>
      <c r="MDE94" s="201"/>
      <c r="MDF94" s="201"/>
      <c r="MDG94" s="201"/>
      <c r="MDH94" s="201"/>
      <c r="MDI94" s="201"/>
      <c r="MDJ94" s="201"/>
      <c r="MDK94" s="201"/>
      <c r="MDL94" s="201"/>
      <c r="MDM94" s="201"/>
      <c r="MDN94" s="201"/>
      <c r="MDO94" s="201"/>
      <c r="MDP94" s="201"/>
      <c r="MDQ94" s="201"/>
      <c r="MDR94" s="201"/>
      <c r="MDS94" s="201"/>
      <c r="MDT94" s="201"/>
      <c r="MDU94" s="201"/>
      <c r="MDV94" s="201"/>
      <c r="MDW94" s="201"/>
      <c r="MDX94" s="201"/>
      <c r="MDY94" s="201"/>
      <c r="MDZ94" s="201"/>
      <c r="MEA94" s="201"/>
      <c r="MEB94" s="201"/>
      <c r="MEC94" s="201"/>
      <c r="MED94" s="201"/>
      <c r="MEE94" s="201"/>
      <c r="MEF94" s="201"/>
      <c r="MEG94" s="201"/>
      <c r="MEH94" s="201"/>
      <c r="MEI94" s="201"/>
      <c r="MEJ94" s="201"/>
      <c r="MEK94" s="201"/>
      <c r="MEL94" s="201"/>
      <c r="MEM94" s="201"/>
      <c r="MEN94" s="201"/>
      <c r="MEO94" s="201"/>
      <c r="MEP94" s="201"/>
      <c r="MEQ94" s="201"/>
      <c r="MER94" s="201"/>
      <c r="MES94" s="201"/>
      <c r="MET94" s="201"/>
      <c r="MEU94" s="201"/>
      <c r="MEV94" s="201"/>
      <c r="MEW94" s="201"/>
      <c r="MEX94" s="201"/>
      <c r="MEY94" s="201"/>
      <c r="MEZ94" s="201"/>
      <c r="MFA94" s="201"/>
      <c r="MFB94" s="201"/>
      <c r="MFC94" s="201"/>
      <c r="MFD94" s="201"/>
      <c r="MFE94" s="201"/>
      <c r="MFF94" s="201"/>
      <c r="MFG94" s="201"/>
      <c r="MFH94" s="201"/>
      <c r="MFI94" s="201"/>
      <c r="MFJ94" s="201"/>
      <c r="MFK94" s="201"/>
      <c r="MFL94" s="201"/>
      <c r="MFM94" s="201"/>
      <c r="MFN94" s="201"/>
      <c r="MFO94" s="201"/>
      <c r="MFP94" s="201"/>
      <c r="MFQ94" s="201"/>
      <c r="MFR94" s="201"/>
      <c r="MFS94" s="201"/>
      <c r="MFT94" s="201"/>
      <c r="MFU94" s="201"/>
      <c r="MFV94" s="201"/>
      <c r="MFW94" s="201"/>
      <c r="MFX94" s="201"/>
      <c r="MFY94" s="201"/>
      <c r="MFZ94" s="201"/>
      <c r="MGA94" s="201"/>
      <c r="MGB94" s="201"/>
      <c r="MGC94" s="201"/>
      <c r="MGD94" s="201"/>
      <c r="MGE94" s="201"/>
      <c r="MGF94" s="201"/>
      <c r="MGG94" s="201"/>
      <c r="MGH94" s="201"/>
      <c r="MGI94" s="201"/>
      <c r="MGJ94" s="201"/>
      <c r="MGK94" s="201"/>
      <c r="MGL94" s="201"/>
      <c r="MGM94" s="201"/>
      <c r="MGN94" s="201"/>
      <c r="MGO94" s="201"/>
      <c r="MGP94" s="201"/>
      <c r="MGQ94" s="201"/>
      <c r="MGR94" s="201"/>
      <c r="MGS94" s="201"/>
      <c r="MGT94" s="201"/>
      <c r="MGU94" s="201"/>
      <c r="MGV94" s="201"/>
      <c r="MGW94" s="201"/>
      <c r="MGX94" s="201"/>
      <c r="MGY94" s="201"/>
      <c r="MGZ94" s="201"/>
      <c r="MHA94" s="201"/>
      <c r="MHB94" s="201"/>
      <c r="MHC94" s="201"/>
      <c r="MHD94" s="201"/>
      <c r="MHE94" s="201"/>
      <c r="MHF94" s="201"/>
      <c r="MHG94" s="201"/>
      <c r="MHH94" s="201"/>
      <c r="MHI94" s="201"/>
      <c r="MHJ94" s="201"/>
      <c r="MHK94" s="201"/>
      <c r="MHL94" s="201"/>
      <c r="MHM94" s="201"/>
      <c r="MHN94" s="201"/>
      <c r="MHO94" s="201"/>
      <c r="MHP94" s="201"/>
      <c r="MHQ94" s="201"/>
      <c r="MHR94" s="201"/>
      <c r="MHS94" s="201"/>
      <c r="MHT94" s="201"/>
      <c r="MHU94" s="201"/>
      <c r="MHV94" s="201"/>
      <c r="MHW94" s="201"/>
      <c r="MHX94" s="201"/>
      <c r="MHY94" s="201"/>
      <c r="MHZ94" s="201"/>
      <c r="MIA94" s="201"/>
      <c r="MIB94" s="201"/>
      <c r="MIC94" s="201"/>
      <c r="MID94" s="201"/>
      <c r="MIE94" s="201"/>
      <c r="MIF94" s="201"/>
      <c r="MIG94" s="201"/>
      <c r="MIH94" s="201"/>
      <c r="MII94" s="201"/>
      <c r="MIJ94" s="201"/>
      <c r="MIK94" s="201"/>
      <c r="MIL94" s="201"/>
      <c r="MIM94" s="201"/>
      <c r="MIN94" s="201"/>
      <c r="MIO94" s="201"/>
      <c r="MIP94" s="201"/>
      <c r="MIQ94" s="201"/>
      <c r="MIR94" s="201"/>
      <c r="MIS94" s="201"/>
      <c r="MIT94" s="201"/>
      <c r="MIU94" s="201"/>
      <c r="MIV94" s="201"/>
      <c r="MIW94" s="201"/>
      <c r="MIX94" s="201"/>
      <c r="MIY94" s="201"/>
      <c r="MIZ94" s="201"/>
      <c r="MJA94" s="201"/>
      <c r="MJB94" s="201"/>
      <c r="MJC94" s="201"/>
      <c r="MJD94" s="201"/>
      <c r="MJE94" s="201"/>
      <c r="MJF94" s="201"/>
      <c r="MJG94" s="201"/>
      <c r="MJH94" s="201"/>
      <c r="MJI94" s="201"/>
      <c r="MJJ94" s="201"/>
      <c r="MJK94" s="201"/>
      <c r="MJL94" s="201"/>
      <c r="MJM94" s="201"/>
      <c r="MJN94" s="201"/>
      <c r="MJO94" s="201"/>
      <c r="MJP94" s="201"/>
      <c r="MJQ94" s="201"/>
      <c r="MJR94" s="201"/>
      <c r="MJS94" s="201"/>
      <c r="MJT94" s="201"/>
      <c r="MJU94" s="201"/>
      <c r="MJV94" s="201"/>
      <c r="MJW94" s="201"/>
      <c r="MJX94" s="201"/>
      <c r="MJY94" s="201"/>
      <c r="MJZ94" s="201"/>
      <c r="MKA94" s="201"/>
      <c r="MKB94" s="201"/>
      <c r="MKC94" s="201"/>
      <c r="MKD94" s="201"/>
      <c r="MKE94" s="201"/>
      <c r="MKF94" s="201"/>
      <c r="MKG94" s="201"/>
      <c r="MKH94" s="201"/>
      <c r="MKI94" s="201"/>
      <c r="MKJ94" s="201"/>
      <c r="MKK94" s="201"/>
      <c r="MKL94" s="201"/>
      <c r="MKM94" s="201"/>
      <c r="MKN94" s="201"/>
      <c r="MKO94" s="201"/>
      <c r="MKP94" s="201"/>
      <c r="MKQ94" s="201"/>
      <c r="MKR94" s="201"/>
      <c r="MKS94" s="201"/>
      <c r="MKT94" s="201"/>
      <c r="MKU94" s="201"/>
      <c r="MKV94" s="201"/>
      <c r="MKW94" s="201"/>
      <c r="MKX94" s="201"/>
      <c r="MKY94" s="201"/>
      <c r="MKZ94" s="201"/>
      <c r="MLA94" s="201"/>
      <c r="MLB94" s="201"/>
      <c r="MLC94" s="201"/>
      <c r="MLD94" s="201"/>
      <c r="MLE94" s="201"/>
      <c r="MLF94" s="201"/>
      <c r="MLG94" s="201"/>
      <c r="MLH94" s="201"/>
      <c r="MLI94" s="201"/>
      <c r="MLJ94" s="201"/>
      <c r="MLK94" s="201"/>
      <c r="MLL94" s="201"/>
      <c r="MLM94" s="201"/>
      <c r="MLN94" s="201"/>
      <c r="MLO94" s="201"/>
      <c r="MLP94" s="201"/>
      <c r="MLQ94" s="201"/>
      <c r="MLR94" s="201"/>
      <c r="MLS94" s="201"/>
      <c r="MLT94" s="201"/>
      <c r="MLU94" s="201"/>
      <c r="MLV94" s="201"/>
      <c r="MLW94" s="201"/>
      <c r="MLX94" s="201"/>
      <c r="MLY94" s="201"/>
      <c r="MLZ94" s="201"/>
      <c r="MMA94" s="201"/>
      <c r="MMB94" s="201"/>
      <c r="MMC94" s="201"/>
      <c r="MMD94" s="201"/>
      <c r="MME94" s="201"/>
      <c r="MMF94" s="201"/>
      <c r="MMG94" s="201"/>
      <c r="MMH94" s="201"/>
      <c r="MMI94" s="201"/>
      <c r="MMJ94" s="201"/>
      <c r="MMK94" s="201"/>
      <c r="MML94" s="201"/>
      <c r="MMM94" s="201"/>
      <c r="MMN94" s="201"/>
      <c r="MMO94" s="201"/>
      <c r="MMP94" s="201"/>
      <c r="MMQ94" s="201"/>
      <c r="MMR94" s="201"/>
      <c r="MMS94" s="201"/>
      <c r="MMT94" s="201"/>
      <c r="MMU94" s="201"/>
      <c r="MMV94" s="201"/>
      <c r="MMW94" s="201"/>
      <c r="MMX94" s="201"/>
      <c r="MMY94" s="201"/>
      <c r="MMZ94" s="201"/>
      <c r="MNA94" s="201"/>
      <c r="MNB94" s="201"/>
      <c r="MNC94" s="201"/>
      <c r="MND94" s="201"/>
      <c r="MNE94" s="201"/>
      <c r="MNF94" s="201"/>
      <c r="MNG94" s="201"/>
      <c r="MNH94" s="201"/>
      <c r="MNI94" s="201"/>
      <c r="MNJ94" s="201"/>
      <c r="MNK94" s="201"/>
      <c r="MNL94" s="201"/>
      <c r="MNM94" s="201"/>
      <c r="MNN94" s="201"/>
      <c r="MNO94" s="201"/>
      <c r="MNP94" s="201"/>
      <c r="MNQ94" s="201"/>
      <c r="MNR94" s="201"/>
      <c r="MNS94" s="201"/>
      <c r="MNT94" s="201"/>
      <c r="MNU94" s="201"/>
      <c r="MNV94" s="201"/>
      <c r="MNW94" s="201"/>
      <c r="MNX94" s="201"/>
      <c r="MNY94" s="201"/>
      <c r="MNZ94" s="201"/>
      <c r="MOA94" s="201"/>
      <c r="MOB94" s="201"/>
      <c r="MOC94" s="201"/>
      <c r="MOD94" s="201"/>
      <c r="MOE94" s="201"/>
      <c r="MOF94" s="201"/>
      <c r="MOG94" s="201"/>
      <c r="MOH94" s="201"/>
      <c r="MOI94" s="201"/>
      <c r="MOJ94" s="201"/>
      <c r="MOK94" s="201"/>
      <c r="MOL94" s="201"/>
      <c r="MOM94" s="201"/>
      <c r="MON94" s="201"/>
      <c r="MOO94" s="201"/>
      <c r="MOP94" s="201"/>
      <c r="MOQ94" s="201"/>
      <c r="MOR94" s="201"/>
      <c r="MOS94" s="201"/>
      <c r="MOT94" s="201"/>
      <c r="MOU94" s="201"/>
      <c r="MOV94" s="201"/>
      <c r="MOW94" s="201"/>
      <c r="MOX94" s="201"/>
      <c r="MOY94" s="201"/>
      <c r="MOZ94" s="201"/>
      <c r="MPA94" s="201"/>
      <c r="MPB94" s="201"/>
      <c r="MPC94" s="201"/>
      <c r="MPD94" s="201"/>
      <c r="MPE94" s="201"/>
      <c r="MPF94" s="201"/>
      <c r="MPG94" s="201"/>
      <c r="MPH94" s="201"/>
      <c r="MPI94" s="201"/>
      <c r="MPJ94" s="201"/>
      <c r="MPK94" s="201"/>
      <c r="MPL94" s="201"/>
      <c r="MPM94" s="201"/>
      <c r="MPN94" s="201"/>
      <c r="MPO94" s="201"/>
      <c r="MPP94" s="201"/>
      <c r="MPQ94" s="201"/>
      <c r="MPR94" s="201"/>
      <c r="MPS94" s="201"/>
      <c r="MPT94" s="201"/>
      <c r="MPU94" s="201"/>
      <c r="MPV94" s="201"/>
      <c r="MPW94" s="201"/>
      <c r="MPX94" s="201"/>
      <c r="MPY94" s="201"/>
      <c r="MPZ94" s="201"/>
      <c r="MQA94" s="201"/>
      <c r="MQB94" s="201"/>
      <c r="MQC94" s="201"/>
      <c r="MQD94" s="201"/>
      <c r="MQE94" s="201"/>
      <c r="MQF94" s="201"/>
      <c r="MQG94" s="201"/>
      <c r="MQH94" s="201"/>
      <c r="MQI94" s="201"/>
      <c r="MQJ94" s="201"/>
      <c r="MQK94" s="201"/>
      <c r="MQL94" s="201"/>
      <c r="MQM94" s="201"/>
      <c r="MQN94" s="201"/>
      <c r="MQO94" s="201"/>
      <c r="MQP94" s="201"/>
      <c r="MQQ94" s="201"/>
      <c r="MQR94" s="201"/>
      <c r="MQS94" s="201"/>
      <c r="MQT94" s="201"/>
      <c r="MQU94" s="201"/>
      <c r="MQV94" s="201"/>
      <c r="MQW94" s="201"/>
      <c r="MQX94" s="201"/>
      <c r="MQY94" s="201"/>
      <c r="MQZ94" s="201"/>
      <c r="MRA94" s="201"/>
      <c r="MRB94" s="201"/>
      <c r="MRC94" s="201"/>
      <c r="MRD94" s="201"/>
      <c r="MRE94" s="201"/>
      <c r="MRF94" s="201"/>
      <c r="MRG94" s="201"/>
      <c r="MRH94" s="201"/>
      <c r="MRI94" s="201"/>
      <c r="MRJ94" s="201"/>
      <c r="MRK94" s="201"/>
      <c r="MRL94" s="201"/>
      <c r="MRM94" s="201"/>
      <c r="MRN94" s="201"/>
      <c r="MRO94" s="201"/>
      <c r="MRP94" s="201"/>
      <c r="MRQ94" s="201"/>
      <c r="MRR94" s="201"/>
      <c r="MRS94" s="201"/>
      <c r="MRT94" s="201"/>
      <c r="MRU94" s="201"/>
      <c r="MRV94" s="201"/>
      <c r="MRW94" s="201"/>
      <c r="MRX94" s="201"/>
      <c r="MRY94" s="201"/>
      <c r="MRZ94" s="201"/>
      <c r="MSA94" s="201"/>
      <c r="MSB94" s="201"/>
      <c r="MSC94" s="201"/>
      <c r="MSD94" s="201"/>
      <c r="MSE94" s="201"/>
      <c r="MSF94" s="201"/>
      <c r="MSG94" s="201"/>
      <c r="MSH94" s="201"/>
      <c r="MSI94" s="201"/>
      <c r="MSJ94" s="201"/>
      <c r="MSK94" s="201"/>
      <c r="MSL94" s="201"/>
      <c r="MSM94" s="201"/>
      <c r="MSN94" s="201"/>
      <c r="MSO94" s="201"/>
      <c r="MSP94" s="201"/>
      <c r="MSQ94" s="201"/>
      <c r="MSR94" s="201"/>
      <c r="MSS94" s="201"/>
      <c r="MST94" s="201"/>
      <c r="MSU94" s="201"/>
      <c r="MSV94" s="201"/>
      <c r="MSW94" s="201"/>
      <c r="MSX94" s="201"/>
      <c r="MSY94" s="201"/>
      <c r="MSZ94" s="201"/>
      <c r="MTA94" s="201"/>
      <c r="MTB94" s="201"/>
      <c r="MTC94" s="201"/>
      <c r="MTD94" s="201"/>
      <c r="MTE94" s="201"/>
      <c r="MTF94" s="201"/>
      <c r="MTG94" s="201"/>
      <c r="MTH94" s="201"/>
      <c r="MTI94" s="201"/>
      <c r="MTJ94" s="201"/>
      <c r="MTK94" s="201"/>
      <c r="MTL94" s="201"/>
      <c r="MTM94" s="201"/>
      <c r="MTN94" s="201"/>
      <c r="MTO94" s="201"/>
      <c r="MTP94" s="201"/>
      <c r="MTQ94" s="201"/>
      <c r="MTR94" s="201"/>
      <c r="MTS94" s="201"/>
      <c r="MTT94" s="201"/>
      <c r="MTU94" s="201"/>
      <c r="MTV94" s="201"/>
      <c r="MTW94" s="201"/>
      <c r="MTX94" s="201"/>
      <c r="MTY94" s="201"/>
      <c r="MTZ94" s="201"/>
      <c r="MUA94" s="201"/>
      <c r="MUB94" s="201"/>
      <c r="MUC94" s="201"/>
      <c r="MUD94" s="201"/>
      <c r="MUE94" s="201"/>
      <c r="MUF94" s="201"/>
      <c r="MUG94" s="201"/>
      <c r="MUH94" s="201"/>
      <c r="MUI94" s="201"/>
      <c r="MUJ94" s="201"/>
      <c r="MUK94" s="201"/>
      <c r="MUL94" s="201"/>
      <c r="MUM94" s="201"/>
      <c r="MUN94" s="201"/>
      <c r="MUO94" s="201"/>
      <c r="MUP94" s="201"/>
      <c r="MUQ94" s="201"/>
      <c r="MUR94" s="201"/>
      <c r="MUS94" s="201"/>
      <c r="MUT94" s="201"/>
      <c r="MUU94" s="201"/>
      <c r="MUV94" s="201"/>
      <c r="MUW94" s="201"/>
      <c r="MUX94" s="201"/>
      <c r="MUY94" s="201"/>
      <c r="MUZ94" s="201"/>
      <c r="MVA94" s="201"/>
      <c r="MVB94" s="201"/>
      <c r="MVC94" s="201"/>
      <c r="MVD94" s="201"/>
      <c r="MVE94" s="201"/>
      <c r="MVF94" s="201"/>
      <c r="MVG94" s="201"/>
      <c r="MVH94" s="201"/>
      <c r="MVI94" s="201"/>
      <c r="MVJ94" s="201"/>
      <c r="MVK94" s="201"/>
      <c r="MVL94" s="201"/>
      <c r="MVM94" s="201"/>
      <c r="MVN94" s="201"/>
      <c r="MVO94" s="201"/>
      <c r="MVP94" s="201"/>
      <c r="MVQ94" s="201"/>
      <c r="MVR94" s="201"/>
      <c r="MVS94" s="201"/>
      <c r="MVT94" s="201"/>
      <c r="MVU94" s="201"/>
      <c r="MVV94" s="201"/>
      <c r="MVW94" s="201"/>
      <c r="MVX94" s="201"/>
      <c r="MVY94" s="201"/>
      <c r="MVZ94" s="201"/>
      <c r="MWA94" s="201"/>
      <c r="MWB94" s="201"/>
      <c r="MWC94" s="201"/>
      <c r="MWD94" s="201"/>
      <c r="MWE94" s="201"/>
      <c r="MWF94" s="201"/>
      <c r="MWG94" s="201"/>
      <c r="MWH94" s="201"/>
      <c r="MWI94" s="201"/>
      <c r="MWJ94" s="201"/>
      <c r="MWK94" s="201"/>
      <c r="MWL94" s="201"/>
      <c r="MWM94" s="201"/>
      <c r="MWN94" s="201"/>
      <c r="MWO94" s="201"/>
      <c r="MWP94" s="201"/>
      <c r="MWQ94" s="201"/>
      <c r="MWR94" s="201"/>
      <c r="MWS94" s="201"/>
      <c r="MWT94" s="201"/>
      <c r="MWU94" s="201"/>
      <c r="MWV94" s="201"/>
      <c r="MWW94" s="201"/>
      <c r="MWX94" s="201"/>
      <c r="MWY94" s="201"/>
      <c r="MWZ94" s="201"/>
      <c r="MXA94" s="201"/>
      <c r="MXB94" s="201"/>
      <c r="MXC94" s="201"/>
      <c r="MXD94" s="201"/>
      <c r="MXE94" s="201"/>
      <c r="MXF94" s="201"/>
      <c r="MXG94" s="201"/>
      <c r="MXH94" s="201"/>
      <c r="MXI94" s="201"/>
      <c r="MXJ94" s="201"/>
      <c r="MXK94" s="201"/>
      <c r="MXL94" s="201"/>
      <c r="MXM94" s="201"/>
      <c r="MXN94" s="201"/>
      <c r="MXO94" s="201"/>
      <c r="MXP94" s="201"/>
      <c r="MXQ94" s="201"/>
      <c r="MXR94" s="201"/>
      <c r="MXS94" s="201"/>
      <c r="MXT94" s="201"/>
      <c r="MXU94" s="201"/>
      <c r="MXV94" s="201"/>
      <c r="MXW94" s="201"/>
      <c r="MXX94" s="201"/>
      <c r="MXY94" s="201"/>
      <c r="MXZ94" s="201"/>
      <c r="MYA94" s="201"/>
      <c r="MYB94" s="201"/>
      <c r="MYC94" s="201"/>
      <c r="MYD94" s="201"/>
      <c r="MYE94" s="201"/>
      <c r="MYF94" s="201"/>
      <c r="MYG94" s="201"/>
      <c r="MYH94" s="201"/>
      <c r="MYI94" s="201"/>
      <c r="MYJ94" s="201"/>
      <c r="MYK94" s="201"/>
      <c r="MYL94" s="201"/>
      <c r="MYM94" s="201"/>
      <c r="MYN94" s="201"/>
      <c r="MYO94" s="201"/>
      <c r="MYP94" s="201"/>
      <c r="MYQ94" s="201"/>
      <c r="MYR94" s="201"/>
      <c r="MYS94" s="201"/>
      <c r="MYT94" s="201"/>
      <c r="MYU94" s="201"/>
      <c r="MYV94" s="201"/>
      <c r="MYW94" s="201"/>
      <c r="MYX94" s="201"/>
      <c r="MYY94" s="201"/>
      <c r="MYZ94" s="201"/>
      <c r="MZA94" s="201"/>
      <c r="MZB94" s="201"/>
      <c r="MZC94" s="201"/>
      <c r="MZD94" s="201"/>
      <c r="MZE94" s="201"/>
      <c r="MZF94" s="201"/>
      <c r="MZG94" s="201"/>
      <c r="MZH94" s="201"/>
      <c r="MZI94" s="201"/>
      <c r="MZJ94" s="201"/>
      <c r="MZK94" s="201"/>
      <c r="MZL94" s="201"/>
      <c r="MZM94" s="201"/>
      <c r="MZN94" s="201"/>
      <c r="MZO94" s="201"/>
      <c r="MZP94" s="201"/>
      <c r="MZQ94" s="201"/>
      <c r="MZR94" s="201"/>
      <c r="MZS94" s="201"/>
      <c r="MZT94" s="201"/>
      <c r="MZU94" s="201"/>
      <c r="MZV94" s="201"/>
      <c r="MZW94" s="201"/>
      <c r="MZX94" s="201"/>
      <c r="MZY94" s="201"/>
      <c r="MZZ94" s="201"/>
      <c r="NAA94" s="201"/>
      <c r="NAB94" s="201"/>
      <c r="NAC94" s="201"/>
      <c r="NAD94" s="201"/>
      <c r="NAE94" s="201"/>
      <c r="NAF94" s="201"/>
      <c r="NAG94" s="201"/>
      <c r="NAH94" s="201"/>
      <c r="NAI94" s="201"/>
      <c r="NAJ94" s="201"/>
      <c r="NAK94" s="201"/>
      <c r="NAL94" s="201"/>
      <c r="NAM94" s="201"/>
      <c r="NAN94" s="201"/>
      <c r="NAO94" s="201"/>
      <c r="NAP94" s="201"/>
      <c r="NAQ94" s="201"/>
      <c r="NAR94" s="201"/>
      <c r="NAS94" s="201"/>
      <c r="NAT94" s="201"/>
      <c r="NAU94" s="201"/>
      <c r="NAV94" s="201"/>
      <c r="NAW94" s="201"/>
      <c r="NAX94" s="201"/>
      <c r="NAY94" s="201"/>
      <c r="NAZ94" s="201"/>
      <c r="NBA94" s="201"/>
      <c r="NBB94" s="201"/>
      <c r="NBC94" s="201"/>
      <c r="NBD94" s="201"/>
      <c r="NBE94" s="201"/>
      <c r="NBF94" s="201"/>
      <c r="NBG94" s="201"/>
      <c r="NBH94" s="201"/>
      <c r="NBI94" s="201"/>
      <c r="NBJ94" s="201"/>
      <c r="NBK94" s="201"/>
      <c r="NBL94" s="201"/>
      <c r="NBM94" s="201"/>
      <c r="NBN94" s="201"/>
      <c r="NBO94" s="201"/>
      <c r="NBP94" s="201"/>
      <c r="NBQ94" s="201"/>
      <c r="NBR94" s="201"/>
      <c r="NBS94" s="201"/>
      <c r="NBT94" s="201"/>
      <c r="NBU94" s="201"/>
      <c r="NBV94" s="201"/>
      <c r="NBW94" s="201"/>
      <c r="NBX94" s="201"/>
      <c r="NBY94" s="201"/>
      <c r="NBZ94" s="201"/>
      <c r="NCA94" s="201"/>
      <c r="NCB94" s="201"/>
      <c r="NCC94" s="201"/>
      <c r="NCD94" s="201"/>
      <c r="NCE94" s="201"/>
      <c r="NCF94" s="201"/>
      <c r="NCG94" s="201"/>
      <c r="NCH94" s="201"/>
      <c r="NCI94" s="201"/>
      <c r="NCJ94" s="201"/>
      <c r="NCK94" s="201"/>
      <c r="NCL94" s="201"/>
      <c r="NCM94" s="201"/>
      <c r="NCN94" s="201"/>
      <c r="NCO94" s="201"/>
      <c r="NCP94" s="201"/>
      <c r="NCQ94" s="201"/>
      <c r="NCR94" s="201"/>
      <c r="NCS94" s="201"/>
      <c r="NCT94" s="201"/>
      <c r="NCU94" s="201"/>
      <c r="NCV94" s="201"/>
      <c r="NCW94" s="201"/>
      <c r="NCX94" s="201"/>
      <c r="NCY94" s="201"/>
      <c r="NCZ94" s="201"/>
      <c r="NDA94" s="201"/>
      <c r="NDB94" s="201"/>
      <c r="NDC94" s="201"/>
      <c r="NDD94" s="201"/>
      <c r="NDE94" s="201"/>
      <c r="NDF94" s="201"/>
      <c r="NDG94" s="201"/>
      <c r="NDH94" s="201"/>
      <c r="NDI94" s="201"/>
      <c r="NDJ94" s="201"/>
      <c r="NDK94" s="201"/>
      <c r="NDL94" s="201"/>
      <c r="NDM94" s="201"/>
      <c r="NDN94" s="201"/>
      <c r="NDO94" s="201"/>
      <c r="NDP94" s="201"/>
      <c r="NDQ94" s="201"/>
      <c r="NDR94" s="201"/>
      <c r="NDS94" s="201"/>
      <c r="NDT94" s="201"/>
      <c r="NDU94" s="201"/>
      <c r="NDV94" s="201"/>
      <c r="NDW94" s="201"/>
      <c r="NDX94" s="201"/>
      <c r="NDY94" s="201"/>
      <c r="NDZ94" s="201"/>
      <c r="NEA94" s="201"/>
      <c r="NEB94" s="201"/>
      <c r="NEC94" s="201"/>
      <c r="NED94" s="201"/>
      <c r="NEE94" s="201"/>
      <c r="NEF94" s="201"/>
      <c r="NEG94" s="201"/>
      <c r="NEH94" s="201"/>
      <c r="NEI94" s="201"/>
      <c r="NEJ94" s="201"/>
      <c r="NEK94" s="201"/>
      <c r="NEL94" s="201"/>
      <c r="NEM94" s="201"/>
      <c r="NEN94" s="201"/>
      <c r="NEO94" s="201"/>
      <c r="NEP94" s="201"/>
      <c r="NEQ94" s="201"/>
      <c r="NER94" s="201"/>
      <c r="NES94" s="201"/>
      <c r="NET94" s="201"/>
      <c r="NEU94" s="201"/>
      <c r="NEV94" s="201"/>
      <c r="NEW94" s="201"/>
      <c r="NEX94" s="201"/>
      <c r="NEY94" s="201"/>
      <c r="NEZ94" s="201"/>
      <c r="NFA94" s="201"/>
      <c r="NFB94" s="201"/>
      <c r="NFC94" s="201"/>
      <c r="NFD94" s="201"/>
      <c r="NFE94" s="201"/>
      <c r="NFF94" s="201"/>
      <c r="NFG94" s="201"/>
      <c r="NFH94" s="201"/>
      <c r="NFI94" s="201"/>
      <c r="NFJ94" s="201"/>
      <c r="NFK94" s="201"/>
      <c r="NFL94" s="201"/>
      <c r="NFM94" s="201"/>
      <c r="NFN94" s="201"/>
      <c r="NFO94" s="201"/>
      <c r="NFP94" s="201"/>
      <c r="NFQ94" s="201"/>
      <c r="NFR94" s="201"/>
      <c r="NFS94" s="201"/>
      <c r="NFT94" s="201"/>
      <c r="NFU94" s="201"/>
      <c r="NFV94" s="201"/>
      <c r="NFW94" s="201"/>
      <c r="NFX94" s="201"/>
      <c r="NFY94" s="201"/>
      <c r="NFZ94" s="201"/>
      <c r="NGA94" s="201"/>
      <c r="NGB94" s="201"/>
      <c r="NGC94" s="201"/>
      <c r="NGD94" s="201"/>
      <c r="NGE94" s="201"/>
      <c r="NGF94" s="201"/>
      <c r="NGG94" s="201"/>
      <c r="NGH94" s="201"/>
      <c r="NGI94" s="201"/>
      <c r="NGJ94" s="201"/>
      <c r="NGK94" s="201"/>
      <c r="NGL94" s="201"/>
      <c r="NGM94" s="201"/>
      <c r="NGN94" s="201"/>
      <c r="NGO94" s="201"/>
      <c r="NGP94" s="201"/>
      <c r="NGQ94" s="201"/>
      <c r="NGR94" s="201"/>
      <c r="NGS94" s="201"/>
      <c r="NGT94" s="201"/>
      <c r="NGU94" s="201"/>
      <c r="NGV94" s="201"/>
      <c r="NGW94" s="201"/>
      <c r="NGX94" s="201"/>
      <c r="NGY94" s="201"/>
      <c r="NGZ94" s="201"/>
      <c r="NHA94" s="201"/>
      <c r="NHB94" s="201"/>
      <c r="NHC94" s="201"/>
      <c r="NHD94" s="201"/>
      <c r="NHE94" s="201"/>
      <c r="NHF94" s="201"/>
      <c r="NHG94" s="201"/>
      <c r="NHH94" s="201"/>
      <c r="NHI94" s="201"/>
      <c r="NHJ94" s="201"/>
      <c r="NHK94" s="201"/>
      <c r="NHL94" s="201"/>
      <c r="NHM94" s="201"/>
      <c r="NHN94" s="201"/>
      <c r="NHO94" s="201"/>
      <c r="NHP94" s="201"/>
      <c r="NHQ94" s="201"/>
      <c r="NHR94" s="201"/>
      <c r="NHS94" s="201"/>
      <c r="NHT94" s="201"/>
      <c r="NHU94" s="201"/>
      <c r="NHV94" s="201"/>
      <c r="NHW94" s="201"/>
      <c r="NHX94" s="201"/>
      <c r="NHY94" s="201"/>
      <c r="NHZ94" s="201"/>
      <c r="NIA94" s="201"/>
      <c r="NIB94" s="201"/>
      <c r="NIC94" s="201"/>
      <c r="NID94" s="201"/>
      <c r="NIE94" s="201"/>
      <c r="NIF94" s="201"/>
      <c r="NIG94" s="201"/>
      <c r="NIH94" s="201"/>
      <c r="NII94" s="201"/>
      <c r="NIJ94" s="201"/>
      <c r="NIK94" s="201"/>
      <c r="NIL94" s="201"/>
      <c r="NIM94" s="201"/>
      <c r="NIN94" s="201"/>
      <c r="NIO94" s="201"/>
      <c r="NIP94" s="201"/>
      <c r="NIQ94" s="201"/>
      <c r="NIR94" s="201"/>
      <c r="NIS94" s="201"/>
      <c r="NIT94" s="201"/>
      <c r="NIU94" s="201"/>
      <c r="NIV94" s="201"/>
      <c r="NIW94" s="201"/>
      <c r="NIX94" s="201"/>
      <c r="NIY94" s="201"/>
      <c r="NIZ94" s="201"/>
      <c r="NJA94" s="201"/>
      <c r="NJB94" s="201"/>
      <c r="NJC94" s="201"/>
      <c r="NJD94" s="201"/>
      <c r="NJE94" s="201"/>
      <c r="NJF94" s="201"/>
      <c r="NJG94" s="201"/>
      <c r="NJH94" s="201"/>
      <c r="NJI94" s="201"/>
      <c r="NJJ94" s="201"/>
      <c r="NJK94" s="201"/>
      <c r="NJL94" s="201"/>
      <c r="NJM94" s="201"/>
      <c r="NJN94" s="201"/>
      <c r="NJO94" s="201"/>
      <c r="NJP94" s="201"/>
      <c r="NJQ94" s="201"/>
      <c r="NJR94" s="201"/>
      <c r="NJS94" s="201"/>
      <c r="NJT94" s="201"/>
      <c r="NJU94" s="201"/>
      <c r="NJV94" s="201"/>
      <c r="NJW94" s="201"/>
      <c r="NJX94" s="201"/>
      <c r="NJY94" s="201"/>
      <c r="NJZ94" s="201"/>
      <c r="NKA94" s="201"/>
      <c r="NKB94" s="201"/>
      <c r="NKC94" s="201"/>
      <c r="NKD94" s="201"/>
      <c r="NKE94" s="201"/>
      <c r="NKF94" s="201"/>
      <c r="NKG94" s="201"/>
      <c r="NKH94" s="201"/>
      <c r="NKI94" s="201"/>
      <c r="NKJ94" s="201"/>
      <c r="NKK94" s="201"/>
      <c r="NKL94" s="201"/>
      <c r="NKM94" s="201"/>
      <c r="NKN94" s="201"/>
      <c r="NKO94" s="201"/>
      <c r="NKP94" s="201"/>
      <c r="NKQ94" s="201"/>
      <c r="NKR94" s="201"/>
      <c r="NKS94" s="201"/>
      <c r="NKT94" s="201"/>
      <c r="NKU94" s="201"/>
      <c r="NKV94" s="201"/>
      <c r="NKW94" s="201"/>
      <c r="NKX94" s="201"/>
      <c r="NKY94" s="201"/>
      <c r="NKZ94" s="201"/>
      <c r="NLA94" s="201"/>
      <c r="NLB94" s="201"/>
      <c r="NLC94" s="201"/>
      <c r="NLD94" s="201"/>
      <c r="NLE94" s="201"/>
      <c r="NLF94" s="201"/>
      <c r="NLG94" s="201"/>
      <c r="NLH94" s="201"/>
      <c r="NLI94" s="201"/>
      <c r="NLJ94" s="201"/>
      <c r="NLK94" s="201"/>
      <c r="NLL94" s="201"/>
      <c r="NLM94" s="201"/>
      <c r="NLN94" s="201"/>
      <c r="NLO94" s="201"/>
      <c r="NLP94" s="201"/>
      <c r="NLQ94" s="201"/>
      <c r="NLR94" s="201"/>
      <c r="NLS94" s="201"/>
      <c r="NLT94" s="201"/>
      <c r="NLU94" s="201"/>
      <c r="NLV94" s="201"/>
      <c r="NLW94" s="201"/>
      <c r="NLX94" s="201"/>
      <c r="NLY94" s="201"/>
      <c r="NLZ94" s="201"/>
      <c r="NMA94" s="201"/>
      <c r="NMB94" s="201"/>
      <c r="NMC94" s="201"/>
      <c r="NMD94" s="201"/>
      <c r="NME94" s="201"/>
      <c r="NMF94" s="201"/>
      <c r="NMG94" s="201"/>
      <c r="NMH94" s="201"/>
      <c r="NMI94" s="201"/>
      <c r="NMJ94" s="201"/>
      <c r="NMK94" s="201"/>
      <c r="NML94" s="201"/>
      <c r="NMM94" s="201"/>
      <c r="NMN94" s="201"/>
      <c r="NMO94" s="201"/>
      <c r="NMP94" s="201"/>
      <c r="NMQ94" s="201"/>
      <c r="NMR94" s="201"/>
      <c r="NMS94" s="201"/>
      <c r="NMT94" s="201"/>
      <c r="NMU94" s="201"/>
      <c r="NMV94" s="201"/>
      <c r="NMW94" s="201"/>
      <c r="NMX94" s="201"/>
      <c r="NMY94" s="201"/>
      <c r="NMZ94" s="201"/>
      <c r="NNA94" s="201"/>
      <c r="NNB94" s="201"/>
      <c r="NNC94" s="201"/>
      <c r="NND94" s="201"/>
      <c r="NNE94" s="201"/>
      <c r="NNF94" s="201"/>
      <c r="NNG94" s="201"/>
      <c r="NNH94" s="201"/>
      <c r="NNI94" s="201"/>
      <c r="NNJ94" s="201"/>
      <c r="NNK94" s="201"/>
      <c r="NNL94" s="201"/>
      <c r="NNM94" s="201"/>
      <c r="NNN94" s="201"/>
      <c r="NNO94" s="201"/>
      <c r="NNP94" s="201"/>
      <c r="NNQ94" s="201"/>
      <c r="NNR94" s="201"/>
      <c r="NNS94" s="201"/>
      <c r="NNT94" s="201"/>
      <c r="NNU94" s="201"/>
      <c r="NNV94" s="201"/>
      <c r="NNW94" s="201"/>
      <c r="NNX94" s="201"/>
      <c r="NNY94" s="201"/>
      <c r="NNZ94" s="201"/>
      <c r="NOA94" s="201"/>
      <c r="NOB94" s="201"/>
      <c r="NOC94" s="201"/>
      <c r="NOD94" s="201"/>
      <c r="NOE94" s="201"/>
      <c r="NOF94" s="201"/>
      <c r="NOG94" s="201"/>
      <c r="NOH94" s="201"/>
      <c r="NOI94" s="201"/>
      <c r="NOJ94" s="201"/>
      <c r="NOK94" s="201"/>
      <c r="NOL94" s="201"/>
      <c r="NOM94" s="201"/>
      <c r="NON94" s="201"/>
      <c r="NOO94" s="201"/>
      <c r="NOP94" s="201"/>
      <c r="NOQ94" s="201"/>
      <c r="NOR94" s="201"/>
      <c r="NOS94" s="201"/>
      <c r="NOT94" s="201"/>
      <c r="NOU94" s="201"/>
      <c r="NOV94" s="201"/>
      <c r="NOW94" s="201"/>
      <c r="NOX94" s="201"/>
      <c r="NOY94" s="201"/>
      <c r="NOZ94" s="201"/>
      <c r="NPA94" s="201"/>
      <c r="NPB94" s="201"/>
      <c r="NPC94" s="201"/>
      <c r="NPD94" s="201"/>
      <c r="NPE94" s="201"/>
      <c r="NPF94" s="201"/>
      <c r="NPG94" s="201"/>
      <c r="NPH94" s="201"/>
      <c r="NPI94" s="201"/>
      <c r="NPJ94" s="201"/>
      <c r="NPK94" s="201"/>
      <c r="NPL94" s="201"/>
      <c r="NPM94" s="201"/>
      <c r="NPN94" s="201"/>
      <c r="NPO94" s="201"/>
      <c r="NPP94" s="201"/>
      <c r="NPQ94" s="201"/>
      <c r="NPR94" s="201"/>
      <c r="NPS94" s="201"/>
      <c r="NPT94" s="201"/>
      <c r="NPU94" s="201"/>
      <c r="NPV94" s="201"/>
      <c r="NPW94" s="201"/>
      <c r="NPX94" s="201"/>
      <c r="NPY94" s="201"/>
      <c r="NPZ94" s="201"/>
      <c r="NQA94" s="201"/>
      <c r="NQB94" s="201"/>
      <c r="NQC94" s="201"/>
      <c r="NQD94" s="201"/>
      <c r="NQE94" s="201"/>
      <c r="NQF94" s="201"/>
      <c r="NQG94" s="201"/>
      <c r="NQH94" s="201"/>
      <c r="NQI94" s="201"/>
      <c r="NQJ94" s="201"/>
      <c r="NQK94" s="201"/>
      <c r="NQL94" s="201"/>
      <c r="NQM94" s="201"/>
      <c r="NQN94" s="201"/>
      <c r="NQO94" s="201"/>
      <c r="NQP94" s="201"/>
      <c r="NQQ94" s="201"/>
      <c r="NQR94" s="201"/>
      <c r="NQS94" s="201"/>
      <c r="NQT94" s="201"/>
      <c r="NQU94" s="201"/>
      <c r="NQV94" s="201"/>
      <c r="NQW94" s="201"/>
      <c r="NQX94" s="201"/>
      <c r="NQY94" s="201"/>
      <c r="NQZ94" s="201"/>
      <c r="NRA94" s="201"/>
      <c r="NRB94" s="201"/>
      <c r="NRC94" s="201"/>
      <c r="NRD94" s="201"/>
      <c r="NRE94" s="201"/>
      <c r="NRF94" s="201"/>
      <c r="NRG94" s="201"/>
      <c r="NRH94" s="201"/>
      <c r="NRI94" s="201"/>
      <c r="NRJ94" s="201"/>
      <c r="NRK94" s="201"/>
      <c r="NRL94" s="201"/>
      <c r="NRM94" s="201"/>
      <c r="NRN94" s="201"/>
      <c r="NRO94" s="201"/>
      <c r="NRP94" s="201"/>
      <c r="NRQ94" s="201"/>
      <c r="NRR94" s="201"/>
      <c r="NRS94" s="201"/>
      <c r="NRT94" s="201"/>
      <c r="NRU94" s="201"/>
      <c r="NRV94" s="201"/>
      <c r="NRW94" s="201"/>
      <c r="NRX94" s="201"/>
      <c r="NRY94" s="201"/>
      <c r="NRZ94" s="201"/>
      <c r="NSA94" s="201"/>
      <c r="NSB94" s="201"/>
      <c r="NSC94" s="201"/>
      <c r="NSD94" s="201"/>
      <c r="NSE94" s="201"/>
      <c r="NSF94" s="201"/>
      <c r="NSG94" s="201"/>
      <c r="NSH94" s="201"/>
      <c r="NSI94" s="201"/>
      <c r="NSJ94" s="201"/>
      <c r="NSK94" s="201"/>
      <c r="NSL94" s="201"/>
      <c r="NSM94" s="201"/>
      <c r="NSN94" s="201"/>
      <c r="NSO94" s="201"/>
      <c r="NSP94" s="201"/>
      <c r="NSQ94" s="201"/>
      <c r="NSR94" s="201"/>
      <c r="NSS94" s="201"/>
      <c r="NST94" s="201"/>
      <c r="NSU94" s="201"/>
      <c r="NSV94" s="201"/>
      <c r="NSW94" s="201"/>
      <c r="NSX94" s="201"/>
      <c r="NSY94" s="201"/>
      <c r="NSZ94" s="201"/>
      <c r="NTA94" s="201"/>
      <c r="NTB94" s="201"/>
      <c r="NTC94" s="201"/>
      <c r="NTD94" s="201"/>
      <c r="NTE94" s="201"/>
      <c r="NTF94" s="201"/>
      <c r="NTG94" s="201"/>
      <c r="NTH94" s="201"/>
      <c r="NTI94" s="201"/>
      <c r="NTJ94" s="201"/>
      <c r="NTK94" s="201"/>
      <c r="NTL94" s="201"/>
      <c r="NTM94" s="201"/>
      <c r="NTN94" s="201"/>
      <c r="NTO94" s="201"/>
      <c r="NTP94" s="201"/>
      <c r="NTQ94" s="201"/>
      <c r="NTR94" s="201"/>
      <c r="NTS94" s="201"/>
      <c r="NTT94" s="201"/>
      <c r="NTU94" s="201"/>
      <c r="NTV94" s="201"/>
      <c r="NTW94" s="201"/>
      <c r="NTX94" s="201"/>
      <c r="NTY94" s="201"/>
      <c r="NTZ94" s="201"/>
      <c r="NUA94" s="201"/>
      <c r="NUB94" s="201"/>
      <c r="NUC94" s="201"/>
      <c r="NUD94" s="201"/>
      <c r="NUE94" s="201"/>
      <c r="NUF94" s="201"/>
      <c r="NUG94" s="201"/>
      <c r="NUH94" s="201"/>
      <c r="NUI94" s="201"/>
      <c r="NUJ94" s="201"/>
      <c r="NUK94" s="201"/>
      <c r="NUL94" s="201"/>
      <c r="NUM94" s="201"/>
      <c r="NUN94" s="201"/>
      <c r="NUO94" s="201"/>
      <c r="NUP94" s="201"/>
      <c r="NUQ94" s="201"/>
      <c r="NUR94" s="201"/>
      <c r="NUS94" s="201"/>
      <c r="NUT94" s="201"/>
      <c r="NUU94" s="201"/>
      <c r="NUV94" s="201"/>
      <c r="NUW94" s="201"/>
      <c r="NUX94" s="201"/>
      <c r="NUY94" s="201"/>
      <c r="NUZ94" s="201"/>
      <c r="NVA94" s="201"/>
      <c r="NVB94" s="201"/>
      <c r="NVC94" s="201"/>
      <c r="NVD94" s="201"/>
      <c r="NVE94" s="201"/>
      <c r="NVF94" s="201"/>
      <c r="NVG94" s="201"/>
      <c r="NVH94" s="201"/>
      <c r="NVI94" s="201"/>
      <c r="NVJ94" s="201"/>
      <c r="NVK94" s="201"/>
      <c r="NVL94" s="201"/>
      <c r="NVM94" s="201"/>
      <c r="NVN94" s="201"/>
      <c r="NVO94" s="201"/>
      <c r="NVP94" s="201"/>
      <c r="NVQ94" s="201"/>
      <c r="NVR94" s="201"/>
      <c r="NVS94" s="201"/>
      <c r="NVT94" s="201"/>
      <c r="NVU94" s="201"/>
      <c r="NVV94" s="201"/>
      <c r="NVW94" s="201"/>
      <c r="NVX94" s="201"/>
      <c r="NVY94" s="201"/>
      <c r="NVZ94" s="201"/>
      <c r="NWA94" s="201"/>
      <c r="NWB94" s="201"/>
      <c r="NWC94" s="201"/>
      <c r="NWD94" s="201"/>
      <c r="NWE94" s="201"/>
      <c r="NWF94" s="201"/>
      <c r="NWG94" s="201"/>
      <c r="NWH94" s="201"/>
      <c r="NWI94" s="201"/>
      <c r="NWJ94" s="201"/>
      <c r="NWK94" s="201"/>
      <c r="NWL94" s="201"/>
      <c r="NWM94" s="201"/>
      <c r="NWN94" s="201"/>
      <c r="NWO94" s="201"/>
      <c r="NWP94" s="201"/>
      <c r="NWQ94" s="201"/>
      <c r="NWR94" s="201"/>
      <c r="NWS94" s="201"/>
      <c r="NWT94" s="201"/>
      <c r="NWU94" s="201"/>
      <c r="NWV94" s="201"/>
      <c r="NWW94" s="201"/>
      <c r="NWX94" s="201"/>
      <c r="NWY94" s="201"/>
      <c r="NWZ94" s="201"/>
      <c r="NXA94" s="201"/>
      <c r="NXB94" s="201"/>
      <c r="NXC94" s="201"/>
      <c r="NXD94" s="201"/>
      <c r="NXE94" s="201"/>
      <c r="NXF94" s="201"/>
      <c r="NXG94" s="201"/>
      <c r="NXH94" s="201"/>
      <c r="NXI94" s="201"/>
      <c r="NXJ94" s="201"/>
      <c r="NXK94" s="201"/>
      <c r="NXL94" s="201"/>
      <c r="NXM94" s="201"/>
      <c r="NXN94" s="201"/>
      <c r="NXO94" s="201"/>
      <c r="NXP94" s="201"/>
      <c r="NXQ94" s="201"/>
      <c r="NXR94" s="201"/>
      <c r="NXS94" s="201"/>
      <c r="NXT94" s="201"/>
      <c r="NXU94" s="201"/>
      <c r="NXV94" s="201"/>
      <c r="NXW94" s="201"/>
      <c r="NXX94" s="201"/>
      <c r="NXY94" s="201"/>
      <c r="NXZ94" s="201"/>
      <c r="NYA94" s="201"/>
      <c r="NYB94" s="201"/>
      <c r="NYC94" s="201"/>
      <c r="NYD94" s="201"/>
      <c r="NYE94" s="201"/>
      <c r="NYF94" s="201"/>
      <c r="NYG94" s="201"/>
      <c r="NYH94" s="201"/>
      <c r="NYI94" s="201"/>
      <c r="NYJ94" s="201"/>
      <c r="NYK94" s="201"/>
      <c r="NYL94" s="201"/>
      <c r="NYM94" s="201"/>
      <c r="NYN94" s="201"/>
      <c r="NYO94" s="201"/>
      <c r="NYP94" s="201"/>
      <c r="NYQ94" s="201"/>
      <c r="NYR94" s="201"/>
      <c r="NYS94" s="201"/>
      <c r="NYT94" s="201"/>
      <c r="NYU94" s="201"/>
      <c r="NYV94" s="201"/>
      <c r="NYW94" s="201"/>
      <c r="NYX94" s="201"/>
      <c r="NYY94" s="201"/>
      <c r="NYZ94" s="201"/>
      <c r="NZA94" s="201"/>
      <c r="NZB94" s="201"/>
      <c r="NZC94" s="201"/>
      <c r="NZD94" s="201"/>
      <c r="NZE94" s="201"/>
      <c r="NZF94" s="201"/>
      <c r="NZG94" s="201"/>
      <c r="NZH94" s="201"/>
      <c r="NZI94" s="201"/>
      <c r="NZJ94" s="201"/>
      <c r="NZK94" s="201"/>
      <c r="NZL94" s="201"/>
      <c r="NZM94" s="201"/>
      <c r="NZN94" s="201"/>
      <c r="NZO94" s="201"/>
      <c r="NZP94" s="201"/>
      <c r="NZQ94" s="201"/>
      <c r="NZR94" s="201"/>
      <c r="NZS94" s="201"/>
      <c r="NZT94" s="201"/>
      <c r="NZU94" s="201"/>
      <c r="NZV94" s="201"/>
      <c r="NZW94" s="201"/>
      <c r="NZX94" s="201"/>
      <c r="NZY94" s="201"/>
      <c r="NZZ94" s="201"/>
      <c r="OAA94" s="201"/>
      <c r="OAB94" s="201"/>
      <c r="OAC94" s="201"/>
      <c r="OAD94" s="201"/>
      <c r="OAE94" s="201"/>
      <c r="OAF94" s="201"/>
      <c r="OAG94" s="201"/>
      <c r="OAH94" s="201"/>
      <c r="OAI94" s="201"/>
      <c r="OAJ94" s="201"/>
      <c r="OAK94" s="201"/>
      <c r="OAL94" s="201"/>
      <c r="OAM94" s="201"/>
      <c r="OAN94" s="201"/>
      <c r="OAO94" s="201"/>
      <c r="OAP94" s="201"/>
      <c r="OAQ94" s="201"/>
      <c r="OAR94" s="201"/>
      <c r="OAS94" s="201"/>
      <c r="OAT94" s="201"/>
      <c r="OAU94" s="201"/>
      <c r="OAV94" s="201"/>
      <c r="OAW94" s="201"/>
      <c r="OAX94" s="201"/>
      <c r="OAY94" s="201"/>
      <c r="OAZ94" s="201"/>
      <c r="OBA94" s="201"/>
      <c r="OBB94" s="201"/>
      <c r="OBC94" s="201"/>
      <c r="OBD94" s="201"/>
      <c r="OBE94" s="201"/>
      <c r="OBF94" s="201"/>
      <c r="OBG94" s="201"/>
      <c r="OBH94" s="201"/>
      <c r="OBI94" s="201"/>
      <c r="OBJ94" s="201"/>
      <c r="OBK94" s="201"/>
      <c r="OBL94" s="201"/>
      <c r="OBM94" s="201"/>
      <c r="OBN94" s="201"/>
      <c r="OBO94" s="201"/>
      <c r="OBP94" s="201"/>
      <c r="OBQ94" s="201"/>
      <c r="OBR94" s="201"/>
      <c r="OBS94" s="201"/>
      <c r="OBT94" s="201"/>
      <c r="OBU94" s="201"/>
      <c r="OBV94" s="201"/>
      <c r="OBW94" s="201"/>
      <c r="OBX94" s="201"/>
      <c r="OBY94" s="201"/>
      <c r="OBZ94" s="201"/>
      <c r="OCA94" s="201"/>
      <c r="OCB94" s="201"/>
      <c r="OCC94" s="201"/>
      <c r="OCD94" s="201"/>
      <c r="OCE94" s="201"/>
      <c r="OCF94" s="201"/>
      <c r="OCG94" s="201"/>
      <c r="OCH94" s="201"/>
      <c r="OCI94" s="201"/>
      <c r="OCJ94" s="201"/>
      <c r="OCK94" s="201"/>
      <c r="OCL94" s="201"/>
      <c r="OCM94" s="201"/>
      <c r="OCN94" s="201"/>
      <c r="OCO94" s="201"/>
      <c r="OCP94" s="201"/>
      <c r="OCQ94" s="201"/>
      <c r="OCR94" s="201"/>
      <c r="OCS94" s="201"/>
      <c r="OCT94" s="201"/>
      <c r="OCU94" s="201"/>
      <c r="OCV94" s="201"/>
      <c r="OCW94" s="201"/>
      <c r="OCX94" s="201"/>
      <c r="OCY94" s="201"/>
      <c r="OCZ94" s="201"/>
      <c r="ODA94" s="201"/>
      <c r="ODB94" s="201"/>
      <c r="ODC94" s="201"/>
      <c r="ODD94" s="201"/>
      <c r="ODE94" s="201"/>
      <c r="ODF94" s="201"/>
      <c r="ODG94" s="201"/>
      <c r="ODH94" s="201"/>
      <c r="ODI94" s="201"/>
      <c r="ODJ94" s="201"/>
      <c r="ODK94" s="201"/>
      <c r="ODL94" s="201"/>
      <c r="ODM94" s="201"/>
      <c r="ODN94" s="201"/>
      <c r="ODO94" s="201"/>
      <c r="ODP94" s="201"/>
      <c r="ODQ94" s="201"/>
      <c r="ODR94" s="201"/>
      <c r="ODS94" s="201"/>
      <c r="ODT94" s="201"/>
      <c r="ODU94" s="201"/>
      <c r="ODV94" s="201"/>
      <c r="ODW94" s="201"/>
      <c r="ODX94" s="201"/>
      <c r="ODY94" s="201"/>
      <c r="ODZ94" s="201"/>
      <c r="OEA94" s="201"/>
      <c r="OEB94" s="201"/>
      <c r="OEC94" s="201"/>
      <c r="OED94" s="201"/>
      <c r="OEE94" s="201"/>
      <c r="OEF94" s="201"/>
      <c r="OEG94" s="201"/>
      <c r="OEH94" s="201"/>
      <c r="OEI94" s="201"/>
      <c r="OEJ94" s="201"/>
      <c r="OEK94" s="201"/>
      <c r="OEL94" s="201"/>
      <c r="OEM94" s="201"/>
      <c r="OEN94" s="201"/>
      <c r="OEO94" s="201"/>
      <c r="OEP94" s="201"/>
      <c r="OEQ94" s="201"/>
      <c r="OER94" s="201"/>
      <c r="OES94" s="201"/>
      <c r="OET94" s="201"/>
      <c r="OEU94" s="201"/>
      <c r="OEV94" s="201"/>
      <c r="OEW94" s="201"/>
      <c r="OEX94" s="201"/>
      <c r="OEY94" s="201"/>
      <c r="OEZ94" s="201"/>
      <c r="OFA94" s="201"/>
      <c r="OFB94" s="201"/>
      <c r="OFC94" s="201"/>
      <c r="OFD94" s="201"/>
      <c r="OFE94" s="201"/>
      <c r="OFF94" s="201"/>
      <c r="OFG94" s="201"/>
      <c r="OFH94" s="201"/>
      <c r="OFI94" s="201"/>
      <c r="OFJ94" s="201"/>
      <c r="OFK94" s="201"/>
      <c r="OFL94" s="201"/>
      <c r="OFM94" s="201"/>
      <c r="OFN94" s="201"/>
      <c r="OFO94" s="201"/>
      <c r="OFP94" s="201"/>
      <c r="OFQ94" s="201"/>
      <c r="OFR94" s="201"/>
      <c r="OFS94" s="201"/>
      <c r="OFT94" s="201"/>
      <c r="OFU94" s="201"/>
      <c r="OFV94" s="201"/>
      <c r="OFW94" s="201"/>
      <c r="OFX94" s="201"/>
      <c r="OFY94" s="201"/>
      <c r="OFZ94" s="201"/>
      <c r="OGA94" s="201"/>
      <c r="OGB94" s="201"/>
      <c r="OGC94" s="201"/>
      <c r="OGD94" s="201"/>
      <c r="OGE94" s="201"/>
      <c r="OGF94" s="201"/>
      <c r="OGG94" s="201"/>
      <c r="OGH94" s="201"/>
      <c r="OGI94" s="201"/>
      <c r="OGJ94" s="201"/>
      <c r="OGK94" s="201"/>
      <c r="OGL94" s="201"/>
      <c r="OGM94" s="201"/>
      <c r="OGN94" s="201"/>
      <c r="OGO94" s="201"/>
      <c r="OGP94" s="201"/>
      <c r="OGQ94" s="201"/>
      <c r="OGR94" s="201"/>
      <c r="OGS94" s="201"/>
      <c r="OGT94" s="201"/>
      <c r="OGU94" s="201"/>
      <c r="OGV94" s="201"/>
      <c r="OGW94" s="201"/>
      <c r="OGX94" s="201"/>
      <c r="OGY94" s="201"/>
      <c r="OGZ94" s="201"/>
      <c r="OHA94" s="201"/>
      <c r="OHB94" s="201"/>
      <c r="OHC94" s="201"/>
      <c r="OHD94" s="201"/>
      <c r="OHE94" s="201"/>
      <c r="OHF94" s="201"/>
      <c r="OHG94" s="201"/>
      <c r="OHH94" s="201"/>
      <c r="OHI94" s="201"/>
      <c r="OHJ94" s="201"/>
      <c r="OHK94" s="201"/>
      <c r="OHL94" s="201"/>
      <c r="OHM94" s="201"/>
      <c r="OHN94" s="201"/>
      <c r="OHO94" s="201"/>
      <c r="OHP94" s="201"/>
      <c r="OHQ94" s="201"/>
      <c r="OHR94" s="201"/>
      <c r="OHS94" s="201"/>
      <c r="OHT94" s="201"/>
      <c r="OHU94" s="201"/>
      <c r="OHV94" s="201"/>
      <c r="OHW94" s="201"/>
      <c r="OHX94" s="201"/>
      <c r="OHY94" s="201"/>
      <c r="OHZ94" s="201"/>
      <c r="OIA94" s="201"/>
      <c r="OIB94" s="201"/>
      <c r="OIC94" s="201"/>
      <c r="OID94" s="201"/>
      <c r="OIE94" s="201"/>
      <c r="OIF94" s="201"/>
      <c r="OIG94" s="201"/>
      <c r="OIH94" s="201"/>
      <c r="OII94" s="201"/>
      <c r="OIJ94" s="201"/>
      <c r="OIK94" s="201"/>
      <c r="OIL94" s="201"/>
      <c r="OIM94" s="201"/>
      <c r="OIN94" s="201"/>
      <c r="OIO94" s="201"/>
      <c r="OIP94" s="201"/>
      <c r="OIQ94" s="201"/>
      <c r="OIR94" s="201"/>
      <c r="OIS94" s="201"/>
      <c r="OIT94" s="201"/>
      <c r="OIU94" s="201"/>
      <c r="OIV94" s="201"/>
      <c r="OIW94" s="201"/>
      <c r="OIX94" s="201"/>
      <c r="OIY94" s="201"/>
      <c r="OIZ94" s="201"/>
      <c r="OJA94" s="201"/>
      <c r="OJB94" s="201"/>
      <c r="OJC94" s="201"/>
      <c r="OJD94" s="201"/>
      <c r="OJE94" s="201"/>
      <c r="OJF94" s="201"/>
      <c r="OJG94" s="201"/>
      <c r="OJH94" s="201"/>
      <c r="OJI94" s="201"/>
      <c r="OJJ94" s="201"/>
      <c r="OJK94" s="201"/>
      <c r="OJL94" s="201"/>
      <c r="OJM94" s="201"/>
      <c r="OJN94" s="201"/>
      <c r="OJO94" s="201"/>
      <c r="OJP94" s="201"/>
      <c r="OJQ94" s="201"/>
      <c r="OJR94" s="201"/>
      <c r="OJS94" s="201"/>
      <c r="OJT94" s="201"/>
      <c r="OJU94" s="201"/>
      <c r="OJV94" s="201"/>
      <c r="OJW94" s="201"/>
      <c r="OJX94" s="201"/>
      <c r="OJY94" s="201"/>
      <c r="OJZ94" s="201"/>
      <c r="OKA94" s="201"/>
      <c r="OKB94" s="201"/>
      <c r="OKC94" s="201"/>
      <c r="OKD94" s="201"/>
      <c r="OKE94" s="201"/>
      <c r="OKF94" s="201"/>
      <c r="OKG94" s="201"/>
      <c r="OKH94" s="201"/>
      <c r="OKI94" s="201"/>
      <c r="OKJ94" s="201"/>
      <c r="OKK94" s="201"/>
      <c r="OKL94" s="201"/>
      <c r="OKM94" s="201"/>
      <c r="OKN94" s="201"/>
      <c r="OKO94" s="201"/>
      <c r="OKP94" s="201"/>
      <c r="OKQ94" s="201"/>
      <c r="OKR94" s="201"/>
      <c r="OKS94" s="201"/>
      <c r="OKT94" s="201"/>
      <c r="OKU94" s="201"/>
      <c r="OKV94" s="201"/>
      <c r="OKW94" s="201"/>
      <c r="OKX94" s="201"/>
      <c r="OKY94" s="201"/>
      <c r="OKZ94" s="201"/>
      <c r="OLA94" s="201"/>
      <c r="OLB94" s="201"/>
      <c r="OLC94" s="201"/>
      <c r="OLD94" s="201"/>
      <c r="OLE94" s="201"/>
      <c r="OLF94" s="201"/>
      <c r="OLG94" s="201"/>
      <c r="OLH94" s="201"/>
      <c r="OLI94" s="201"/>
      <c r="OLJ94" s="201"/>
      <c r="OLK94" s="201"/>
      <c r="OLL94" s="201"/>
      <c r="OLM94" s="201"/>
      <c r="OLN94" s="201"/>
      <c r="OLO94" s="201"/>
      <c r="OLP94" s="201"/>
      <c r="OLQ94" s="201"/>
      <c r="OLR94" s="201"/>
      <c r="OLS94" s="201"/>
      <c r="OLT94" s="201"/>
      <c r="OLU94" s="201"/>
      <c r="OLV94" s="201"/>
      <c r="OLW94" s="201"/>
      <c r="OLX94" s="201"/>
      <c r="OLY94" s="201"/>
      <c r="OLZ94" s="201"/>
      <c r="OMA94" s="201"/>
      <c r="OMB94" s="201"/>
      <c r="OMC94" s="201"/>
      <c r="OMD94" s="201"/>
      <c r="OME94" s="201"/>
      <c r="OMF94" s="201"/>
      <c r="OMG94" s="201"/>
      <c r="OMH94" s="201"/>
      <c r="OMI94" s="201"/>
      <c r="OMJ94" s="201"/>
      <c r="OMK94" s="201"/>
      <c r="OML94" s="201"/>
      <c r="OMM94" s="201"/>
      <c r="OMN94" s="201"/>
      <c r="OMO94" s="201"/>
      <c r="OMP94" s="201"/>
      <c r="OMQ94" s="201"/>
      <c r="OMR94" s="201"/>
      <c r="OMS94" s="201"/>
      <c r="OMT94" s="201"/>
      <c r="OMU94" s="201"/>
      <c r="OMV94" s="201"/>
      <c r="OMW94" s="201"/>
      <c r="OMX94" s="201"/>
      <c r="OMY94" s="201"/>
      <c r="OMZ94" s="201"/>
      <c r="ONA94" s="201"/>
      <c r="ONB94" s="201"/>
      <c r="ONC94" s="201"/>
      <c r="OND94" s="201"/>
      <c r="ONE94" s="201"/>
      <c r="ONF94" s="201"/>
      <c r="ONG94" s="201"/>
      <c r="ONH94" s="201"/>
      <c r="ONI94" s="201"/>
      <c r="ONJ94" s="201"/>
      <c r="ONK94" s="201"/>
      <c r="ONL94" s="201"/>
      <c r="ONM94" s="201"/>
      <c r="ONN94" s="201"/>
      <c r="ONO94" s="201"/>
      <c r="ONP94" s="201"/>
      <c r="ONQ94" s="201"/>
      <c r="ONR94" s="201"/>
      <c r="ONS94" s="201"/>
      <c r="ONT94" s="201"/>
      <c r="ONU94" s="201"/>
      <c r="ONV94" s="201"/>
      <c r="ONW94" s="201"/>
      <c r="ONX94" s="201"/>
      <c r="ONY94" s="201"/>
      <c r="ONZ94" s="201"/>
      <c r="OOA94" s="201"/>
      <c r="OOB94" s="201"/>
      <c r="OOC94" s="201"/>
      <c r="OOD94" s="201"/>
      <c r="OOE94" s="201"/>
      <c r="OOF94" s="201"/>
      <c r="OOG94" s="201"/>
      <c r="OOH94" s="201"/>
      <c r="OOI94" s="201"/>
      <c r="OOJ94" s="201"/>
      <c r="OOK94" s="201"/>
      <c r="OOL94" s="201"/>
      <c r="OOM94" s="201"/>
      <c r="OON94" s="201"/>
      <c r="OOO94" s="201"/>
      <c r="OOP94" s="201"/>
      <c r="OOQ94" s="201"/>
      <c r="OOR94" s="201"/>
      <c r="OOS94" s="201"/>
      <c r="OOT94" s="201"/>
      <c r="OOU94" s="201"/>
      <c r="OOV94" s="201"/>
      <c r="OOW94" s="201"/>
      <c r="OOX94" s="201"/>
      <c r="OOY94" s="201"/>
      <c r="OOZ94" s="201"/>
      <c r="OPA94" s="201"/>
      <c r="OPB94" s="201"/>
      <c r="OPC94" s="201"/>
      <c r="OPD94" s="201"/>
      <c r="OPE94" s="201"/>
      <c r="OPF94" s="201"/>
      <c r="OPG94" s="201"/>
      <c r="OPH94" s="201"/>
      <c r="OPI94" s="201"/>
      <c r="OPJ94" s="201"/>
      <c r="OPK94" s="201"/>
      <c r="OPL94" s="201"/>
      <c r="OPM94" s="201"/>
      <c r="OPN94" s="201"/>
      <c r="OPO94" s="201"/>
      <c r="OPP94" s="201"/>
      <c r="OPQ94" s="201"/>
      <c r="OPR94" s="201"/>
      <c r="OPS94" s="201"/>
      <c r="OPT94" s="201"/>
      <c r="OPU94" s="201"/>
      <c r="OPV94" s="201"/>
      <c r="OPW94" s="201"/>
      <c r="OPX94" s="201"/>
      <c r="OPY94" s="201"/>
      <c r="OPZ94" s="201"/>
      <c r="OQA94" s="201"/>
      <c r="OQB94" s="201"/>
      <c r="OQC94" s="201"/>
      <c r="OQD94" s="201"/>
      <c r="OQE94" s="201"/>
      <c r="OQF94" s="201"/>
      <c r="OQG94" s="201"/>
      <c r="OQH94" s="201"/>
      <c r="OQI94" s="201"/>
      <c r="OQJ94" s="201"/>
      <c r="OQK94" s="201"/>
      <c r="OQL94" s="201"/>
      <c r="OQM94" s="201"/>
      <c r="OQN94" s="201"/>
      <c r="OQO94" s="201"/>
      <c r="OQP94" s="201"/>
      <c r="OQQ94" s="201"/>
      <c r="OQR94" s="201"/>
      <c r="OQS94" s="201"/>
      <c r="OQT94" s="201"/>
      <c r="OQU94" s="201"/>
      <c r="OQV94" s="201"/>
      <c r="OQW94" s="201"/>
      <c r="OQX94" s="201"/>
      <c r="OQY94" s="201"/>
      <c r="OQZ94" s="201"/>
      <c r="ORA94" s="201"/>
      <c r="ORB94" s="201"/>
      <c r="ORC94" s="201"/>
      <c r="ORD94" s="201"/>
      <c r="ORE94" s="201"/>
      <c r="ORF94" s="201"/>
      <c r="ORG94" s="201"/>
      <c r="ORH94" s="201"/>
      <c r="ORI94" s="201"/>
      <c r="ORJ94" s="201"/>
      <c r="ORK94" s="201"/>
      <c r="ORL94" s="201"/>
      <c r="ORM94" s="201"/>
      <c r="ORN94" s="201"/>
      <c r="ORO94" s="201"/>
      <c r="ORP94" s="201"/>
      <c r="ORQ94" s="201"/>
      <c r="ORR94" s="201"/>
      <c r="ORS94" s="201"/>
      <c r="ORT94" s="201"/>
      <c r="ORU94" s="201"/>
      <c r="ORV94" s="201"/>
      <c r="ORW94" s="201"/>
      <c r="ORX94" s="201"/>
      <c r="ORY94" s="201"/>
      <c r="ORZ94" s="201"/>
      <c r="OSA94" s="201"/>
      <c r="OSB94" s="201"/>
      <c r="OSC94" s="201"/>
      <c r="OSD94" s="201"/>
      <c r="OSE94" s="201"/>
      <c r="OSF94" s="201"/>
      <c r="OSG94" s="201"/>
      <c r="OSH94" s="201"/>
      <c r="OSI94" s="201"/>
      <c r="OSJ94" s="201"/>
      <c r="OSK94" s="201"/>
      <c r="OSL94" s="201"/>
      <c r="OSM94" s="201"/>
      <c r="OSN94" s="201"/>
      <c r="OSO94" s="201"/>
      <c r="OSP94" s="201"/>
      <c r="OSQ94" s="201"/>
      <c r="OSR94" s="201"/>
      <c r="OSS94" s="201"/>
      <c r="OST94" s="201"/>
      <c r="OSU94" s="201"/>
      <c r="OSV94" s="201"/>
      <c r="OSW94" s="201"/>
      <c r="OSX94" s="201"/>
      <c r="OSY94" s="201"/>
      <c r="OSZ94" s="201"/>
      <c r="OTA94" s="201"/>
      <c r="OTB94" s="201"/>
      <c r="OTC94" s="201"/>
      <c r="OTD94" s="201"/>
      <c r="OTE94" s="201"/>
      <c r="OTF94" s="201"/>
      <c r="OTG94" s="201"/>
      <c r="OTH94" s="201"/>
      <c r="OTI94" s="201"/>
      <c r="OTJ94" s="201"/>
      <c r="OTK94" s="201"/>
      <c r="OTL94" s="201"/>
      <c r="OTM94" s="201"/>
      <c r="OTN94" s="201"/>
      <c r="OTO94" s="201"/>
      <c r="OTP94" s="201"/>
      <c r="OTQ94" s="201"/>
      <c r="OTR94" s="201"/>
      <c r="OTS94" s="201"/>
      <c r="OTT94" s="201"/>
      <c r="OTU94" s="201"/>
      <c r="OTV94" s="201"/>
      <c r="OTW94" s="201"/>
      <c r="OTX94" s="201"/>
      <c r="OTY94" s="201"/>
      <c r="OTZ94" s="201"/>
      <c r="OUA94" s="201"/>
      <c r="OUB94" s="201"/>
      <c r="OUC94" s="201"/>
      <c r="OUD94" s="201"/>
      <c r="OUE94" s="201"/>
      <c r="OUF94" s="201"/>
      <c r="OUG94" s="201"/>
      <c r="OUH94" s="201"/>
      <c r="OUI94" s="201"/>
      <c r="OUJ94" s="201"/>
      <c r="OUK94" s="201"/>
      <c r="OUL94" s="201"/>
      <c r="OUM94" s="201"/>
      <c r="OUN94" s="201"/>
      <c r="OUO94" s="201"/>
      <c r="OUP94" s="201"/>
      <c r="OUQ94" s="201"/>
      <c r="OUR94" s="201"/>
      <c r="OUS94" s="201"/>
      <c r="OUT94" s="201"/>
      <c r="OUU94" s="201"/>
      <c r="OUV94" s="201"/>
      <c r="OUW94" s="201"/>
      <c r="OUX94" s="201"/>
      <c r="OUY94" s="201"/>
      <c r="OUZ94" s="201"/>
      <c r="OVA94" s="201"/>
      <c r="OVB94" s="201"/>
      <c r="OVC94" s="201"/>
      <c r="OVD94" s="201"/>
      <c r="OVE94" s="201"/>
      <c r="OVF94" s="201"/>
      <c r="OVG94" s="201"/>
      <c r="OVH94" s="201"/>
      <c r="OVI94" s="201"/>
      <c r="OVJ94" s="201"/>
      <c r="OVK94" s="201"/>
      <c r="OVL94" s="201"/>
      <c r="OVM94" s="201"/>
      <c r="OVN94" s="201"/>
      <c r="OVO94" s="201"/>
      <c r="OVP94" s="201"/>
      <c r="OVQ94" s="201"/>
      <c r="OVR94" s="201"/>
      <c r="OVS94" s="201"/>
      <c r="OVT94" s="201"/>
      <c r="OVU94" s="201"/>
      <c r="OVV94" s="201"/>
      <c r="OVW94" s="201"/>
      <c r="OVX94" s="201"/>
      <c r="OVY94" s="201"/>
      <c r="OVZ94" s="201"/>
      <c r="OWA94" s="201"/>
      <c r="OWB94" s="201"/>
      <c r="OWC94" s="201"/>
      <c r="OWD94" s="201"/>
      <c r="OWE94" s="201"/>
      <c r="OWF94" s="201"/>
      <c r="OWG94" s="201"/>
      <c r="OWH94" s="201"/>
      <c r="OWI94" s="201"/>
      <c r="OWJ94" s="201"/>
      <c r="OWK94" s="201"/>
      <c r="OWL94" s="201"/>
      <c r="OWM94" s="201"/>
      <c r="OWN94" s="201"/>
      <c r="OWO94" s="201"/>
      <c r="OWP94" s="201"/>
      <c r="OWQ94" s="201"/>
      <c r="OWR94" s="201"/>
      <c r="OWS94" s="201"/>
      <c r="OWT94" s="201"/>
      <c r="OWU94" s="201"/>
      <c r="OWV94" s="201"/>
      <c r="OWW94" s="201"/>
      <c r="OWX94" s="201"/>
      <c r="OWY94" s="201"/>
      <c r="OWZ94" s="201"/>
      <c r="OXA94" s="201"/>
      <c r="OXB94" s="201"/>
      <c r="OXC94" s="201"/>
      <c r="OXD94" s="201"/>
      <c r="OXE94" s="201"/>
      <c r="OXF94" s="201"/>
      <c r="OXG94" s="201"/>
      <c r="OXH94" s="201"/>
      <c r="OXI94" s="201"/>
      <c r="OXJ94" s="201"/>
      <c r="OXK94" s="201"/>
      <c r="OXL94" s="201"/>
      <c r="OXM94" s="201"/>
      <c r="OXN94" s="201"/>
      <c r="OXO94" s="201"/>
      <c r="OXP94" s="201"/>
      <c r="OXQ94" s="201"/>
      <c r="OXR94" s="201"/>
      <c r="OXS94" s="201"/>
      <c r="OXT94" s="201"/>
      <c r="OXU94" s="201"/>
      <c r="OXV94" s="201"/>
      <c r="OXW94" s="201"/>
      <c r="OXX94" s="201"/>
      <c r="OXY94" s="201"/>
      <c r="OXZ94" s="201"/>
      <c r="OYA94" s="201"/>
      <c r="OYB94" s="201"/>
      <c r="OYC94" s="201"/>
      <c r="OYD94" s="201"/>
      <c r="OYE94" s="201"/>
      <c r="OYF94" s="201"/>
      <c r="OYG94" s="201"/>
      <c r="OYH94" s="201"/>
      <c r="OYI94" s="201"/>
      <c r="OYJ94" s="201"/>
      <c r="OYK94" s="201"/>
      <c r="OYL94" s="201"/>
      <c r="OYM94" s="201"/>
      <c r="OYN94" s="201"/>
      <c r="OYO94" s="201"/>
      <c r="OYP94" s="201"/>
      <c r="OYQ94" s="201"/>
      <c r="OYR94" s="201"/>
      <c r="OYS94" s="201"/>
      <c r="OYT94" s="201"/>
      <c r="OYU94" s="201"/>
      <c r="OYV94" s="201"/>
      <c r="OYW94" s="201"/>
      <c r="OYX94" s="201"/>
      <c r="OYY94" s="201"/>
      <c r="OYZ94" s="201"/>
      <c r="OZA94" s="201"/>
      <c r="OZB94" s="201"/>
      <c r="OZC94" s="201"/>
      <c r="OZD94" s="201"/>
      <c r="OZE94" s="201"/>
      <c r="OZF94" s="201"/>
      <c r="OZG94" s="201"/>
      <c r="OZH94" s="201"/>
      <c r="OZI94" s="201"/>
      <c r="OZJ94" s="201"/>
      <c r="OZK94" s="201"/>
      <c r="OZL94" s="201"/>
      <c r="OZM94" s="201"/>
      <c r="OZN94" s="201"/>
      <c r="OZO94" s="201"/>
      <c r="OZP94" s="201"/>
      <c r="OZQ94" s="201"/>
      <c r="OZR94" s="201"/>
      <c r="OZS94" s="201"/>
      <c r="OZT94" s="201"/>
      <c r="OZU94" s="201"/>
      <c r="OZV94" s="201"/>
      <c r="OZW94" s="201"/>
      <c r="OZX94" s="201"/>
      <c r="OZY94" s="201"/>
      <c r="OZZ94" s="201"/>
      <c r="PAA94" s="201"/>
      <c r="PAB94" s="201"/>
      <c r="PAC94" s="201"/>
      <c r="PAD94" s="201"/>
      <c r="PAE94" s="201"/>
      <c r="PAF94" s="201"/>
      <c r="PAG94" s="201"/>
      <c r="PAH94" s="201"/>
      <c r="PAI94" s="201"/>
      <c r="PAJ94" s="201"/>
      <c r="PAK94" s="201"/>
      <c r="PAL94" s="201"/>
      <c r="PAM94" s="201"/>
      <c r="PAN94" s="201"/>
      <c r="PAO94" s="201"/>
      <c r="PAP94" s="201"/>
      <c r="PAQ94" s="201"/>
      <c r="PAR94" s="201"/>
      <c r="PAS94" s="201"/>
      <c r="PAT94" s="201"/>
      <c r="PAU94" s="201"/>
      <c r="PAV94" s="201"/>
      <c r="PAW94" s="201"/>
      <c r="PAX94" s="201"/>
      <c r="PAY94" s="201"/>
      <c r="PAZ94" s="201"/>
      <c r="PBA94" s="201"/>
      <c r="PBB94" s="201"/>
      <c r="PBC94" s="201"/>
      <c r="PBD94" s="201"/>
      <c r="PBE94" s="201"/>
      <c r="PBF94" s="201"/>
      <c r="PBG94" s="201"/>
      <c r="PBH94" s="201"/>
      <c r="PBI94" s="201"/>
      <c r="PBJ94" s="201"/>
      <c r="PBK94" s="201"/>
      <c r="PBL94" s="201"/>
      <c r="PBM94" s="201"/>
      <c r="PBN94" s="201"/>
      <c r="PBO94" s="201"/>
      <c r="PBP94" s="201"/>
      <c r="PBQ94" s="201"/>
      <c r="PBR94" s="201"/>
      <c r="PBS94" s="201"/>
      <c r="PBT94" s="201"/>
      <c r="PBU94" s="201"/>
      <c r="PBV94" s="201"/>
      <c r="PBW94" s="201"/>
      <c r="PBX94" s="201"/>
      <c r="PBY94" s="201"/>
      <c r="PBZ94" s="201"/>
      <c r="PCA94" s="201"/>
      <c r="PCB94" s="201"/>
      <c r="PCC94" s="201"/>
      <c r="PCD94" s="201"/>
      <c r="PCE94" s="201"/>
      <c r="PCF94" s="201"/>
      <c r="PCG94" s="201"/>
      <c r="PCH94" s="201"/>
      <c r="PCI94" s="201"/>
      <c r="PCJ94" s="201"/>
      <c r="PCK94" s="201"/>
      <c r="PCL94" s="201"/>
      <c r="PCM94" s="201"/>
      <c r="PCN94" s="201"/>
      <c r="PCO94" s="201"/>
      <c r="PCP94" s="201"/>
      <c r="PCQ94" s="201"/>
      <c r="PCR94" s="201"/>
      <c r="PCS94" s="201"/>
      <c r="PCT94" s="201"/>
      <c r="PCU94" s="201"/>
      <c r="PCV94" s="201"/>
      <c r="PCW94" s="201"/>
      <c r="PCX94" s="201"/>
      <c r="PCY94" s="201"/>
      <c r="PCZ94" s="201"/>
      <c r="PDA94" s="201"/>
      <c r="PDB94" s="201"/>
      <c r="PDC94" s="201"/>
      <c r="PDD94" s="201"/>
      <c r="PDE94" s="201"/>
      <c r="PDF94" s="201"/>
      <c r="PDG94" s="201"/>
      <c r="PDH94" s="201"/>
      <c r="PDI94" s="201"/>
      <c r="PDJ94" s="201"/>
      <c r="PDK94" s="201"/>
      <c r="PDL94" s="201"/>
      <c r="PDM94" s="201"/>
      <c r="PDN94" s="201"/>
      <c r="PDO94" s="201"/>
      <c r="PDP94" s="201"/>
      <c r="PDQ94" s="201"/>
      <c r="PDR94" s="201"/>
      <c r="PDS94" s="201"/>
      <c r="PDT94" s="201"/>
      <c r="PDU94" s="201"/>
      <c r="PDV94" s="201"/>
      <c r="PDW94" s="201"/>
      <c r="PDX94" s="201"/>
      <c r="PDY94" s="201"/>
      <c r="PDZ94" s="201"/>
      <c r="PEA94" s="201"/>
      <c r="PEB94" s="201"/>
      <c r="PEC94" s="201"/>
      <c r="PED94" s="201"/>
      <c r="PEE94" s="201"/>
      <c r="PEF94" s="201"/>
      <c r="PEG94" s="201"/>
      <c r="PEH94" s="201"/>
      <c r="PEI94" s="201"/>
      <c r="PEJ94" s="201"/>
      <c r="PEK94" s="201"/>
      <c r="PEL94" s="201"/>
      <c r="PEM94" s="201"/>
      <c r="PEN94" s="201"/>
      <c r="PEO94" s="201"/>
      <c r="PEP94" s="201"/>
      <c r="PEQ94" s="201"/>
      <c r="PER94" s="201"/>
      <c r="PES94" s="201"/>
      <c r="PET94" s="201"/>
      <c r="PEU94" s="201"/>
      <c r="PEV94" s="201"/>
      <c r="PEW94" s="201"/>
      <c r="PEX94" s="201"/>
      <c r="PEY94" s="201"/>
      <c r="PEZ94" s="201"/>
      <c r="PFA94" s="201"/>
      <c r="PFB94" s="201"/>
      <c r="PFC94" s="201"/>
      <c r="PFD94" s="201"/>
      <c r="PFE94" s="201"/>
      <c r="PFF94" s="201"/>
      <c r="PFG94" s="201"/>
      <c r="PFH94" s="201"/>
      <c r="PFI94" s="201"/>
      <c r="PFJ94" s="201"/>
      <c r="PFK94" s="201"/>
      <c r="PFL94" s="201"/>
      <c r="PFM94" s="201"/>
      <c r="PFN94" s="201"/>
      <c r="PFO94" s="201"/>
      <c r="PFP94" s="201"/>
      <c r="PFQ94" s="201"/>
      <c r="PFR94" s="201"/>
      <c r="PFS94" s="201"/>
      <c r="PFT94" s="201"/>
      <c r="PFU94" s="201"/>
      <c r="PFV94" s="201"/>
      <c r="PFW94" s="201"/>
      <c r="PFX94" s="201"/>
      <c r="PFY94" s="201"/>
      <c r="PFZ94" s="201"/>
      <c r="PGA94" s="201"/>
      <c r="PGB94" s="201"/>
      <c r="PGC94" s="201"/>
      <c r="PGD94" s="201"/>
      <c r="PGE94" s="201"/>
      <c r="PGF94" s="201"/>
      <c r="PGG94" s="201"/>
      <c r="PGH94" s="201"/>
      <c r="PGI94" s="201"/>
      <c r="PGJ94" s="201"/>
      <c r="PGK94" s="201"/>
      <c r="PGL94" s="201"/>
      <c r="PGM94" s="201"/>
      <c r="PGN94" s="201"/>
      <c r="PGO94" s="201"/>
      <c r="PGP94" s="201"/>
      <c r="PGQ94" s="201"/>
      <c r="PGR94" s="201"/>
      <c r="PGS94" s="201"/>
      <c r="PGT94" s="201"/>
      <c r="PGU94" s="201"/>
      <c r="PGV94" s="201"/>
      <c r="PGW94" s="201"/>
      <c r="PGX94" s="201"/>
      <c r="PGY94" s="201"/>
      <c r="PGZ94" s="201"/>
      <c r="PHA94" s="201"/>
      <c r="PHB94" s="201"/>
      <c r="PHC94" s="201"/>
      <c r="PHD94" s="201"/>
      <c r="PHE94" s="201"/>
      <c r="PHF94" s="201"/>
      <c r="PHG94" s="201"/>
      <c r="PHH94" s="201"/>
      <c r="PHI94" s="201"/>
      <c r="PHJ94" s="201"/>
      <c r="PHK94" s="201"/>
      <c r="PHL94" s="201"/>
      <c r="PHM94" s="201"/>
      <c r="PHN94" s="201"/>
      <c r="PHO94" s="201"/>
      <c r="PHP94" s="201"/>
      <c r="PHQ94" s="201"/>
      <c r="PHR94" s="201"/>
      <c r="PHS94" s="201"/>
      <c r="PHT94" s="201"/>
      <c r="PHU94" s="201"/>
      <c r="PHV94" s="201"/>
      <c r="PHW94" s="201"/>
      <c r="PHX94" s="201"/>
      <c r="PHY94" s="201"/>
      <c r="PHZ94" s="201"/>
      <c r="PIA94" s="201"/>
      <c r="PIB94" s="201"/>
      <c r="PIC94" s="201"/>
      <c r="PID94" s="201"/>
      <c r="PIE94" s="201"/>
      <c r="PIF94" s="201"/>
      <c r="PIG94" s="201"/>
      <c r="PIH94" s="201"/>
      <c r="PII94" s="201"/>
      <c r="PIJ94" s="201"/>
      <c r="PIK94" s="201"/>
      <c r="PIL94" s="201"/>
      <c r="PIM94" s="201"/>
      <c r="PIN94" s="201"/>
      <c r="PIO94" s="201"/>
      <c r="PIP94" s="201"/>
      <c r="PIQ94" s="201"/>
      <c r="PIR94" s="201"/>
      <c r="PIS94" s="201"/>
      <c r="PIT94" s="201"/>
      <c r="PIU94" s="201"/>
      <c r="PIV94" s="201"/>
      <c r="PIW94" s="201"/>
      <c r="PIX94" s="201"/>
      <c r="PIY94" s="201"/>
      <c r="PIZ94" s="201"/>
      <c r="PJA94" s="201"/>
      <c r="PJB94" s="201"/>
      <c r="PJC94" s="201"/>
      <c r="PJD94" s="201"/>
      <c r="PJE94" s="201"/>
      <c r="PJF94" s="201"/>
      <c r="PJG94" s="201"/>
      <c r="PJH94" s="201"/>
      <c r="PJI94" s="201"/>
      <c r="PJJ94" s="201"/>
      <c r="PJK94" s="201"/>
      <c r="PJL94" s="201"/>
      <c r="PJM94" s="201"/>
      <c r="PJN94" s="201"/>
      <c r="PJO94" s="201"/>
      <c r="PJP94" s="201"/>
      <c r="PJQ94" s="201"/>
      <c r="PJR94" s="201"/>
      <c r="PJS94" s="201"/>
      <c r="PJT94" s="201"/>
      <c r="PJU94" s="201"/>
      <c r="PJV94" s="201"/>
      <c r="PJW94" s="201"/>
      <c r="PJX94" s="201"/>
      <c r="PJY94" s="201"/>
      <c r="PJZ94" s="201"/>
      <c r="PKA94" s="201"/>
      <c r="PKB94" s="201"/>
      <c r="PKC94" s="201"/>
      <c r="PKD94" s="201"/>
      <c r="PKE94" s="201"/>
      <c r="PKF94" s="201"/>
      <c r="PKG94" s="201"/>
      <c r="PKH94" s="201"/>
      <c r="PKI94" s="201"/>
      <c r="PKJ94" s="201"/>
      <c r="PKK94" s="201"/>
      <c r="PKL94" s="201"/>
      <c r="PKM94" s="201"/>
      <c r="PKN94" s="201"/>
      <c r="PKO94" s="201"/>
      <c r="PKP94" s="201"/>
      <c r="PKQ94" s="201"/>
      <c r="PKR94" s="201"/>
      <c r="PKS94" s="201"/>
      <c r="PKT94" s="201"/>
      <c r="PKU94" s="201"/>
      <c r="PKV94" s="201"/>
      <c r="PKW94" s="201"/>
      <c r="PKX94" s="201"/>
      <c r="PKY94" s="201"/>
      <c r="PKZ94" s="201"/>
      <c r="PLA94" s="201"/>
      <c r="PLB94" s="201"/>
      <c r="PLC94" s="201"/>
      <c r="PLD94" s="201"/>
      <c r="PLE94" s="201"/>
      <c r="PLF94" s="201"/>
      <c r="PLG94" s="201"/>
      <c r="PLH94" s="201"/>
      <c r="PLI94" s="201"/>
      <c r="PLJ94" s="201"/>
      <c r="PLK94" s="201"/>
      <c r="PLL94" s="201"/>
      <c r="PLM94" s="201"/>
      <c r="PLN94" s="201"/>
      <c r="PLO94" s="201"/>
      <c r="PLP94" s="201"/>
      <c r="PLQ94" s="201"/>
      <c r="PLR94" s="201"/>
      <c r="PLS94" s="201"/>
      <c r="PLT94" s="201"/>
      <c r="PLU94" s="201"/>
      <c r="PLV94" s="201"/>
      <c r="PLW94" s="201"/>
      <c r="PLX94" s="201"/>
      <c r="PLY94" s="201"/>
      <c r="PLZ94" s="201"/>
      <c r="PMA94" s="201"/>
      <c r="PMB94" s="201"/>
      <c r="PMC94" s="201"/>
      <c r="PMD94" s="201"/>
      <c r="PME94" s="201"/>
      <c r="PMF94" s="201"/>
      <c r="PMG94" s="201"/>
      <c r="PMH94" s="201"/>
      <c r="PMI94" s="201"/>
      <c r="PMJ94" s="201"/>
      <c r="PMK94" s="201"/>
      <c r="PML94" s="201"/>
      <c r="PMM94" s="201"/>
      <c r="PMN94" s="201"/>
      <c r="PMO94" s="201"/>
      <c r="PMP94" s="201"/>
      <c r="PMQ94" s="201"/>
      <c r="PMR94" s="201"/>
      <c r="PMS94" s="201"/>
      <c r="PMT94" s="201"/>
      <c r="PMU94" s="201"/>
      <c r="PMV94" s="201"/>
      <c r="PMW94" s="201"/>
      <c r="PMX94" s="201"/>
      <c r="PMY94" s="201"/>
      <c r="PMZ94" s="201"/>
      <c r="PNA94" s="201"/>
      <c r="PNB94" s="201"/>
      <c r="PNC94" s="201"/>
      <c r="PND94" s="201"/>
      <c r="PNE94" s="201"/>
      <c r="PNF94" s="201"/>
      <c r="PNG94" s="201"/>
      <c r="PNH94" s="201"/>
      <c r="PNI94" s="201"/>
      <c r="PNJ94" s="201"/>
      <c r="PNK94" s="201"/>
      <c r="PNL94" s="201"/>
      <c r="PNM94" s="201"/>
      <c r="PNN94" s="201"/>
      <c r="PNO94" s="201"/>
      <c r="PNP94" s="201"/>
      <c r="PNQ94" s="201"/>
      <c r="PNR94" s="201"/>
      <c r="PNS94" s="201"/>
      <c r="PNT94" s="201"/>
      <c r="PNU94" s="201"/>
      <c r="PNV94" s="201"/>
      <c r="PNW94" s="201"/>
      <c r="PNX94" s="201"/>
      <c r="PNY94" s="201"/>
      <c r="PNZ94" s="201"/>
      <c r="POA94" s="201"/>
      <c r="POB94" s="201"/>
      <c r="POC94" s="201"/>
      <c r="POD94" s="201"/>
      <c r="POE94" s="201"/>
      <c r="POF94" s="201"/>
      <c r="POG94" s="201"/>
      <c r="POH94" s="201"/>
      <c r="POI94" s="201"/>
      <c r="POJ94" s="201"/>
      <c r="POK94" s="201"/>
      <c r="POL94" s="201"/>
      <c r="POM94" s="201"/>
      <c r="PON94" s="201"/>
      <c r="POO94" s="201"/>
      <c r="POP94" s="201"/>
      <c r="POQ94" s="201"/>
      <c r="POR94" s="201"/>
      <c r="POS94" s="201"/>
      <c r="POT94" s="201"/>
      <c r="POU94" s="201"/>
      <c r="POV94" s="201"/>
      <c r="POW94" s="201"/>
      <c r="POX94" s="201"/>
      <c r="POY94" s="201"/>
      <c r="POZ94" s="201"/>
      <c r="PPA94" s="201"/>
      <c r="PPB94" s="201"/>
      <c r="PPC94" s="201"/>
      <c r="PPD94" s="201"/>
      <c r="PPE94" s="201"/>
      <c r="PPF94" s="201"/>
      <c r="PPG94" s="201"/>
      <c r="PPH94" s="201"/>
      <c r="PPI94" s="201"/>
      <c r="PPJ94" s="201"/>
      <c r="PPK94" s="201"/>
      <c r="PPL94" s="201"/>
      <c r="PPM94" s="201"/>
      <c r="PPN94" s="201"/>
      <c r="PPO94" s="201"/>
      <c r="PPP94" s="201"/>
      <c r="PPQ94" s="201"/>
      <c r="PPR94" s="201"/>
      <c r="PPS94" s="201"/>
      <c r="PPT94" s="201"/>
      <c r="PPU94" s="201"/>
      <c r="PPV94" s="201"/>
      <c r="PPW94" s="201"/>
      <c r="PPX94" s="201"/>
      <c r="PPY94" s="201"/>
      <c r="PPZ94" s="201"/>
      <c r="PQA94" s="201"/>
      <c r="PQB94" s="201"/>
      <c r="PQC94" s="201"/>
      <c r="PQD94" s="201"/>
      <c r="PQE94" s="201"/>
      <c r="PQF94" s="201"/>
      <c r="PQG94" s="201"/>
      <c r="PQH94" s="201"/>
      <c r="PQI94" s="201"/>
      <c r="PQJ94" s="201"/>
      <c r="PQK94" s="201"/>
      <c r="PQL94" s="201"/>
      <c r="PQM94" s="201"/>
      <c r="PQN94" s="201"/>
      <c r="PQO94" s="201"/>
      <c r="PQP94" s="201"/>
      <c r="PQQ94" s="201"/>
      <c r="PQR94" s="201"/>
      <c r="PQS94" s="201"/>
      <c r="PQT94" s="201"/>
      <c r="PQU94" s="201"/>
      <c r="PQV94" s="201"/>
      <c r="PQW94" s="201"/>
      <c r="PQX94" s="201"/>
      <c r="PQY94" s="201"/>
      <c r="PQZ94" s="201"/>
      <c r="PRA94" s="201"/>
      <c r="PRB94" s="201"/>
      <c r="PRC94" s="201"/>
      <c r="PRD94" s="201"/>
      <c r="PRE94" s="201"/>
      <c r="PRF94" s="201"/>
      <c r="PRG94" s="201"/>
      <c r="PRH94" s="201"/>
      <c r="PRI94" s="201"/>
      <c r="PRJ94" s="201"/>
      <c r="PRK94" s="201"/>
      <c r="PRL94" s="201"/>
      <c r="PRM94" s="201"/>
      <c r="PRN94" s="201"/>
      <c r="PRO94" s="201"/>
      <c r="PRP94" s="201"/>
      <c r="PRQ94" s="201"/>
      <c r="PRR94" s="201"/>
      <c r="PRS94" s="201"/>
      <c r="PRT94" s="201"/>
      <c r="PRU94" s="201"/>
      <c r="PRV94" s="201"/>
      <c r="PRW94" s="201"/>
      <c r="PRX94" s="201"/>
      <c r="PRY94" s="201"/>
      <c r="PRZ94" s="201"/>
      <c r="PSA94" s="201"/>
      <c r="PSB94" s="201"/>
      <c r="PSC94" s="201"/>
      <c r="PSD94" s="201"/>
      <c r="PSE94" s="201"/>
      <c r="PSF94" s="201"/>
      <c r="PSG94" s="201"/>
      <c r="PSH94" s="201"/>
      <c r="PSI94" s="201"/>
      <c r="PSJ94" s="201"/>
      <c r="PSK94" s="201"/>
      <c r="PSL94" s="201"/>
      <c r="PSM94" s="201"/>
      <c r="PSN94" s="201"/>
      <c r="PSO94" s="201"/>
      <c r="PSP94" s="201"/>
      <c r="PSQ94" s="201"/>
      <c r="PSR94" s="201"/>
      <c r="PSS94" s="201"/>
      <c r="PST94" s="201"/>
      <c r="PSU94" s="201"/>
      <c r="PSV94" s="201"/>
      <c r="PSW94" s="201"/>
      <c r="PSX94" s="201"/>
      <c r="PSY94" s="201"/>
      <c r="PSZ94" s="201"/>
      <c r="PTA94" s="201"/>
      <c r="PTB94" s="201"/>
      <c r="PTC94" s="201"/>
      <c r="PTD94" s="201"/>
      <c r="PTE94" s="201"/>
      <c r="PTF94" s="201"/>
      <c r="PTG94" s="201"/>
      <c r="PTH94" s="201"/>
      <c r="PTI94" s="201"/>
      <c r="PTJ94" s="201"/>
      <c r="PTK94" s="201"/>
      <c r="PTL94" s="201"/>
      <c r="PTM94" s="201"/>
      <c r="PTN94" s="201"/>
      <c r="PTO94" s="201"/>
      <c r="PTP94" s="201"/>
      <c r="PTQ94" s="201"/>
      <c r="PTR94" s="201"/>
      <c r="PTS94" s="201"/>
      <c r="PTT94" s="201"/>
      <c r="PTU94" s="201"/>
      <c r="PTV94" s="201"/>
      <c r="PTW94" s="201"/>
      <c r="PTX94" s="201"/>
      <c r="PTY94" s="201"/>
      <c r="PTZ94" s="201"/>
      <c r="PUA94" s="201"/>
      <c r="PUB94" s="201"/>
      <c r="PUC94" s="201"/>
      <c r="PUD94" s="201"/>
      <c r="PUE94" s="201"/>
      <c r="PUF94" s="201"/>
      <c r="PUG94" s="201"/>
      <c r="PUH94" s="201"/>
      <c r="PUI94" s="201"/>
      <c r="PUJ94" s="201"/>
      <c r="PUK94" s="201"/>
      <c r="PUL94" s="201"/>
      <c r="PUM94" s="201"/>
      <c r="PUN94" s="201"/>
      <c r="PUO94" s="201"/>
      <c r="PUP94" s="201"/>
      <c r="PUQ94" s="201"/>
      <c r="PUR94" s="201"/>
      <c r="PUS94" s="201"/>
      <c r="PUT94" s="201"/>
      <c r="PUU94" s="201"/>
      <c r="PUV94" s="201"/>
      <c r="PUW94" s="201"/>
      <c r="PUX94" s="201"/>
      <c r="PUY94" s="201"/>
      <c r="PUZ94" s="201"/>
      <c r="PVA94" s="201"/>
      <c r="PVB94" s="201"/>
      <c r="PVC94" s="201"/>
      <c r="PVD94" s="201"/>
      <c r="PVE94" s="201"/>
      <c r="PVF94" s="201"/>
      <c r="PVG94" s="201"/>
      <c r="PVH94" s="201"/>
      <c r="PVI94" s="201"/>
      <c r="PVJ94" s="201"/>
      <c r="PVK94" s="201"/>
      <c r="PVL94" s="201"/>
      <c r="PVM94" s="201"/>
      <c r="PVN94" s="201"/>
      <c r="PVO94" s="201"/>
      <c r="PVP94" s="201"/>
      <c r="PVQ94" s="201"/>
      <c r="PVR94" s="201"/>
      <c r="PVS94" s="201"/>
      <c r="PVT94" s="201"/>
      <c r="PVU94" s="201"/>
      <c r="PVV94" s="201"/>
      <c r="PVW94" s="201"/>
      <c r="PVX94" s="201"/>
      <c r="PVY94" s="201"/>
      <c r="PVZ94" s="201"/>
      <c r="PWA94" s="201"/>
      <c r="PWB94" s="201"/>
      <c r="PWC94" s="201"/>
      <c r="PWD94" s="201"/>
      <c r="PWE94" s="201"/>
      <c r="PWF94" s="201"/>
      <c r="PWG94" s="201"/>
      <c r="PWH94" s="201"/>
      <c r="PWI94" s="201"/>
      <c r="PWJ94" s="201"/>
      <c r="PWK94" s="201"/>
      <c r="PWL94" s="201"/>
      <c r="PWM94" s="201"/>
      <c r="PWN94" s="201"/>
      <c r="PWO94" s="201"/>
      <c r="PWP94" s="201"/>
      <c r="PWQ94" s="201"/>
      <c r="PWR94" s="201"/>
      <c r="PWS94" s="201"/>
      <c r="PWT94" s="201"/>
      <c r="PWU94" s="201"/>
      <c r="PWV94" s="201"/>
      <c r="PWW94" s="201"/>
      <c r="PWX94" s="201"/>
      <c r="PWY94" s="201"/>
      <c r="PWZ94" s="201"/>
      <c r="PXA94" s="201"/>
      <c r="PXB94" s="201"/>
      <c r="PXC94" s="201"/>
      <c r="PXD94" s="201"/>
      <c r="PXE94" s="201"/>
      <c r="PXF94" s="201"/>
      <c r="PXG94" s="201"/>
      <c r="PXH94" s="201"/>
      <c r="PXI94" s="201"/>
      <c r="PXJ94" s="201"/>
      <c r="PXK94" s="201"/>
      <c r="PXL94" s="201"/>
      <c r="PXM94" s="201"/>
      <c r="PXN94" s="201"/>
      <c r="PXO94" s="201"/>
      <c r="PXP94" s="201"/>
      <c r="PXQ94" s="201"/>
      <c r="PXR94" s="201"/>
      <c r="PXS94" s="201"/>
      <c r="PXT94" s="201"/>
      <c r="PXU94" s="201"/>
      <c r="PXV94" s="201"/>
      <c r="PXW94" s="201"/>
      <c r="PXX94" s="201"/>
      <c r="PXY94" s="201"/>
      <c r="PXZ94" s="201"/>
      <c r="PYA94" s="201"/>
      <c r="PYB94" s="201"/>
      <c r="PYC94" s="201"/>
      <c r="PYD94" s="201"/>
      <c r="PYE94" s="201"/>
      <c r="PYF94" s="201"/>
      <c r="PYG94" s="201"/>
      <c r="PYH94" s="201"/>
      <c r="PYI94" s="201"/>
      <c r="PYJ94" s="201"/>
      <c r="PYK94" s="201"/>
      <c r="PYL94" s="201"/>
      <c r="PYM94" s="201"/>
      <c r="PYN94" s="201"/>
      <c r="PYO94" s="201"/>
      <c r="PYP94" s="201"/>
      <c r="PYQ94" s="201"/>
      <c r="PYR94" s="201"/>
      <c r="PYS94" s="201"/>
      <c r="PYT94" s="201"/>
      <c r="PYU94" s="201"/>
      <c r="PYV94" s="201"/>
      <c r="PYW94" s="201"/>
      <c r="PYX94" s="201"/>
      <c r="PYY94" s="201"/>
      <c r="PYZ94" s="201"/>
      <c r="PZA94" s="201"/>
      <c r="PZB94" s="201"/>
      <c r="PZC94" s="201"/>
      <c r="PZD94" s="201"/>
      <c r="PZE94" s="201"/>
      <c r="PZF94" s="201"/>
      <c r="PZG94" s="201"/>
      <c r="PZH94" s="201"/>
      <c r="PZI94" s="201"/>
      <c r="PZJ94" s="201"/>
      <c r="PZK94" s="201"/>
      <c r="PZL94" s="201"/>
      <c r="PZM94" s="201"/>
      <c r="PZN94" s="201"/>
      <c r="PZO94" s="201"/>
      <c r="PZP94" s="201"/>
      <c r="PZQ94" s="201"/>
      <c r="PZR94" s="201"/>
      <c r="PZS94" s="201"/>
      <c r="PZT94" s="201"/>
      <c r="PZU94" s="201"/>
      <c r="PZV94" s="201"/>
      <c r="PZW94" s="201"/>
      <c r="PZX94" s="201"/>
      <c r="PZY94" s="201"/>
      <c r="PZZ94" s="201"/>
      <c r="QAA94" s="201"/>
      <c r="QAB94" s="201"/>
      <c r="QAC94" s="201"/>
      <c r="QAD94" s="201"/>
      <c r="QAE94" s="201"/>
      <c r="QAF94" s="201"/>
      <c r="QAG94" s="201"/>
      <c r="QAH94" s="201"/>
      <c r="QAI94" s="201"/>
      <c r="QAJ94" s="201"/>
      <c r="QAK94" s="201"/>
      <c r="QAL94" s="201"/>
      <c r="QAM94" s="201"/>
      <c r="QAN94" s="201"/>
      <c r="QAO94" s="201"/>
      <c r="QAP94" s="201"/>
      <c r="QAQ94" s="201"/>
      <c r="QAR94" s="201"/>
      <c r="QAS94" s="201"/>
      <c r="QAT94" s="201"/>
      <c r="QAU94" s="201"/>
      <c r="QAV94" s="201"/>
      <c r="QAW94" s="201"/>
      <c r="QAX94" s="201"/>
      <c r="QAY94" s="201"/>
      <c r="QAZ94" s="201"/>
      <c r="QBA94" s="201"/>
      <c r="QBB94" s="201"/>
      <c r="QBC94" s="201"/>
      <c r="QBD94" s="201"/>
      <c r="QBE94" s="201"/>
      <c r="QBF94" s="201"/>
      <c r="QBG94" s="201"/>
      <c r="QBH94" s="201"/>
      <c r="QBI94" s="201"/>
      <c r="QBJ94" s="201"/>
      <c r="QBK94" s="201"/>
      <c r="QBL94" s="201"/>
      <c r="QBM94" s="201"/>
      <c r="QBN94" s="201"/>
      <c r="QBO94" s="201"/>
      <c r="QBP94" s="201"/>
      <c r="QBQ94" s="201"/>
      <c r="QBR94" s="201"/>
      <c r="QBS94" s="201"/>
      <c r="QBT94" s="201"/>
      <c r="QBU94" s="201"/>
      <c r="QBV94" s="201"/>
      <c r="QBW94" s="201"/>
      <c r="QBX94" s="201"/>
      <c r="QBY94" s="201"/>
      <c r="QBZ94" s="201"/>
      <c r="QCA94" s="201"/>
      <c r="QCB94" s="201"/>
      <c r="QCC94" s="201"/>
      <c r="QCD94" s="201"/>
      <c r="QCE94" s="201"/>
      <c r="QCF94" s="201"/>
      <c r="QCG94" s="201"/>
      <c r="QCH94" s="201"/>
      <c r="QCI94" s="201"/>
      <c r="QCJ94" s="201"/>
      <c r="QCK94" s="201"/>
      <c r="QCL94" s="201"/>
      <c r="QCM94" s="201"/>
      <c r="QCN94" s="201"/>
      <c r="QCO94" s="201"/>
      <c r="QCP94" s="201"/>
      <c r="QCQ94" s="201"/>
      <c r="QCR94" s="201"/>
      <c r="QCS94" s="201"/>
      <c r="QCT94" s="201"/>
      <c r="QCU94" s="201"/>
      <c r="QCV94" s="201"/>
      <c r="QCW94" s="201"/>
      <c r="QCX94" s="201"/>
      <c r="QCY94" s="201"/>
      <c r="QCZ94" s="201"/>
      <c r="QDA94" s="201"/>
      <c r="QDB94" s="201"/>
      <c r="QDC94" s="201"/>
      <c r="QDD94" s="201"/>
      <c r="QDE94" s="201"/>
      <c r="QDF94" s="201"/>
      <c r="QDG94" s="201"/>
      <c r="QDH94" s="201"/>
      <c r="QDI94" s="201"/>
      <c r="QDJ94" s="201"/>
      <c r="QDK94" s="201"/>
      <c r="QDL94" s="201"/>
      <c r="QDM94" s="201"/>
      <c r="QDN94" s="201"/>
      <c r="QDO94" s="201"/>
      <c r="QDP94" s="201"/>
      <c r="QDQ94" s="201"/>
      <c r="QDR94" s="201"/>
      <c r="QDS94" s="201"/>
      <c r="QDT94" s="201"/>
      <c r="QDU94" s="201"/>
      <c r="QDV94" s="201"/>
      <c r="QDW94" s="201"/>
      <c r="QDX94" s="201"/>
      <c r="QDY94" s="201"/>
      <c r="QDZ94" s="201"/>
      <c r="QEA94" s="201"/>
      <c r="QEB94" s="201"/>
      <c r="QEC94" s="201"/>
      <c r="QED94" s="201"/>
      <c r="QEE94" s="201"/>
      <c r="QEF94" s="201"/>
      <c r="QEG94" s="201"/>
      <c r="QEH94" s="201"/>
      <c r="QEI94" s="201"/>
      <c r="QEJ94" s="201"/>
      <c r="QEK94" s="201"/>
      <c r="QEL94" s="201"/>
      <c r="QEM94" s="201"/>
      <c r="QEN94" s="201"/>
      <c r="QEO94" s="201"/>
      <c r="QEP94" s="201"/>
      <c r="QEQ94" s="201"/>
      <c r="QER94" s="201"/>
      <c r="QES94" s="201"/>
      <c r="QET94" s="201"/>
      <c r="QEU94" s="201"/>
      <c r="QEV94" s="201"/>
      <c r="QEW94" s="201"/>
      <c r="QEX94" s="201"/>
      <c r="QEY94" s="201"/>
      <c r="QEZ94" s="201"/>
      <c r="QFA94" s="201"/>
      <c r="QFB94" s="201"/>
      <c r="QFC94" s="201"/>
      <c r="QFD94" s="201"/>
      <c r="QFE94" s="201"/>
      <c r="QFF94" s="201"/>
      <c r="QFG94" s="201"/>
      <c r="QFH94" s="201"/>
      <c r="QFI94" s="201"/>
      <c r="QFJ94" s="201"/>
      <c r="QFK94" s="201"/>
      <c r="QFL94" s="201"/>
      <c r="QFM94" s="201"/>
      <c r="QFN94" s="201"/>
      <c r="QFO94" s="201"/>
      <c r="QFP94" s="201"/>
      <c r="QFQ94" s="201"/>
      <c r="QFR94" s="201"/>
      <c r="QFS94" s="201"/>
      <c r="QFT94" s="201"/>
      <c r="QFU94" s="201"/>
      <c r="QFV94" s="201"/>
      <c r="QFW94" s="201"/>
      <c r="QFX94" s="201"/>
      <c r="QFY94" s="201"/>
      <c r="QFZ94" s="201"/>
      <c r="QGA94" s="201"/>
      <c r="QGB94" s="201"/>
      <c r="QGC94" s="201"/>
      <c r="QGD94" s="201"/>
      <c r="QGE94" s="201"/>
      <c r="QGF94" s="201"/>
      <c r="QGG94" s="201"/>
      <c r="QGH94" s="201"/>
      <c r="QGI94" s="201"/>
      <c r="QGJ94" s="201"/>
      <c r="QGK94" s="201"/>
      <c r="QGL94" s="201"/>
      <c r="QGM94" s="201"/>
      <c r="QGN94" s="201"/>
      <c r="QGO94" s="201"/>
      <c r="QGP94" s="201"/>
      <c r="QGQ94" s="201"/>
      <c r="QGR94" s="201"/>
      <c r="QGS94" s="201"/>
      <c r="QGT94" s="201"/>
      <c r="QGU94" s="201"/>
      <c r="QGV94" s="201"/>
      <c r="QGW94" s="201"/>
      <c r="QGX94" s="201"/>
      <c r="QGY94" s="201"/>
      <c r="QGZ94" s="201"/>
      <c r="QHA94" s="201"/>
      <c r="QHB94" s="201"/>
      <c r="QHC94" s="201"/>
      <c r="QHD94" s="201"/>
      <c r="QHE94" s="201"/>
      <c r="QHF94" s="201"/>
      <c r="QHG94" s="201"/>
      <c r="QHH94" s="201"/>
      <c r="QHI94" s="201"/>
      <c r="QHJ94" s="201"/>
      <c r="QHK94" s="201"/>
      <c r="QHL94" s="201"/>
      <c r="QHM94" s="201"/>
      <c r="QHN94" s="201"/>
      <c r="QHO94" s="201"/>
      <c r="QHP94" s="201"/>
      <c r="QHQ94" s="201"/>
      <c r="QHR94" s="201"/>
      <c r="QHS94" s="201"/>
      <c r="QHT94" s="201"/>
      <c r="QHU94" s="201"/>
      <c r="QHV94" s="201"/>
      <c r="QHW94" s="201"/>
      <c r="QHX94" s="201"/>
      <c r="QHY94" s="201"/>
      <c r="QHZ94" s="201"/>
      <c r="QIA94" s="201"/>
      <c r="QIB94" s="201"/>
      <c r="QIC94" s="201"/>
      <c r="QID94" s="201"/>
      <c r="QIE94" s="201"/>
      <c r="QIF94" s="201"/>
      <c r="QIG94" s="201"/>
      <c r="QIH94" s="201"/>
      <c r="QII94" s="201"/>
      <c r="QIJ94" s="201"/>
      <c r="QIK94" s="201"/>
      <c r="QIL94" s="201"/>
      <c r="QIM94" s="201"/>
      <c r="QIN94" s="201"/>
      <c r="QIO94" s="201"/>
      <c r="QIP94" s="201"/>
      <c r="QIQ94" s="201"/>
      <c r="QIR94" s="201"/>
      <c r="QIS94" s="201"/>
      <c r="QIT94" s="201"/>
      <c r="QIU94" s="201"/>
      <c r="QIV94" s="201"/>
      <c r="QIW94" s="201"/>
      <c r="QIX94" s="201"/>
      <c r="QIY94" s="201"/>
      <c r="QIZ94" s="201"/>
      <c r="QJA94" s="201"/>
      <c r="QJB94" s="201"/>
      <c r="QJC94" s="201"/>
      <c r="QJD94" s="201"/>
      <c r="QJE94" s="201"/>
      <c r="QJF94" s="201"/>
      <c r="QJG94" s="201"/>
      <c r="QJH94" s="201"/>
      <c r="QJI94" s="201"/>
      <c r="QJJ94" s="201"/>
      <c r="QJK94" s="201"/>
      <c r="QJL94" s="201"/>
      <c r="QJM94" s="201"/>
      <c r="QJN94" s="201"/>
      <c r="QJO94" s="201"/>
      <c r="QJP94" s="201"/>
      <c r="QJQ94" s="201"/>
      <c r="QJR94" s="201"/>
      <c r="QJS94" s="201"/>
      <c r="QJT94" s="201"/>
      <c r="QJU94" s="201"/>
      <c r="QJV94" s="201"/>
      <c r="QJW94" s="201"/>
      <c r="QJX94" s="201"/>
      <c r="QJY94" s="201"/>
      <c r="QJZ94" s="201"/>
      <c r="QKA94" s="201"/>
      <c r="QKB94" s="201"/>
      <c r="QKC94" s="201"/>
      <c r="QKD94" s="201"/>
      <c r="QKE94" s="201"/>
      <c r="QKF94" s="201"/>
      <c r="QKG94" s="201"/>
      <c r="QKH94" s="201"/>
      <c r="QKI94" s="201"/>
      <c r="QKJ94" s="201"/>
      <c r="QKK94" s="201"/>
      <c r="QKL94" s="201"/>
      <c r="QKM94" s="201"/>
      <c r="QKN94" s="201"/>
      <c r="QKO94" s="201"/>
      <c r="QKP94" s="201"/>
      <c r="QKQ94" s="201"/>
      <c r="QKR94" s="201"/>
      <c r="QKS94" s="201"/>
      <c r="QKT94" s="201"/>
      <c r="QKU94" s="201"/>
      <c r="QKV94" s="201"/>
      <c r="QKW94" s="201"/>
      <c r="QKX94" s="201"/>
      <c r="QKY94" s="201"/>
      <c r="QKZ94" s="201"/>
      <c r="QLA94" s="201"/>
      <c r="QLB94" s="201"/>
      <c r="QLC94" s="201"/>
      <c r="QLD94" s="201"/>
      <c r="QLE94" s="201"/>
      <c r="QLF94" s="201"/>
      <c r="QLG94" s="201"/>
      <c r="QLH94" s="201"/>
      <c r="QLI94" s="201"/>
      <c r="QLJ94" s="201"/>
      <c r="QLK94" s="201"/>
      <c r="QLL94" s="201"/>
      <c r="QLM94" s="201"/>
      <c r="QLN94" s="201"/>
      <c r="QLO94" s="201"/>
      <c r="QLP94" s="201"/>
      <c r="QLQ94" s="201"/>
      <c r="QLR94" s="201"/>
      <c r="QLS94" s="201"/>
      <c r="QLT94" s="201"/>
      <c r="QLU94" s="201"/>
      <c r="QLV94" s="201"/>
      <c r="QLW94" s="201"/>
      <c r="QLX94" s="201"/>
      <c r="QLY94" s="201"/>
      <c r="QLZ94" s="201"/>
      <c r="QMA94" s="201"/>
      <c r="QMB94" s="201"/>
      <c r="QMC94" s="201"/>
      <c r="QMD94" s="201"/>
      <c r="QME94" s="201"/>
      <c r="QMF94" s="201"/>
      <c r="QMG94" s="201"/>
      <c r="QMH94" s="201"/>
      <c r="QMI94" s="201"/>
      <c r="QMJ94" s="201"/>
      <c r="QMK94" s="201"/>
      <c r="QML94" s="201"/>
      <c r="QMM94" s="201"/>
      <c r="QMN94" s="201"/>
      <c r="QMO94" s="201"/>
      <c r="QMP94" s="201"/>
      <c r="QMQ94" s="201"/>
      <c r="QMR94" s="201"/>
      <c r="QMS94" s="201"/>
      <c r="QMT94" s="201"/>
      <c r="QMU94" s="201"/>
      <c r="QMV94" s="201"/>
      <c r="QMW94" s="201"/>
      <c r="QMX94" s="201"/>
      <c r="QMY94" s="201"/>
      <c r="QMZ94" s="201"/>
      <c r="QNA94" s="201"/>
      <c r="QNB94" s="201"/>
      <c r="QNC94" s="201"/>
      <c r="QND94" s="201"/>
      <c r="QNE94" s="201"/>
      <c r="QNF94" s="201"/>
      <c r="QNG94" s="201"/>
      <c r="QNH94" s="201"/>
      <c r="QNI94" s="201"/>
      <c r="QNJ94" s="201"/>
      <c r="QNK94" s="201"/>
      <c r="QNL94" s="201"/>
      <c r="QNM94" s="201"/>
      <c r="QNN94" s="201"/>
      <c r="QNO94" s="201"/>
      <c r="QNP94" s="201"/>
      <c r="QNQ94" s="201"/>
      <c r="QNR94" s="201"/>
      <c r="QNS94" s="201"/>
      <c r="QNT94" s="201"/>
      <c r="QNU94" s="201"/>
      <c r="QNV94" s="201"/>
      <c r="QNW94" s="201"/>
      <c r="QNX94" s="201"/>
      <c r="QNY94" s="201"/>
      <c r="QNZ94" s="201"/>
      <c r="QOA94" s="201"/>
      <c r="QOB94" s="201"/>
      <c r="QOC94" s="201"/>
      <c r="QOD94" s="201"/>
      <c r="QOE94" s="201"/>
      <c r="QOF94" s="201"/>
      <c r="QOG94" s="201"/>
      <c r="QOH94" s="201"/>
      <c r="QOI94" s="201"/>
      <c r="QOJ94" s="201"/>
      <c r="QOK94" s="201"/>
      <c r="QOL94" s="201"/>
      <c r="QOM94" s="201"/>
      <c r="QON94" s="201"/>
      <c r="QOO94" s="201"/>
      <c r="QOP94" s="201"/>
      <c r="QOQ94" s="201"/>
      <c r="QOR94" s="201"/>
      <c r="QOS94" s="201"/>
      <c r="QOT94" s="201"/>
      <c r="QOU94" s="201"/>
      <c r="QOV94" s="201"/>
      <c r="QOW94" s="201"/>
      <c r="QOX94" s="201"/>
      <c r="QOY94" s="201"/>
      <c r="QOZ94" s="201"/>
      <c r="QPA94" s="201"/>
      <c r="QPB94" s="201"/>
      <c r="QPC94" s="201"/>
      <c r="QPD94" s="201"/>
      <c r="QPE94" s="201"/>
      <c r="QPF94" s="201"/>
      <c r="QPG94" s="201"/>
      <c r="QPH94" s="201"/>
      <c r="QPI94" s="201"/>
      <c r="QPJ94" s="201"/>
      <c r="QPK94" s="201"/>
      <c r="QPL94" s="201"/>
      <c r="QPM94" s="201"/>
      <c r="QPN94" s="201"/>
      <c r="QPO94" s="201"/>
      <c r="QPP94" s="201"/>
      <c r="QPQ94" s="201"/>
      <c r="QPR94" s="201"/>
      <c r="QPS94" s="201"/>
      <c r="QPT94" s="201"/>
      <c r="QPU94" s="201"/>
      <c r="QPV94" s="201"/>
      <c r="QPW94" s="201"/>
      <c r="QPX94" s="201"/>
      <c r="QPY94" s="201"/>
      <c r="QPZ94" s="201"/>
      <c r="QQA94" s="201"/>
      <c r="QQB94" s="201"/>
      <c r="QQC94" s="201"/>
      <c r="QQD94" s="201"/>
      <c r="QQE94" s="201"/>
      <c r="QQF94" s="201"/>
      <c r="QQG94" s="201"/>
      <c r="QQH94" s="201"/>
      <c r="QQI94" s="201"/>
      <c r="QQJ94" s="201"/>
      <c r="QQK94" s="201"/>
      <c r="QQL94" s="201"/>
      <c r="QQM94" s="201"/>
      <c r="QQN94" s="201"/>
      <c r="QQO94" s="201"/>
      <c r="QQP94" s="201"/>
      <c r="QQQ94" s="201"/>
      <c r="QQR94" s="201"/>
      <c r="QQS94" s="201"/>
      <c r="QQT94" s="201"/>
      <c r="QQU94" s="201"/>
      <c r="QQV94" s="201"/>
      <c r="QQW94" s="201"/>
      <c r="QQX94" s="201"/>
      <c r="QQY94" s="201"/>
      <c r="QQZ94" s="201"/>
      <c r="QRA94" s="201"/>
      <c r="QRB94" s="201"/>
      <c r="QRC94" s="201"/>
      <c r="QRD94" s="201"/>
      <c r="QRE94" s="201"/>
      <c r="QRF94" s="201"/>
      <c r="QRG94" s="201"/>
      <c r="QRH94" s="201"/>
      <c r="QRI94" s="201"/>
      <c r="QRJ94" s="201"/>
      <c r="QRK94" s="201"/>
      <c r="QRL94" s="201"/>
      <c r="QRM94" s="201"/>
      <c r="QRN94" s="201"/>
      <c r="QRO94" s="201"/>
      <c r="QRP94" s="201"/>
      <c r="QRQ94" s="201"/>
      <c r="QRR94" s="201"/>
      <c r="QRS94" s="201"/>
      <c r="QRT94" s="201"/>
      <c r="QRU94" s="201"/>
      <c r="QRV94" s="201"/>
      <c r="QRW94" s="201"/>
      <c r="QRX94" s="201"/>
      <c r="QRY94" s="201"/>
      <c r="QRZ94" s="201"/>
      <c r="QSA94" s="201"/>
      <c r="QSB94" s="201"/>
      <c r="QSC94" s="201"/>
      <c r="QSD94" s="201"/>
      <c r="QSE94" s="201"/>
      <c r="QSF94" s="201"/>
      <c r="QSG94" s="201"/>
      <c r="QSH94" s="201"/>
      <c r="QSI94" s="201"/>
      <c r="QSJ94" s="201"/>
      <c r="QSK94" s="201"/>
      <c r="QSL94" s="201"/>
      <c r="QSM94" s="201"/>
      <c r="QSN94" s="201"/>
      <c r="QSO94" s="201"/>
      <c r="QSP94" s="201"/>
      <c r="QSQ94" s="201"/>
      <c r="QSR94" s="201"/>
      <c r="QSS94" s="201"/>
      <c r="QST94" s="201"/>
      <c r="QSU94" s="201"/>
      <c r="QSV94" s="201"/>
      <c r="QSW94" s="201"/>
      <c r="QSX94" s="201"/>
      <c r="QSY94" s="201"/>
      <c r="QSZ94" s="201"/>
      <c r="QTA94" s="201"/>
      <c r="QTB94" s="201"/>
      <c r="QTC94" s="201"/>
      <c r="QTD94" s="201"/>
      <c r="QTE94" s="201"/>
      <c r="QTF94" s="201"/>
      <c r="QTG94" s="201"/>
      <c r="QTH94" s="201"/>
      <c r="QTI94" s="201"/>
      <c r="QTJ94" s="201"/>
      <c r="QTK94" s="201"/>
      <c r="QTL94" s="201"/>
      <c r="QTM94" s="201"/>
      <c r="QTN94" s="201"/>
      <c r="QTO94" s="201"/>
      <c r="QTP94" s="201"/>
      <c r="QTQ94" s="201"/>
      <c r="QTR94" s="201"/>
      <c r="QTS94" s="201"/>
      <c r="QTT94" s="201"/>
      <c r="QTU94" s="201"/>
      <c r="QTV94" s="201"/>
      <c r="QTW94" s="201"/>
      <c r="QTX94" s="201"/>
      <c r="QTY94" s="201"/>
      <c r="QTZ94" s="201"/>
      <c r="QUA94" s="201"/>
      <c r="QUB94" s="201"/>
      <c r="QUC94" s="201"/>
      <c r="QUD94" s="201"/>
      <c r="QUE94" s="201"/>
      <c r="QUF94" s="201"/>
      <c r="QUG94" s="201"/>
      <c r="QUH94" s="201"/>
      <c r="QUI94" s="201"/>
      <c r="QUJ94" s="201"/>
      <c r="QUK94" s="201"/>
      <c r="QUL94" s="201"/>
      <c r="QUM94" s="201"/>
      <c r="QUN94" s="201"/>
      <c r="QUO94" s="201"/>
      <c r="QUP94" s="201"/>
      <c r="QUQ94" s="201"/>
      <c r="QUR94" s="201"/>
      <c r="QUS94" s="201"/>
      <c r="QUT94" s="201"/>
      <c r="QUU94" s="201"/>
      <c r="QUV94" s="201"/>
      <c r="QUW94" s="201"/>
      <c r="QUX94" s="201"/>
      <c r="QUY94" s="201"/>
      <c r="QUZ94" s="201"/>
      <c r="QVA94" s="201"/>
      <c r="QVB94" s="201"/>
      <c r="QVC94" s="201"/>
      <c r="QVD94" s="201"/>
      <c r="QVE94" s="201"/>
      <c r="QVF94" s="201"/>
      <c r="QVG94" s="201"/>
      <c r="QVH94" s="201"/>
      <c r="QVI94" s="201"/>
      <c r="QVJ94" s="201"/>
      <c r="QVK94" s="201"/>
      <c r="QVL94" s="201"/>
      <c r="QVM94" s="201"/>
      <c r="QVN94" s="201"/>
      <c r="QVO94" s="201"/>
      <c r="QVP94" s="201"/>
      <c r="QVQ94" s="201"/>
      <c r="QVR94" s="201"/>
      <c r="QVS94" s="201"/>
      <c r="QVT94" s="201"/>
      <c r="QVU94" s="201"/>
      <c r="QVV94" s="201"/>
      <c r="QVW94" s="201"/>
      <c r="QVX94" s="201"/>
      <c r="QVY94" s="201"/>
      <c r="QVZ94" s="201"/>
      <c r="QWA94" s="201"/>
      <c r="QWB94" s="201"/>
      <c r="QWC94" s="201"/>
      <c r="QWD94" s="201"/>
      <c r="QWE94" s="201"/>
      <c r="QWF94" s="201"/>
      <c r="QWG94" s="201"/>
      <c r="QWH94" s="201"/>
      <c r="QWI94" s="201"/>
      <c r="QWJ94" s="201"/>
      <c r="QWK94" s="201"/>
      <c r="QWL94" s="201"/>
      <c r="QWM94" s="201"/>
      <c r="QWN94" s="201"/>
      <c r="QWO94" s="201"/>
      <c r="QWP94" s="201"/>
      <c r="QWQ94" s="201"/>
      <c r="QWR94" s="201"/>
      <c r="QWS94" s="201"/>
      <c r="QWT94" s="201"/>
      <c r="QWU94" s="201"/>
      <c r="QWV94" s="201"/>
      <c r="QWW94" s="201"/>
      <c r="QWX94" s="201"/>
      <c r="QWY94" s="201"/>
      <c r="QWZ94" s="201"/>
      <c r="QXA94" s="201"/>
      <c r="QXB94" s="201"/>
      <c r="QXC94" s="201"/>
      <c r="QXD94" s="201"/>
      <c r="QXE94" s="201"/>
      <c r="QXF94" s="201"/>
      <c r="QXG94" s="201"/>
      <c r="QXH94" s="201"/>
      <c r="QXI94" s="201"/>
      <c r="QXJ94" s="201"/>
      <c r="QXK94" s="201"/>
      <c r="QXL94" s="201"/>
      <c r="QXM94" s="201"/>
      <c r="QXN94" s="201"/>
      <c r="QXO94" s="201"/>
      <c r="QXP94" s="201"/>
      <c r="QXQ94" s="201"/>
      <c r="QXR94" s="201"/>
      <c r="QXS94" s="201"/>
      <c r="QXT94" s="201"/>
      <c r="QXU94" s="201"/>
      <c r="QXV94" s="201"/>
      <c r="QXW94" s="201"/>
      <c r="QXX94" s="201"/>
      <c r="QXY94" s="201"/>
      <c r="QXZ94" s="201"/>
      <c r="QYA94" s="201"/>
      <c r="QYB94" s="201"/>
      <c r="QYC94" s="201"/>
      <c r="QYD94" s="201"/>
      <c r="QYE94" s="201"/>
      <c r="QYF94" s="201"/>
      <c r="QYG94" s="201"/>
      <c r="QYH94" s="201"/>
      <c r="QYI94" s="201"/>
      <c r="QYJ94" s="201"/>
      <c r="QYK94" s="201"/>
      <c r="QYL94" s="201"/>
      <c r="QYM94" s="201"/>
      <c r="QYN94" s="201"/>
      <c r="QYO94" s="201"/>
      <c r="QYP94" s="201"/>
      <c r="QYQ94" s="201"/>
      <c r="QYR94" s="201"/>
      <c r="QYS94" s="201"/>
      <c r="QYT94" s="201"/>
      <c r="QYU94" s="201"/>
      <c r="QYV94" s="201"/>
      <c r="QYW94" s="201"/>
      <c r="QYX94" s="201"/>
      <c r="QYY94" s="201"/>
      <c r="QYZ94" s="201"/>
      <c r="QZA94" s="201"/>
      <c r="QZB94" s="201"/>
      <c r="QZC94" s="201"/>
      <c r="QZD94" s="201"/>
      <c r="QZE94" s="201"/>
      <c r="QZF94" s="201"/>
      <c r="QZG94" s="201"/>
      <c r="QZH94" s="201"/>
      <c r="QZI94" s="201"/>
      <c r="QZJ94" s="201"/>
      <c r="QZK94" s="201"/>
      <c r="QZL94" s="201"/>
      <c r="QZM94" s="201"/>
      <c r="QZN94" s="201"/>
      <c r="QZO94" s="201"/>
      <c r="QZP94" s="201"/>
      <c r="QZQ94" s="201"/>
      <c r="QZR94" s="201"/>
      <c r="QZS94" s="201"/>
      <c r="QZT94" s="201"/>
      <c r="QZU94" s="201"/>
      <c r="QZV94" s="201"/>
      <c r="QZW94" s="201"/>
      <c r="QZX94" s="201"/>
      <c r="QZY94" s="201"/>
      <c r="QZZ94" s="201"/>
      <c r="RAA94" s="201"/>
      <c r="RAB94" s="201"/>
      <c r="RAC94" s="201"/>
      <c r="RAD94" s="201"/>
      <c r="RAE94" s="201"/>
      <c r="RAF94" s="201"/>
      <c r="RAG94" s="201"/>
      <c r="RAH94" s="201"/>
      <c r="RAI94" s="201"/>
      <c r="RAJ94" s="201"/>
      <c r="RAK94" s="201"/>
      <c r="RAL94" s="201"/>
      <c r="RAM94" s="201"/>
      <c r="RAN94" s="201"/>
      <c r="RAO94" s="201"/>
      <c r="RAP94" s="201"/>
      <c r="RAQ94" s="201"/>
      <c r="RAR94" s="201"/>
      <c r="RAS94" s="201"/>
      <c r="RAT94" s="201"/>
      <c r="RAU94" s="201"/>
      <c r="RAV94" s="201"/>
      <c r="RAW94" s="201"/>
      <c r="RAX94" s="201"/>
      <c r="RAY94" s="201"/>
      <c r="RAZ94" s="201"/>
      <c r="RBA94" s="201"/>
      <c r="RBB94" s="201"/>
      <c r="RBC94" s="201"/>
      <c r="RBD94" s="201"/>
      <c r="RBE94" s="201"/>
      <c r="RBF94" s="201"/>
      <c r="RBG94" s="201"/>
      <c r="RBH94" s="201"/>
      <c r="RBI94" s="201"/>
      <c r="RBJ94" s="201"/>
      <c r="RBK94" s="201"/>
      <c r="RBL94" s="201"/>
      <c r="RBM94" s="201"/>
      <c r="RBN94" s="201"/>
      <c r="RBO94" s="201"/>
      <c r="RBP94" s="201"/>
      <c r="RBQ94" s="201"/>
      <c r="RBR94" s="201"/>
      <c r="RBS94" s="201"/>
      <c r="RBT94" s="201"/>
      <c r="RBU94" s="201"/>
      <c r="RBV94" s="201"/>
      <c r="RBW94" s="201"/>
      <c r="RBX94" s="201"/>
      <c r="RBY94" s="201"/>
      <c r="RBZ94" s="201"/>
      <c r="RCA94" s="201"/>
      <c r="RCB94" s="201"/>
      <c r="RCC94" s="201"/>
      <c r="RCD94" s="201"/>
      <c r="RCE94" s="201"/>
      <c r="RCF94" s="201"/>
      <c r="RCG94" s="201"/>
      <c r="RCH94" s="201"/>
      <c r="RCI94" s="201"/>
      <c r="RCJ94" s="201"/>
      <c r="RCK94" s="201"/>
      <c r="RCL94" s="201"/>
      <c r="RCM94" s="201"/>
      <c r="RCN94" s="201"/>
      <c r="RCO94" s="201"/>
      <c r="RCP94" s="201"/>
      <c r="RCQ94" s="201"/>
      <c r="RCR94" s="201"/>
      <c r="RCS94" s="201"/>
      <c r="RCT94" s="201"/>
      <c r="RCU94" s="201"/>
      <c r="RCV94" s="201"/>
      <c r="RCW94" s="201"/>
      <c r="RCX94" s="201"/>
      <c r="RCY94" s="201"/>
      <c r="RCZ94" s="201"/>
      <c r="RDA94" s="201"/>
      <c r="RDB94" s="201"/>
      <c r="RDC94" s="201"/>
      <c r="RDD94" s="201"/>
      <c r="RDE94" s="201"/>
      <c r="RDF94" s="201"/>
      <c r="RDG94" s="201"/>
      <c r="RDH94" s="201"/>
      <c r="RDI94" s="201"/>
      <c r="RDJ94" s="201"/>
      <c r="RDK94" s="201"/>
      <c r="RDL94" s="201"/>
      <c r="RDM94" s="201"/>
      <c r="RDN94" s="201"/>
      <c r="RDO94" s="201"/>
      <c r="RDP94" s="201"/>
      <c r="RDQ94" s="201"/>
      <c r="RDR94" s="201"/>
      <c r="RDS94" s="201"/>
      <c r="RDT94" s="201"/>
      <c r="RDU94" s="201"/>
      <c r="RDV94" s="201"/>
      <c r="RDW94" s="201"/>
      <c r="RDX94" s="201"/>
      <c r="RDY94" s="201"/>
      <c r="RDZ94" s="201"/>
      <c r="REA94" s="201"/>
      <c r="REB94" s="201"/>
      <c r="REC94" s="201"/>
      <c r="RED94" s="201"/>
      <c r="REE94" s="201"/>
      <c r="REF94" s="201"/>
      <c r="REG94" s="201"/>
      <c r="REH94" s="201"/>
      <c r="REI94" s="201"/>
      <c r="REJ94" s="201"/>
      <c r="REK94" s="201"/>
      <c r="REL94" s="201"/>
      <c r="REM94" s="201"/>
      <c r="REN94" s="201"/>
      <c r="REO94" s="201"/>
      <c r="REP94" s="201"/>
      <c r="REQ94" s="201"/>
      <c r="RER94" s="201"/>
      <c r="RES94" s="201"/>
      <c r="RET94" s="201"/>
      <c r="REU94" s="201"/>
      <c r="REV94" s="201"/>
      <c r="REW94" s="201"/>
      <c r="REX94" s="201"/>
      <c r="REY94" s="201"/>
      <c r="REZ94" s="201"/>
      <c r="RFA94" s="201"/>
      <c r="RFB94" s="201"/>
      <c r="RFC94" s="201"/>
      <c r="RFD94" s="201"/>
      <c r="RFE94" s="201"/>
      <c r="RFF94" s="201"/>
      <c r="RFG94" s="201"/>
      <c r="RFH94" s="201"/>
      <c r="RFI94" s="201"/>
      <c r="RFJ94" s="201"/>
      <c r="RFK94" s="201"/>
      <c r="RFL94" s="201"/>
      <c r="RFM94" s="201"/>
      <c r="RFN94" s="201"/>
      <c r="RFO94" s="201"/>
      <c r="RFP94" s="201"/>
      <c r="RFQ94" s="201"/>
      <c r="RFR94" s="201"/>
      <c r="RFS94" s="201"/>
      <c r="RFT94" s="201"/>
      <c r="RFU94" s="201"/>
      <c r="RFV94" s="201"/>
      <c r="RFW94" s="201"/>
      <c r="RFX94" s="201"/>
      <c r="RFY94" s="201"/>
      <c r="RFZ94" s="201"/>
      <c r="RGA94" s="201"/>
      <c r="RGB94" s="201"/>
      <c r="RGC94" s="201"/>
      <c r="RGD94" s="201"/>
      <c r="RGE94" s="201"/>
      <c r="RGF94" s="201"/>
      <c r="RGG94" s="201"/>
      <c r="RGH94" s="201"/>
      <c r="RGI94" s="201"/>
      <c r="RGJ94" s="201"/>
      <c r="RGK94" s="201"/>
      <c r="RGL94" s="201"/>
      <c r="RGM94" s="201"/>
      <c r="RGN94" s="201"/>
      <c r="RGO94" s="201"/>
      <c r="RGP94" s="201"/>
      <c r="RGQ94" s="201"/>
      <c r="RGR94" s="201"/>
      <c r="RGS94" s="201"/>
      <c r="RGT94" s="201"/>
      <c r="RGU94" s="201"/>
      <c r="RGV94" s="201"/>
      <c r="RGW94" s="201"/>
      <c r="RGX94" s="201"/>
      <c r="RGY94" s="201"/>
      <c r="RGZ94" s="201"/>
      <c r="RHA94" s="201"/>
      <c r="RHB94" s="201"/>
      <c r="RHC94" s="201"/>
      <c r="RHD94" s="201"/>
      <c r="RHE94" s="201"/>
      <c r="RHF94" s="201"/>
      <c r="RHG94" s="201"/>
      <c r="RHH94" s="201"/>
      <c r="RHI94" s="201"/>
      <c r="RHJ94" s="201"/>
      <c r="RHK94" s="201"/>
      <c r="RHL94" s="201"/>
      <c r="RHM94" s="201"/>
      <c r="RHN94" s="201"/>
      <c r="RHO94" s="201"/>
      <c r="RHP94" s="201"/>
      <c r="RHQ94" s="201"/>
      <c r="RHR94" s="201"/>
      <c r="RHS94" s="201"/>
      <c r="RHT94" s="201"/>
      <c r="RHU94" s="201"/>
      <c r="RHV94" s="201"/>
      <c r="RHW94" s="201"/>
      <c r="RHX94" s="201"/>
      <c r="RHY94" s="201"/>
      <c r="RHZ94" s="201"/>
      <c r="RIA94" s="201"/>
      <c r="RIB94" s="201"/>
      <c r="RIC94" s="201"/>
      <c r="RID94" s="201"/>
      <c r="RIE94" s="201"/>
      <c r="RIF94" s="201"/>
      <c r="RIG94" s="201"/>
      <c r="RIH94" s="201"/>
      <c r="RII94" s="201"/>
      <c r="RIJ94" s="201"/>
      <c r="RIK94" s="201"/>
      <c r="RIL94" s="201"/>
      <c r="RIM94" s="201"/>
      <c r="RIN94" s="201"/>
      <c r="RIO94" s="201"/>
      <c r="RIP94" s="201"/>
      <c r="RIQ94" s="201"/>
      <c r="RIR94" s="201"/>
      <c r="RIS94" s="201"/>
      <c r="RIT94" s="201"/>
      <c r="RIU94" s="201"/>
      <c r="RIV94" s="201"/>
      <c r="RIW94" s="201"/>
      <c r="RIX94" s="201"/>
      <c r="RIY94" s="201"/>
      <c r="RIZ94" s="201"/>
      <c r="RJA94" s="201"/>
      <c r="RJB94" s="201"/>
      <c r="RJC94" s="201"/>
      <c r="RJD94" s="201"/>
      <c r="RJE94" s="201"/>
      <c r="RJF94" s="201"/>
      <c r="RJG94" s="201"/>
      <c r="RJH94" s="201"/>
      <c r="RJI94" s="201"/>
      <c r="RJJ94" s="201"/>
      <c r="RJK94" s="201"/>
      <c r="RJL94" s="201"/>
      <c r="RJM94" s="201"/>
      <c r="RJN94" s="201"/>
      <c r="RJO94" s="201"/>
      <c r="RJP94" s="201"/>
      <c r="RJQ94" s="201"/>
      <c r="RJR94" s="201"/>
      <c r="RJS94" s="201"/>
      <c r="RJT94" s="201"/>
      <c r="RJU94" s="201"/>
      <c r="RJV94" s="201"/>
      <c r="RJW94" s="201"/>
      <c r="RJX94" s="201"/>
      <c r="RJY94" s="201"/>
      <c r="RJZ94" s="201"/>
      <c r="RKA94" s="201"/>
      <c r="RKB94" s="201"/>
      <c r="RKC94" s="201"/>
      <c r="RKD94" s="201"/>
      <c r="RKE94" s="201"/>
      <c r="RKF94" s="201"/>
      <c r="RKG94" s="201"/>
      <c r="RKH94" s="201"/>
      <c r="RKI94" s="201"/>
      <c r="RKJ94" s="201"/>
      <c r="RKK94" s="201"/>
      <c r="RKL94" s="201"/>
      <c r="RKM94" s="201"/>
      <c r="RKN94" s="201"/>
      <c r="RKO94" s="201"/>
      <c r="RKP94" s="201"/>
      <c r="RKQ94" s="201"/>
      <c r="RKR94" s="201"/>
      <c r="RKS94" s="201"/>
      <c r="RKT94" s="201"/>
      <c r="RKU94" s="201"/>
      <c r="RKV94" s="201"/>
      <c r="RKW94" s="201"/>
      <c r="RKX94" s="201"/>
      <c r="RKY94" s="201"/>
      <c r="RKZ94" s="201"/>
      <c r="RLA94" s="201"/>
      <c r="RLB94" s="201"/>
      <c r="RLC94" s="201"/>
      <c r="RLD94" s="201"/>
      <c r="RLE94" s="201"/>
      <c r="RLF94" s="201"/>
      <c r="RLG94" s="201"/>
      <c r="RLH94" s="201"/>
      <c r="RLI94" s="201"/>
      <c r="RLJ94" s="201"/>
      <c r="RLK94" s="201"/>
      <c r="RLL94" s="201"/>
      <c r="RLM94" s="201"/>
      <c r="RLN94" s="201"/>
      <c r="RLO94" s="201"/>
      <c r="RLP94" s="201"/>
      <c r="RLQ94" s="201"/>
      <c r="RLR94" s="201"/>
      <c r="RLS94" s="201"/>
      <c r="RLT94" s="201"/>
      <c r="RLU94" s="201"/>
      <c r="RLV94" s="201"/>
      <c r="RLW94" s="201"/>
      <c r="RLX94" s="201"/>
      <c r="RLY94" s="201"/>
      <c r="RLZ94" s="201"/>
      <c r="RMA94" s="201"/>
      <c r="RMB94" s="201"/>
      <c r="RMC94" s="201"/>
      <c r="RMD94" s="201"/>
      <c r="RME94" s="201"/>
      <c r="RMF94" s="201"/>
      <c r="RMG94" s="201"/>
      <c r="RMH94" s="201"/>
      <c r="RMI94" s="201"/>
      <c r="RMJ94" s="201"/>
      <c r="RMK94" s="201"/>
      <c r="RML94" s="201"/>
      <c r="RMM94" s="201"/>
      <c r="RMN94" s="201"/>
      <c r="RMO94" s="201"/>
      <c r="RMP94" s="201"/>
      <c r="RMQ94" s="201"/>
      <c r="RMR94" s="201"/>
      <c r="RMS94" s="201"/>
      <c r="RMT94" s="201"/>
      <c r="RMU94" s="201"/>
      <c r="RMV94" s="201"/>
      <c r="RMW94" s="201"/>
      <c r="RMX94" s="201"/>
      <c r="RMY94" s="201"/>
      <c r="RMZ94" s="201"/>
      <c r="RNA94" s="201"/>
      <c r="RNB94" s="201"/>
      <c r="RNC94" s="201"/>
      <c r="RND94" s="201"/>
      <c r="RNE94" s="201"/>
      <c r="RNF94" s="201"/>
      <c r="RNG94" s="201"/>
      <c r="RNH94" s="201"/>
      <c r="RNI94" s="201"/>
      <c r="RNJ94" s="201"/>
      <c r="RNK94" s="201"/>
      <c r="RNL94" s="201"/>
      <c r="RNM94" s="201"/>
      <c r="RNN94" s="201"/>
      <c r="RNO94" s="201"/>
      <c r="RNP94" s="201"/>
      <c r="RNQ94" s="201"/>
      <c r="RNR94" s="201"/>
      <c r="RNS94" s="201"/>
      <c r="RNT94" s="201"/>
      <c r="RNU94" s="201"/>
      <c r="RNV94" s="201"/>
      <c r="RNW94" s="201"/>
      <c r="RNX94" s="201"/>
      <c r="RNY94" s="201"/>
      <c r="RNZ94" s="201"/>
      <c r="ROA94" s="201"/>
      <c r="ROB94" s="201"/>
      <c r="ROC94" s="201"/>
      <c r="ROD94" s="201"/>
      <c r="ROE94" s="201"/>
      <c r="ROF94" s="201"/>
      <c r="ROG94" s="201"/>
      <c r="ROH94" s="201"/>
      <c r="ROI94" s="201"/>
      <c r="ROJ94" s="201"/>
      <c r="ROK94" s="201"/>
      <c r="ROL94" s="201"/>
      <c r="ROM94" s="201"/>
      <c r="RON94" s="201"/>
      <c r="ROO94" s="201"/>
      <c r="ROP94" s="201"/>
      <c r="ROQ94" s="201"/>
      <c r="ROR94" s="201"/>
      <c r="ROS94" s="201"/>
      <c r="ROT94" s="201"/>
      <c r="ROU94" s="201"/>
      <c r="ROV94" s="201"/>
      <c r="ROW94" s="201"/>
      <c r="ROX94" s="201"/>
      <c r="ROY94" s="201"/>
      <c r="ROZ94" s="201"/>
      <c r="RPA94" s="201"/>
      <c r="RPB94" s="201"/>
      <c r="RPC94" s="201"/>
      <c r="RPD94" s="201"/>
      <c r="RPE94" s="201"/>
      <c r="RPF94" s="201"/>
      <c r="RPG94" s="201"/>
      <c r="RPH94" s="201"/>
      <c r="RPI94" s="201"/>
      <c r="RPJ94" s="201"/>
      <c r="RPK94" s="201"/>
      <c r="RPL94" s="201"/>
      <c r="RPM94" s="201"/>
      <c r="RPN94" s="201"/>
      <c r="RPO94" s="201"/>
      <c r="RPP94" s="201"/>
      <c r="RPQ94" s="201"/>
      <c r="RPR94" s="201"/>
      <c r="RPS94" s="201"/>
      <c r="RPT94" s="201"/>
      <c r="RPU94" s="201"/>
      <c r="RPV94" s="201"/>
      <c r="RPW94" s="201"/>
      <c r="RPX94" s="201"/>
      <c r="RPY94" s="201"/>
      <c r="RPZ94" s="201"/>
      <c r="RQA94" s="201"/>
      <c r="RQB94" s="201"/>
      <c r="RQC94" s="201"/>
      <c r="RQD94" s="201"/>
      <c r="RQE94" s="201"/>
      <c r="RQF94" s="201"/>
      <c r="RQG94" s="201"/>
      <c r="RQH94" s="201"/>
      <c r="RQI94" s="201"/>
      <c r="RQJ94" s="201"/>
      <c r="RQK94" s="201"/>
      <c r="RQL94" s="201"/>
      <c r="RQM94" s="201"/>
      <c r="RQN94" s="201"/>
      <c r="RQO94" s="201"/>
      <c r="RQP94" s="201"/>
      <c r="RQQ94" s="201"/>
      <c r="RQR94" s="201"/>
      <c r="RQS94" s="201"/>
      <c r="RQT94" s="201"/>
      <c r="RQU94" s="201"/>
      <c r="RQV94" s="201"/>
      <c r="RQW94" s="201"/>
      <c r="RQX94" s="201"/>
      <c r="RQY94" s="201"/>
      <c r="RQZ94" s="201"/>
      <c r="RRA94" s="201"/>
      <c r="RRB94" s="201"/>
      <c r="RRC94" s="201"/>
      <c r="RRD94" s="201"/>
      <c r="RRE94" s="201"/>
      <c r="RRF94" s="201"/>
      <c r="RRG94" s="201"/>
      <c r="RRH94" s="201"/>
      <c r="RRI94" s="201"/>
      <c r="RRJ94" s="201"/>
      <c r="RRK94" s="201"/>
      <c r="RRL94" s="201"/>
      <c r="RRM94" s="201"/>
      <c r="RRN94" s="201"/>
      <c r="RRO94" s="201"/>
      <c r="RRP94" s="201"/>
      <c r="RRQ94" s="201"/>
      <c r="RRR94" s="201"/>
      <c r="RRS94" s="201"/>
      <c r="RRT94" s="201"/>
      <c r="RRU94" s="201"/>
      <c r="RRV94" s="201"/>
      <c r="RRW94" s="201"/>
      <c r="RRX94" s="201"/>
      <c r="RRY94" s="201"/>
      <c r="RRZ94" s="201"/>
      <c r="RSA94" s="201"/>
      <c r="RSB94" s="201"/>
      <c r="RSC94" s="201"/>
      <c r="RSD94" s="201"/>
      <c r="RSE94" s="201"/>
      <c r="RSF94" s="201"/>
      <c r="RSG94" s="201"/>
      <c r="RSH94" s="201"/>
      <c r="RSI94" s="201"/>
      <c r="RSJ94" s="201"/>
      <c r="RSK94" s="201"/>
      <c r="RSL94" s="201"/>
      <c r="RSM94" s="201"/>
      <c r="RSN94" s="201"/>
      <c r="RSO94" s="201"/>
      <c r="RSP94" s="201"/>
      <c r="RSQ94" s="201"/>
      <c r="RSR94" s="201"/>
      <c r="RSS94" s="201"/>
      <c r="RST94" s="201"/>
      <c r="RSU94" s="201"/>
      <c r="RSV94" s="201"/>
      <c r="RSW94" s="201"/>
      <c r="RSX94" s="201"/>
      <c r="RSY94" s="201"/>
      <c r="RSZ94" s="201"/>
      <c r="RTA94" s="201"/>
      <c r="RTB94" s="201"/>
      <c r="RTC94" s="201"/>
      <c r="RTD94" s="201"/>
      <c r="RTE94" s="201"/>
      <c r="RTF94" s="201"/>
      <c r="RTG94" s="201"/>
      <c r="RTH94" s="201"/>
      <c r="RTI94" s="201"/>
      <c r="RTJ94" s="201"/>
      <c r="RTK94" s="201"/>
      <c r="RTL94" s="201"/>
      <c r="RTM94" s="201"/>
      <c r="RTN94" s="201"/>
      <c r="RTO94" s="201"/>
      <c r="RTP94" s="201"/>
      <c r="RTQ94" s="201"/>
      <c r="RTR94" s="201"/>
      <c r="RTS94" s="201"/>
      <c r="RTT94" s="201"/>
      <c r="RTU94" s="201"/>
      <c r="RTV94" s="201"/>
      <c r="RTW94" s="201"/>
      <c r="RTX94" s="201"/>
      <c r="RTY94" s="201"/>
      <c r="RTZ94" s="201"/>
      <c r="RUA94" s="201"/>
      <c r="RUB94" s="201"/>
      <c r="RUC94" s="201"/>
      <c r="RUD94" s="201"/>
      <c r="RUE94" s="201"/>
      <c r="RUF94" s="201"/>
      <c r="RUG94" s="201"/>
      <c r="RUH94" s="201"/>
      <c r="RUI94" s="201"/>
      <c r="RUJ94" s="201"/>
      <c r="RUK94" s="201"/>
      <c r="RUL94" s="201"/>
      <c r="RUM94" s="201"/>
      <c r="RUN94" s="201"/>
      <c r="RUO94" s="201"/>
      <c r="RUP94" s="201"/>
      <c r="RUQ94" s="201"/>
      <c r="RUR94" s="201"/>
      <c r="RUS94" s="201"/>
      <c r="RUT94" s="201"/>
      <c r="RUU94" s="201"/>
      <c r="RUV94" s="201"/>
      <c r="RUW94" s="201"/>
      <c r="RUX94" s="201"/>
      <c r="RUY94" s="201"/>
      <c r="RUZ94" s="201"/>
      <c r="RVA94" s="201"/>
      <c r="RVB94" s="201"/>
      <c r="RVC94" s="201"/>
      <c r="RVD94" s="201"/>
      <c r="RVE94" s="201"/>
      <c r="RVF94" s="201"/>
      <c r="RVG94" s="201"/>
      <c r="RVH94" s="201"/>
      <c r="RVI94" s="201"/>
      <c r="RVJ94" s="201"/>
      <c r="RVK94" s="201"/>
      <c r="RVL94" s="201"/>
      <c r="RVM94" s="201"/>
      <c r="RVN94" s="201"/>
      <c r="RVO94" s="201"/>
      <c r="RVP94" s="201"/>
      <c r="RVQ94" s="201"/>
      <c r="RVR94" s="201"/>
      <c r="RVS94" s="201"/>
      <c r="RVT94" s="201"/>
      <c r="RVU94" s="201"/>
      <c r="RVV94" s="201"/>
      <c r="RVW94" s="201"/>
      <c r="RVX94" s="201"/>
      <c r="RVY94" s="201"/>
      <c r="RVZ94" s="201"/>
      <c r="RWA94" s="201"/>
      <c r="RWB94" s="201"/>
      <c r="RWC94" s="201"/>
      <c r="RWD94" s="201"/>
      <c r="RWE94" s="201"/>
      <c r="RWF94" s="201"/>
      <c r="RWG94" s="201"/>
      <c r="RWH94" s="201"/>
      <c r="RWI94" s="201"/>
      <c r="RWJ94" s="201"/>
      <c r="RWK94" s="201"/>
      <c r="RWL94" s="201"/>
      <c r="RWM94" s="201"/>
      <c r="RWN94" s="201"/>
      <c r="RWO94" s="201"/>
      <c r="RWP94" s="201"/>
      <c r="RWQ94" s="201"/>
      <c r="RWR94" s="201"/>
      <c r="RWS94" s="201"/>
      <c r="RWT94" s="201"/>
      <c r="RWU94" s="201"/>
      <c r="RWV94" s="201"/>
      <c r="RWW94" s="201"/>
      <c r="RWX94" s="201"/>
      <c r="RWY94" s="201"/>
      <c r="RWZ94" s="201"/>
      <c r="RXA94" s="201"/>
      <c r="RXB94" s="201"/>
      <c r="RXC94" s="201"/>
      <c r="RXD94" s="201"/>
      <c r="RXE94" s="201"/>
      <c r="RXF94" s="201"/>
      <c r="RXG94" s="201"/>
      <c r="RXH94" s="201"/>
      <c r="RXI94" s="201"/>
      <c r="RXJ94" s="201"/>
      <c r="RXK94" s="201"/>
      <c r="RXL94" s="201"/>
      <c r="RXM94" s="201"/>
      <c r="RXN94" s="201"/>
      <c r="RXO94" s="201"/>
      <c r="RXP94" s="201"/>
      <c r="RXQ94" s="201"/>
      <c r="RXR94" s="201"/>
      <c r="RXS94" s="201"/>
      <c r="RXT94" s="201"/>
      <c r="RXU94" s="201"/>
      <c r="RXV94" s="201"/>
      <c r="RXW94" s="201"/>
      <c r="RXX94" s="201"/>
      <c r="RXY94" s="201"/>
      <c r="RXZ94" s="201"/>
      <c r="RYA94" s="201"/>
      <c r="RYB94" s="201"/>
      <c r="RYC94" s="201"/>
      <c r="RYD94" s="201"/>
      <c r="RYE94" s="201"/>
      <c r="RYF94" s="201"/>
      <c r="RYG94" s="201"/>
      <c r="RYH94" s="201"/>
      <c r="RYI94" s="201"/>
      <c r="RYJ94" s="201"/>
      <c r="RYK94" s="201"/>
      <c r="RYL94" s="201"/>
      <c r="RYM94" s="201"/>
      <c r="RYN94" s="201"/>
      <c r="RYO94" s="201"/>
      <c r="RYP94" s="201"/>
      <c r="RYQ94" s="201"/>
      <c r="RYR94" s="201"/>
      <c r="RYS94" s="201"/>
      <c r="RYT94" s="201"/>
      <c r="RYU94" s="201"/>
      <c r="RYV94" s="201"/>
      <c r="RYW94" s="201"/>
      <c r="RYX94" s="201"/>
      <c r="RYY94" s="201"/>
      <c r="RYZ94" s="201"/>
      <c r="RZA94" s="201"/>
      <c r="RZB94" s="201"/>
      <c r="RZC94" s="201"/>
      <c r="RZD94" s="201"/>
      <c r="RZE94" s="201"/>
      <c r="RZF94" s="201"/>
      <c r="RZG94" s="201"/>
      <c r="RZH94" s="201"/>
      <c r="RZI94" s="201"/>
      <c r="RZJ94" s="201"/>
      <c r="RZK94" s="201"/>
      <c r="RZL94" s="201"/>
      <c r="RZM94" s="201"/>
      <c r="RZN94" s="201"/>
      <c r="RZO94" s="201"/>
      <c r="RZP94" s="201"/>
      <c r="RZQ94" s="201"/>
      <c r="RZR94" s="201"/>
      <c r="RZS94" s="201"/>
      <c r="RZT94" s="201"/>
      <c r="RZU94" s="201"/>
      <c r="RZV94" s="201"/>
      <c r="RZW94" s="201"/>
      <c r="RZX94" s="201"/>
      <c r="RZY94" s="201"/>
      <c r="RZZ94" s="201"/>
      <c r="SAA94" s="201"/>
      <c r="SAB94" s="201"/>
      <c r="SAC94" s="201"/>
      <c r="SAD94" s="201"/>
      <c r="SAE94" s="201"/>
      <c r="SAF94" s="201"/>
      <c r="SAG94" s="201"/>
      <c r="SAH94" s="201"/>
      <c r="SAI94" s="201"/>
      <c r="SAJ94" s="201"/>
      <c r="SAK94" s="201"/>
      <c r="SAL94" s="201"/>
      <c r="SAM94" s="201"/>
      <c r="SAN94" s="201"/>
      <c r="SAO94" s="201"/>
      <c r="SAP94" s="201"/>
      <c r="SAQ94" s="201"/>
      <c r="SAR94" s="201"/>
      <c r="SAS94" s="201"/>
      <c r="SAT94" s="201"/>
      <c r="SAU94" s="201"/>
      <c r="SAV94" s="201"/>
      <c r="SAW94" s="201"/>
      <c r="SAX94" s="201"/>
      <c r="SAY94" s="201"/>
      <c r="SAZ94" s="201"/>
      <c r="SBA94" s="201"/>
      <c r="SBB94" s="201"/>
      <c r="SBC94" s="201"/>
      <c r="SBD94" s="201"/>
      <c r="SBE94" s="201"/>
      <c r="SBF94" s="201"/>
      <c r="SBG94" s="201"/>
      <c r="SBH94" s="201"/>
      <c r="SBI94" s="201"/>
      <c r="SBJ94" s="201"/>
      <c r="SBK94" s="201"/>
      <c r="SBL94" s="201"/>
      <c r="SBM94" s="201"/>
      <c r="SBN94" s="201"/>
      <c r="SBO94" s="201"/>
      <c r="SBP94" s="201"/>
      <c r="SBQ94" s="201"/>
      <c r="SBR94" s="201"/>
      <c r="SBS94" s="201"/>
      <c r="SBT94" s="201"/>
      <c r="SBU94" s="201"/>
      <c r="SBV94" s="201"/>
      <c r="SBW94" s="201"/>
      <c r="SBX94" s="201"/>
      <c r="SBY94" s="201"/>
      <c r="SBZ94" s="201"/>
      <c r="SCA94" s="201"/>
      <c r="SCB94" s="201"/>
      <c r="SCC94" s="201"/>
      <c r="SCD94" s="201"/>
      <c r="SCE94" s="201"/>
      <c r="SCF94" s="201"/>
      <c r="SCG94" s="201"/>
      <c r="SCH94" s="201"/>
      <c r="SCI94" s="201"/>
      <c r="SCJ94" s="201"/>
      <c r="SCK94" s="201"/>
      <c r="SCL94" s="201"/>
      <c r="SCM94" s="201"/>
      <c r="SCN94" s="201"/>
      <c r="SCO94" s="201"/>
      <c r="SCP94" s="201"/>
      <c r="SCQ94" s="201"/>
      <c r="SCR94" s="201"/>
      <c r="SCS94" s="201"/>
      <c r="SCT94" s="201"/>
      <c r="SCU94" s="201"/>
      <c r="SCV94" s="201"/>
      <c r="SCW94" s="201"/>
      <c r="SCX94" s="201"/>
      <c r="SCY94" s="201"/>
      <c r="SCZ94" s="201"/>
      <c r="SDA94" s="201"/>
      <c r="SDB94" s="201"/>
      <c r="SDC94" s="201"/>
      <c r="SDD94" s="201"/>
      <c r="SDE94" s="201"/>
      <c r="SDF94" s="201"/>
      <c r="SDG94" s="201"/>
      <c r="SDH94" s="201"/>
      <c r="SDI94" s="201"/>
      <c r="SDJ94" s="201"/>
      <c r="SDK94" s="201"/>
      <c r="SDL94" s="201"/>
      <c r="SDM94" s="201"/>
      <c r="SDN94" s="201"/>
      <c r="SDO94" s="201"/>
      <c r="SDP94" s="201"/>
      <c r="SDQ94" s="201"/>
      <c r="SDR94" s="201"/>
      <c r="SDS94" s="201"/>
      <c r="SDT94" s="201"/>
      <c r="SDU94" s="201"/>
      <c r="SDV94" s="201"/>
      <c r="SDW94" s="201"/>
      <c r="SDX94" s="201"/>
      <c r="SDY94" s="201"/>
      <c r="SDZ94" s="201"/>
      <c r="SEA94" s="201"/>
      <c r="SEB94" s="201"/>
      <c r="SEC94" s="201"/>
      <c r="SED94" s="201"/>
      <c r="SEE94" s="201"/>
      <c r="SEF94" s="201"/>
      <c r="SEG94" s="201"/>
      <c r="SEH94" s="201"/>
      <c r="SEI94" s="201"/>
      <c r="SEJ94" s="201"/>
      <c r="SEK94" s="201"/>
      <c r="SEL94" s="201"/>
      <c r="SEM94" s="201"/>
      <c r="SEN94" s="201"/>
      <c r="SEO94" s="201"/>
      <c r="SEP94" s="201"/>
      <c r="SEQ94" s="201"/>
      <c r="SER94" s="201"/>
      <c r="SES94" s="201"/>
      <c r="SET94" s="201"/>
      <c r="SEU94" s="201"/>
      <c r="SEV94" s="201"/>
      <c r="SEW94" s="201"/>
      <c r="SEX94" s="201"/>
      <c r="SEY94" s="201"/>
      <c r="SEZ94" s="201"/>
      <c r="SFA94" s="201"/>
      <c r="SFB94" s="201"/>
      <c r="SFC94" s="201"/>
      <c r="SFD94" s="201"/>
      <c r="SFE94" s="201"/>
      <c r="SFF94" s="201"/>
      <c r="SFG94" s="201"/>
      <c r="SFH94" s="201"/>
      <c r="SFI94" s="201"/>
      <c r="SFJ94" s="201"/>
      <c r="SFK94" s="201"/>
      <c r="SFL94" s="201"/>
      <c r="SFM94" s="201"/>
      <c r="SFN94" s="201"/>
      <c r="SFO94" s="201"/>
      <c r="SFP94" s="201"/>
      <c r="SFQ94" s="201"/>
      <c r="SFR94" s="201"/>
      <c r="SFS94" s="201"/>
      <c r="SFT94" s="201"/>
      <c r="SFU94" s="201"/>
      <c r="SFV94" s="201"/>
      <c r="SFW94" s="201"/>
      <c r="SFX94" s="201"/>
      <c r="SFY94" s="201"/>
      <c r="SFZ94" s="201"/>
      <c r="SGA94" s="201"/>
      <c r="SGB94" s="201"/>
      <c r="SGC94" s="201"/>
      <c r="SGD94" s="201"/>
      <c r="SGE94" s="201"/>
      <c r="SGF94" s="201"/>
      <c r="SGG94" s="201"/>
      <c r="SGH94" s="201"/>
      <c r="SGI94" s="201"/>
      <c r="SGJ94" s="201"/>
      <c r="SGK94" s="201"/>
      <c r="SGL94" s="201"/>
      <c r="SGM94" s="201"/>
      <c r="SGN94" s="201"/>
      <c r="SGO94" s="201"/>
      <c r="SGP94" s="201"/>
      <c r="SGQ94" s="201"/>
      <c r="SGR94" s="201"/>
      <c r="SGS94" s="201"/>
      <c r="SGT94" s="201"/>
      <c r="SGU94" s="201"/>
      <c r="SGV94" s="201"/>
      <c r="SGW94" s="201"/>
      <c r="SGX94" s="201"/>
      <c r="SGY94" s="201"/>
      <c r="SGZ94" s="201"/>
      <c r="SHA94" s="201"/>
      <c r="SHB94" s="201"/>
      <c r="SHC94" s="201"/>
      <c r="SHD94" s="201"/>
      <c r="SHE94" s="201"/>
      <c r="SHF94" s="201"/>
      <c r="SHG94" s="201"/>
      <c r="SHH94" s="201"/>
      <c r="SHI94" s="201"/>
      <c r="SHJ94" s="201"/>
      <c r="SHK94" s="201"/>
      <c r="SHL94" s="201"/>
      <c r="SHM94" s="201"/>
      <c r="SHN94" s="201"/>
      <c r="SHO94" s="201"/>
      <c r="SHP94" s="201"/>
      <c r="SHQ94" s="201"/>
      <c r="SHR94" s="201"/>
      <c r="SHS94" s="201"/>
      <c r="SHT94" s="201"/>
      <c r="SHU94" s="201"/>
      <c r="SHV94" s="201"/>
      <c r="SHW94" s="201"/>
      <c r="SHX94" s="201"/>
      <c r="SHY94" s="201"/>
      <c r="SHZ94" s="201"/>
      <c r="SIA94" s="201"/>
      <c r="SIB94" s="201"/>
      <c r="SIC94" s="201"/>
      <c r="SID94" s="201"/>
      <c r="SIE94" s="201"/>
      <c r="SIF94" s="201"/>
      <c r="SIG94" s="201"/>
      <c r="SIH94" s="201"/>
      <c r="SII94" s="201"/>
      <c r="SIJ94" s="201"/>
      <c r="SIK94" s="201"/>
      <c r="SIL94" s="201"/>
      <c r="SIM94" s="201"/>
      <c r="SIN94" s="201"/>
      <c r="SIO94" s="201"/>
      <c r="SIP94" s="201"/>
      <c r="SIQ94" s="201"/>
      <c r="SIR94" s="201"/>
      <c r="SIS94" s="201"/>
      <c r="SIT94" s="201"/>
      <c r="SIU94" s="201"/>
      <c r="SIV94" s="201"/>
      <c r="SIW94" s="201"/>
      <c r="SIX94" s="201"/>
      <c r="SIY94" s="201"/>
      <c r="SIZ94" s="201"/>
      <c r="SJA94" s="201"/>
      <c r="SJB94" s="201"/>
      <c r="SJC94" s="201"/>
      <c r="SJD94" s="201"/>
      <c r="SJE94" s="201"/>
      <c r="SJF94" s="201"/>
      <c r="SJG94" s="201"/>
      <c r="SJH94" s="201"/>
      <c r="SJI94" s="201"/>
      <c r="SJJ94" s="201"/>
      <c r="SJK94" s="201"/>
      <c r="SJL94" s="201"/>
      <c r="SJM94" s="201"/>
      <c r="SJN94" s="201"/>
      <c r="SJO94" s="201"/>
      <c r="SJP94" s="201"/>
      <c r="SJQ94" s="201"/>
      <c r="SJR94" s="201"/>
      <c r="SJS94" s="201"/>
      <c r="SJT94" s="201"/>
      <c r="SJU94" s="201"/>
      <c r="SJV94" s="201"/>
      <c r="SJW94" s="201"/>
      <c r="SJX94" s="201"/>
      <c r="SJY94" s="201"/>
      <c r="SJZ94" s="201"/>
      <c r="SKA94" s="201"/>
      <c r="SKB94" s="201"/>
      <c r="SKC94" s="201"/>
      <c r="SKD94" s="201"/>
      <c r="SKE94" s="201"/>
      <c r="SKF94" s="201"/>
      <c r="SKG94" s="201"/>
      <c r="SKH94" s="201"/>
      <c r="SKI94" s="201"/>
      <c r="SKJ94" s="201"/>
      <c r="SKK94" s="201"/>
      <c r="SKL94" s="201"/>
      <c r="SKM94" s="201"/>
      <c r="SKN94" s="201"/>
      <c r="SKO94" s="201"/>
      <c r="SKP94" s="201"/>
      <c r="SKQ94" s="201"/>
      <c r="SKR94" s="201"/>
      <c r="SKS94" s="201"/>
      <c r="SKT94" s="201"/>
      <c r="SKU94" s="201"/>
      <c r="SKV94" s="201"/>
      <c r="SKW94" s="201"/>
      <c r="SKX94" s="201"/>
      <c r="SKY94" s="201"/>
      <c r="SKZ94" s="201"/>
      <c r="SLA94" s="201"/>
      <c r="SLB94" s="201"/>
      <c r="SLC94" s="201"/>
      <c r="SLD94" s="201"/>
      <c r="SLE94" s="201"/>
      <c r="SLF94" s="201"/>
      <c r="SLG94" s="201"/>
      <c r="SLH94" s="201"/>
      <c r="SLI94" s="201"/>
      <c r="SLJ94" s="201"/>
      <c r="SLK94" s="201"/>
      <c r="SLL94" s="201"/>
      <c r="SLM94" s="201"/>
      <c r="SLN94" s="201"/>
      <c r="SLO94" s="201"/>
      <c r="SLP94" s="201"/>
      <c r="SLQ94" s="201"/>
      <c r="SLR94" s="201"/>
      <c r="SLS94" s="201"/>
      <c r="SLT94" s="201"/>
      <c r="SLU94" s="201"/>
      <c r="SLV94" s="201"/>
      <c r="SLW94" s="201"/>
      <c r="SLX94" s="201"/>
      <c r="SLY94" s="201"/>
      <c r="SLZ94" s="201"/>
      <c r="SMA94" s="201"/>
      <c r="SMB94" s="201"/>
      <c r="SMC94" s="201"/>
      <c r="SMD94" s="201"/>
      <c r="SME94" s="201"/>
      <c r="SMF94" s="201"/>
      <c r="SMG94" s="201"/>
      <c r="SMH94" s="201"/>
      <c r="SMI94" s="201"/>
      <c r="SMJ94" s="201"/>
      <c r="SMK94" s="201"/>
      <c r="SML94" s="201"/>
      <c r="SMM94" s="201"/>
      <c r="SMN94" s="201"/>
      <c r="SMO94" s="201"/>
      <c r="SMP94" s="201"/>
      <c r="SMQ94" s="201"/>
      <c r="SMR94" s="201"/>
      <c r="SMS94" s="201"/>
      <c r="SMT94" s="201"/>
      <c r="SMU94" s="201"/>
      <c r="SMV94" s="201"/>
      <c r="SMW94" s="201"/>
      <c r="SMX94" s="201"/>
      <c r="SMY94" s="201"/>
      <c r="SMZ94" s="201"/>
      <c r="SNA94" s="201"/>
      <c r="SNB94" s="201"/>
      <c r="SNC94" s="201"/>
      <c r="SND94" s="201"/>
      <c r="SNE94" s="201"/>
      <c r="SNF94" s="201"/>
      <c r="SNG94" s="201"/>
      <c r="SNH94" s="201"/>
      <c r="SNI94" s="201"/>
      <c r="SNJ94" s="201"/>
      <c r="SNK94" s="201"/>
      <c r="SNL94" s="201"/>
      <c r="SNM94" s="201"/>
      <c r="SNN94" s="201"/>
      <c r="SNO94" s="201"/>
      <c r="SNP94" s="201"/>
      <c r="SNQ94" s="201"/>
      <c r="SNR94" s="201"/>
      <c r="SNS94" s="201"/>
      <c r="SNT94" s="201"/>
      <c r="SNU94" s="201"/>
      <c r="SNV94" s="201"/>
      <c r="SNW94" s="201"/>
      <c r="SNX94" s="201"/>
      <c r="SNY94" s="201"/>
      <c r="SNZ94" s="201"/>
      <c r="SOA94" s="201"/>
      <c r="SOB94" s="201"/>
      <c r="SOC94" s="201"/>
      <c r="SOD94" s="201"/>
      <c r="SOE94" s="201"/>
      <c r="SOF94" s="201"/>
      <c r="SOG94" s="201"/>
      <c r="SOH94" s="201"/>
      <c r="SOI94" s="201"/>
      <c r="SOJ94" s="201"/>
      <c r="SOK94" s="201"/>
      <c r="SOL94" s="201"/>
      <c r="SOM94" s="201"/>
      <c r="SON94" s="201"/>
      <c r="SOO94" s="201"/>
      <c r="SOP94" s="201"/>
      <c r="SOQ94" s="201"/>
      <c r="SOR94" s="201"/>
      <c r="SOS94" s="201"/>
      <c r="SOT94" s="201"/>
      <c r="SOU94" s="201"/>
      <c r="SOV94" s="201"/>
      <c r="SOW94" s="201"/>
      <c r="SOX94" s="201"/>
      <c r="SOY94" s="201"/>
      <c r="SOZ94" s="201"/>
      <c r="SPA94" s="201"/>
      <c r="SPB94" s="201"/>
      <c r="SPC94" s="201"/>
      <c r="SPD94" s="201"/>
      <c r="SPE94" s="201"/>
      <c r="SPF94" s="201"/>
      <c r="SPG94" s="201"/>
      <c r="SPH94" s="201"/>
      <c r="SPI94" s="201"/>
      <c r="SPJ94" s="201"/>
      <c r="SPK94" s="201"/>
      <c r="SPL94" s="201"/>
      <c r="SPM94" s="201"/>
      <c r="SPN94" s="201"/>
      <c r="SPO94" s="201"/>
      <c r="SPP94" s="201"/>
      <c r="SPQ94" s="201"/>
      <c r="SPR94" s="201"/>
      <c r="SPS94" s="201"/>
      <c r="SPT94" s="201"/>
      <c r="SPU94" s="201"/>
      <c r="SPV94" s="201"/>
      <c r="SPW94" s="201"/>
      <c r="SPX94" s="201"/>
      <c r="SPY94" s="201"/>
      <c r="SPZ94" s="201"/>
      <c r="SQA94" s="201"/>
      <c r="SQB94" s="201"/>
      <c r="SQC94" s="201"/>
      <c r="SQD94" s="201"/>
      <c r="SQE94" s="201"/>
      <c r="SQF94" s="201"/>
      <c r="SQG94" s="201"/>
      <c r="SQH94" s="201"/>
      <c r="SQI94" s="201"/>
      <c r="SQJ94" s="201"/>
      <c r="SQK94" s="201"/>
      <c r="SQL94" s="201"/>
      <c r="SQM94" s="201"/>
      <c r="SQN94" s="201"/>
      <c r="SQO94" s="201"/>
      <c r="SQP94" s="201"/>
      <c r="SQQ94" s="201"/>
      <c r="SQR94" s="201"/>
      <c r="SQS94" s="201"/>
      <c r="SQT94" s="201"/>
      <c r="SQU94" s="201"/>
      <c r="SQV94" s="201"/>
      <c r="SQW94" s="201"/>
      <c r="SQX94" s="201"/>
      <c r="SQY94" s="201"/>
      <c r="SQZ94" s="201"/>
      <c r="SRA94" s="201"/>
      <c r="SRB94" s="201"/>
      <c r="SRC94" s="201"/>
      <c r="SRD94" s="201"/>
      <c r="SRE94" s="201"/>
      <c r="SRF94" s="201"/>
      <c r="SRG94" s="201"/>
      <c r="SRH94" s="201"/>
      <c r="SRI94" s="201"/>
      <c r="SRJ94" s="201"/>
      <c r="SRK94" s="201"/>
      <c r="SRL94" s="201"/>
      <c r="SRM94" s="201"/>
      <c r="SRN94" s="201"/>
      <c r="SRO94" s="201"/>
      <c r="SRP94" s="201"/>
      <c r="SRQ94" s="201"/>
      <c r="SRR94" s="201"/>
      <c r="SRS94" s="201"/>
      <c r="SRT94" s="201"/>
      <c r="SRU94" s="201"/>
      <c r="SRV94" s="201"/>
      <c r="SRW94" s="201"/>
      <c r="SRX94" s="201"/>
      <c r="SRY94" s="201"/>
      <c r="SRZ94" s="201"/>
      <c r="SSA94" s="201"/>
      <c r="SSB94" s="201"/>
      <c r="SSC94" s="201"/>
      <c r="SSD94" s="201"/>
      <c r="SSE94" s="201"/>
      <c r="SSF94" s="201"/>
      <c r="SSG94" s="201"/>
      <c r="SSH94" s="201"/>
      <c r="SSI94" s="201"/>
      <c r="SSJ94" s="201"/>
      <c r="SSK94" s="201"/>
      <c r="SSL94" s="201"/>
      <c r="SSM94" s="201"/>
      <c r="SSN94" s="201"/>
      <c r="SSO94" s="201"/>
      <c r="SSP94" s="201"/>
      <c r="SSQ94" s="201"/>
      <c r="SSR94" s="201"/>
      <c r="SSS94" s="201"/>
      <c r="SST94" s="201"/>
      <c r="SSU94" s="201"/>
      <c r="SSV94" s="201"/>
      <c r="SSW94" s="201"/>
      <c r="SSX94" s="201"/>
      <c r="SSY94" s="201"/>
      <c r="SSZ94" s="201"/>
      <c r="STA94" s="201"/>
      <c r="STB94" s="201"/>
      <c r="STC94" s="201"/>
      <c r="STD94" s="201"/>
      <c r="STE94" s="201"/>
      <c r="STF94" s="201"/>
      <c r="STG94" s="201"/>
      <c r="STH94" s="201"/>
      <c r="STI94" s="201"/>
      <c r="STJ94" s="201"/>
      <c r="STK94" s="201"/>
      <c r="STL94" s="201"/>
      <c r="STM94" s="201"/>
      <c r="STN94" s="201"/>
      <c r="STO94" s="201"/>
      <c r="STP94" s="201"/>
      <c r="STQ94" s="201"/>
      <c r="STR94" s="201"/>
      <c r="STS94" s="201"/>
      <c r="STT94" s="201"/>
      <c r="STU94" s="201"/>
      <c r="STV94" s="201"/>
      <c r="STW94" s="201"/>
      <c r="STX94" s="201"/>
      <c r="STY94" s="201"/>
      <c r="STZ94" s="201"/>
      <c r="SUA94" s="201"/>
      <c r="SUB94" s="201"/>
      <c r="SUC94" s="201"/>
      <c r="SUD94" s="201"/>
      <c r="SUE94" s="201"/>
      <c r="SUF94" s="201"/>
      <c r="SUG94" s="201"/>
      <c r="SUH94" s="201"/>
      <c r="SUI94" s="201"/>
      <c r="SUJ94" s="201"/>
      <c r="SUK94" s="201"/>
      <c r="SUL94" s="201"/>
      <c r="SUM94" s="201"/>
      <c r="SUN94" s="201"/>
      <c r="SUO94" s="201"/>
      <c r="SUP94" s="201"/>
      <c r="SUQ94" s="201"/>
      <c r="SUR94" s="201"/>
      <c r="SUS94" s="201"/>
      <c r="SUT94" s="201"/>
      <c r="SUU94" s="201"/>
      <c r="SUV94" s="201"/>
      <c r="SUW94" s="201"/>
      <c r="SUX94" s="201"/>
      <c r="SUY94" s="201"/>
      <c r="SUZ94" s="201"/>
      <c r="SVA94" s="201"/>
      <c r="SVB94" s="201"/>
      <c r="SVC94" s="201"/>
      <c r="SVD94" s="201"/>
      <c r="SVE94" s="201"/>
      <c r="SVF94" s="201"/>
      <c r="SVG94" s="201"/>
      <c r="SVH94" s="201"/>
      <c r="SVI94" s="201"/>
      <c r="SVJ94" s="201"/>
      <c r="SVK94" s="201"/>
      <c r="SVL94" s="201"/>
      <c r="SVM94" s="201"/>
      <c r="SVN94" s="201"/>
      <c r="SVO94" s="201"/>
      <c r="SVP94" s="201"/>
      <c r="SVQ94" s="201"/>
      <c r="SVR94" s="201"/>
      <c r="SVS94" s="201"/>
      <c r="SVT94" s="201"/>
      <c r="SVU94" s="201"/>
      <c r="SVV94" s="201"/>
      <c r="SVW94" s="201"/>
      <c r="SVX94" s="201"/>
      <c r="SVY94" s="201"/>
      <c r="SVZ94" s="201"/>
      <c r="SWA94" s="201"/>
      <c r="SWB94" s="201"/>
      <c r="SWC94" s="201"/>
      <c r="SWD94" s="201"/>
      <c r="SWE94" s="201"/>
      <c r="SWF94" s="201"/>
      <c r="SWG94" s="201"/>
      <c r="SWH94" s="201"/>
      <c r="SWI94" s="201"/>
      <c r="SWJ94" s="201"/>
      <c r="SWK94" s="201"/>
      <c r="SWL94" s="201"/>
      <c r="SWM94" s="201"/>
      <c r="SWN94" s="201"/>
      <c r="SWO94" s="201"/>
      <c r="SWP94" s="201"/>
      <c r="SWQ94" s="201"/>
      <c r="SWR94" s="201"/>
      <c r="SWS94" s="201"/>
      <c r="SWT94" s="201"/>
      <c r="SWU94" s="201"/>
      <c r="SWV94" s="201"/>
      <c r="SWW94" s="201"/>
      <c r="SWX94" s="201"/>
      <c r="SWY94" s="201"/>
      <c r="SWZ94" s="201"/>
      <c r="SXA94" s="201"/>
      <c r="SXB94" s="201"/>
      <c r="SXC94" s="201"/>
      <c r="SXD94" s="201"/>
      <c r="SXE94" s="201"/>
      <c r="SXF94" s="201"/>
      <c r="SXG94" s="201"/>
      <c r="SXH94" s="201"/>
      <c r="SXI94" s="201"/>
      <c r="SXJ94" s="201"/>
      <c r="SXK94" s="201"/>
      <c r="SXL94" s="201"/>
      <c r="SXM94" s="201"/>
      <c r="SXN94" s="201"/>
      <c r="SXO94" s="201"/>
      <c r="SXP94" s="201"/>
      <c r="SXQ94" s="201"/>
      <c r="SXR94" s="201"/>
      <c r="SXS94" s="201"/>
      <c r="SXT94" s="201"/>
      <c r="SXU94" s="201"/>
      <c r="SXV94" s="201"/>
      <c r="SXW94" s="201"/>
      <c r="SXX94" s="201"/>
      <c r="SXY94" s="201"/>
      <c r="SXZ94" s="201"/>
      <c r="SYA94" s="201"/>
      <c r="SYB94" s="201"/>
      <c r="SYC94" s="201"/>
      <c r="SYD94" s="201"/>
      <c r="SYE94" s="201"/>
      <c r="SYF94" s="201"/>
      <c r="SYG94" s="201"/>
      <c r="SYH94" s="201"/>
      <c r="SYI94" s="201"/>
      <c r="SYJ94" s="201"/>
      <c r="SYK94" s="201"/>
      <c r="SYL94" s="201"/>
      <c r="SYM94" s="201"/>
      <c r="SYN94" s="201"/>
      <c r="SYO94" s="201"/>
      <c r="SYP94" s="201"/>
      <c r="SYQ94" s="201"/>
      <c r="SYR94" s="201"/>
      <c r="SYS94" s="201"/>
      <c r="SYT94" s="201"/>
      <c r="SYU94" s="201"/>
      <c r="SYV94" s="201"/>
      <c r="SYW94" s="201"/>
      <c r="SYX94" s="201"/>
      <c r="SYY94" s="201"/>
      <c r="SYZ94" s="201"/>
      <c r="SZA94" s="201"/>
      <c r="SZB94" s="201"/>
      <c r="SZC94" s="201"/>
      <c r="SZD94" s="201"/>
      <c r="SZE94" s="201"/>
      <c r="SZF94" s="201"/>
      <c r="SZG94" s="201"/>
      <c r="SZH94" s="201"/>
      <c r="SZI94" s="201"/>
      <c r="SZJ94" s="201"/>
      <c r="SZK94" s="201"/>
      <c r="SZL94" s="201"/>
      <c r="SZM94" s="201"/>
      <c r="SZN94" s="201"/>
      <c r="SZO94" s="201"/>
      <c r="SZP94" s="201"/>
      <c r="SZQ94" s="201"/>
      <c r="SZR94" s="201"/>
      <c r="SZS94" s="201"/>
      <c r="SZT94" s="201"/>
      <c r="SZU94" s="201"/>
      <c r="SZV94" s="201"/>
      <c r="SZW94" s="201"/>
      <c r="SZX94" s="201"/>
      <c r="SZY94" s="201"/>
      <c r="SZZ94" s="201"/>
      <c r="TAA94" s="201"/>
      <c r="TAB94" s="201"/>
      <c r="TAC94" s="201"/>
      <c r="TAD94" s="201"/>
      <c r="TAE94" s="201"/>
      <c r="TAF94" s="201"/>
      <c r="TAG94" s="201"/>
      <c r="TAH94" s="201"/>
      <c r="TAI94" s="201"/>
      <c r="TAJ94" s="201"/>
      <c r="TAK94" s="201"/>
      <c r="TAL94" s="201"/>
      <c r="TAM94" s="201"/>
      <c r="TAN94" s="201"/>
      <c r="TAO94" s="201"/>
      <c r="TAP94" s="201"/>
      <c r="TAQ94" s="201"/>
      <c r="TAR94" s="201"/>
      <c r="TAS94" s="201"/>
      <c r="TAT94" s="201"/>
      <c r="TAU94" s="201"/>
      <c r="TAV94" s="201"/>
      <c r="TAW94" s="201"/>
      <c r="TAX94" s="201"/>
      <c r="TAY94" s="201"/>
      <c r="TAZ94" s="201"/>
      <c r="TBA94" s="201"/>
      <c r="TBB94" s="201"/>
      <c r="TBC94" s="201"/>
      <c r="TBD94" s="201"/>
      <c r="TBE94" s="201"/>
      <c r="TBF94" s="201"/>
      <c r="TBG94" s="201"/>
      <c r="TBH94" s="201"/>
      <c r="TBI94" s="201"/>
      <c r="TBJ94" s="201"/>
      <c r="TBK94" s="201"/>
      <c r="TBL94" s="201"/>
      <c r="TBM94" s="201"/>
      <c r="TBN94" s="201"/>
      <c r="TBO94" s="201"/>
      <c r="TBP94" s="201"/>
      <c r="TBQ94" s="201"/>
      <c r="TBR94" s="201"/>
      <c r="TBS94" s="201"/>
      <c r="TBT94" s="201"/>
      <c r="TBU94" s="201"/>
      <c r="TBV94" s="201"/>
      <c r="TBW94" s="201"/>
      <c r="TBX94" s="201"/>
      <c r="TBY94" s="201"/>
      <c r="TBZ94" s="201"/>
      <c r="TCA94" s="201"/>
      <c r="TCB94" s="201"/>
      <c r="TCC94" s="201"/>
      <c r="TCD94" s="201"/>
      <c r="TCE94" s="201"/>
      <c r="TCF94" s="201"/>
      <c r="TCG94" s="201"/>
      <c r="TCH94" s="201"/>
      <c r="TCI94" s="201"/>
      <c r="TCJ94" s="201"/>
      <c r="TCK94" s="201"/>
      <c r="TCL94" s="201"/>
      <c r="TCM94" s="201"/>
      <c r="TCN94" s="201"/>
      <c r="TCO94" s="201"/>
      <c r="TCP94" s="201"/>
      <c r="TCQ94" s="201"/>
      <c r="TCR94" s="201"/>
      <c r="TCS94" s="201"/>
      <c r="TCT94" s="201"/>
      <c r="TCU94" s="201"/>
      <c r="TCV94" s="201"/>
      <c r="TCW94" s="201"/>
      <c r="TCX94" s="201"/>
      <c r="TCY94" s="201"/>
      <c r="TCZ94" s="201"/>
      <c r="TDA94" s="201"/>
      <c r="TDB94" s="201"/>
      <c r="TDC94" s="201"/>
      <c r="TDD94" s="201"/>
      <c r="TDE94" s="201"/>
      <c r="TDF94" s="201"/>
      <c r="TDG94" s="201"/>
      <c r="TDH94" s="201"/>
      <c r="TDI94" s="201"/>
      <c r="TDJ94" s="201"/>
      <c r="TDK94" s="201"/>
      <c r="TDL94" s="201"/>
      <c r="TDM94" s="201"/>
      <c r="TDN94" s="201"/>
      <c r="TDO94" s="201"/>
      <c r="TDP94" s="201"/>
      <c r="TDQ94" s="201"/>
      <c r="TDR94" s="201"/>
      <c r="TDS94" s="201"/>
      <c r="TDT94" s="201"/>
      <c r="TDU94" s="201"/>
      <c r="TDV94" s="201"/>
      <c r="TDW94" s="201"/>
      <c r="TDX94" s="201"/>
      <c r="TDY94" s="201"/>
      <c r="TDZ94" s="201"/>
      <c r="TEA94" s="201"/>
      <c r="TEB94" s="201"/>
      <c r="TEC94" s="201"/>
      <c r="TED94" s="201"/>
      <c r="TEE94" s="201"/>
      <c r="TEF94" s="201"/>
      <c r="TEG94" s="201"/>
      <c r="TEH94" s="201"/>
      <c r="TEI94" s="201"/>
      <c r="TEJ94" s="201"/>
      <c r="TEK94" s="201"/>
      <c r="TEL94" s="201"/>
      <c r="TEM94" s="201"/>
      <c r="TEN94" s="201"/>
      <c r="TEO94" s="201"/>
      <c r="TEP94" s="201"/>
      <c r="TEQ94" s="201"/>
      <c r="TER94" s="201"/>
      <c r="TES94" s="201"/>
      <c r="TET94" s="201"/>
      <c r="TEU94" s="201"/>
      <c r="TEV94" s="201"/>
      <c r="TEW94" s="201"/>
      <c r="TEX94" s="201"/>
      <c r="TEY94" s="201"/>
      <c r="TEZ94" s="201"/>
      <c r="TFA94" s="201"/>
      <c r="TFB94" s="201"/>
      <c r="TFC94" s="201"/>
      <c r="TFD94" s="201"/>
      <c r="TFE94" s="201"/>
      <c r="TFF94" s="201"/>
      <c r="TFG94" s="201"/>
      <c r="TFH94" s="201"/>
      <c r="TFI94" s="201"/>
      <c r="TFJ94" s="201"/>
      <c r="TFK94" s="201"/>
      <c r="TFL94" s="201"/>
      <c r="TFM94" s="201"/>
      <c r="TFN94" s="201"/>
      <c r="TFO94" s="201"/>
      <c r="TFP94" s="201"/>
      <c r="TFQ94" s="201"/>
      <c r="TFR94" s="201"/>
      <c r="TFS94" s="201"/>
      <c r="TFT94" s="201"/>
      <c r="TFU94" s="201"/>
      <c r="TFV94" s="201"/>
      <c r="TFW94" s="201"/>
      <c r="TFX94" s="201"/>
      <c r="TFY94" s="201"/>
      <c r="TFZ94" s="201"/>
      <c r="TGA94" s="201"/>
      <c r="TGB94" s="201"/>
      <c r="TGC94" s="201"/>
      <c r="TGD94" s="201"/>
      <c r="TGE94" s="201"/>
      <c r="TGF94" s="201"/>
      <c r="TGG94" s="201"/>
      <c r="TGH94" s="201"/>
      <c r="TGI94" s="201"/>
      <c r="TGJ94" s="201"/>
      <c r="TGK94" s="201"/>
      <c r="TGL94" s="201"/>
      <c r="TGM94" s="201"/>
      <c r="TGN94" s="201"/>
      <c r="TGO94" s="201"/>
      <c r="TGP94" s="201"/>
      <c r="TGQ94" s="201"/>
      <c r="TGR94" s="201"/>
      <c r="TGS94" s="201"/>
      <c r="TGT94" s="201"/>
      <c r="TGU94" s="201"/>
      <c r="TGV94" s="201"/>
      <c r="TGW94" s="201"/>
      <c r="TGX94" s="201"/>
      <c r="TGY94" s="201"/>
      <c r="TGZ94" s="201"/>
      <c r="THA94" s="201"/>
      <c r="THB94" s="201"/>
      <c r="THC94" s="201"/>
      <c r="THD94" s="201"/>
      <c r="THE94" s="201"/>
      <c r="THF94" s="201"/>
      <c r="THG94" s="201"/>
      <c r="THH94" s="201"/>
      <c r="THI94" s="201"/>
      <c r="THJ94" s="201"/>
      <c r="THK94" s="201"/>
      <c r="THL94" s="201"/>
      <c r="THM94" s="201"/>
      <c r="THN94" s="201"/>
      <c r="THO94" s="201"/>
      <c r="THP94" s="201"/>
      <c r="THQ94" s="201"/>
      <c r="THR94" s="201"/>
      <c r="THS94" s="201"/>
      <c r="THT94" s="201"/>
      <c r="THU94" s="201"/>
      <c r="THV94" s="201"/>
      <c r="THW94" s="201"/>
      <c r="THX94" s="201"/>
      <c r="THY94" s="201"/>
      <c r="THZ94" s="201"/>
      <c r="TIA94" s="201"/>
      <c r="TIB94" s="201"/>
      <c r="TIC94" s="201"/>
      <c r="TID94" s="201"/>
      <c r="TIE94" s="201"/>
      <c r="TIF94" s="201"/>
      <c r="TIG94" s="201"/>
      <c r="TIH94" s="201"/>
      <c r="TII94" s="201"/>
      <c r="TIJ94" s="201"/>
      <c r="TIK94" s="201"/>
      <c r="TIL94" s="201"/>
      <c r="TIM94" s="201"/>
      <c r="TIN94" s="201"/>
      <c r="TIO94" s="201"/>
      <c r="TIP94" s="201"/>
      <c r="TIQ94" s="201"/>
      <c r="TIR94" s="201"/>
      <c r="TIS94" s="201"/>
      <c r="TIT94" s="201"/>
      <c r="TIU94" s="201"/>
      <c r="TIV94" s="201"/>
      <c r="TIW94" s="201"/>
      <c r="TIX94" s="201"/>
      <c r="TIY94" s="201"/>
      <c r="TIZ94" s="201"/>
      <c r="TJA94" s="201"/>
      <c r="TJB94" s="201"/>
      <c r="TJC94" s="201"/>
      <c r="TJD94" s="201"/>
      <c r="TJE94" s="201"/>
      <c r="TJF94" s="201"/>
      <c r="TJG94" s="201"/>
      <c r="TJH94" s="201"/>
      <c r="TJI94" s="201"/>
      <c r="TJJ94" s="201"/>
      <c r="TJK94" s="201"/>
      <c r="TJL94" s="201"/>
      <c r="TJM94" s="201"/>
      <c r="TJN94" s="201"/>
      <c r="TJO94" s="201"/>
      <c r="TJP94" s="201"/>
      <c r="TJQ94" s="201"/>
      <c r="TJR94" s="201"/>
      <c r="TJS94" s="201"/>
      <c r="TJT94" s="201"/>
      <c r="TJU94" s="201"/>
      <c r="TJV94" s="201"/>
      <c r="TJW94" s="201"/>
      <c r="TJX94" s="201"/>
      <c r="TJY94" s="201"/>
      <c r="TJZ94" s="201"/>
      <c r="TKA94" s="201"/>
      <c r="TKB94" s="201"/>
      <c r="TKC94" s="201"/>
      <c r="TKD94" s="201"/>
      <c r="TKE94" s="201"/>
      <c r="TKF94" s="201"/>
      <c r="TKG94" s="201"/>
      <c r="TKH94" s="201"/>
      <c r="TKI94" s="201"/>
      <c r="TKJ94" s="201"/>
      <c r="TKK94" s="201"/>
      <c r="TKL94" s="201"/>
      <c r="TKM94" s="201"/>
      <c r="TKN94" s="201"/>
      <c r="TKO94" s="201"/>
      <c r="TKP94" s="201"/>
      <c r="TKQ94" s="201"/>
      <c r="TKR94" s="201"/>
      <c r="TKS94" s="201"/>
      <c r="TKT94" s="201"/>
      <c r="TKU94" s="201"/>
      <c r="TKV94" s="201"/>
      <c r="TKW94" s="201"/>
      <c r="TKX94" s="201"/>
      <c r="TKY94" s="201"/>
      <c r="TKZ94" s="201"/>
      <c r="TLA94" s="201"/>
      <c r="TLB94" s="201"/>
      <c r="TLC94" s="201"/>
      <c r="TLD94" s="201"/>
      <c r="TLE94" s="201"/>
      <c r="TLF94" s="201"/>
      <c r="TLG94" s="201"/>
      <c r="TLH94" s="201"/>
      <c r="TLI94" s="201"/>
      <c r="TLJ94" s="201"/>
      <c r="TLK94" s="201"/>
      <c r="TLL94" s="201"/>
      <c r="TLM94" s="201"/>
      <c r="TLN94" s="201"/>
      <c r="TLO94" s="201"/>
      <c r="TLP94" s="201"/>
      <c r="TLQ94" s="201"/>
      <c r="TLR94" s="201"/>
      <c r="TLS94" s="201"/>
      <c r="TLT94" s="201"/>
      <c r="TLU94" s="201"/>
      <c r="TLV94" s="201"/>
      <c r="TLW94" s="201"/>
      <c r="TLX94" s="201"/>
      <c r="TLY94" s="201"/>
      <c r="TLZ94" s="201"/>
      <c r="TMA94" s="201"/>
      <c r="TMB94" s="201"/>
      <c r="TMC94" s="201"/>
      <c r="TMD94" s="201"/>
      <c r="TME94" s="201"/>
      <c r="TMF94" s="201"/>
      <c r="TMG94" s="201"/>
      <c r="TMH94" s="201"/>
      <c r="TMI94" s="201"/>
      <c r="TMJ94" s="201"/>
      <c r="TMK94" s="201"/>
      <c r="TML94" s="201"/>
      <c r="TMM94" s="201"/>
      <c r="TMN94" s="201"/>
      <c r="TMO94" s="201"/>
      <c r="TMP94" s="201"/>
      <c r="TMQ94" s="201"/>
      <c r="TMR94" s="201"/>
      <c r="TMS94" s="201"/>
      <c r="TMT94" s="201"/>
      <c r="TMU94" s="201"/>
      <c r="TMV94" s="201"/>
      <c r="TMW94" s="201"/>
      <c r="TMX94" s="201"/>
      <c r="TMY94" s="201"/>
      <c r="TMZ94" s="201"/>
      <c r="TNA94" s="201"/>
      <c r="TNB94" s="201"/>
      <c r="TNC94" s="201"/>
      <c r="TND94" s="201"/>
      <c r="TNE94" s="201"/>
      <c r="TNF94" s="201"/>
      <c r="TNG94" s="201"/>
      <c r="TNH94" s="201"/>
      <c r="TNI94" s="201"/>
      <c r="TNJ94" s="201"/>
      <c r="TNK94" s="201"/>
      <c r="TNL94" s="201"/>
      <c r="TNM94" s="201"/>
      <c r="TNN94" s="201"/>
      <c r="TNO94" s="201"/>
      <c r="TNP94" s="201"/>
      <c r="TNQ94" s="201"/>
      <c r="TNR94" s="201"/>
      <c r="TNS94" s="201"/>
      <c r="TNT94" s="201"/>
      <c r="TNU94" s="201"/>
      <c r="TNV94" s="201"/>
      <c r="TNW94" s="201"/>
      <c r="TNX94" s="201"/>
      <c r="TNY94" s="201"/>
      <c r="TNZ94" s="201"/>
      <c r="TOA94" s="201"/>
      <c r="TOB94" s="201"/>
      <c r="TOC94" s="201"/>
      <c r="TOD94" s="201"/>
      <c r="TOE94" s="201"/>
      <c r="TOF94" s="201"/>
      <c r="TOG94" s="201"/>
      <c r="TOH94" s="201"/>
      <c r="TOI94" s="201"/>
      <c r="TOJ94" s="201"/>
      <c r="TOK94" s="201"/>
      <c r="TOL94" s="201"/>
      <c r="TOM94" s="201"/>
      <c r="TON94" s="201"/>
      <c r="TOO94" s="201"/>
      <c r="TOP94" s="201"/>
      <c r="TOQ94" s="201"/>
      <c r="TOR94" s="201"/>
      <c r="TOS94" s="201"/>
      <c r="TOT94" s="201"/>
      <c r="TOU94" s="201"/>
      <c r="TOV94" s="201"/>
      <c r="TOW94" s="201"/>
      <c r="TOX94" s="201"/>
      <c r="TOY94" s="201"/>
      <c r="TOZ94" s="201"/>
      <c r="TPA94" s="201"/>
      <c r="TPB94" s="201"/>
      <c r="TPC94" s="201"/>
      <c r="TPD94" s="201"/>
      <c r="TPE94" s="201"/>
      <c r="TPF94" s="201"/>
      <c r="TPG94" s="201"/>
      <c r="TPH94" s="201"/>
      <c r="TPI94" s="201"/>
      <c r="TPJ94" s="201"/>
      <c r="TPK94" s="201"/>
      <c r="TPL94" s="201"/>
      <c r="TPM94" s="201"/>
      <c r="TPN94" s="201"/>
      <c r="TPO94" s="201"/>
      <c r="TPP94" s="201"/>
      <c r="TPQ94" s="201"/>
      <c r="TPR94" s="201"/>
      <c r="TPS94" s="201"/>
      <c r="TPT94" s="201"/>
      <c r="TPU94" s="201"/>
      <c r="TPV94" s="201"/>
      <c r="TPW94" s="201"/>
      <c r="TPX94" s="201"/>
      <c r="TPY94" s="201"/>
      <c r="TPZ94" s="201"/>
      <c r="TQA94" s="201"/>
      <c r="TQB94" s="201"/>
      <c r="TQC94" s="201"/>
      <c r="TQD94" s="201"/>
      <c r="TQE94" s="201"/>
      <c r="TQF94" s="201"/>
      <c r="TQG94" s="201"/>
      <c r="TQH94" s="201"/>
      <c r="TQI94" s="201"/>
      <c r="TQJ94" s="201"/>
      <c r="TQK94" s="201"/>
      <c r="TQL94" s="201"/>
      <c r="TQM94" s="201"/>
      <c r="TQN94" s="201"/>
      <c r="TQO94" s="201"/>
      <c r="TQP94" s="201"/>
      <c r="TQQ94" s="201"/>
      <c r="TQR94" s="201"/>
      <c r="TQS94" s="201"/>
      <c r="TQT94" s="201"/>
      <c r="TQU94" s="201"/>
      <c r="TQV94" s="201"/>
      <c r="TQW94" s="201"/>
      <c r="TQX94" s="201"/>
      <c r="TQY94" s="201"/>
      <c r="TQZ94" s="201"/>
      <c r="TRA94" s="201"/>
      <c r="TRB94" s="201"/>
      <c r="TRC94" s="201"/>
      <c r="TRD94" s="201"/>
      <c r="TRE94" s="201"/>
      <c r="TRF94" s="201"/>
      <c r="TRG94" s="201"/>
      <c r="TRH94" s="201"/>
      <c r="TRI94" s="201"/>
      <c r="TRJ94" s="201"/>
      <c r="TRK94" s="201"/>
      <c r="TRL94" s="201"/>
      <c r="TRM94" s="201"/>
      <c r="TRN94" s="201"/>
      <c r="TRO94" s="201"/>
      <c r="TRP94" s="201"/>
      <c r="TRQ94" s="201"/>
      <c r="TRR94" s="201"/>
      <c r="TRS94" s="201"/>
      <c r="TRT94" s="201"/>
      <c r="TRU94" s="201"/>
      <c r="TRV94" s="201"/>
      <c r="TRW94" s="201"/>
      <c r="TRX94" s="201"/>
      <c r="TRY94" s="201"/>
      <c r="TRZ94" s="201"/>
      <c r="TSA94" s="201"/>
      <c r="TSB94" s="201"/>
      <c r="TSC94" s="201"/>
      <c r="TSD94" s="201"/>
      <c r="TSE94" s="201"/>
      <c r="TSF94" s="201"/>
      <c r="TSG94" s="201"/>
      <c r="TSH94" s="201"/>
      <c r="TSI94" s="201"/>
      <c r="TSJ94" s="201"/>
      <c r="TSK94" s="201"/>
      <c r="TSL94" s="201"/>
      <c r="TSM94" s="201"/>
      <c r="TSN94" s="201"/>
      <c r="TSO94" s="201"/>
      <c r="TSP94" s="201"/>
      <c r="TSQ94" s="201"/>
      <c r="TSR94" s="201"/>
      <c r="TSS94" s="201"/>
      <c r="TST94" s="201"/>
      <c r="TSU94" s="201"/>
      <c r="TSV94" s="201"/>
      <c r="TSW94" s="201"/>
      <c r="TSX94" s="201"/>
      <c r="TSY94" s="201"/>
      <c r="TSZ94" s="201"/>
      <c r="TTA94" s="201"/>
      <c r="TTB94" s="201"/>
      <c r="TTC94" s="201"/>
      <c r="TTD94" s="201"/>
      <c r="TTE94" s="201"/>
      <c r="TTF94" s="201"/>
      <c r="TTG94" s="201"/>
      <c r="TTH94" s="201"/>
      <c r="TTI94" s="201"/>
      <c r="TTJ94" s="201"/>
      <c r="TTK94" s="201"/>
      <c r="TTL94" s="201"/>
      <c r="TTM94" s="201"/>
      <c r="TTN94" s="201"/>
      <c r="TTO94" s="201"/>
      <c r="TTP94" s="201"/>
      <c r="TTQ94" s="201"/>
      <c r="TTR94" s="201"/>
      <c r="TTS94" s="201"/>
      <c r="TTT94" s="201"/>
      <c r="TTU94" s="201"/>
      <c r="TTV94" s="201"/>
      <c r="TTW94" s="201"/>
      <c r="TTX94" s="201"/>
      <c r="TTY94" s="201"/>
      <c r="TTZ94" s="201"/>
      <c r="TUA94" s="201"/>
      <c r="TUB94" s="201"/>
      <c r="TUC94" s="201"/>
      <c r="TUD94" s="201"/>
      <c r="TUE94" s="201"/>
      <c r="TUF94" s="201"/>
      <c r="TUG94" s="201"/>
      <c r="TUH94" s="201"/>
      <c r="TUI94" s="201"/>
      <c r="TUJ94" s="201"/>
      <c r="TUK94" s="201"/>
      <c r="TUL94" s="201"/>
      <c r="TUM94" s="201"/>
      <c r="TUN94" s="201"/>
      <c r="TUO94" s="201"/>
      <c r="TUP94" s="201"/>
      <c r="TUQ94" s="201"/>
      <c r="TUR94" s="201"/>
      <c r="TUS94" s="201"/>
      <c r="TUT94" s="201"/>
      <c r="TUU94" s="201"/>
      <c r="TUV94" s="201"/>
      <c r="TUW94" s="201"/>
      <c r="TUX94" s="201"/>
      <c r="TUY94" s="201"/>
      <c r="TUZ94" s="201"/>
      <c r="TVA94" s="201"/>
      <c r="TVB94" s="201"/>
      <c r="TVC94" s="201"/>
      <c r="TVD94" s="201"/>
      <c r="TVE94" s="201"/>
      <c r="TVF94" s="201"/>
      <c r="TVG94" s="201"/>
      <c r="TVH94" s="201"/>
      <c r="TVI94" s="201"/>
      <c r="TVJ94" s="201"/>
      <c r="TVK94" s="201"/>
      <c r="TVL94" s="201"/>
      <c r="TVM94" s="201"/>
      <c r="TVN94" s="201"/>
      <c r="TVO94" s="201"/>
      <c r="TVP94" s="201"/>
      <c r="TVQ94" s="201"/>
      <c r="TVR94" s="201"/>
      <c r="TVS94" s="201"/>
      <c r="TVT94" s="201"/>
      <c r="TVU94" s="201"/>
      <c r="TVV94" s="201"/>
      <c r="TVW94" s="201"/>
      <c r="TVX94" s="201"/>
      <c r="TVY94" s="201"/>
      <c r="TVZ94" s="201"/>
      <c r="TWA94" s="201"/>
      <c r="TWB94" s="201"/>
      <c r="TWC94" s="201"/>
      <c r="TWD94" s="201"/>
      <c r="TWE94" s="201"/>
      <c r="TWF94" s="201"/>
      <c r="TWG94" s="201"/>
      <c r="TWH94" s="201"/>
      <c r="TWI94" s="201"/>
      <c r="TWJ94" s="201"/>
      <c r="TWK94" s="201"/>
      <c r="TWL94" s="201"/>
      <c r="TWM94" s="201"/>
      <c r="TWN94" s="201"/>
      <c r="TWO94" s="201"/>
      <c r="TWP94" s="201"/>
      <c r="TWQ94" s="201"/>
      <c r="TWR94" s="201"/>
      <c r="TWS94" s="201"/>
      <c r="TWT94" s="201"/>
      <c r="TWU94" s="201"/>
      <c r="TWV94" s="201"/>
      <c r="TWW94" s="201"/>
      <c r="TWX94" s="201"/>
      <c r="TWY94" s="201"/>
      <c r="TWZ94" s="201"/>
      <c r="TXA94" s="201"/>
      <c r="TXB94" s="201"/>
      <c r="TXC94" s="201"/>
      <c r="TXD94" s="201"/>
      <c r="TXE94" s="201"/>
      <c r="TXF94" s="201"/>
      <c r="TXG94" s="201"/>
      <c r="TXH94" s="201"/>
      <c r="TXI94" s="201"/>
      <c r="TXJ94" s="201"/>
      <c r="TXK94" s="201"/>
      <c r="TXL94" s="201"/>
      <c r="TXM94" s="201"/>
      <c r="TXN94" s="201"/>
      <c r="TXO94" s="201"/>
      <c r="TXP94" s="201"/>
      <c r="TXQ94" s="201"/>
      <c r="TXR94" s="201"/>
      <c r="TXS94" s="201"/>
      <c r="TXT94" s="201"/>
      <c r="TXU94" s="201"/>
      <c r="TXV94" s="201"/>
      <c r="TXW94" s="201"/>
      <c r="TXX94" s="201"/>
      <c r="TXY94" s="201"/>
      <c r="TXZ94" s="201"/>
      <c r="TYA94" s="201"/>
      <c r="TYB94" s="201"/>
      <c r="TYC94" s="201"/>
      <c r="TYD94" s="201"/>
      <c r="TYE94" s="201"/>
      <c r="TYF94" s="201"/>
      <c r="TYG94" s="201"/>
      <c r="TYH94" s="201"/>
      <c r="TYI94" s="201"/>
      <c r="TYJ94" s="201"/>
      <c r="TYK94" s="201"/>
      <c r="TYL94" s="201"/>
      <c r="TYM94" s="201"/>
      <c r="TYN94" s="201"/>
      <c r="TYO94" s="201"/>
      <c r="TYP94" s="201"/>
      <c r="TYQ94" s="201"/>
      <c r="TYR94" s="201"/>
      <c r="TYS94" s="201"/>
      <c r="TYT94" s="201"/>
      <c r="TYU94" s="201"/>
      <c r="TYV94" s="201"/>
      <c r="TYW94" s="201"/>
      <c r="TYX94" s="201"/>
      <c r="TYY94" s="201"/>
      <c r="TYZ94" s="201"/>
      <c r="TZA94" s="201"/>
      <c r="TZB94" s="201"/>
      <c r="TZC94" s="201"/>
      <c r="TZD94" s="201"/>
      <c r="TZE94" s="201"/>
      <c r="TZF94" s="201"/>
      <c r="TZG94" s="201"/>
      <c r="TZH94" s="201"/>
      <c r="TZI94" s="201"/>
      <c r="TZJ94" s="201"/>
      <c r="TZK94" s="201"/>
      <c r="TZL94" s="201"/>
      <c r="TZM94" s="201"/>
      <c r="TZN94" s="201"/>
      <c r="TZO94" s="201"/>
      <c r="TZP94" s="201"/>
      <c r="TZQ94" s="201"/>
      <c r="TZR94" s="201"/>
      <c r="TZS94" s="201"/>
      <c r="TZT94" s="201"/>
      <c r="TZU94" s="201"/>
      <c r="TZV94" s="201"/>
      <c r="TZW94" s="201"/>
      <c r="TZX94" s="201"/>
      <c r="TZY94" s="201"/>
      <c r="TZZ94" s="201"/>
      <c r="UAA94" s="201"/>
      <c r="UAB94" s="201"/>
      <c r="UAC94" s="201"/>
      <c r="UAD94" s="201"/>
      <c r="UAE94" s="201"/>
      <c r="UAF94" s="201"/>
      <c r="UAG94" s="201"/>
      <c r="UAH94" s="201"/>
      <c r="UAI94" s="201"/>
      <c r="UAJ94" s="201"/>
      <c r="UAK94" s="201"/>
      <c r="UAL94" s="201"/>
      <c r="UAM94" s="201"/>
      <c r="UAN94" s="201"/>
      <c r="UAO94" s="201"/>
      <c r="UAP94" s="201"/>
      <c r="UAQ94" s="201"/>
      <c r="UAR94" s="201"/>
      <c r="UAS94" s="201"/>
      <c r="UAT94" s="201"/>
      <c r="UAU94" s="201"/>
      <c r="UAV94" s="201"/>
      <c r="UAW94" s="201"/>
      <c r="UAX94" s="201"/>
      <c r="UAY94" s="201"/>
      <c r="UAZ94" s="201"/>
      <c r="UBA94" s="201"/>
      <c r="UBB94" s="201"/>
      <c r="UBC94" s="201"/>
      <c r="UBD94" s="201"/>
      <c r="UBE94" s="201"/>
      <c r="UBF94" s="201"/>
      <c r="UBG94" s="201"/>
      <c r="UBH94" s="201"/>
      <c r="UBI94" s="201"/>
      <c r="UBJ94" s="201"/>
      <c r="UBK94" s="201"/>
      <c r="UBL94" s="201"/>
      <c r="UBM94" s="201"/>
      <c r="UBN94" s="201"/>
      <c r="UBO94" s="201"/>
      <c r="UBP94" s="201"/>
      <c r="UBQ94" s="201"/>
      <c r="UBR94" s="201"/>
      <c r="UBS94" s="201"/>
      <c r="UBT94" s="201"/>
      <c r="UBU94" s="201"/>
      <c r="UBV94" s="201"/>
      <c r="UBW94" s="201"/>
      <c r="UBX94" s="201"/>
      <c r="UBY94" s="201"/>
      <c r="UBZ94" s="201"/>
      <c r="UCA94" s="201"/>
      <c r="UCB94" s="201"/>
      <c r="UCC94" s="201"/>
      <c r="UCD94" s="201"/>
      <c r="UCE94" s="201"/>
      <c r="UCF94" s="201"/>
      <c r="UCG94" s="201"/>
      <c r="UCH94" s="201"/>
      <c r="UCI94" s="201"/>
      <c r="UCJ94" s="201"/>
      <c r="UCK94" s="201"/>
      <c r="UCL94" s="201"/>
      <c r="UCM94" s="201"/>
      <c r="UCN94" s="201"/>
      <c r="UCO94" s="201"/>
      <c r="UCP94" s="201"/>
      <c r="UCQ94" s="201"/>
      <c r="UCR94" s="201"/>
      <c r="UCS94" s="201"/>
      <c r="UCT94" s="201"/>
      <c r="UCU94" s="201"/>
      <c r="UCV94" s="201"/>
      <c r="UCW94" s="201"/>
      <c r="UCX94" s="201"/>
      <c r="UCY94" s="201"/>
      <c r="UCZ94" s="201"/>
      <c r="UDA94" s="201"/>
      <c r="UDB94" s="201"/>
      <c r="UDC94" s="201"/>
      <c r="UDD94" s="201"/>
      <c r="UDE94" s="201"/>
      <c r="UDF94" s="201"/>
      <c r="UDG94" s="201"/>
      <c r="UDH94" s="201"/>
      <c r="UDI94" s="201"/>
      <c r="UDJ94" s="201"/>
      <c r="UDK94" s="201"/>
      <c r="UDL94" s="201"/>
      <c r="UDM94" s="201"/>
      <c r="UDN94" s="201"/>
      <c r="UDO94" s="201"/>
      <c r="UDP94" s="201"/>
      <c r="UDQ94" s="201"/>
      <c r="UDR94" s="201"/>
      <c r="UDS94" s="201"/>
      <c r="UDT94" s="201"/>
      <c r="UDU94" s="201"/>
      <c r="UDV94" s="201"/>
      <c r="UDW94" s="201"/>
      <c r="UDX94" s="201"/>
      <c r="UDY94" s="201"/>
      <c r="UDZ94" s="201"/>
      <c r="UEA94" s="201"/>
      <c r="UEB94" s="201"/>
      <c r="UEC94" s="201"/>
      <c r="UED94" s="201"/>
      <c r="UEE94" s="201"/>
      <c r="UEF94" s="201"/>
      <c r="UEG94" s="201"/>
      <c r="UEH94" s="201"/>
      <c r="UEI94" s="201"/>
      <c r="UEJ94" s="201"/>
      <c r="UEK94" s="201"/>
      <c r="UEL94" s="201"/>
      <c r="UEM94" s="201"/>
      <c r="UEN94" s="201"/>
      <c r="UEO94" s="201"/>
      <c r="UEP94" s="201"/>
      <c r="UEQ94" s="201"/>
      <c r="UER94" s="201"/>
      <c r="UES94" s="201"/>
      <c r="UET94" s="201"/>
      <c r="UEU94" s="201"/>
      <c r="UEV94" s="201"/>
      <c r="UEW94" s="201"/>
      <c r="UEX94" s="201"/>
      <c r="UEY94" s="201"/>
      <c r="UEZ94" s="201"/>
      <c r="UFA94" s="201"/>
      <c r="UFB94" s="201"/>
      <c r="UFC94" s="201"/>
      <c r="UFD94" s="201"/>
      <c r="UFE94" s="201"/>
      <c r="UFF94" s="201"/>
      <c r="UFG94" s="201"/>
      <c r="UFH94" s="201"/>
      <c r="UFI94" s="201"/>
      <c r="UFJ94" s="201"/>
      <c r="UFK94" s="201"/>
      <c r="UFL94" s="201"/>
      <c r="UFM94" s="201"/>
      <c r="UFN94" s="201"/>
      <c r="UFO94" s="201"/>
      <c r="UFP94" s="201"/>
      <c r="UFQ94" s="201"/>
      <c r="UFR94" s="201"/>
      <c r="UFS94" s="201"/>
      <c r="UFT94" s="201"/>
      <c r="UFU94" s="201"/>
      <c r="UFV94" s="201"/>
      <c r="UFW94" s="201"/>
      <c r="UFX94" s="201"/>
      <c r="UFY94" s="201"/>
      <c r="UFZ94" s="201"/>
      <c r="UGA94" s="201"/>
      <c r="UGB94" s="201"/>
      <c r="UGC94" s="201"/>
      <c r="UGD94" s="201"/>
      <c r="UGE94" s="201"/>
      <c r="UGF94" s="201"/>
      <c r="UGG94" s="201"/>
      <c r="UGH94" s="201"/>
      <c r="UGI94" s="201"/>
      <c r="UGJ94" s="201"/>
      <c r="UGK94" s="201"/>
      <c r="UGL94" s="201"/>
      <c r="UGM94" s="201"/>
      <c r="UGN94" s="201"/>
      <c r="UGO94" s="201"/>
      <c r="UGP94" s="201"/>
      <c r="UGQ94" s="201"/>
      <c r="UGR94" s="201"/>
      <c r="UGS94" s="201"/>
      <c r="UGT94" s="201"/>
      <c r="UGU94" s="201"/>
      <c r="UGV94" s="201"/>
      <c r="UGW94" s="201"/>
      <c r="UGX94" s="201"/>
      <c r="UGY94" s="201"/>
      <c r="UGZ94" s="201"/>
      <c r="UHA94" s="201"/>
      <c r="UHB94" s="201"/>
      <c r="UHC94" s="201"/>
      <c r="UHD94" s="201"/>
      <c r="UHE94" s="201"/>
      <c r="UHF94" s="201"/>
      <c r="UHG94" s="201"/>
      <c r="UHH94" s="201"/>
      <c r="UHI94" s="201"/>
      <c r="UHJ94" s="201"/>
      <c r="UHK94" s="201"/>
      <c r="UHL94" s="201"/>
      <c r="UHM94" s="201"/>
      <c r="UHN94" s="201"/>
      <c r="UHO94" s="201"/>
      <c r="UHP94" s="201"/>
      <c r="UHQ94" s="201"/>
      <c r="UHR94" s="201"/>
      <c r="UHS94" s="201"/>
      <c r="UHT94" s="201"/>
      <c r="UHU94" s="201"/>
      <c r="UHV94" s="201"/>
      <c r="UHW94" s="201"/>
      <c r="UHX94" s="201"/>
      <c r="UHY94" s="201"/>
      <c r="UHZ94" s="201"/>
      <c r="UIA94" s="201"/>
      <c r="UIB94" s="201"/>
      <c r="UIC94" s="201"/>
      <c r="UID94" s="201"/>
      <c r="UIE94" s="201"/>
      <c r="UIF94" s="201"/>
      <c r="UIG94" s="201"/>
      <c r="UIH94" s="201"/>
      <c r="UII94" s="201"/>
      <c r="UIJ94" s="201"/>
      <c r="UIK94" s="201"/>
      <c r="UIL94" s="201"/>
      <c r="UIM94" s="201"/>
      <c r="UIN94" s="201"/>
      <c r="UIO94" s="201"/>
      <c r="UIP94" s="201"/>
      <c r="UIQ94" s="201"/>
      <c r="UIR94" s="201"/>
      <c r="UIS94" s="201"/>
      <c r="UIT94" s="201"/>
      <c r="UIU94" s="201"/>
      <c r="UIV94" s="201"/>
      <c r="UIW94" s="201"/>
      <c r="UIX94" s="201"/>
      <c r="UIY94" s="201"/>
      <c r="UIZ94" s="201"/>
      <c r="UJA94" s="201"/>
      <c r="UJB94" s="201"/>
      <c r="UJC94" s="201"/>
      <c r="UJD94" s="201"/>
      <c r="UJE94" s="201"/>
      <c r="UJF94" s="201"/>
      <c r="UJG94" s="201"/>
      <c r="UJH94" s="201"/>
      <c r="UJI94" s="201"/>
      <c r="UJJ94" s="201"/>
      <c r="UJK94" s="201"/>
      <c r="UJL94" s="201"/>
      <c r="UJM94" s="201"/>
      <c r="UJN94" s="201"/>
      <c r="UJO94" s="201"/>
      <c r="UJP94" s="201"/>
      <c r="UJQ94" s="201"/>
      <c r="UJR94" s="201"/>
      <c r="UJS94" s="201"/>
      <c r="UJT94" s="201"/>
      <c r="UJU94" s="201"/>
      <c r="UJV94" s="201"/>
      <c r="UJW94" s="201"/>
      <c r="UJX94" s="201"/>
      <c r="UJY94" s="201"/>
      <c r="UJZ94" s="201"/>
      <c r="UKA94" s="201"/>
      <c r="UKB94" s="201"/>
      <c r="UKC94" s="201"/>
      <c r="UKD94" s="201"/>
      <c r="UKE94" s="201"/>
      <c r="UKF94" s="201"/>
      <c r="UKG94" s="201"/>
      <c r="UKH94" s="201"/>
      <c r="UKI94" s="201"/>
      <c r="UKJ94" s="201"/>
      <c r="UKK94" s="201"/>
      <c r="UKL94" s="201"/>
      <c r="UKM94" s="201"/>
      <c r="UKN94" s="201"/>
      <c r="UKO94" s="201"/>
      <c r="UKP94" s="201"/>
      <c r="UKQ94" s="201"/>
      <c r="UKR94" s="201"/>
      <c r="UKS94" s="201"/>
      <c r="UKT94" s="201"/>
      <c r="UKU94" s="201"/>
      <c r="UKV94" s="201"/>
      <c r="UKW94" s="201"/>
      <c r="UKX94" s="201"/>
      <c r="UKY94" s="201"/>
      <c r="UKZ94" s="201"/>
      <c r="ULA94" s="201"/>
      <c r="ULB94" s="201"/>
      <c r="ULC94" s="201"/>
      <c r="ULD94" s="201"/>
      <c r="ULE94" s="201"/>
      <c r="ULF94" s="201"/>
      <c r="ULG94" s="201"/>
      <c r="ULH94" s="201"/>
      <c r="ULI94" s="201"/>
      <c r="ULJ94" s="201"/>
      <c r="ULK94" s="201"/>
      <c r="ULL94" s="201"/>
      <c r="ULM94" s="201"/>
      <c r="ULN94" s="201"/>
      <c r="ULO94" s="201"/>
      <c r="ULP94" s="201"/>
      <c r="ULQ94" s="201"/>
      <c r="ULR94" s="201"/>
      <c r="ULS94" s="201"/>
      <c r="ULT94" s="201"/>
      <c r="ULU94" s="201"/>
      <c r="ULV94" s="201"/>
      <c r="ULW94" s="201"/>
      <c r="ULX94" s="201"/>
      <c r="ULY94" s="201"/>
      <c r="ULZ94" s="201"/>
      <c r="UMA94" s="201"/>
      <c r="UMB94" s="201"/>
      <c r="UMC94" s="201"/>
      <c r="UMD94" s="201"/>
      <c r="UME94" s="201"/>
      <c r="UMF94" s="201"/>
      <c r="UMG94" s="201"/>
      <c r="UMH94" s="201"/>
      <c r="UMI94" s="201"/>
      <c r="UMJ94" s="201"/>
      <c r="UMK94" s="201"/>
      <c r="UML94" s="201"/>
      <c r="UMM94" s="201"/>
      <c r="UMN94" s="201"/>
      <c r="UMO94" s="201"/>
      <c r="UMP94" s="201"/>
      <c r="UMQ94" s="201"/>
      <c r="UMR94" s="201"/>
      <c r="UMS94" s="201"/>
      <c r="UMT94" s="201"/>
      <c r="UMU94" s="201"/>
      <c r="UMV94" s="201"/>
      <c r="UMW94" s="201"/>
      <c r="UMX94" s="201"/>
      <c r="UMY94" s="201"/>
      <c r="UMZ94" s="201"/>
      <c r="UNA94" s="201"/>
      <c r="UNB94" s="201"/>
      <c r="UNC94" s="201"/>
      <c r="UND94" s="201"/>
      <c r="UNE94" s="201"/>
      <c r="UNF94" s="201"/>
      <c r="UNG94" s="201"/>
      <c r="UNH94" s="201"/>
      <c r="UNI94" s="201"/>
      <c r="UNJ94" s="201"/>
      <c r="UNK94" s="201"/>
      <c r="UNL94" s="201"/>
      <c r="UNM94" s="201"/>
      <c r="UNN94" s="201"/>
      <c r="UNO94" s="201"/>
      <c r="UNP94" s="201"/>
      <c r="UNQ94" s="201"/>
      <c r="UNR94" s="201"/>
      <c r="UNS94" s="201"/>
      <c r="UNT94" s="201"/>
      <c r="UNU94" s="201"/>
      <c r="UNV94" s="201"/>
      <c r="UNW94" s="201"/>
      <c r="UNX94" s="201"/>
      <c r="UNY94" s="201"/>
      <c r="UNZ94" s="201"/>
      <c r="UOA94" s="201"/>
      <c r="UOB94" s="201"/>
      <c r="UOC94" s="201"/>
      <c r="UOD94" s="201"/>
      <c r="UOE94" s="201"/>
      <c r="UOF94" s="201"/>
      <c r="UOG94" s="201"/>
      <c r="UOH94" s="201"/>
      <c r="UOI94" s="201"/>
      <c r="UOJ94" s="201"/>
      <c r="UOK94" s="201"/>
      <c r="UOL94" s="201"/>
      <c r="UOM94" s="201"/>
      <c r="UON94" s="201"/>
      <c r="UOO94" s="201"/>
      <c r="UOP94" s="201"/>
      <c r="UOQ94" s="201"/>
      <c r="UOR94" s="201"/>
      <c r="UOS94" s="201"/>
      <c r="UOT94" s="201"/>
      <c r="UOU94" s="201"/>
      <c r="UOV94" s="201"/>
      <c r="UOW94" s="201"/>
      <c r="UOX94" s="201"/>
      <c r="UOY94" s="201"/>
      <c r="UOZ94" s="201"/>
      <c r="UPA94" s="201"/>
      <c r="UPB94" s="201"/>
      <c r="UPC94" s="201"/>
      <c r="UPD94" s="201"/>
      <c r="UPE94" s="201"/>
      <c r="UPF94" s="201"/>
      <c r="UPG94" s="201"/>
      <c r="UPH94" s="201"/>
      <c r="UPI94" s="201"/>
      <c r="UPJ94" s="201"/>
      <c r="UPK94" s="201"/>
      <c r="UPL94" s="201"/>
      <c r="UPM94" s="201"/>
      <c r="UPN94" s="201"/>
      <c r="UPO94" s="201"/>
      <c r="UPP94" s="201"/>
      <c r="UPQ94" s="201"/>
      <c r="UPR94" s="201"/>
      <c r="UPS94" s="201"/>
      <c r="UPT94" s="201"/>
      <c r="UPU94" s="201"/>
      <c r="UPV94" s="201"/>
      <c r="UPW94" s="201"/>
      <c r="UPX94" s="201"/>
      <c r="UPY94" s="201"/>
      <c r="UPZ94" s="201"/>
      <c r="UQA94" s="201"/>
      <c r="UQB94" s="201"/>
      <c r="UQC94" s="201"/>
      <c r="UQD94" s="201"/>
      <c r="UQE94" s="201"/>
      <c r="UQF94" s="201"/>
      <c r="UQG94" s="201"/>
      <c r="UQH94" s="201"/>
      <c r="UQI94" s="201"/>
      <c r="UQJ94" s="201"/>
      <c r="UQK94" s="201"/>
      <c r="UQL94" s="201"/>
      <c r="UQM94" s="201"/>
      <c r="UQN94" s="201"/>
      <c r="UQO94" s="201"/>
      <c r="UQP94" s="201"/>
      <c r="UQQ94" s="201"/>
      <c r="UQR94" s="201"/>
      <c r="UQS94" s="201"/>
      <c r="UQT94" s="201"/>
      <c r="UQU94" s="201"/>
      <c r="UQV94" s="201"/>
      <c r="UQW94" s="201"/>
      <c r="UQX94" s="201"/>
      <c r="UQY94" s="201"/>
      <c r="UQZ94" s="201"/>
      <c r="URA94" s="201"/>
      <c r="URB94" s="201"/>
      <c r="URC94" s="201"/>
      <c r="URD94" s="201"/>
      <c r="URE94" s="201"/>
      <c r="URF94" s="201"/>
      <c r="URG94" s="201"/>
      <c r="URH94" s="201"/>
      <c r="URI94" s="201"/>
      <c r="URJ94" s="201"/>
      <c r="URK94" s="201"/>
      <c r="URL94" s="201"/>
      <c r="URM94" s="201"/>
      <c r="URN94" s="201"/>
      <c r="URO94" s="201"/>
      <c r="URP94" s="201"/>
      <c r="URQ94" s="201"/>
      <c r="URR94" s="201"/>
      <c r="URS94" s="201"/>
      <c r="URT94" s="201"/>
      <c r="URU94" s="201"/>
      <c r="URV94" s="201"/>
      <c r="URW94" s="201"/>
      <c r="URX94" s="201"/>
      <c r="URY94" s="201"/>
      <c r="URZ94" s="201"/>
      <c r="USA94" s="201"/>
      <c r="USB94" s="201"/>
      <c r="USC94" s="201"/>
      <c r="USD94" s="201"/>
      <c r="USE94" s="201"/>
      <c r="USF94" s="201"/>
      <c r="USG94" s="201"/>
      <c r="USH94" s="201"/>
      <c r="USI94" s="201"/>
      <c r="USJ94" s="201"/>
      <c r="USK94" s="201"/>
      <c r="USL94" s="201"/>
      <c r="USM94" s="201"/>
      <c r="USN94" s="201"/>
      <c r="USO94" s="201"/>
      <c r="USP94" s="201"/>
      <c r="USQ94" s="201"/>
      <c r="USR94" s="201"/>
      <c r="USS94" s="201"/>
      <c r="UST94" s="201"/>
      <c r="USU94" s="201"/>
      <c r="USV94" s="201"/>
      <c r="USW94" s="201"/>
      <c r="USX94" s="201"/>
      <c r="USY94" s="201"/>
      <c r="USZ94" s="201"/>
      <c r="UTA94" s="201"/>
      <c r="UTB94" s="201"/>
      <c r="UTC94" s="201"/>
      <c r="UTD94" s="201"/>
      <c r="UTE94" s="201"/>
      <c r="UTF94" s="201"/>
      <c r="UTG94" s="201"/>
      <c r="UTH94" s="201"/>
      <c r="UTI94" s="201"/>
      <c r="UTJ94" s="201"/>
      <c r="UTK94" s="201"/>
      <c r="UTL94" s="201"/>
      <c r="UTM94" s="201"/>
      <c r="UTN94" s="201"/>
      <c r="UTO94" s="201"/>
      <c r="UTP94" s="201"/>
      <c r="UTQ94" s="201"/>
      <c r="UTR94" s="201"/>
      <c r="UTS94" s="201"/>
      <c r="UTT94" s="201"/>
      <c r="UTU94" s="201"/>
      <c r="UTV94" s="201"/>
      <c r="UTW94" s="201"/>
      <c r="UTX94" s="201"/>
      <c r="UTY94" s="201"/>
      <c r="UTZ94" s="201"/>
      <c r="UUA94" s="201"/>
      <c r="UUB94" s="201"/>
      <c r="UUC94" s="201"/>
      <c r="UUD94" s="201"/>
      <c r="UUE94" s="201"/>
      <c r="UUF94" s="201"/>
      <c r="UUG94" s="201"/>
      <c r="UUH94" s="201"/>
      <c r="UUI94" s="201"/>
      <c r="UUJ94" s="201"/>
      <c r="UUK94" s="201"/>
      <c r="UUL94" s="201"/>
      <c r="UUM94" s="201"/>
      <c r="UUN94" s="201"/>
      <c r="UUO94" s="201"/>
      <c r="UUP94" s="201"/>
      <c r="UUQ94" s="201"/>
      <c r="UUR94" s="201"/>
      <c r="UUS94" s="201"/>
      <c r="UUT94" s="201"/>
      <c r="UUU94" s="201"/>
      <c r="UUV94" s="201"/>
      <c r="UUW94" s="201"/>
      <c r="UUX94" s="201"/>
      <c r="UUY94" s="201"/>
      <c r="UUZ94" s="201"/>
      <c r="UVA94" s="201"/>
      <c r="UVB94" s="201"/>
      <c r="UVC94" s="201"/>
      <c r="UVD94" s="201"/>
      <c r="UVE94" s="201"/>
      <c r="UVF94" s="201"/>
      <c r="UVG94" s="201"/>
      <c r="UVH94" s="201"/>
      <c r="UVI94" s="201"/>
      <c r="UVJ94" s="201"/>
      <c r="UVK94" s="201"/>
      <c r="UVL94" s="201"/>
      <c r="UVM94" s="201"/>
      <c r="UVN94" s="201"/>
      <c r="UVO94" s="201"/>
      <c r="UVP94" s="201"/>
      <c r="UVQ94" s="201"/>
      <c r="UVR94" s="201"/>
      <c r="UVS94" s="201"/>
      <c r="UVT94" s="201"/>
      <c r="UVU94" s="201"/>
      <c r="UVV94" s="201"/>
      <c r="UVW94" s="201"/>
      <c r="UVX94" s="201"/>
      <c r="UVY94" s="201"/>
      <c r="UVZ94" s="201"/>
      <c r="UWA94" s="201"/>
      <c r="UWB94" s="201"/>
      <c r="UWC94" s="201"/>
      <c r="UWD94" s="201"/>
      <c r="UWE94" s="201"/>
      <c r="UWF94" s="201"/>
      <c r="UWG94" s="201"/>
      <c r="UWH94" s="201"/>
      <c r="UWI94" s="201"/>
      <c r="UWJ94" s="201"/>
      <c r="UWK94" s="201"/>
      <c r="UWL94" s="201"/>
      <c r="UWM94" s="201"/>
      <c r="UWN94" s="201"/>
      <c r="UWO94" s="201"/>
      <c r="UWP94" s="201"/>
      <c r="UWQ94" s="201"/>
      <c r="UWR94" s="201"/>
      <c r="UWS94" s="201"/>
      <c r="UWT94" s="201"/>
      <c r="UWU94" s="201"/>
      <c r="UWV94" s="201"/>
      <c r="UWW94" s="201"/>
      <c r="UWX94" s="201"/>
      <c r="UWY94" s="201"/>
      <c r="UWZ94" s="201"/>
      <c r="UXA94" s="201"/>
      <c r="UXB94" s="201"/>
      <c r="UXC94" s="201"/>
      <c r="UXD94" s="201"/>
      <c r="UXE94" s="201"/>
      <c r="UXF94" s="201"/>
      <c r="UXG94" s="201"/>
      <c r="UXH94" s="201"/>
      <c r="UXI94" s="201"/>
      <c r="UXJ94" s="201"/>
      <c r="UXK94" s="201"/>
      <c r="UXL94" s="201"/>
      <c r="UXM94" s="201"/>
      <c r="UXN94" s="201"/>
      <c r="UXO94" s="201"/>
      <c r="UXP94" s="201"/>
      <c r="UXQ94" s="201"/>
      <c r="UXR94" s="201"/>
      <c r="UXS94" s="201"/>
      <c r="UXT94" s="201"/>
      <c r="UXU94" s="201"/>
      <c r="UXV94" s="201"/>
      <c r="UXW94" s="201"/>
      <c r="UXX94" s="201"/>
      <c r="UXY94" s="201"/>
      <c r="UXZ94" s="201"/>
      <c r="UYA94" s="201"/>
      <c r="UYB94" s="201"/>
      <c r="UYC94" s="201"/>
      <c r="UYD94" s="201"/>
      <c r="UYE94" s="201"/>
      <c r="UYF94" s="201"/>
      <c r="UYG94" s="201"/>
      <c r="UYH94" s="201"/>
      <c r="UYI94" s="201"/>
      <c r="UYJ94" s="201"/>
      <c r="UYK94" s="201"/>
      <c r="UYL94" s="201"/>
      <c r="UYM94" s="201"/>
      <c r="UYN94" s="201"/>
      <c r="UYO94" s="201"/>
      <c r="UYP94" s="201"/>
      <c r="UYQ94" s="201"/>
      <c r="UYR94" s="201"/>
      <c r="UYS94" s="201"/>
      <c r="UYT94" s="201"/>
      <c r="UYU94" s="201"/>
      <c r="UYV94" s="201"/>
      <c r="UYW94" s="201"/>
      <c r="UYX94" s="201"/>
      <c r="UYY94" s="201"/>
      <c r="UYZ94" s="201"/>
      <c r="UZA94" s="201"/>
      <c r="UZB94" s="201"/>
      <c r="UZC94" s="201"/>
      <c r="UZD94" s="201"/>
      <c r="UZE94" s="201"/>
      <c r="UZF94" s="201"/>
      <c r="UZG94" s="201"/>
      <c r="UZH94" s="201"/>
      <c r="UZI94" s="201"/>
      <c r="UZJ94" s="201"/>
      <c r="UZK94" s="201"/>
      <c r="UZL94" s="201"/>
      <c r="UZM94" s="201"/>
      <c r="UZN94" s="201"/>
      <c r="UZO94" s="201"/>
      <c r="UZP94" s="201"/>
      <c r="UZQ94" s="201"/>
      <c r="UZR94" s="201"/>
      <c r="UZS94" s="201"/>
      <c r="UZT94" s="201"/>
      <c r="UZU94" s="201"/>
      <c r="UZV94" s="201"/>
      <c r="UZW94" s="201"/>
      <c r="UZX94" s="201"/>
      <c r="UZY94" s="201"/>
      <c r="UZZ94" s="201"/>
      <c r="VAA94" s="201"/>
      <c r="VAB94" s="201"/>
      <c r="VAC94" s="201"/>
      <c r="VAD94" s="201"/>
      <c r="VAE94" s="201"/>
      <c r="VAF94" s="201"/>
      <c r="VAG94" s="201"/>
      <c r="VAH94" s="201"/>
      <c r="VAI94" s="201"/>
      <c r="VAJ94" s="201"/>
      <c r="VAK94" s="201"/>
      <c r="VAL94" s="201"/>
      <c r="VAM94" s="201"/>
      <c r="VAN94" s="201"/>
      <c r="VAO94" s="201"/>
      <c r="VAP94" s="201"/>
      <c r="VAQ94" s="201"/>
      <c r="VAR94" s="201"/>
      <c r="VAS94" s="201"/>
      <c r="VAT94" s="201"/>
      <c r="VAU94" s="201"/>
      <c r="VAV94" s="201"/>
      <c r="VAW94" s="201"/>
      <c r="VAX94" s="201"/>
      <c r="VAY94" s="201"/>
      <c r="VAZ94" s="201"/>
      <c r="VBA94" s="201"/>
      <c r="VBB94" s="201"/>
      <c r="VBC94" s="201"/>
      <c r="VBD94" s="201"/>
      <c r="VBE94" s="201"/>
      <c r="VBF94" s="201"/>
      <c r="VBG94" s="201"/>
      <c r="VBH94" s="201"/>
      <c r="VBI94" s="201"/>
      <c r="VBJ94" s="201"/>
      <c r="VBK94" s="201"/>
      <c r="VBL94" s="201"/>
      <c r="VBM94" s="201"/>
      <c r="VBN94" s="201"/>
      <c r="VBO94" s="201"/>
      <c r="VBP94" s="201"/>
      <c r="VBQ94" s="201"/>
      <c r="VBR94" s="201"/>
      <c r="VBS94" s="201"/>
      <c r="VBT94" s="201"/>
      <c r="VBU94" s="201"/>
      <c r="VBV94" s="201"/>
      <c r="VBW94" s="201"/>
      <c r="VBX94" s="201"/>
      <c r="VBY94" s="201"/>
      <c r="VBZ94" s="201"/>
      <c r="VCA94" s="201"/>
      <c r="VCB94" s="201"/>
      <c r="VCC94" s="201"/>
      <c r="VCD94" s="201"/>
      <c r="VCE94" s="201"/>
      <c r="VCF94" s="201"/>
      <c r="VCG94" s="201"/>
      <c r="VCH94" s="201"/>
      <c r="VCI94" s="201"/>
      <c r="VCJ94" s="201"/>
      <c r="VCK94" s="201"/>
      <c r="VCL94" s="201"/>
      <c r="VCM94" s="201"/>
      <c r="VCN94" s="201"/>
      <c r="VCO94" s="201"/>
      <c r="VCP94" s="201"/>
      <c r="VCQ94" s="201"/>
      <c r="VCR94" s="201"/>
      <c r="VCS94" s="201"/>
      <c r="VCT94" s="201"/>
      <c r="VCU94" s="201"/>
      <c r="VCV94" s="201"/>
      <c r="VCW94" s="201"/>
      <c r="VCX94" s="201"/>
      <c r="VCY94" s="201"/>
      <c r="VCZ94" s="201"/>
      <c r="VDA94" s="201"/>
      <c r="VDB94" s="201"/>
      <c r="VDC94" s="201"/>
      <c r="VDD94" s="201"/>
      <c r="VDE94" s="201"/>
      <c r="VDF94" s="201"/>
      <c r="VDG94" s="201"/>
      <c r="VDH94" s="201"/>
      <c r="VDI94" s="201"/>
      <c r="VDJ94" s="201"/>
      <c r="VDK94" s="201"/>
      <c r="VDL94" s="201"/>
      <c r="VDM94" s="201"/>
      <c r="VDN94" s="201"/>
      <c r="VDO94" s="201"/>
      <c r="VDP94" s="201"/>
      <c r="VDQ94" s="201"/>
      <c r="VDR94" s="201"/>
      <c r="VDS94" s="201"/>
      <c r="VDT94" s="201"/>
      <c r="VDU94" s="201"/>
      <c r="VDV94" s="201"/>
      <c r="VDW94" s="201"/>
      <c r="VDX94" s="201"/>
      <c r="VDY94" s="201"/>
      <c r="VDZ94" s="201"/>
      <c r="VEA94" s="201"/>
      <c r="VEB94" s="201"/>
      <c r="VEC94" s="201"/>
      <c r="VED94" s="201"/>
      <c r="VEE94" s="201"/>
      <c r="VEF94" s="201"/>
      <c r="VEG94" s="201"/>
      <c r="VEH94" s="201"/>
      <c r="VEI94" s="201"/>
      <c r="VEJ94" s="201"/>
      <c r="VEK94" s="201"/>
      <c r="VEL94" s="201"/>
      <c r="VEM94" s="201"/>
      <c r="VEN94" s="201"/>
      <c r="VEO94" s="201"/>
      <c r="VEP94" s="201"/>
      <c r="VEQ94" s="201"/>
      <c r="VER94" s="201"/>
      <c r="VES94" s="201"/>
      <c r="VET94" s="201"/>
      <c r="VEU94" s="201"/>
      <c r="VEV94" s="201"/>
      <c r="VEW94" s="201"/>
      <c r="VEX94" s="201"/>
      <c r="VEY94" s="201"/>
      <c r="VEZ94" s="201"/>
      <c r="VFA94" s="201"/>
      <c r="VFB94" s="201"/>
      <c r="VFC94" s="201"/>
      <c r="VFD94" s="201"/>
      <c r="VFE94" s="201"/>
      <c r="VFF94" s="201"/>
      <c r="VFG94" s="201"/>
      <c r="VFH94" s="201"/>
      <c r="VFI94" s="201"/>
      <c r="VFJ94" s="201"/>
      <c r="VFK94" s="201"/>
      <c r="VFL94" s="201"/>
      <c r="VFM94" s="201"/>
      <c r="VFN94" s="201"/>
      <c r="VFO94" s="201"/>
      <c r="VFP94" s="201"/>
      <c r="VFQ94" s="201"/>
      <c r="VFR94" s="201"/>
      <c r="VFS94" s="201"/>
      <c r="VFT94" s="201"/>
      <c r="VFU94" s="201"/>
      <c r="VFV94" s="201"/>
      <c r="VFW94" s="201"/>
      <c r="VFX94" s="201"/>
      <c r="VFY94" s="201"/>
      <c r="VFZ94" s="201"/>
      <c r="VGA94" s="201"/>
      <c r="VGB94" s="201"/>
      <c r="VGC94" s="201"/>
      <c r="VGD94" s="201"/>
      <c r="VGE94" s="201"/>
      <c r="VGF94" s="201"/>
      <c r="VGG94" s="201"/>
      <c r="VGH94" s="201"/>
      <c r="VGI94" s="201"/>
      <c r="VGJ94" s="201"/>
      <c r="VGK94" s="201"/>
      <c r="VGL94" s="201"/>
      <c r="VGM94" s="201"/>
      <c r="VGN94" s="201"/>
      <c r="VGO94" s="201"/>
      <c r="VGP94" s="201"/>
      <c r="VGQ94" s="201"/>
      <c r="VGR94" s="201"/>
      <c r="VGS94" s="201"/>
      <c r="VGT94" s="201"/>
      <c r="VGU94" s="201"/>
      <c r="VGV94" s="201"/>
      <c r="VGW94" s="201"/>
      <c r="VGX94" s="201"/>
      <c r="VGY94" s="201"/>
      <c r="VGZ94" s="201"/>
      <c r="VHA94" s="201"/>
      <c r="VHB94" s="201"/>
      <c r="VHC94" s="201"/>
      <c r="VHD94" s="201"/>
      <c r="VHE94" s="201"/>
      <c r="VHF94" s="201"/>
      <c r="VHG94" s="201"/>
      <c r="VHH94" s="201"/>
      <c r="VHI94" s="201"/>
      <c r="VHJ94" s="201"/>
      <c r="VHK94" s="201"/>
      <c r="VHL94" s="201"/>
      <c r="VHM94" s="201"/>
      <c r="VHN94" s="201"/>
      <c r="VHO94" s="201"/>
      <c r="VHP94" s="201"/>
      <c r="VHQ94" s="201"/>
      <c r="VHR94" s="201"/>
      <c r="VHS94" s="201"/>
      <c r="VHT94" s="201"/>
      <c r="VHU94" s="201"/>
      <c r="VHV94" s="201"/>
      <c r="VHW94" s="201"/>
      <c r="VHX94" s="201"/>
      <c r="VHY94" s="201"/>
      <c r="VHZ94" s="201"/>
      <c r="VIA94" s="201"/>
      <c r="VIB94" s="201"/>
      <c r="VIC94" s="201"/>
      <c r="VID94" s="201"/>
      <c r="VIE94" s="201"/>
      <c r="VIF94" s="201"/>
      <c r="VIG94" s="201"/>
      <c r="VIH94" s="201"/>
      <c r="VII94" s="201"/>
      <c r="VIJ94" s="201"/>
      <c r="VIK94" s="201"/>
      <c r="VIL94" s="201"/>
      <c r="VIM94" s="201"/>
      <c r="VIN94" s="201"/>
      <c r="VIO94" s="201"/>
      <c r="VIP94" s="201"/>
      <c r="VIQ94" s="201"/>
      <c r="VIR94" s="201"/>
      <c r="VIS94" s="201"/>
      <c r="VIT94" s="201"/>
      <c r="VIU94" s="201"/>
      <c r="VIV94" s="201"/>
      <c r="VIW94" s="201"/>
      <c r="VIX94" s="201"/>
      <c r="VIY94" s="201"/>
      <c r="VIZ94" s="201"/>
      <c r="VJA94" s="201"/>
      <c r="VJB94" s="201"/>
      <c r="VJC94" s="201"/>
      <c r="VJD94" s="201"/>
      <c r="VJE94" s="201"/>
      <c r="VJF94" s="201"/>
      <c r="VJG94" s="201"/>
      <c r="VJH94" s="201"/>
      <c r="VJI94" s="201"/>
      <c r="VJJ94" s="201"/>
      <c r="VJK94" s="201"/>
      <c r="VJL94" s="201"/>
      <c r="VJM94" s="201"/>
      <c r="VJN94" s="201"/>
      <c r="VJO94" s="201"/>
      <c r="VJP94" s="201"/>
      <c r="VJQ94" s="201"/>
      <c r="VJR94" s="201"/>
      <c r="VJS94" s="201"/>
      <c r="VJT94" s="201"/>
      <c r="VJU94" s="201"/>
      <c r="VJV94" s="201"/>
      <c r="VJW94" s="201"/>
      <c r="VJX94" s="201"/>
      <c r="VJY94" s="201"/>
      <c r="VJZ94" s="201"/>
      <c r="VKA94" s="201"/>
      <c r="VKB94" s="201"/>
      <c r="VKC94" s="201"/>
      <c r="VKD94" s="201"/>
      <c r="VKE94" s="201"/>
      <c r="VKF94" s="201"/>
      <c r="VKG94" s="201"/>
      <c r="VKH94" s="201"/>
      <c r="VKI94" s="201"/>
      <c r="VKJ94" s="201"/>
      <c r="VKK94" s="201"/>
      <c r="VKL94" s="201"/>
      <c r="VKM94" s="201"/>
      <c r="VKN94" s="201"/>
      <c r="VKO94" s="201"/>
      <c r="VKP94" s="201"/>
      <c r="VKQ94" s="201"/>
      <c r="VKR94" s="201"/>
      <c r="VKS94" s="201"/>
      <c r="VKT94" s="201"/>
      <c r="VKU94" s="201"/>
      <c r="VKV94" s="201"/>
      <c r="VKW94" s="201"/>
      <c r="VKX94" s="201"/>
      <c r="VKY94" s="201"/>
      <c r="VKZ94" s="201"/>
      <c r="VLA94" s="201"/>
      <c r="VLB94" s="201"/>
      <c r="VLC94" s="201"/>
      <c r="VLD94" s="201"/>
      <c r="VLE94" s="201"/>
      <c r="VLF94" s="201"/>
      <c r="VLG94" s="201"/>
      <c r="VLH94" s="201"/>
      <c r="VLI94" s="201"/>
      <c r="VLJ94" s="201"/>
      <c r="VLK94" s="201"/>
      <c r="VLL94" s="201"/>
      <c r="VLM94" s="201"/>
      <c r="VLN94" s="201"/>
      <c r="VLO94" s="201"/>
      <c r="VLP94" s="201"/>
      <c r="VLQ94" s="201"/>
      <c r="VLR94" s="201"/>
      <c r="VLS94" s="201"/>
      <c r="VLT94" s="201"/>
      <c r="VLU94" s="201"/>
      <c r="VLV94" s="201"/>
      <c r="VLW94" s="201"/>
      <c r="VLX94" s="201"/>
      <c r="VLY94" s="201"/>
      <c r="VLZ94" s="201"/>
      <c r="VMA94" s="201"/>
      <c r="VMB94" s="201"/>
      <c r="VMC94" s="201"/>
      <c r="VMD94" s="201"/>
      <c r="VME94" s="201"/>
      <c r="VMF94" s="201"/>
      <c r="VMG94" s="201"/>
      <c r="VMH94" s="201"/>
      <c r="VMI94" s="201"/>
      <c r="VMJ94" s="201"/>
      <c r="VMK94" s="201"/>
      <c r="VML94" s="201"/>
      <c r="VMM94" s="201"/>
      <c r="VMN94" s="201"/>
      <c r="VMO94" s="201"/>
      <c r="VMP94" s="201"/>
      <c r="VMQ94" s="201"/>
      <c r="VMR94" s="201"/>
      <c r="VMS94" s="201"/>
      <c r="VMT94" s="201"/>
      <c r="VMU94" s="201"/>
      <c r="VMV94" s="201"/>
      <c r="VMW94" s="201"/>
      <c r="VMX94" s="201"/>
      <c r="VMY94" s="201"/>
      <c r="VMZ94" s="201"/>
      <c r="VNA94" s="201"/>
      <c r="VNB94" s="201"/>
      <c r="VNC94" s="201"/>
      <c r="VND94" s="201"/>
      <c r="VNE94" s="201"/>
      <c r="VNF94" s="201"/>
      <c r="VNG94" s="201"/>
      <c r="VNH94" s="201"/>
      <c r="VNI94" s="201"/>
      <c r="VNJ94" s="201"/>
      <c r="VNK94" s="201"/>
      <c r="VNL94" s="201"/>
      <c r="VNM94" s="201"/>
      <c r="VNN94" s="201"/>
      <c r="VNO94" s="201"/>
      <c r="VNP94" s="201"/>
      <c r="VNQ94" s="201"/>
      <c r="VNR94" s="201"/>
      <c r="VNS94" s="201"/>
      <c r="VNT94" s="201"/>
      <c r="VNU94" s="201"/>
      <c r="VNV94" s="201"/>
      <c r="VNW94" s="201"/>
      <c r="VNX94" s="201"/>
      <c r="VNY94" s="201"/>
      <c r="VNZ94" s="201"/>
      <c r="VOA94" s="201"/>
      <c r="VOB94" s="201"/>
      <c r="VOC94" s="201"/>
      <c r="VOD94" s="201"/>
      <c r="VOE94" s="201"/>
      <c r="VOF94" s="201"/>
      <c r="VOG94" s="201"/>
      <c r="VOH94" s="201"/>
      <c r="VOI94" s="201"/>
      <c r="VOJ94" s="201"/>
      <c r="VOK94" s="201"/>
      <c r="VOL94" s="201"/>
      <c r="VOM94" s="201"/>
      <c r="VON94" s="201"/>
      <c r="VOO94" s="201"/>
      <c r="VOP94" s="201"/>
      <c r="VOQ94" s="201"/>
      <c r="VOR94" s="201"/>
      <c r="VOS94" s="201"/>
      <c r="VOT94" s="201"/>
      <c r="VOU94" s="201"/>
      <c r="VOV94" s="201"/>
      <c r="VOW94" s="201"/>
      <c r="VOX94" s="201"/>
      <c r="VOY94" s="201"/>
      <c r="VOZ94" s="201"/>
      <c r="VPA94" s="201"/>
      <c r="VPB94" s="201"/>
      <c r="VPC94" s="201"/>
      <c r="VPD94" s="201"/>
      <c r="VPE94" s="201"/>
      <c r="VPF94" s="201"/>
      <c r="VPG94" s="201"/>
      <c r="VPH94" s="201"/>
      <c r="VPI94" s="201"/>
      <c r="VPJ94" s="201"/>
      <c r="VPK94" s="201"/>
      <c r="VPL94" s="201"/>
      <c r="VPM94" s="201"/>
      <c r="VPN94" s="201"/>
      <c r="VPO94" s="201"/>
      <c r="VPP94" s="201"/>
      <c r="VPQ94" s="201"/>
      <c r="VPR94" s="201"/>
      <c r="VPS94" s="201"/>
      <c r="VPT94" s="201"/>
      <c r="VPU94" s="201"/>
      <c r="VPV94" s="201"/>
      <c r="VPW94" s="201"/>
      <c r="VPX94" s="201"/>
      <c r="VPY94" s="201"/>
      <c r="VPZ94" s="201"/>
      <c r="VQA94" s="201"/>
      <c r="VQB94" s="201"/>
      <c r="VQC94" s="201"/>
      <c r="VQD94" s="201"/>
      <c r="VQE94" s="201"/>
      <c r="VQF94" s="201"/>
      <c r="VQG94" s="201"/>
      <c r="VQH94" s="201"/>
      <c r="VQI94" s="201"/>
      <c r="VQJ94" s="201"/>
      <c r="VQK94" s="201"/>
      <c r="VQL94" s="201"/>
      <c r="VQM94" s="201"/>
      <c r="VQN94" s="201"/>
      <c r="VQO94" s="201"/>
      <c r="VQP94" s="201"/>
      <c r="VQQ94" s="201"/>
      <c r="VQR94" s="201"/>
      <c r="VQS94" s="201"/>
      <c r="VQT94" s="201"/>
      <c r="VQU94" s="201"/>
      <c r="VQV94" s="201"/>
      <c r="VQW94" s="201"/>
      <c r="VQX94" s="201"/>
      <c r="VQY94" s="201"/>
      <c r="VQZ94" s="201"/>
      <c r="VRA94" s="201"/>
      <c r="VRB94" s="201"/>
      <c r="VRC94" s="201"/>
      <c r="VRD94" s="201"/>
      <c r="VRE94" s="201"/>
      <c r="VRF94" s="201"/>
      <c r="VRG94" s="201"/>
      <c r="VRH94" s="201"/>
      <c r="VRI94" s="201"/>
      <c r="VRJ94" s="201"/>
      <c r="VRK94" s="201"/>
      <c r="VRL94" s="201"/>
      <c r="VRM94" s="201"/>
      <c r="VRN94" s="201"/>
      <c r="VRO94" s="201"/>
      <c r="VRP94" s="201"/>
      <c r="VRQ94" s="201"/>
      <c r="VRR94" s="201"/>
      <c r="VRS94" s="201"/>
      <c r="VRT94" s="201"/>
      <c r="VRU94" s="201"/>
      <c r="VRV94" s="201"/>
      <c r="VRW94" s="201"/>
      <c r="VRX94" s="201"/>
      <c r="VRY94" s="201"/>
      <c r="VRZ94" s="201"/>
      <c r="VSA94" s="201"/>
      <c r="VSB94" s="201"/>
      <c r="VSC94" s="201"/>
      <c r="VSD94" s="201"/>
      <c r="VSE94" s="201"/>
      <c r="VSF94" s="201"/>
      <c r="VSG94" s="201"/>
      <c r="VSH94" s="201"/>
      <c r="VSI94" s="201"/>
      <c r="VSJ94" s="201"/>
      <c r="VSK94" s="201"/>
      <c r="VSL94" s="201"/>
      <c r="VSM94" s="201"/>
      <c r="VSN94" s="201"/>
      <c r="VSO94" s="201"/>
      <c r="VSP94" s="201"/>
      <c r="VSQ94" s="201"/>
      <c r="VSR94" s="201"/>
      <c r="VSS94" s="201"/>
      <c r="VST94" s="201"/>
      <c r="VSU94" s="201"/>
      <c r="VSV94" s="201"/>
      <c r="VSW94" s="201"/>
      <c r="VSX94" s="201"/>
      <c r="VSY94" s="201"/>
      <c r="VSZ94" s="201"/>
      <c r="VTA94" s="201"/>
      <c r="VTB94" s="201"/>
      <c r="VTC94" s="201"/>
      <c r="VTD94" s="201"/>
      <c r="VTE94" s="201"/>
      <c r="VTF94" s="201"/>
      <c r="VTG94" s="201"/>
      <c r="VTH94" s="201"/>
      <c r="VTI94" s="201"/>
      <c r="VTJ94" s="201"/>
      <c r="VTK94" s="201"/>
      <c r="VTL94" s="201"/>
      <c r="VTM94" s="201"/>
      <c r="VTN94" s="201"/>
      <c r="VTO94" s="201"/>
      <c r="VTP94" s="201"/>
      <c r="VTQ94" s="201"/>
      <c r="VTR94" s="201"/>
      <c r="VTS94" s="201"/>
      <c r="VTT94" s="201"/>
      <c r="VTU94" s="201"/>
      <c r="VTV94" s="201"/>
      <c r="VTW94" s="201"/>
      <c r="VTX94" s="201"/>
      <c r="VTY94" s="201"/>
      <c r="VTZ94" s="201"/>
      <c r="VUA94" s="201"/>
      <c r="VUB94" s="201"/>
      <c r="VUC94" s="201"/>
      <c r="VUD94" s="201"/>
      <c r="VUE94" s="201"/>
      <c r="VUF94" s="201"/>
      <c r="VUG94" s="201"/>
      <c r="VUH94" s="201"/>
      <c r="VUI94" s="201"/>
      <c r="VUJ94" s="201"/>
      <c r="VUK94" s="201"/>
      <c r="VUL94" s="201"/>
      <c r="VUM94" s="201"/>
      <c r="VUN94" s="201"/>
      <c r="VUO94" s="201"/>
      <c r="VUP94" s="201"/>
      <c r="VUQ94" s="201"/>
      <c r="VUR94" s="201"/>
      <c r="VUS94" s="201"/>
      <c r="VUT94" s="201"/>
      <c r="VUU94" s="201"/>
      <c r="VUV94" s="201"/>
      <c r="VUW94" s="201"/>
      <c r="VUX94" s="201"/>
      <c r="VUY94" s="201"/>
      <c r="VUZ94" s="201"/>
      <c r="VVA94" s="201"/>
      <c r="VVB94" s="201"/>
      <c r="VVC94" s="201"/>
      <c r="VVD94" s="201"/>
      <c r="VVE94" s="201"/>
      <c r="VVF94" s="201"/>
      <c r="VVG94" s="201"/>
      <c r="VVH94" s="201"/>
      <c r="VVI94" s="201"/>
      <c r="VVJ94" s="201"/>
      <c r="VVK94" s="201"/>
      <c r="VVL94" s="201"/>
      <c r="VVM94" s="201"/>
      <c r="VVN94" s="201"/>
      <c r="VVO94" s="201"/>
      <c r="VVP94" s="201"/>
      <c r="VVQ94" s="201"/>
      <c r="VVR94" s="201"/>
      <c r="VVS94" s="201"/>
      <c r="VVT94" s="201"/>
      <c r="VVU94" s="201"/>
      <c r="VVV94" s="201"/>
      <c r="VVW94" s="201"/>
      <c r="VVX94" s="201"/>
      <c r="VVY94" s="201"/>
      <c r="VVZ94" s="201"/>
      <c r="VWA94" s="201"/>
      <c r="VWB94" s="201"/>
      <c r="VWC94" s="201"/>
      <c r="VWD94" s="201"/>
      <c r="VWE94" s="201"/>
      <c r="VWF94" s="201"/>
      <c r="VWG94" s="201"/>
      <c r="VWH94" s="201"/>
      <c r="VWI94" s="201"/>
      <c r="VWJ94" s="201"/>
      <c r="VWK94" s="201"/>
      <c r="VWL94" s="201"/>
      <c r="VWM94" s="201"/>
      <c r="VWN94" s="201"/>
      <c r="VWO94" s="201"/>
      <c r="VWP94" s="201"/>
      <c r="VWQ94" s="201"/>
      <c r="VWR94" s="201"/>
      <c r="VWS94" s="201"/>
      <c r="VWT94" s="201"/>
      <c r="VWU94" s="201"/>
      <c r="VWV94" s="201"/>
      <c r="VWW94" s="201"/>
      <c r="VWX94" s="201"/>
      <c r="VWY94" s="201"/>
      <c r="VWZ94" s="201"/>
      <c r="VXA94" s="201"/>
      <c r="VXB94" s="201"/>
      <c r="VXC94" s="201"/>
      <c r="VXD94" s="201"/>
      <c r="VXE94" s="201"/>
      <c r="VXF94" s="201"/>
      <c r="VXG94" s="201"/>
      <c r="VXH94" s="201"/>
      <c r="VXI94" s="201"/>
      <c r="VXJ94" s="201"/>
      <c r="VXK94" s="201"/>
      <c r="VXL94" s="201"/>
      <c r="VXM94" s="201"/>
      <c r="VXN94" s="201"/>
      <c r="VXO94" s="201"/>
      <c r="VXP94" s="201"/>
      <c r="VXQ94" s="201"/>
      <c r="VXR94" s="201"/>
      <c r="VXS94" s="201"/>
      <c r="VXT94" s="201"/>
      <c r="VXU94" s="201"/>
      <c r="VXV94" s="201"/>
      <c r="VXW94" s="201"/>
      <c r="VXX94" s="201"/>
      <c r="VXY94" s="201"/>
      <c r="VXZ94" s="201"/>
      <c r="VYA94" s="201"/>
      <c r="VYB94" s="201"/>
      <c r="VYC94" s="201"/>
      <c r="VYD94" s="201"/>
      <c r="VYE94" s="201"/>
      <c r="VYF94" s="201"/>
      <c r="VYG94" s="201"/>
      <c r="VYH94" s="201"/>
      <c r="VYI94" s="201"/>
      <c r="VYJ94" s="201"/>
      <c r="VYK94" s="201"/>
      <c r="VYL94" s="201"/>
      <c r="VYM94" s="201"/>
      <c r="VYN94" s="201"/>
      <c r="VYO94" s="201"/>
      <c r="VYP94" s="201"/>
      <c r="VYQ94" s="201"/>
      <c r="VYR94" s="201"/>
      <c r="VYS94" s="201"/>
      <c r="VYT94" s="201"/>
      <c r="VYU94" s="201"/>
      <c r="VYV94" s="201"/>
      <c r="VYW94" s="201"/>
      <c r="VYX94" s="201"/>
      <c r="VYY94" s="201"/>
      <c r="VYZ94" s="201"/>
      <c r="VZA94" s="201"/>
      <c r="VZB94" s="201"/>
      <c r="VZC94" s="201"/>
      <c r="VZD94" s="201"/>
      <c r="VZE94" s="201"/>
      <c r="VZF94" s="201"/>
      <c r="VZG94" s="201"/>
      <c r="VZH94" s="201"/>
      <c r="VZI94" s="201"/>
      <c r="VZJ94" s="201"/>
      <c r="VZK94" s="201"/>
      <c r="VZL94" s="201"/>
      <c r="VZM94" s="201"/>
      <c r="VZN94" s="201"/>
      <c r="VZO94" s="201"/>
      <c r="VZP94" s="201"/>
      <c r="VZQ94" s="201"/>
      <c r="VZR94" s="201"/>
      <c r="VZS94" s="201"/>
      <c r="VZT94" s="201"/>
      <c r="VZU94" s="201"/>
      <c r="VZV94" s="201"/>
      <c r="VZW94" s="201"/>
      <c r="VZX94" s="201"/>
      <c r="VZY94" s="201"/>
      <c r="VZZ94" s="201"/>
      <c r="WAA94" s="201"/>
      <c r="WAB94" s="201"/>
      <c r="WAC94" s="201"/>
      <c r="WAD94" s="201"/>
      <c r="WAE94" s="201"/>
      <c r="WAF94" s="201"/>
      <c r="WAG94" s="201"/>
      <c r="WAH94" s="201"/>
      <c r="WAI94" s="201"/>
      <c r="WAJ94" s="201"/>
      <c r="WAK94" s="201"/>
      <c r="WAL94" s="201"/>
      <c r="WAM94" s="201"/>
      <c r="WAN94" s="201"/>
      <c r="WAO94" s="201"/>
      <c r="WAP94" s="201"/>
      <c r="WAQ94" s="201"/>
      <c r="WAR94" s="201"/>
      <c r="WAS94" s="201"/>
      <c r="WAT94" s="201"/>
      <c r="WAU94" s="201"/>
      <c r="WAV94" s="201"/>
      <c r="WAW94" s="201"/>
      <c r="WAX94" s="201"/>
      <c r="WAY94" s="201"/>
      <c r="WAZ94" s="201"/>
      <c r="WBA94" s="201"/>
      <c r="WBB94" s="201"/>
      <c r="WBC94" s="201"/>
      <c r="WBD94" s="201"/>
      <c r="WBE94" s="201"/>
      <c r="WBF94" s="201"/>
      <c r="WBG94" s="201"/>
      <c r="WBH94" s="201"/>
      <c r="WBI94" s="201"/>
      <c r="WBJ94" s="201"/>
      <c r="WBK94" s="201"/>
      <c r="WBL94" s="201"/>
      <c r="WBM94" s="201"/>
      <c r="WBN94" s="201"/>
      <c r="WBO94" s="201"/>
      <c r="WBP94" s="201"/>
      <c r="WBQ94" s="201"/>
      <c r="WBR94" s="201"/>
      <c r="WBS94" s="201"/>
      <c r="WBT94" s="201"/>
      <c r="WBU94" s="201"/>
      <c r="WBV94" s="201"/>
      <c r="WBW94" s="201"/>
      <c r="WBX94" s="201"/>
      <c r="WBY94" s="201"/>
      <c r="WBZ94" s="201"/>
      <c r="WCA94" s="201"/>
      <c r="WCB94" s="201"/>
      <c r="WCC94" s="201"/>
      <c r="WCD94" s="201"/>
      <c r="WCE94" s="201"/>
      <c r="WCF94" s="201"/>
      <c r="WCG94" s="201"/>
      <c r="WCH94" s="201"/>
      <c r="WCI94" s="201"/>
      <c r="WCJ94" s="201"/>
      <c r="WCK94" s="201"/>
      <c r="WCL94" s="201"/>
      <c r="WCM94" s="201"/>
      <c r="WCN94" s="201"/>
      <c r="WCO94" s="201"/>
      <c r="WCP94" s="201"/>
      <c r="WCQ94" s="201"/>
      <c r="WCR94" s="201"/>
      <c r="WCS94" s="201"/>
      <c r="WCT94" s="201"/>
      <c r="WCU94" s="201"/>
      <c r="WCV94" s="201"/>
      <c r="WCW94" s="201"/>
      <c r="WCX94" s="201"/>
      <c r="WCY94" s="201"/>
      <c r="WCZ94" s="201"/>
      <c r="WDA94" s="201"/>
      <c r="WDB94" s="201"/>
      <c r="WDC94" s="201"/>
      <c r="WDD94" s="201"/>
      <c r="WDE94" s="201"/>
      <c r="WDF94" s="201"/>
      <c r="WDG94" s="201"/>
      <c r="WDH94" s="201"/>
      <c r="WDI94" s="201"/>
      <c r="WDJ94" s="201"/>
      <c r="WDK94" s="201"/>
      <c r="WDL94" s="201"/>
      <c r="WDM94" s="201"/>
      <c r="WDN94" s="201"/>
      <c r="WDO94" s="201"/>
      <c r="WDP94" s="201"/>
      <c r="WDQ94" s="201"/>
      <c r="WDR94" s="201"/>
      <c r="WDS94" s="201"/>
      <c r="WDT94" s="201"/>
      <c r="WDU94" s="201"/>
      <c r="WDV94" s="201"/>
      <c r="WDW94" s="201"/>
      <c r="WDX94" s="201"/>
      <c r="WDY94" s="201"/>
      <c r="WDZ94" s="201"/>
      <c r="WEA94" s="201"/>
      <c r="WEB94" s="201"/>
      <c r="WEC94" s="201"/>
      <c r="WED94" s="201"/>
      <c r="WEE94" s="201"/>
      <c r="WEF94" s="201"/>
      <c r="WEG94" s="201"/>
      <c r="WEH94" s="201"/>
      <c r="WEI94" s="201"/>
      <c r="WEJ94" s="201"/>
      <c r="WEK94" s="201"/>
      <c r="WEL94" s="201"/>
      <c r="WEM94" s="201"/>
      <c r="WEN94" s="201"/>
      <c r="WEO94" s="201"/>
      <c r="WEP94" s="201"/>
      <c r="WEQ94" s="201"/>
      <c r="WER94" s="201"/>
      <c r="WES94" s="201"/>
      <c r="WET94" s="201"/>
      <c r="WEU94" s="201"/>
      <c r="WEV94" s="201"/>
      <c r="WEW94" s="201"/>
      <c r="WEX94" s="201"/>
      <c r="WEY94" s="201"/>
      <c r="WEZ94" s="201"/>
      <c r="WFA94" s="201"/>
      <c r="WFB94" s="201"/>
      <c r="WFC94" s="201"/>
      <c r="WFD94" s="201"/>
      <c r="WFE94" s="201"/>
      <c r="WFF94" s="201"/>
      <c r="WFG94" s="201"/>
      <c r="WFH94" s="201"/>
      <c r="WFI94" s="201"/>
      <c r="WFJ94" s="201"/>
      <c r="WFK94" s="201"/>
      <c r="WFL94" s="201"/>
      <c r="WFM94" s="201"/>
      <c r="WFN94" s="201"/>
      <c r="WFO94" s="201"/>
      <c r="WFP94" s="201"/>
      <c r="WFQ94" s="201"/>
      <c r="WFR94" s="201"/>
      <c r="WFS94" s="201"/>
      <c r="WFT94" s="201"/>
      <c r="WFU94" s="201"/>
      <c r="WFV94" s="201"/>
      <c r="WFW94" s="201"/>
      <c r="WFX94" s="201"/>
      <c r="WFY94" s="201"/>
      <c r="WFZ94" s="201"/>
      <c r="WGA94" s="201"/>
      <c r="WGB94" s="201"/>
      <c r="WGC94" s="201"/>
      <c r="WGD94" s="201"/>
      <c r="WGE94" s="201"/>
      <c r="WGF94" s="201"/>
      <c r="WGG94" s="201"/>
      <c r="WGH94" s="201"/>
      <c r="WGI94" s="201"/>
      <c r="WGJ94" s="201"/>
      <c r="WGK94" s="201"/>
      <c r="WGL94" s="201"/>
      <c r="WGM94" s="201"/>
      <c r="WGN94" s="201"/>
      <c r="WGO94" s="201"/>
      <c r="WGP94" s="201"/>
      <c r="WGQ94" s="201"/>
      <c r="WGR94" s="201"/>
      <c r="WGS94" s="201"/>
      <c r="WGT94" s="201"/>
      <c r="WGU94" s="201"/>
      <c r="WGV94" s="201"/>
      <c r="WGW94" s="201"/>
      <c r="WGX94" s="201"/>
      <c r="WGY94" s="201"/>
      <c r="WGZ94" s="201"/>
      <c r="WHA94" s="201"/>
      <c r="WHB94" s="201"/>
      <c r="WHC94" s="201"/>
      <c r="WHD94" s="201"/>
      <c r="WHE94" s="201"/>
      <c r="WHF94" s="201"/>
      <c r="WHG94" s="201"/>
      <c r="WHH94" s="201"/>
      <c r="WHI94" s="201"/>
      <c r="WHJ94" s="201"/>
      <c r="WHK94" s="201"/>
      <c r="WHL94" s="201"/>
      <c r="WHM94" s="201"/>
      <c r="WHN94" s="201"/>
      <c r="WHO94" s="201"/>
      <c r="WHP94" s="201"/>
      <c r="WHQ94" s="201"/>
      <c r="WHR94" s="201"/>
      <c r="WHS94" s="201"/>
      <c r="WHT94" s="201"/>
      <c r="WHU94" s="201"/>
      <c r="WHV94" s="201"/>
      <c r="WHW94" s="201"/>
      <c r="WHX94" s="201"/>
      <c r="WHY94" s="201"/>
      <c r="WHZ94" s="201"/>
      <c r="WIA94" s="201"/>
      <c r="WIB94" s="201"/>
      <c r="WIC94" s="201"/>
      <c r="WID94" s="201"/>
      <c r="WIE94" s="201"/>
      <c r="WIF94" s="201"/>
      <c r="WIG94" s="201"/>
      <c r="WIH94" s="201"/>
      <c r="WII94" s="201"/>
      <c r="WIJ94" s="201"/>
      <c r="WIK94" s="201"/>
      <c r="WIL94" s="201"/>
      <c r="WIM94" s="201"/>
      <c r="WIN94" s="201"/>
      <c r="WIO94" s="201"/>
      <c r="WIP94" s="201"/>
      <c r="WIQ94" s="201"/>
      <c r="WIR94" s="201"/>
      <c r="WIS94" s="201"/>
      <c r="WIT94" s="201"/>
      <c r="WIU94" s="201"/>
      <c r="WIV94" s="201"/>
      <c r="WIW94" s="201"/>
      <c r="WIX94" s="201"/>
      <c r="WIY94" s="201"/>
      <c r="WIZ94" s="201"/>
      <c r="WJA94" s="201"/>
      <c r="WJB94" s="201"/>
      <c r="WJC94" s="201"/>
      <c r="WJD94" s="201"/>
      <c r="WJE94" s="201"/>
      <c r="WJF94" s="201"/>
      <c r="WJG94" s="201"/>
      <c r="WJH94" s="201"/>
      <c r="WJI94" s="201"/>
      <c r="WJJ94" s="201"/>
      <c r="WJK94" s="201"/>
      <c r="WJL94" s="201"/>
      <c r="WJM94" s="201"/>
      <c r="WJN94" s="201"/>
      <c r="WJO94" s="201"/>
      <c r="WJP94" s="201"/>
      <c r="WJQ94" s="201"/>
      <c r="WJR94" s="201"/>
      <c r="WJS94" s="201"/>
      <c r="WJT94" s="201"/>
      <c r="WJU94" s="201"/>
      <c r="WJV94" s="201"/>
      <c r="WJW94" s="201"/>
      <c r="WJX94" s="201"/>
      <c r="WJY94" s="201"/>
      <c r="WJZ94" s="201"/>
      <c r="WKA94" s="201"/>
      <c r="WKB94" s="201"/>
      <c r="WKC94" s="201"/>
      <c r="WKD94" s="201"/>
      <c r="WKE94" s="201"/>
      <c r="WKF94" s="201"/>
      <c r="WKG94" s="201"/>
      <c r="WKH94" s="201"/>
      <c r="WKI94" s="201"/>
      <c r="WKJ94" s="201"/>
      <c r="WKK94" s="201"/>
      <c r="WKL94" s="201"/>
      <c r="WKM94" s="201"/>
      <c r="WKN94" s="201"/>
      <c r="WKO94" s="201"/>
      <c r="WKP94" s="201"/>
      <c r="WKQ94" s="201"/>
      <c r="WKR94" s="201"/>
      <c r="WKS94" s="201"/>
      <c r="WKT94" s="201"/>
      <c r="WKU94" s="201"/>
      <c r="WKV94" s="201"/>
      <c r="WKW94" s="201"/>
      <c r="WKX94" s="201"/>
      <c r="WKY94" s="201"/>
      <c r="WKZ94" s="201"/>
      <c r="WLA94" s="201"/>
      <c r="WLB94" s="201"/>
      <c r="WLC94" s="201"/>
      <c r="WLD94" s="201"/>
      <c r="WLE94" s="201"/>
      <c r="WLF94" s="201"/>
      <c r="WLG94" s="201"/>
      <c r="WLH94" s="201"/>
      <c r="WLI94" s="201"/>
      <c r="WLJ94" s="201"/>
      <c r="WLK94" s="201"/>
      <c r="WLL94" s="201"/>
      <c r="WLM94" s="201"/>
      <c r="WLN94" s="201"/>
      <c r="WLO94" s="201"/>
      <c r="WLP94" s="201"/>
      <c r="WLQ94" s="201"/>
      <c r="WLR94" s="201"/>
      <c r="WLS94" s="201"/>
      <c r="WLT94" s="201"/>
      <c r="WLU94" s="201"/>
      <c r="WLV94" s="201"/>
      <c r="WLW94" s="201"/>
      <c r="WLX94" s="201"/>
      <c r="WLY94" s="201"/>
      <c r="WLZ94" s="201"/>
      <c r="WMA94" s="201"/>
      <c r="WMB94" s="201"/>
      <c r="WMC94" s="201"/>
      <c r="WMD94" s="201"/>
      <c r="WME94" s="201"/>
      <c r="WMF94" s="201"/>
      <c r="WMG94" s="201"/>
      <c r="WMH94" s="201"/>
      <c r="WMI94" s="201"/>
      <c r="WMJ94" s="201"/>
      <c r="WMK94" s="201"/>
      <c r="WML94" s="201"/>
      <c r="WMM94" s="201"/>
      <c r="WMN94" s="201"/>
      <c r="WMO94" s="201"/>
      <c r="WMP94" s="201"/>
      <c r="WMQ94" s="201"/>
      <c r="WMR94" s="201"/>
      <c r="WMS94" s="201"/>
      <c r="WMT94" s="201"/>
      <c r="WMU94" s="201"/>
      <c r="WMV94" s="201"/>
      <c r="WMW94" s="201"/>
      <c r="WMX94" s="201"/>
      <c r="WMY94" s="201"/>
      <c r="WMZ94" s="201"/>
      <c r="WNA94" s="201"/>
      <c r="WNB94" s="201"/>
      <c r="WNC94" s="201"/>
      <c r="WND94" s="201"/>
      <c r="WNE94" s="201"/>
      <c r="WNF94" s="201"/>
      <c r="WNG94" s="201"/>
      <c r="WNH94" s="201"/>
      <c r="WNI94" s="201"/>
      <c r="WNJ94" s="201"/>
      <c r="WNK94" s="201"/>
      <c r="WNL94" s="201"/>
      <c r="WNM94" s="201"/>
      <c r="WNN94" s="201"/>
      <c r="WNO94" s="201"/>
      <c r="WNP94" s="201"/>
      <c r="WNQ94" s="201"/>
      <c r="WNR94" s="201"/>
      <c r="WNS94" s="201"/>
      <c r="WNT94" s="201"/>
      <c r="WNU94" s="201"/>
      <c r="WNV94" s="201"/>
      <c r="WNW94" s="201"/>
      <c r="WNX94" s="201"/>
      <c r="WNY94" s="201"/>
      <c r="WNZ94" s="201"/>
      <c r="WOA94" s="201"/>
      <c r="WOB94" s="201"/>
      <c r="WOC94" s="201"/>
      <c r="WOD94" s="201"/>
      <c r="WOE94" s="201"/>
      <c r="WOF94" s="201"/>
      <c r="WOG94" s="201"/>
      <c r="WOH94" s="201"/>
      <c r="WOI94" s="201"/>
      <c r="WOJ94" s="201"/>
      <c r="WOK94" s="201"/>
      <c r="WOL94" s="201"/>
      <c r="WOM94" s="201"/>
      <c r="WON94" s="201"/>
      <c r="WOO94" s="201"/>
      <c r="WOP94" s="201"/>
      <c r="WOQ94" s="201"/>
      <c r="WOR94" s="201"/>
      <c r="WOS94" s="201"/>
      <c r="WOT94" s="201"/>
      <c r="WOU94" s="201"/>
      <c r="WOV94" s="201"/>
      <c r="WOW94" s="201"/>
      <c r="WOX94" s="201"/>
      <c r="WOY94" s="201"/>
      <c r="WOZ94" s="201"/>
      <c r="WPA94" s="201"/>
      <c r="WPB94" s="201"/>
      <c r="WPC94" s="201"/>
      <c r="WPD94" s="201"/>
      <c r="WPE94" s="201"/>
      <c r="WPF94" s="201"/>
      <c r="WPG94" s="201"/>
      <c r="WPH94" s="201"/>
      <c r="WPI94" s="201"/>
      <c r="WPJ94" s="201"/>
      <c r="WPK94" s="201"/>
      <c r="WPL94" s="201"/>
      <c r="WPM94" s="201"/>
      <c r="WPN94" s="201"/>
      <c r="WPO94" s="201"/>
      <c r="WPP94" s="201"/>
      <c r="WPQ94" s="201"/>
      <c r="WPR94" s="201"/>
      <c r="WPS94" s="201"/>
      <c r="WPT94" s="201"/>
      <c r="WPU94" s="201"/>
      <c r="WPV94" s="201"/>
      <c r="WPW94" s="201"/>
      <c r="WPX94" s="201"/>
      <c r="WPY94" s="201"/>
      <c r="WPZ94" s="201"/>
      <c r="WQA94" s="201"/>
      <c r="WQB94" s="201"/>
      <c r="WQC94" s="201"/>
      <c r="WQD94" s="201"/>
      <c r="WQE94" s="201"/>
      <c r="WQF94" s="201"/>
      <c r="WQG94" s="201"/>
      <c r="WQH94" s="201"/>
      <c r="WQI94" s="201"/>
      <c r="WQJ94" s="201"/>
      <c r="WQK94" s="201"/>
      <c r="WQL94" s="201"/>
      <c r="WQM94" s="201"/>
      <c r="WQN94" s="201"/>
      <c r="WQO94" s="201"/>
      <c r="WQP94" s="201"/>
      <c r="WQQ94" s="201"/>
      <c r="WQR94" s="201"/>
      <c r="WQS94" s="201"/>
      <c r="WQT94" s="201"/>
      <c r="WQU94" s="201"/>
      <c r="WQV94" s="201"/>
      <c r="WQW94" s="201"/>
      <c r="WQX94" s="201"/>
      <c r="WQY94" s="201"/>
      <c r="WQZ94" s="201"/>
      <c r="WRA94" s="201"/>
      <c r="WRB94" s="201"/>
      <c r="WRC94" s="201"/>
      <c r="WRD94" s="201"/>
      <c r="WRE94" s="201"/>
      <c r="WRF94" s="201"/>
      <c r="WRG94" s="201"/>
      <c r="WRH94" s="201"/>
      <c r="WRI94" s="201"/>
      <c r="WRJ94" s="201"/>
      <c r="WRK94" s="201"/>
      <c r="WRL94" s="201"/>
      <c r="WRM94" s="201"/>
      <c r="WRN94" s="201"/>
      <c r="WRO94" s="201"/>
      <c r="WRP94" s="201"/>
      <c r="WRQ94" s="201"/>
      <c r="WRR94" s="201"/>
      <c r="WRS94" s="201"/>
      <c r="WRT94" s="201"/>
      <c r="WRU94" s="201"/>
      <c r="WRV94" s="201"/>
      <c r="WRW94" s="201"/>
      <c r="WRX94" s="201"/>
      <c r="WRY94" s="201"/>
      <c r="WRZ94" s="201"/>
      <c r="WSA94" s="201"/>
      <c r="WSB94" s="201"/>
      <c r="WSC94" s="201"/>
      <c r="WSD94" s="201"/>
      <c r="WSE94" s="201"/>
      <c r="WSF94" s="201"/>
      <c r="WSG94" s="201"/>
      <c r="WSH94" s="201"/>
      <c r="WSI94" s="201"/>
      <c r="WSJ94" s="201"/>
      <c r="WSK94" s="201"/>
      <c r="WSL94" s="201"/>
      <c r="WSM94" s="201"/>
      <c r="WSN94" s="201"/>
      <c r="WSO94" s="201"/>
      <c r="WSP94" s="201"/>
      <c r="WSQ94" s="201"/>
      <c r="WSR94" s="201"/>
      <c r="WSS94" s="201"/>
      <c r="WST94" s="201"/>
      <c r="WSU94" s="201"/>
      <c r="WSV94" s="201"/>
      <c r="WSW94" s="201"/>
      <c r="WSX94" s="201"/>
      <c r="WSY94" s="201"/>
      <c r="WSZ94" s="201"/>
      <c r="WTA94" s="201"/>
      <c r="WTB94" s="201"/>
      <c r="WTC94" s="201"/>
      <c r="WTD94" s="201"/>
      <c r="WTE94" s="201"/>
      <c r="WTF94" s="201"/>
      <c r="WTG94" s="201"/>
      <c r="WTH94" s="201"/>
      <c r="WTI94" s="201"/>
      <c r="WTJ94" s="201"/>
      <c r="WTK94" s="201"/>
      <c r="WTL94" s="201"/>
      <c r="WTM94" s="201"/>
      <c r="WTN94" s="201"/>
      <c r="WTO94" s="201"/>
      <c r="WTP94" s="201"/>
      <c r="WTQ94" s="201"/>
      <c r="WTR94" s="201"/>
      <c r="WTS94" s="201"/>
      <c r="WTT94" s="201"/>
      <c r="WTU94" s="201"/>
      <c r="WTV94" s="201"/>
      <c r="WTW94" s="201"/>
      <c r="WTX94" s="201"/>
      <c r="WTY94" s="201"/>
      <c r="WTZ94" s="201"/>
      <c r="WUA94" s="201"/>
      <c r="WUB94" s="201"/>
      <c r="WUC94" s="201"/>
      <c r="WUD94" s="201"/>
      <c r="WUE94" s="201"/>
      <c r="WUF94" s="201"/>
      <c r="WUG94" s="201"/>
      <c r="WUH94" s="201"/>
      <c r="WUI94" s="201"/>
      <c r="WUJ94" s="201"/>
      <c r="WUK94" s="201"/>
      <c r="WUL94" s="201"/>
      <c r="WUM94" s="201"/>
      <c r="WUN94" s="201"/>
      <c r="WUO94" s="201"/>
      <c r="WUP94" s="201"/>
      <c r="WUQ94" s="201"/>
      <c r="WUR94" s="201"/>
      <c r="WUS94" s="201"/>
      <c r="WUT94" s="201"/>
      <c r="WUU94" s="201"/>
      <c r="WUV94" s="201"/>
      <c r="WUW94" s="201"/>
      <c r="WUX94" s="201"/>
      <c r="WUY94" s="201"/>
      <c r="WUZ94" s="201"/>
      <c r="WVA94" s="201"/>
      <c r="WVB94" s="201"/>
      <c r="WVC94" s="201"/>
      <c r="WVD94" s="201"/>
      <c r="WVE94" s="201"/>
      <c r="WVF94" s="201"/>
      <c r="WVG94" s="201"/>
      <c r="WVH94" s="201"/>
      <c r="WVI94" s="201"/>
      <c r="WVJ94" s="201"/>
      <c r="WVK94" s="201"/>
      <c r="WVL94" s="201"/>
      <c r="WVM94" s="201"/>
      <c r="WVN94" s="201"/>
      <c r="WVO94" s="201"/>
      <c r="WVP94" s="201"/>
      <c r="WVQ94" s="201"/>
      <c r="WVR94" s="201"/>
      <c r="WVS94" s="201"/>
      <c r="WVT94" s="201"/>
      <c r="WVU94" s="201"/>
      <c r="WVV94" s="201"/>
      <c r="WVW94" s="201"/>
      <c r="WVX94" s="201"/>
      <c r="WVY94" s="201"/>
      <c r="WVZ94" s="201"/>
      <c r="WWA94" s="201"/>
      <c r="WWB94" s="201"/>
      <c r="WWC94" s="201"/>
      <c r="WWD94" s="201"/>
      <c r="WWE94" s="201"/>
      <c r="WWF94" s="201"/>
      <c r="WWG94" s="201"/>
      <c r="WWH94" s="201"/>
      <c r="WWI94" s="201"/>
      <c r="WWJ94" s="201"/>
      <c r="WWK94" s="201"/>
      <c r="WWL94" s="201"/>
      <c r="WWM94" s="201"/>
      <c r="WWN94" s="201"/>
      <c r="WWO94" s="201"/>
      <c r="WWP94" s="201"/>
      <c r="WWQ94" s="201"/>
      <c r="WWR94" s="201"/>
      <c r="WWS94" s="201"/>
      <c r="WWT94" s="201"/>
      <c r="WWU94" s="201"/>
      <c r="WWV94" s="201"/>
      <c r="WWW94" s="201"/>
      <c r="WWX94" s="201"/>
      <c r="WWY94" s="201"/>
      <c r="WWZ94" s="201"/>
      <c r="WXA94" s="201"/>
      <c r="WXB94" s="201"/>
      <c r="WXC94" s="201"/>
      <c r="WXD94" s="201"/>
      <c r="WXE94" s="201"/>
      <c r="WXF94" s="201"/>
      <c r="WXG94" s="201"/>
      <c r="WXH94" s="201"/>
      <c r="WXI94" s="201"/>
      <c r="WXJ94" s="201"/>
      <c r="WXK94" s="201"/>
      <c r="WXL94" s="201"/>
      <c r="WXM94" s="201"/>
      <c r="WXN94" s="201"/>
      <c r="WXO94" s="201"/>
      <c r="WXP94" s="201"/>
      <c r="WXQ94" s="201"/>
      <c r="WXR94" s="201"/>
      <c r="WXS94" s="201"/>
      <c r="WXT94" s="201"/>
      <c r="WXU94" s="201"/>
      <c r="WXV94" s="201"/>
      <c r="WXW94" s="201"/>
      <c r="WXX94" s="201"/>
      <c r="WXY94" s="201"/>
      <c r="WXZ94" s="201"/>
      <c r="WYA94" s="201"/>
      <c r="WYB94" s="201"/>
      <c r="WYC94" s="201"/>
      <c r="WYD94" s="201"/>
      <c r="WYE94" s="201"/>
      <c r="WYF94" s="201"/>
      <c r="WYG94" s="201"/>
      <c r="WYH94" s="201"/>
      <c r="WYI94" s="201"/>
      <c r="WYJ94" s="201"/>
      <c r="WYK94" s="201"/>
      <c r="WYL94" s="201"/>
      <c r="WYM94" s="201"/>
      <c r="WYN94" s="201"/>
      <c r="WYO94" s="201"/>
      <c r="WYP94" s="201"/>
      <c r="WYQ94" s="201"/>
      <c r="WYR94" s="201"/>
      <c r="WYS94" s="201"/>
      <c r="WYT94" s="201"/>
      <c r="WYU94" s="201"/>
      <c r="WYV94" s="201"/>
      <c r="WYW94" s="201"/>
      <c r="WYX94" s="201"/>
      <c r="WYY94" s="201"/>
      <c r="WYZ94" s="201"/>
      <c r="WZA94" s="201"/>
      <c r="WZB94" s="201"/>
      <c r="WZC94" s="201"/>
      <c r="WZD94" s="201"/>
      <c r="WZE94" s="201"/>
      <c r="WZF94" s="201"/>
      <c r="WZG94" s="201"/>
      <c r="WZH94" s="201"/>
      <c r="WZI94" s="201"/>
      <c r="WZJ94" s="201"/>
      <c r="WZK94" s="201"/>
      <c r="WZL94" s="201"/>
      <c r="WZM94" s="201"/>
      <c r="WZN94" s="201"/>
      <c r="WZO94" s="201"/>
      <c r="WZP94" s="201"/>
      <c r="WZQ94" s="201"/>
      <c r="WZR94" s="201"/>
      <c r="WZS94" s="201"/>
      <c r="WZT94" s="201"/>
      <c r="WZU94" s="201"/>
      <c r="WZV94" s="201"/>
      <c r="WZW94" s="201"/>
      <c r="WZX94" s="201"/>
      <c r="WZY94" s="201"/>
      <c r="WZZ94" s="201"/>
      <c r="XAA94" s="201"/>
      <c r="XAB94" s="201"/>
      <c r="XAC94" s="201"/>
      <c r="XAD94" s="201"/>
      <c r="XAE94" s="201"/>
      <c r="XAF94" s="201"/>
      <c r="XAG94" s="201"/>
      <c r="XAH94" s="201"/>
      <c r="XAI94" s="201"/>
      <c r="XAJ94" s="201"/>
      <c r="XAK94" s="201"/>
      <c r="XAL94" s="201"/>
      <c r="XAM94" s="201"/>
      <c r="XAN94" s="201"/>
      <c r="XAO94" s="201"/>
      <c r="XAP94" s="201"/>
      <c r="XAQ94" s="201"/>
      <c r="XAR94" s="201"/>
      <c r="XAS94" s="201"/>
      <c r="XAT94" s="201"/>
      <c r="XAU94" s="201"/>
      <c r="XAV94" s="201"/>
      <c r="XAW94" s="201"/>
      <c r="XAX94" s="201"/>
      <c r="XAY94" s="201"/>
      <c r="XAZ94" s="201"/>
      <c r="XBA94" s="201"/>
      <c r="XBB94" s="201"/>
      <c r="XBC94" s="201"/>
      <c r="XBD94" s="201"/>
      <c r="XBE94" s="201"/>
      <c r="XBF94" s="201"/>
      <c r="XBG94" s="201"/>
      <c r="XBH94" s="201"/>
      <c r="XBI94" s="201"/>
      <c r="XBJ94" s="201"/>
      <c r="XBK94" s="201"/>
      <c r="XBL94" s="201"/>
      <c r="XBM94" s="201"/>
      <c r="XBN94" s="201"/>
      <c r="XBO94" s="201"/>
      <c r="XBP94" s="201"/>
      <c r="XBQ94" s="201"/>
      <c r="XBR94" s="201"/>
      <c r="XBS94" s="201"/>
      <c r="XBT94" s="201"/>
      <c r="XBU94" s="201"/>
      <c r="XBV94" s="201"/>
      <c r="XBW94" s="201"/>
      <c r="XBX94" s="201"/>
      <c r="XBY94" s="201"/>
      <c r="XBZ94" s="201"/>
      <c r="XCA94" s="201"/>
      <c r="XCB94" s="201"/>
      <c r="XCC94" s="201"/>
      <c r="XCD94" s="201"/>
      <c r="XCE94" s="201"/>
      <c r="XCF94" s="201"/>
      <c r="XCG94" s="201"/>
      <c r="XCH94" s="201"/>
      <c r="XCI94" s="201"/>
      <c r="XCJ94" s="201"/>
      <c r="XCK94" s="201"/>
      <c r="XCL94" s="201"/>
      <c r="XCM94" s="201"/>
      <c r="XCN94" s="201"/>
      <c r="XCO94" s="201"/>
      <c r="XCP94" s="201"/>
      <c r="XCQ94" s="201"/>
      <c r="XCR94" s="201"/>
      <c r="XCS94" s="201"/>
      <c r="XCT94" s="201"/>
      <c r="XCU94" s="201"/>
      <c r="XCV94" s="201"/>
      <c r="XCW94" s="201"/>
      <c r="XCX94" s="201"/>
      <c r="XCY94" s="201"/>
      <c r="XCZ94" s="201"/>
      <c r="XDA94" s="201"/>
      <c r="XDB94" s="201"/>
      <c r="XDC94" s="201"/>
      <c r="XDD94" s="201"/>
      <c r="XDE94" s="201"/>
      <c r="XDF94" s="201"/>
      <c r="XDG94" s="201"/>
      <c r="XDH94" s="201"/>
      <c r="XDI94" s="201"/>
      <c r="XDJ94" s="201"/>
      <c r="XDK94" s="201"/>
      <c r="XDL94" s="201"/>
      <c r="XDM94" s="201"/>
      <c r="XDN94" s="201"/>
      <c r="XDO94" s="201"/>
      <c r="XDP94" s="201"/>
      <c r="XDQ94" s="201"/>
      <c r="XDR94" s="201"/>
      <c r="XDS94" s="201"/>
      <c r="XDT94" s="201"/>
      <c r="XDU94" s="201"/>
      <c r="XDV94" s="201"/>
      <c r="XDW94" s="201"/>
      <c r="XDX94" s="201"/>
      <c r="XDY94" s="201"/>
      <c r="XDZ94" s="201"/>
      <c r="XEA94" s="201"/>
      <c r="XEB94" s="201"/>
      <c r="XEC94" s="201"/>
      <c r="XED94" s="201"/>
      <c r="XEE94" s="201"/>
      <c r="XEF94" s="201"/>
      <c r="XEG94" s="201"/>
      <c r="XEH94" s="201"/>
      <c r="XEI94" s="201"/>
      <c r="XEJ94" s="201"/>
      <c r="XEK94" s="201"/>
      <c r="XEL94" s="201"/>
      <c r="XEM94" s="201"/>
      <c r="XEN94" s="201"/>
      <c r="XEO94" s="201"/>
      <c r="XEP94" s="201"/>
      <c r="XEQ94" s="201"/>
      <c r="XER94" s="201"/>
      <c r="XES94" s="201"/>
      <c r="XET94" s="201"/>
      <c r="XEU94" s="201"/>
      <c r="XEV94" s="201"/>
      <c r="XEW94" s="201"/>
      <c r="XEX94" s="201"/>
      <c r="XEY94" s="201"/>
      <c r="XEZ94" s="201"/>
      <c r="XFA94" s="201"/>
      <c r="XFB94" s="201"/>
      <c r="XFC94" s="201"/>
      <c r="XFD94" s="201"/>
    </row>
    <row r="95" spans="1:16384" outlineLevel="1" x14ac:dyDescent="0.3">
      <c r="A95" s="202"/>
      <c r="B95" s="202"/>
      <c r="C95" s="202"/>
      <c r="D95" s="202"/>
      <c r="E95" s="202"/>
      <c r="F95" s="202"/>
      <c r="G95" s="202"/>
      <c r="H95" s="202"/>
      <c r="I95" s="202"/>
    </row>
    <row r="96" spans="1:16384" ht="60" customHeight="1" outlineLevel="1" x14ac:dyDescent="0.3">
      <c r="A96" s="185" t="s">
        <v>125</v>
      </c>
      <c r="B96" s="200" t="s">
        <v>126</v>
      </c>
      <c r="C96" s="203" t="s">
        <v>199</v>
      </c>
      <c r="D96" s="185" t="s">
        <v>128</v>
      </c>
      <c r="E96" s="213" t="s">
        <v>129</v>
      </c>
      <c r="F96" s="214" t="s">
        <v>130</v>
      </c>
      <c r="G96" s="200" t="s">
        <v>131</v>
      </c>
      <c r="H96" s="200"/>
      <c r="I96" s="200"/>
    </row>
    <row r="97" spans="1:9" ht="60" customHeight="1" outlineLevel="1" x14ac:dyDescent="0.3">
      <c r="A97" s="185"/>
      <c r="B97" s="200"/>
      <c r="C97" s="203"/>
      <c r="D97" s="185"/>
      <c r="E97" s="213"/>
      <c r="F97" s="214"/>
      <c r="G97" s="86" t="s">
        <v>112</v>
      </c>
      <c r="H97" s="86" t="s">
        <v>110</v>
      </c>
      <c r="I97" s="86" t="s">
        <v>111</v>
      </c>
    </row>
    <row r="98" spans="1:9" ht="24" customHeight="1" outlineLevel="1" x14ac:dyDescent="0.3">
      <c r="A98" s="34" t="e">
        <f>IF(ПРИЛОЖЕНИЕ!$A95=0,SUMIFS('итог '!L:L,'итог '!$B:$B,ПРИЛОЖЕНИЕ!$A94),SUMIFS('итог '!L:L,'итог '!$B:$B,ПРИЛОЖЕНИЕ!$A94,'итог '!$D:$D,ПРИЛОЖЕНИЕ!$A95))</f>
        <v>#REF!</v>
      </c>
      <c r="B98" s="35" t="e">
        <f>IF(ПРИЛОЖЕНИЕ!$A95=0,SUMIFS('итог '!M:M,'итог '!$B:$B,ПРИЛОЖЕНИЕ!$A94),SUMIFS('итог '!M:M,'итог '!$B:$B,ПРИЛОЖЕНИЕ!$A94,'итог '!$D:$D,ПРИЛОЖЕНИЕ!$A95))</f>
        <v>#REF!</v>
      </c>
      <c r="C98" s="34">
        <f>IF(ПРИЛОЖЕНИЕ!$A95=0,SUMIFS('итог '!Q:Q,'итог '!$B:$B,ПРИЛОЖЕНИЕ!$A94),SUMIFS('итог '!Q:Q,'итог '!$B:$B,ПРИЛОЖЕНИЕ!$A94,'итог '!$D:$D,ПРИЛОЖЕНИЕ!$A95))</f>
        <v>29</v>
      </c>
      <c r="D98" s="34">
        <f>IF(ПРИЛОЖЕНИЕ!$A95=0,SUMIFS('итог '!S:S,'итог '!$B:$B,ПРИЛОЖЕНИЕ!$A94),SUMIFS('итог '!S:S,'итог '!$B:$B,ПРИЛОЖЕНИЕ!$A94,'итог '!$D:$D,ПРИЛОЖЕНИЕ!$A95))</f>
        <v>30</v>
      </c>
      <c r="E98" s="36" t="e">
        <f>IF(ПРИЛОЖЕНИЕ!$A95=0,SUMIFS('итог '!T:T,'итог '!$B:$B,ПРИЛОЖЕНИЕ!$A94),SUMIFS('итог '!T:T,'итог '!$B:$B,ПРИЛОЖЕНИЕ!$A94,'итог '!$D:$D,ПРИЛОЖЕНИЕ!$A95))</f>
        <v>#REF!</v>
      </c>
      <c r="F98" s="35" t="e">
        <f>IF(ПРИЛОЖЕНИЕ!$A95=0,SUMIFS('итог '!V:V,'итог '!$B:$B,ПРИЛОЖЕНИЕ!$A94),SUMIFS('итог '!V:V,'итог '!$B:$B,ПРИЛОЖЕНИЕ!$A94,'итог '!$D:$D,ПРИЛОЖЕНИЕ!$A95))</f>
        <v>#REF!</v>
      </c>
      <c r="G98" s="35">
        <f>IF(ПРИЛОЖЕНИЕ!$A95=0,SUMIFS('итог '!W:W,'итог '!$B:$B,ПРИЛОЖЕНИЕ!$A94),SUMIFS('итог '!W:W,'итог '!$B:$B,ПРИЛОЖЕНИЕ!$A94,'итог '!$D:$D,ПРИЛОЖЕНИЕ!$A95))</f>
        <v>22633352</v>
      </c>
      <c r="H98" s="35">
        <f>IF(ПРИЛОЖЕНИЕ!$A95=0,SUMIFS('итог '!X:X,'итог '!$B:$B,ПРИЛОЖЕНИЕ!$A94),SUMIFS('итог '!X:X,'итог '!$B:$B,ПРИЛОЖЕНИЕ!$A94,'итог '!$D:$D,ПРИЛОЖЕНИЕ!$A95))</f>
        <v>22470346</v>
      </c>
      <c r="I98" s="35">
        <f>IF(ПРИЛОЖЕНИЕ!$A95=0,SUMIFS('итог '!Y:Y,'итог '!$B:$B,ПРИЛОЖЕНИЕ!$A94),SUMIFS('итог '!Y:Y,'итог '!$B:$B,ПРИЛОЖЕНИЕ!$A94,'итог '!$D:$D,ПРИЛОЖЕНИЕ!$A95))</f>
        <v>163006</v>
      </c>
    </row>
    <row r="99" spans="1:9" outlineLevel="1" x14ac:dyDescent="0.3">
      <c r="A99" s="37"/>
      <c r="B99" s="38"/>
      <c r="C99" s="37"/>
      <c r="D99" s="37"/>
      <c r="E99" s="39"/>
      <c r="F99" s="38"/>
      <c r="G99" s="38"/>
      <c r="H99" s="38"/>
      <c r="I99" s="38"/>
    </row>
    <row r="100" spans="1:9" outlineLevel="1" x14ac:dyDescent="0.3">
      <c r="B100" s="87" t="s">
        <v>204</v>
      </c>
      <c r="C100" s="37"/>
      <c r="D100" s="37"/>
      <c r="E100" s="39"/>
      <c r="F100" s="38"/>
      <c r="G100" s="38"/>
      <c r="H100" s="38"/>
      <c r="I100" s="38"/>
    </row>
    <row r="101" spans="1:9" outlineLevel="1" x14ac:dyDescent="0.3">
      <c r="B101" s="38" t="s">
        <v>135</v>
      </c>
      <c r="C101" s="37"/>
      <c r="D101" s="37"/>
      <c r="E101" s="39"/>
      <c r="F101" s="38"/>
      <c r="G101" s="41"/>
      <c r="H101" s="38" t="s">
        <v>136</v>
      </c>
      <c r="I101" s="38"/>
    </row>
    <row r="102" spans="1:9" outlineLevel="1" x14ac:dyDescent="0.3"/>
    <row r="103" spans="1:9" outlineLevel="1" x14ac:dyDescent="0.3">
      <c r="I103" s="45" t="str">
        <f>IF(I109&lt;0,"Приложение №1","")</f>
        <v/>
      </c>
    </row>
    <row r="104" spans="1:9" ht="25.5" outlineLevel="1" x14ac:dyDescent="0.3">
      <c r="A104" s="201" t="s">
        <v>132</v>
      </c>
      <c r="B104" s="201"/>
      <c r="C104" s="201"/>
      <c r="D104" s="201"/>
      <c r="E104" s="201"/>
      <c r="F104" s="201"/>
      <c r="G104" s="201"/>
      <c r="H104" s="201"/>
      <c r="I104" s="201"/>
    </row>
    <row r="105" spans="1:9" ht="25.5" outlineLevel="1" x14ac:dyDescent="0.3">
      <c r="A105" s="201" t="s">
        <v>54</v>
      </c>
      <c r="B105" s="201"/>
      <c r="C105" s="201"/>
      <c r="D105" s="201"/>
      <c r="E105" s="201"/>
      <c r="F105" s="201"/>
      <c r="G105" s="201"/>
      <c r="H105" s="201"/>
      <c r="I105" s="201"/>
    </row>
    <row r="106" spans="1:9" outlineLevel="1" x14ac:dyDescent="0.3">
      <c r="A106" s="202"/>
      <c r="B106" s="202"/>
      <c r="C106" s="202"/>
      <c r="D106" s="202"/>
      <c r="E106" s="202"/>
      <c r="F106" s="202"/>
      <c r="G106" s="202"/>
      <c r="H106" s="202"/>
      <c r="I106" s="202"/>
    </row>
    <row r="107" spans="1:9" s="24" customFormat="1" ht="60" customHeight="1" outlineLevel="1" x14ac:dyDescent="0.25">
      <c r="A107" s="185" t="s">
        <v>125</v>
      </c>
      <c r="B107" s="200" t="s">
        <v>126</v>
      </c>
      <c r="C107" s="203" t="s">
        <v>199</v>
      </c>
      <c r="D107" s="185" t="s">
        <v>128</v>
      </c>
      <c r="E107" s="213" t="s">
        <v>129</v>
      </c>
      <c r="F107" s="214" t="s">
        <v>130</v>
      </c>
      <c r="G107" s="200" t="s">
        <v>131</v>
      </c>
      <c r="H107" s="200"/>
      <c r="I107" s="200"/>
    </row>
    <row r="108" spans="1:9" s="24" customFormat="1" ht="60" customHeight="1" outlineLevel="1" x14ac:dyDescent="0.25">
      <c r="A108" s="185"/>
      <c r="B108" s="200"/>
      <c r="C108" s="203"/>
      <c r="D108" s="185"/>
      <c r="E108" s="213"/>
      <c r="F108" s="214"/>
      <c r="G108" s="49" t="s">
        <v>112</v>
      </c>
      <c r="H108" s="49" t="s">
        <v>110</v>
      </c>
      <c r="I108" s="49" t="s">
        <v>111</v>
      </c>
    </row>
    <row r="109" spans="1:9" ht="24" customHeight="1" outlineLevel="1" x14ac:dyDescent="0.3">
      <c r="A109" s="34" t="e">
        <f>IF(ПРИЛОЖЕНИЕ!$A106=0,SUMIFS('итог '!L:L,'итог '!$B:$B,ПРИЛОЖЕНИЕ!$A105),SUMIFS('итог '!L:L,'итог '!$B:$B,ПРИЛОЖЕНИЕ!$A105,'итог '!$D:$D,ПРИЛОЖЕНИЕ!$A106))</f>
        <v>#REF!</v>
      </c>
      <c r="B109" s="35" t="e">
        <f>IF(ПРИЛОЖЕНИЕ!$A106=0,SUMIFS('итог '!M:M,'итог '!$B:$B,ПРИЛОЖЕНИЕ!$A105),SUMIFS('итог '!M:M,'итог '!$B:$B,ПРИЛОЖЕНИЕ!$A105,'итог '!$D:$D,ПРИЛОЖЕНИЕ!$A106))</f>
        <v>#REF!</v>
      </c>
      <c r="C109" s="34">
        <f>IF(ПРИЛОЖЕНИЕ!$A106=0,SUMIFS('итог '!Q:Q,'итог '!$B:$B,ПРИЛОЖЕНИЕ!$A105),SUMIFS('итог '!Q:Q,'итог '!$B:$B,ПРИЛОЖЕНИЕ!$A105,'итог '!$D:$D,ПРИЛОЖЕНИЕ!$A106))</f>
        <v>23.799999999999997</v>
      </c>
      <c r="D109" s="34">
        <f>IF(ПРИЛОЖЕНИЕ!$A106=0,SUMIFS('итог '!S:S,'итог '!$B:$B,ПРИЛОЖЕНИЕ!$A105),SUMIFS('итог '!S:S,'итог '!$B:$B,ПРИЛОЖЕНИЕ!$A105,'итог '!$D:$D,ПРИЛОЖЕНИЕ!$A106))</f>
        <v>13.5</v>
      </c>
      <c r="E109" s="36" t="e">
        <f>IF(ПРИЛОЖЕНИЕ!$A106=0,SUMIFS('итог '!T:T,'итог '!$B:$B,ПРИЛОЖЕНИЕ!$A105),SUMIFS('итог '!T:T,'итог '!$B:$B,ПРИЛОЖЕНИЕ!$A105,'итог '!$D:$D,ПРИЛОЖЕНИЕ!$A106))</f>
        <v>#REF!</v>
      </c>
      <c r="F109" s="35" t="e">
        <f>IF(ПРИЛОЖЕНИЕ!$A106=0,SUMIFS('итог '!V:V,'итог '!$B:$B,ПРИЛОЖЕНИЕ!$A105),SUMIFS('итог '!V:V,'итог '!$B:$B,ПРИЛОЖЕНИЕ!$A105,'итог '!$D:$D,ПРИЛОЖЕНИЕ!$A106))</f>
        <v>#REF!</v>
      </c>
      <c r="G109" s="35">
        <f>IF(ПРИЛОЖЕНИЕ!$A106=0,SUMIFS('итог '!W:W,'итог '!$B:$B,ПРИЛОЖЕНИЕ!$A105),SUMIFS('итог '!W:W,'итог '!$B:$B,ПРИЛОЖЕНИЕ!$A105,'итог '!$D:$D,ПРИЛОЖЕНИЕ!$A106))</f>
        <v>22635648</v>
      </c>
      <c r="H109" s="35">
        <f>IF(ПРИЛОЖЕНИЕ!$A106=0,SUMIFS('итог '!X:X,'итог '!$B:$B,ПРИЛОЖЕНИЕ!$A105),SUMIFS('итог '!X:X,'итог '!$B:$B,ПРИЛОЖЕНИЕ!$A105,'итог '!$D:$D,ПРИЛОЖЕНИЕ!$A106))</f>
        <v>18779706</v>
      </c>
      <c r="I109" s="35">
        <f>IF(ПРИЛОЖЕНИЕ!$A106=0,SUMIFS('итог '!Y:Y,'итог '!$B:$B,ПРИЛОЖЕНИЕ!$A105),SUMIFS('итог '!Y:Y,'итог '!$B:$B,ПРИЛОЖЕНИЕ!$A105,'итог '!$D:$D,ПРИЛОЖЕНИЕ!$A106))</f>
        <v>3855942</v>
      </c>
    </row>
    <row r="110" spans="1:9" outlineLevel="1" x14ac:dyDescent="0.3">
      <c r="A110" s="37"/>
      <c r="B110" s="38"/>
      <c r="C110" s="37"/>
      <c r="D110" s="37"/>
      <c r="E110" s="39"/>
      <c r="F110" s="38"/>
      <c r="G110" s="38"/>
      <c r="H110" s="38"/>
      <c r="I110" s="38"/>
    </row>
    <row r="111" spans="1:9" outlineLevel="1" x14ac:dyDescent="0.3">
      <c r="A111" s="37"/>
      <c r="B111" s="40" t="s">
        <v>134</v>
      </c>
      <c r="C111" s="37"/>
      <c r="D111" s="37"/>
      <c r="E111" s="39"/>
      <c r="F111" s="38"/>
      <c r="G111" s="38"/>
      <c r="H111" s="38"/>
      <c r="I111" s="38"/>
    </row>
    <row r="112" spans="1:9" ht="36" customHeight="1" outlineLevel="1" x14ac:dyDescent="0.3">
      <c r="A112" s="37"/>
      <c r="B112" s="38" t="s">
        <v>135</v>
      </c>
      <c r="C112" s="37"/>
      <c r="D112" s="37"/>
      <c r="E112" s="39"/>
      <c r="F112" s="38"/>
      <c r="G112" s="41"/>
      <c r="H112" s="38" t="s">
        <v>136</v>
      </c>
      <c r="I112" s="38"/>
    </row>
    <row r="113" spans="1:9" outlineLevel="1" x14ac:dyDescent="0.3"/>
    <row r="114" spans="1:9" outlineLevel="1" x14ac:dyDescent="0.3">
      <c r="I114" s="88" t="str">
        <f>IF(I120&lt;0,"Приложение №1","")</f>
        <v>Приложение №1</v>
      </c>
    </row>
    <row r="115" spans="1:9" ht="30" customHeight="1" outlineLevel="1" x14ac:dyDescent="0.3">
      <c r="A115" s="201" t="s">
        <v>132</v>
      </c>
      <c r="B115" s="201"/>
      <c r="C115" s="201"/>
      <c r="D115" s="201"/>
      <c r="E115" s="201"/>
      <c r="F115" s="201"/>
      <c r="G115" s="201"/>
      <c r="H115" s="201"/>
      <c r="I115" s="201"/>
    </row>
    <row r="116" spans="1:9" ht="30" customHeight="1" outlineLevel="1" x14ac:dyDescent="0.3">
      <c r="A116" s="201" t="s">
        <v>137</v>
      </c>
      <c r="B116" s="201"/>
      <c r="C116" s="201"/>
      <c r="D116" s="201"/>
      <c r="E116" s="201"/>
      <c r="F116" s="201"/>
      <c r="G116" s="201"/>
      <c r="H116" s="201"/>
      <c r="I116" s="201"/>
    </row>
    <row r="117" spans="1:9" outlineLevel="1" x14ac:dyDescent="0.3">
      <c r="A117" s="215" t="s">
        <v>9</v>
      </c>
      <c r="B117" s="215"/>
      <c r="C117" s="215"/>
      <c r="D117" s="215"/>
      <c r="E117" s="215"/>
      <c r="F117" s="215"/>
      <c r="G117" s="215"/>
      <c r="H117" s="215"/>
      <c r="I117" s="215"/>
    </row>
    <row r="118" spans="1:9" ht="60" customHeight="1" outlineLevel="1" x14ac:dyDescent="0.3">
      <c r="A118" s="185" t="s">
        <v>125</v>
      </c>
      <c r="B118" s="200" t="s">
        <v>126</v>
      </c>
      <c r="C118" s="203" t="s">
        <v>199</v>
      </c>
      <c r="D118" s="185" t="s">
        <v>128</v>
      </c>
      <c r="E118" s="213" t="s">
        <v>129</v>
      </c>
      <c r="F118" s="214" t="s">
        <v>130</v>
      </c>
      <c r="G118" s="200" t="s">
        <v>131</v>
      </c>
      <c r="H118" s="200"/>
      <c r="I118" s="200"/>
    </row>
    <row r="119" spans="1:9" ht="60" customHeight="1" outlineLevel="1" x14ac:dyDescent="0.3">
      <c r="A119" s="185"/>
      <c r="B119" s="200"/>
      <c r="C119" s="203"/>
      <c r="D119" s="185"/>
      <c r="E119" s="213"/>
      <c r="F119" s="214"/>
      <c r="G119" s="86" t="s">
        <v>112</v>
      </c>
      <c r="H119" s="86" t="s">
        <v>110</v>
      </c>
      <c r="I119" s="86" t="s">
        <v>111</v>
      </c>
    </row>
    <row r="120" spans="1:9" ht="24" customHeight="1" outlineLevel="1" x14ac:dyDescent="0.3">
      <c r="A120" s="34" t="e">
        <f>IF(ПРИЛОЖЕНИЕ!$A117=0,SUMIFS('итог '!L:L,'итог '!$B:$B,ПРИЛОЖЕНИЕ!$A116),SUMIFS('итог '!L:L,'итог '!$B:$B,ПРИЛОЖЕНИЕ!$A116,'итог '!$D:$D,ПРИЛОЖЕНИЕ!$A117))</f>
        <v>#REF!</v>
      </c>
      <c r="B120" s="35" t="e">
        <f>IF(ПРИЛОЖЕНИЕ!$A117=0,SUMIFS('итог '!M:M,'итог '!$B:$B,ПРИЛОЖЕНИЕ!$A116),SUMIFS('итог '!M:M,'итог '!$B:$B,ПРИЛОЖЕНИЕ!$A116,'итог '!$D:$D,ПРИЛОЖЕНИЕ!$A117))</f>
        <v>#REF!</v>
      </c>
      <c r="C120" s="34">
        <f>IF(ПРИЛОЖЕНИЕ!$A117=0,SUMIFS('итог '!Q:Q,'итог '!$B:$B,ПРИЛОЖЕНИЕ!$A116),SUMIFS('итог '!Q:Q,'итог '!$B:$B,ПРИЛОЖЕНИЕ!$A116,'итог '!$D:$D,ПРИЛОЖЕНИЕ!$A117))</f>
        <v>27.76</v>
      </c>
      <c r="D120" s="34">
        <f>IF(ПРИЛОЖЕНИЕ!$A117=0,SUMIFS('итог '!S:S,'итог '!$B:$B,ПРИЛОЖЕНИЕ!$A116),SUMIFS('итог '!S:S,'итог '!$B:$B,ПРИЛОЖЕНИЕ!$A116,'итог '!$D:$D,ПРИЛОЖЕНИЕ!$A117))</f>
        <v>1.07</v>
      </c>
      <c r="E120" s="36" t="e">
        <f>IF(ПРИЛОЖЕНИЕ!$A117=0,SUMIFS('итог '!T:T,'итог '!$B:$B,ПРИЛОЖЕНИЕ!$A116),SUMIFS('итог '!T:T,'итог '!$B:$B,ПРИЛОЖЕНИЕ!$A116,'итог '!$D:$D,ПРИЛОЖЕНИЕ!$A117))</f>
        <v>#REF!</v>
      </c>
      <c r="F120" s="35" t="e">
        <f>IF(ПРИЛОЖЕНИЕ!$A117=0,SUMIFS('итог '!V:V,'итог '!$B:$B,ПРИЛОЖЕНИЕ!$A116),SUMIFS('итог '!V:V,'итог '!$B:$B,ПРИЛОЖЕНИЕ!$A116,'итог '!$D:$D,ПРИЛОЖЕНИЕ!$A117))</f>
        <v>#REF!</v>
      </c>
      <c r="G120" s="35">
        <f>IF(ПРИЛОЖЕНИЕ!$A117=0,SUMIFS('итог '!W:W,'итог '!$B:$B,ПРИЛОЖЕНИЕ!$A116),SUMIFS('итог '!W:W,'итог '!$B:$B,ПРИЛОЖЕНИЕ!$A116,'итог '!$D:$D,ПРИЛОЖЕНИЕ!$A117))</f>
        <v>17678879</v>
      </c>
      <c r="H120" s="35">
        <f>IF(ПРИЛОЖЕНИЕ!$A117=0,SUMIFS('итог '!X:X,'итог '!$B:$B,ПРИЛОЖЕНИЕ!$A116),SUMIFS('итог '!X:X,'итог '!$B:$B,ПРИЛОЖЕНИЕ!$A116,'итог '!$D:$D,ПРИЛОЖЕНИЕ!$A117))</f>
        <v>17836602</v>
      </c>
      <c r="I120" s="35">
        <f>IF(ПРИЛОЖЕНИЕ!$A117=0,SUMIFS('итог '!Y:Y,'итог '!$B:$B,ПРИЛОЖЕНИЕ!$A116),SUMIFS('итог '!Y:Y,'итог '!$B:$B,ПРИЛОЖЕНИЕ!$A116,'итог '!$D:$D,ПРИЛОЖЕНИЕ!$A117))</f>
        <v>-157723</v>
      </c>
    </row>
    <row r="121" spans="1:9" outlineLevel="1" x14ac:dyDescent="0.3">
      <c r="A121" s="37"/>
      <c r="B121" s="38"/>
      <c r="C121" s="37"/>
      <c r="D121" s="37"/>
      <c r="E121" s="39"/>
      <c r="F121" s="38"/>
      <c r="G121" s="38"/>
      <c r="H121" s="38"/>
      <c r="I121" s="38"/>
    </row>
    <row r="122" spans="1:9" outlineLevel="1" x14ac:dyDescent="0.3">
      <c r="A122" s="87" t="s">
        <v>198</v>
      </c>
      <c r="C122" s="37"/>
      <c r="D122" s="37"/>
      <c r="E122" s="39"/>
      <c r="F122" s="38"/>
      <c r="G122" s="38"/>
      <c r="H122" s="38"/>
      <c r="I122" s="38"/>
    </row>
    <row r="123" spans="1:9" outlineLevel="1" x14ac:dyDescent="0.3">
      <c r="A123" s="38" t="s">
        <v>135</v>
      </c>
      <c r="C123" s="37"/>
      <c r="D123" s="37"/>
      <c r="E123" s="39"/>
      <c r="F123" s="38"/>
      <c r="G123" s="41"/>
      <c r="H123" s="38" t="s">
        <v>136</v>
      </c>
      <c r="I123" s="38"/>
    </row>
    <row r="124" spans="1:9" outlineLevel="1" x14ac:dyDescent="0.3"/>
    <row r="125" spans="1:9" outlineLevel="1" x14ac:dyDescent="0.3">
      <c r="I125" s="45" t="str">
        <f>IF(I131&lt;0,"Приложение №1","")</f>
        <v/>
      </c>
    </row>
    <row r="126" spans="1:9" ht="25.5" outlineLevel="1" x14ac:dyDescent="0.3">
      <c r="A126" s="201" t="s">
        <v>132</v>
      </c>
      <c r="B126" s="201"/>
      <c r="C126" s="201"/>
      <c r="D126" s="201"/>
      <c r="E126" s="201"/>
      <c r="F126" s="201"/>
      <c r="G126" s="201"/>
      <c r="H126" s="201"/>
      <c r="I126" s="201"/>
    </row>
    <row r="127" spans="1:9" ht="25.5" outlineLevel="1" x14ac:dyDescent="0.3">
      <c r="A127" s="201" t="s">
        <v>137</v>
      </c>
      <c r="B127" s="201"/>
      <c r="C127" s="201"/>
      <c r="D127" s="201"/>
      <c r="E127" s="201"/>
      <c r="F127" s="201"/>
      <c r="G127" s="201"/>
      <c r="H127" s="201"/>
      <c r="I127" s="201"/>
    </row>
    <row r="128" spans="1:9" outlineLevel="1" x14ac:dyDescent="0.3">
      <c r="A128" s="215" t="s">
        <v>14</v>
      </c>
      <c r="B128" s="215"/>
      <c r="C128" s="215"/>
      <c r="D128" s="215"/>
      <c r="E128" s="215"/>
      <c r="F128" s="215"/>
      <c r="G128" s="215"/>
      <c r="H128" s="215"/>
      <c r="I128" s="215"/>
    </row>
    <row r="129" spans="1:9" s="24" customFormat="1" ht="60" customHeight="1" outlineLevel="1" x14ac:dyDescent="0.25">
      <c r="A129" s="185" t="s">
        <v>125</v>
      </c>
      <c r="B129" s="200" t="s">
        <v>126</v>
      </c>
      <c r="C129" s="203" t="s">
        <v>199</v>
      </c>
      <c r="D129" s="185" t="s">
        <v>128</v>
      </c>
      <c r="E129" s="213" t="s">
        <v>129</v>
      </c>
      <c r="F129" s="214" t="s">
        <v>130</v>
      </c>
      <c r="G129" s="200" t="s">
        <v>131</v>
      </c>
      <c r="H129" s="200"/>
      <c r="I129" s="200"/>
    </row>
    <row r="130" spans="1:9" s="24" customFormat="1" ht="60" customHeight="1" outlineLevel="1" x14ac:dyDescent="0.25">
      <c r="A130" s="185"/>
      <c r="B130" s="200"/>
      <c r="C130" s="203"/>
      <c r="D130" s="185"/>
      <c r="E130" s="213"/>
      <c r="F130" s="214"/>
      <c r="G130" s="49" t="s">
        <v>112</v>
      </c>
      <c r="H130" s="49" t="s">
        <v>110</v>
      </c>
      <c r="I130" s="49" t="s">
        <v>111</v>
      </c>
    </row>
    <row r="131" spans="1:9" ht="24" customHeight="1" outlineLevel="1" x14ac:dyDescent="0.3">
      <c r="A131" s="34" t="e">
        <f>IF(ПРИЛОЖЕНИЕ!$A128=0,SUMIFS('итог '!L:L,'итог '!$B:$B,ПРИЛОЖЕНИЕ!$A127),SUMIFS('итог '!L:L,'итог '!$B:$B,ПРИЛОЖЕНИЕ!$A127,'итог '!$D:$D,ПРИЛОЖЕНИЕ!$A128))</f>
        <v>#REF!</v>
      </c>
      <c r="B131" s="35" t="e">
        <f>IF(ПРИЛОЖЕНИЕ!$A128=0,SUMIFS('итог '!M:M,'итог '!$B:$B,ПРИЛОЖЕНИЕ!$A127),SUMIFS('итог '!M:M,'итог '!$B:$B,ПРИЛОЖЕНИЕ!$A127,'итог '!$D:$D,ПРИЛОЖЕНИЕ!$A128))</f>
        <v>#REF!</v>
      </c>
      <c r="C131" s="34">
        <f>IF(ПРИЛОЖЕНИЕ!$A128=0,SUMIFS('итог '!Q:Q,'итог '!$B:$B,ПРИЛОЖЕНИЕ!$A127),SUMIFS('итог '!Q:Q,'итог '!$B:$B,ПРИЛОЖЕНИЕ!$A127,'итог '!$D:$D,ПРИЛОЖЕНИЕ!$A128))</f>
        <v>41.710000000000008</v>
      </c>
      <c r="D131" s="34">
        <f>IF(ПРИЛОЖЕНИЕ!$A128=0,SUMIFS('итог '!S:S,'итог '!$B:$B,ПРИЛОЖЕНИЕ!$A127),SUMIFS('итог '!S:S,'итог '!$B:$B,ПРИЛОЖЕНИЕ!$A127,'итог '!$D:$D,ПРИЛОЖЕНИЕ!$A128))</f>
        <v>1.07</v>
      </c>
      <c r="E131" s="36" t="e">
        <f>IF(ПРИЛОЖЕНИЕ!$A128=0,SUMIFS('итог '!T:T,'итог '!$B:$B,ПРИЛОЖЕНИЕ!$A127),SUMIFS('итог '!T:T,'итог '!$B:$B,ПРИЛОЖЕНИЕ!$A127,'итог '!$D:$D,ПРИЛОЖЕНИЕ!$A128))</f>
        <v>#REF!</v>
      </c>
      <c r="F131" s="35" t="e">
        <f>IF(ПРИЛОЖЕНИЕ!$A128=0,SUMIFS('итог '!V:V,'итог '!$B:$B,ПРИЛОЖЕНИЕ!$A127),SUMIFS('итог '!V:V,'итог '!$B:$B,ПРИЛОЖЕНИЕ!$A127,'итог '!$D:$D,ПРИЛОЖЕНИЕ!$A128))</f>
        <v>#REF!</v>
      </c>
      <c r="G131" s="35">
        <f>IF(ПРИЛОЖЕНИЕ!$A128=0,SUMIFS('итог '!W:W,'итог '!$B:$B,ПРИЛОЖЕНИЕ!$A127),SUMIFS('итог '!W:W,'итог '!$B:$B,ПРИЛОЖЕНИЕ!$A127,'итог '!$D:$D,ПРИЛОЖЕНИЕ!$A128))</f>
        <v>29261232</v>
      </c>
      <c r="H131" s="35">
        <f>IF(ПРИЛОЖЕНИЕ!$A128=0,SUMIFS('итог '!X:X,'итог '!$B:$B,ПРИЛОЖЕНИЕ!$A127),SUMIFS('итог '!X:X,'итог '!$B:$B,ПРИЛОЖЕНИЕ!$A127,'итог '!$D:$D,ПРИЛОЖЕНИЕ!$A128))</f>
        <v>27296824</v>
      </c>
      <c r="I131" s="35">
        <f>IF(ПРИЛОЖЕНИЕ!$A128=0,SUMIFS('итог '!Y:Y,'итог '!$B:$B,ПРИЛОЖЕНИЕ!$A127),SUMIFS('итог '!Y:Y,'итог '!$B:$B,ПРИЛОЖЕНИЕ!$A127,'итог '!$D:$D,ПРИЛОЖЕНИЕ!$A128))</f>
        <v>1964408</v>
      </c>
    </row>
    <row r="132" spans="1:9" outlineLevel="1" x14ac:dyDescent="0.3">
      <c r="A132" s="37"/>
      <c r="B132" s="38"/>
      <c r="C132" s="37"/>
      <c r="D132" s="37"/>
      <c r="E132" s="39"/>
      <c r="F132" s="38"/>
      <c r="G132" s="38"/>
      <c r="H132" s="38"/>
      <c r="I132" s="38"/>
    </row>
    <row r="133" spans="1:9" outlineLevel="1" x14ac:dyDescent="0.3">
      <c r="A133" s="37"/>
      <c r="B133" s="40" t="s">
        <v>134</v>
      </c>
      <c r="C133" s="37"/>
      <c r="D133" s="37"/>
      <c r="E133" s="39"/>
      <c r="F133" s="38"/>
      <c r="G133" s="38"/>
      <c r="H133" s="38"/>
      <c r="I133" s="38"/>
    </row>
    <row r="134" spans="1:9" ht="32.25" customHeight="1" outlineLevel="1" x14ac:dyDescent="0.3">
      <c r="A134" s="37"/>
      <c r="B134" s="38" t="s">
        <v>135</v>
      </c>
      <c r="C134" s="37"/>
      <c r="D134" s="37"/>
      <c r="E134" s="39"/>
      <c r="F134" s="38"/>
      <c r="G134" s="41"/>
      <c r="H134" s="38" t="s">
        <v>136</v>
      </c>
      <c r="I134" s="38"/>
    </row>
    <row r="135" spans="1:9" outlineLevel="1" x14ac:dyDescent="0.3"/>
    <row r="136" spans="1:9" outlineLevel="1" x14ac:dyDescent="0.3">
      <c r="I136" s="88" t="str">
        <f>IF(I142&lt;0,"Приложение №1","")</f>
        <v>Приложение №1</v>
      </c>
    </row>
    <row r="137" spans="1:9" ht="25.5" outlineLevel="1" x14ac:dyDescent="0.3">
      <c r="A137" s="201" t="s">
        <v>132</v>
      </c>
      <c r="B137" s="201"/>
      <c r="C137" s="201"/>
      <c r="D137" s="201"/>
      <c r="E137" s="201"/>
      <c r="F137" s="201"/>
      <c r="G137" s="201"/>
      <c r="H137" s="201"/>
      <c r="I137" s="201"/>
    </row>
    <row r="138" spans="1:9" ht="25.5" outlineLevel="1" x14ac:dyDescent="0.3">
      <c r="A138" s="201" t="s">
        <v>137</v>
      </c>
      <c r="B138" s="201"/>
      <c r="C138" s="201"/>
      <c r="D138" s="201"/>
      <c r="E138" s="201"/>
      <c r="F138" s="201"/>
      <c r="G138" s="201"/>
      <c r="H138" s="201"/>
      <c r="I138" s="201"/>
    </row>
    <row r="139" spans="1:9" outlineLevel="1" x14ac:dyDescent="0.3">
      <c r="A139" s="215" t="s">
        <v>20</v>
      </c>
      <c r="B139" s="215"/>
      <c r="C139" s="215"/>
      <c r="D139" s="215"/>
      <c r="E139" s="215"/>
      <c r="F139" s="215"/>
      <c r="G139" s="215"/>
      <c r="H139" s="215"/>
      <c r="I139" s="215"/>
    </row>
    <row r="140" spans="1:9" s="24" customFormat="1" ht="60" customHeight="1" outlineLevel="1" x14ac:dyDescent="0.25">
      <c r="A140" s="185" t="s">
        <v>125</v>
      </c>
      <c r="B140" s="200" t="s">
        <v>126</v>
      </c>
      <c r="C140" s="203" t="s">
        <v>199</v>
      </c>
      <c r="D140" s="185" t="s">
        <v>128</v>
      </c>
      <c r="E140" s="213" t="s">
        <v>129</v>
      </c>
      <c r="F140" s="214" t="s">
        <v>130</v>
      </c>
      <c r="G140" s="200" t="s">
        <v>131</v>
      </c>
      <c r="H140" s="200"/>
      <c r="I140" s="200"/>
    </row>
    <row r="141" spans="1:9" s="24" customFormat="1" ht="60" customHeight="1" outlineLevel="1" x14ac:dyDescent="0.25">
      <c r="A141" s="185"/>
      <c r="B141" s="200"/>
      <c r="C141" s="203"/>
      <c r="D141" s="185"/>
      <c r="E141" s="213"/>
      <c r="F141" s="214"/>
      <c r="G141" s="86" t="s">
        <v>112</v>
      </c>
      <c r="H141" s="86" t="s">
        <v>110</v>
      </c>
      <c r="I141" s="86" t="s">
        <v>111</v>
      </c>
    </row>
    <row r="142" spans="1:9" ht="24" customHeight="1" outlineLevel="1" x14ac:dyDescent="0.3">
      <c r="A142" s="34" t="e">
        <f>IF(ПРИЛОЖЕНИЕ!$A139=0,SUMIFS('итог '!L:L,'итог '!$B:$B,ПРИЛОЖЕНИЕ!$A138),SUMIFS('итог '!L:L,'итог '!$B:$B,ПРИЛОЖЕНИЕ!$A138,'итог '!$D:$D,ПРИЛОЖЕНИЕ!$A139))</f>
        <v>#REF!</v>
      </c>
      <c r="B142" s="35" t="e">
        <f>IF(ПРИЛОЖЕНИЕ!$A139=0,SUMIFS('итог '!M:M,'итог '!$B:$B,ПРИЛОЖЕНИЕ!$A138),SUMIFS('итог '!M:M,'итог '!$B:$B,ПРИЛОЖЕНИЕ!$A138,'итог '!$D:$D,ПРИЛОЖЕНИЕ!$A139))</f>
        <v>#REF!</v>
      </c>
      <c r="C142" s="34">
        <f>IF(ПРИЛОЖЕНИЕ!$A139=0,SUMIFS('итог '!Q:Q,'итог '!$B:$B,ПРИЛОЖЕНИЕ!$A138),SUMIFS('итог '!Q:Q,'итог '!$B:$B,ПРИЛОЖЕНИЕ!$A138,'итог '!$D:$D,ПРИЛОЖЕНИЕ!$A139))</f>
        <v>62.129999999999995</v>
      </c>
      <c r="D142" s="34">
        <f>IF(ПРИЛОЖЕНИЕ!$A139=0,SUMIFS('итог '!S:S,'итог '!$B:$B,ПРИЛОЖЕНИЕ!$A138),SUMIFS('итог '!S:S,'итог '!$B:$B,ПРИЛОЖЕНИЕ!$A138,'итог '!$D:$D,ПРИЛОЖЕНИЕ!$A139))</f>
        <v>1.05</v>
      </c>
      <c r="E142" s="36" t="e">
        <f>IF(ПРИЛОЖЕНИЕ!$A139=0,SUMIFS('итог '!T:T,'итог '!$B:$B,ПРИЛОЖЕНИЕ!$A138),SUMIFS('итог '!T:T,'итог '!$B:$B,ПРИЛОЖЕНИЕ!$A138,'итог '!$D:$D,ПРИЛОЖЕНИЕ!$A139))</f>
        <v>#REF!</v>
      </c>
      <c r="F142" s="35" t="e">
        <f>IF(ПРИЛОЖЕНИЕ!$A139=0,SUMIFS('итог '!V:V,'итог '!$B:$B,ПРИЛОЖЕНИЕ!$A138),SUMIFS('итог '!V:V,'итог '!$B:$B,ПРИЛОЖЕНИЕ!$A138,'итог '!$D:$D,ПРИЛОЖЕНИЕ!$A139))</f>
        <v>#REF!</v>
      </c>
      <c r="G142" s="35">
        <f>IF(ПРИЛОЖЕНИЕ!$A139=0,SUMIFS('итог '!W:W,'итог '!$B:$B,ПРИЛОЖЕНИЕ!$A138),SUMIFS('итог '!W:W,'итог '!$B:$B,ПРИЛОЖЕНИЕ!$A138,'итог '!$D:$D,ПРИЛОЖЕНИЕ!$A139))</f>
        <v>36218000</v>
      </c>
      <c r="H142" s="35">
        <f>IF(ПРИЛОЖЕНИЕ!$A139=0,SUMIFS('итог '!X:X,'итог '!$B:$B,ПРИЛОЖЕНИЕ!$A138),SUMIFS('итог '!X:X,'итог '!$B:$B,ПРИЛОЖЕНИЕ!$A138,'итог '!$D:$D,ПРИЛОЖЕНИЕ!$A139))</f>
        <v>37339351</v>
      </c>
      <c r="I142" s="35">
        <f>IF(ПРИЛОЖЕНИЕ!$A139=0,SUMIFS('итог '!Y:Y,'итог '!$B:$B,ПРИЛОЖЕНИЕ!$A138),SUMIFS('итог '!Y:Y,'итог '!$B:$B,ПРИЛОЖЕНИЕ!$A138,'итог '!$D:$D,ПРИЛОЖЕНИЕ!$A139))</f>
        <v>-1121351</v>
      </c>
    </row>
    <row r="143" spans="1:9" outlineLevel="1" x14ac:dyDescent="0.3">
      <c r="A143" s="37"/>
      <c r="B143" s="38"/>
      <c r="C143" s="37"/>
      <c r="D143" s="37"/>
      <c r="E143" s="39"/>
      <c r="F143" s="38"/>
      <c r="G143" s="38"/>
      <c r="H143" s="38"/>
      <c r="I143" s="38"/>
    </row>
    <row r="144" spans="1:9" outlineLevel="1" x14ac:dyDescent="0.3">
      <c r="A144" s="87" t="s">
        <v>198</v>
      </c>
      <c r="C144" s="37"/>
      <c r="D144" s="37"/>
      <c r="E144" s="39"/>
      <c r="F144" s="38"/>
      <c r="G144" s="38"/>
      <c r="H144" s="38"/>
      <c r="I144" s="38"/>
    </row>
    <row r="145" spans="1:9" ht="36" customHeight="1" outlineLevel="1" x14ac:dyDescent="0.3">
      <c r="A145" s="38" t="s">
        <v>135</v>
      </c>
      <c r="C145" s="37"/>
      <c r="D145" s="37"/>
      <c r="E145" s="39"/>
      <c r="F145" s="38"/>
      <c r="G145" s="41"/>
      <c r="H145" s="38" t="s">
        <v>136</v>
      </c>
      <c r="I145" s="38"/>
    </row>
    <row r="146" spans="1:9" outlineLevel="1" x14ac:dyDescent="0.3"/>
    <row r="147" spans="1:9" outlineLevel="1" x14ac:dyDescent="0.3">
      <c r="I147" s="88" t="str">
        <f>IF(I153&lt;0,"Приложение №1","")</f>
        <v>Приложение №1</v>
      </c>
    </row>
    <row r="148" spans="1:9" ht="30" customHeight="1" outlineLevel="1" x14ac:dyDescent="0.3">
      <c r="A148" s="201" t="s">
        <v>132</v>
      </c>
      <c r="B148" s="201"/>
      <c r="C148" s="201"/>
      <c r="D148" s="201"/>
      <c r="E148" s="201"/>
      <c r="F148" s="201"/>
      <c r="G148" s="201"/>
      <c r="H148" s="201"/>
      <c r="I148" s="201"/>
    </row>
    <row r="149" spans="1:9" ht="30" customHeight="1" outlineLevel="1" x14ac:dyDescent="0.3">
      <c r="A149" s="201" t="s">
        <v>137</v>
      </c>
      <c r="B149" s="201"/>
      <c r="C149" s="201"/>
      <c r="D149" s="201"/>
      <c r="E149" s="201"/>
      <c r="F149" s="201"/>
      <c r="G149" s="201"/>
      <c r="H149" s="201"/>
      <c r="I149" s="201"/>
    </row>
    <row r="150" spans="1:9" outlineLevel="1" x14ac:dyDescent="0.3">
      <c r="A150" s="215" t="s">
        <v>23</v>
      </c>
      <c r="B150" s="215"/>
      <c r="C150" s="215"/>
      <c r="D150" s="215"/>
      <c r="E150" s="215"/>
      <c r="F150" s="215"/>
      <c r="G150" s="215"/>
      <c r="H150" s="215"/>
      <c r="I150" s="215"/>
    </row>
    <row r="151" spans="1:9" ht="60" customHeight="1" outlineLevel="1" x14ac:dyDescent="0.3">
      <c r="A151" s="185" t="s">
        <v>125</v>
      </c>
      <c r="B151" s="200" t="s">
        <v>126</v>
      </c>
      <c r="C151" s="203" t="s">
        <v>199</v>
      </c>
      <c r="D151" s="185" t="s">
        <v>128</v>
      </c>
      <c r="E151" s="213" t="s">
        <v>129</v>
      </c>
      <c r="F151" s="214" t="s">
        <v>130</v>
      </c>
      <c r="G151" s="200" t="s">
        <v>131</v>
      </c>
      <c r="H151" s="200"/>
      <c r="I151" s="200"/>
    </row>
    <row r="152" spans="1:9" ht="60" customHeight="1" outlineLevel="1" x14ac:dyDescent="0.3">
      <c r="A152" s="185"/>
      <c r="B152" s="200"/>
      <c r="C152" s="203"/>
      <c r="D152" s="185"/>
      <c r="E152" s="213"/>
      <c r="F152" s="214"/>
      <c r="G152" s="86" t="s">
        <v>112</v>
      </c>
      <c r="H152" s="86" t="s">
        <v>110</v>
      </c>
      <c r="I152" s="86" t="s">
        <v>111</v>
      </c>
    </row>
    <row r="153" spans="1:9" ht="24" customHeight="1" outlineLevel="1" x14ac:dyDescent="0.3">
      <c r="A153" s="34" t="e">
        <f>IF(ПРИЛОЖЕНИЕ!$A150=0,SUMIFS('итог '!L:L,'итог '!$B:$B,ПРИЛОЖЕНИЕ!$A149),SUMIFS('итог '!L:L,'итог '!$B:$B,ПРИЛОЖЕНИЕ!$A149,'итог '!$D:$D,ПРИЛОЖЕНИЕ!$A150))</f>
        <v>#REF!</v>
      </c>
      <c r="B153" s="35" t="e">
        <f>IF(ПРИЛОЖЕНИЕ!$A150=0,SUMIFS('итог '!M:M,'итог '!$B:$B,ПРИЛОЖЕНИЕ!$A149),SUMIFS('итог '!M:M,'итог '!$B:$B,ПРИЛОЖЕНИЕ!$A149,'итог '!$D:$D,ПРИЛОЖЕНИЕ!$A150))</f>
        <v>#REF!</v>
      </c>
      <c r="C153" s="34">
        <f>IF(ПРИЛОЖЕНИЕ!$A150=0,SUMIFS('итог '!Q:Q,'итог '!$B:$B,ПРИЛОЖЕНИЕ!$A149),SUMIFS('итог '!Q:Q,'итог '!$B:$B,ПРИЛОЖЕНИЕ!$A149,'итог '!$D:$D,ПРИЛОЖЕНИЕ!$A150))</f>
        <v>26.179999999999996</v>
      </c>
      <c r="D153" s="34">
        <f>IF(ПРИЛОЖЕНИЕ!$A150=0,SUMIFS('итог '!S:S,'итог '!$B:$B,ПРИЛОЖЕНИЕ!$A149),SUMIFS('итог '!S:S,'итог '!$B:$B,ПРИЛОЖЕНИЕ!$A149,'итог '!$D:$D,ПРИЛОЖЕНИЕ!$A150))</f>
        <v>1.07</v>
      </c>
      <c r="E153" s="36" t="e">
        <f>IF(ПРИЛОЖЕНИЕ!$A150=0,SUMIFS('итог '!T:T,'итог '!$B:$B,ПРИЛОЖЕНИЕ!$A149),SUMIFS('итог '!T:T,'итог '!$B:$B,ПРИЛОЖЕНИЕ!$A149,'итог '!$D:$D,ПРИЛОЖЕНИЕ!$A150))</f>
        <v>#REF!</v>
      </c>
      <c r="F153" s="35" t="e">
        <f>IF(ПРИЛОЖЕНИЕ!$A150=0,SUMIFS('итог '!V:V,'итог '!$B:$B,ПРИЛОЖЕНИЕ!$A149),SUMIFS('итог '!V:V,'итог '!$B:$B,ПРИЛОЖЕНИЕ!$A149,'итог '!$D:$D,ПРИЛОЖЕНИЕ!$A150))</f>
        <v>#REF!</v>
      </c>
      <c r="G153" s="35">
        <f>IF(ПРИЛОЖЕНИЕ!$A150=0,SUMIFS('итог '!W:W,'итог '!$B:$B,ПРИЛОЖЕНИЕ!$A149),SUMIFS('итог '!W:W,'итог '!$B:$B,ПРИЛОЖЕНИЕ!$A149,'итог '!$D:$D,ПРИЛОЖЕНИЕ!$A150))</f>
        <v>16059456</v>
      </c>
      <c r="H153" s="35">
        <f>IF(ПРИЛОЖЕНИЕ!$A150=0,SUMIFS('итог '!X:X,'итог '!$B:$B,ПРИЛОЖЕНИЕ!$A149),SUMIFS('итог '!X:X,'итог '!$B:$B,ПРИЛОЖЕНИЕ!$A149,'итог '!$D:$D,ПРИЛОЖЕНИЕ!$A150))</f>
        <v>16109226</v>
      </c>
      <c r="I153" s="35">
        <f>IF(ПРИЛОЖЕНИЕ!$A150=0,SUMIFS('итог '!Y:Y,'итог '!$B:$B,ПРИЛОЖЕНИЕ!$A149),SUMIFS('итог '!Y:Y,'итог '!$B:$B,ПРИЛОЖЕНИЕ!$A149,'итог '!$D:$D,ПРИЛОЖЕНИЕ!$A150))</f>
        <v>-49770</v>
      </c>
    </row>
    <row r="154" spans="1:9" outlineLevel="1" x14ac:dyDescent="0.3">
      <c r="A154" s="37"/>
      <c r="B154" s="38"/>
      <c r="C154" s="37"/>
      <c r="D154" s="37"/>
      <c r="E154" s="39"/>
      <c r="F154" s="38"/>
      <c r="G154" s="38"/>
      <c r="H154" s="38"/>
      <c r="I154" s="38"/>
    </row>
    <row r="155" spans="1:9" outlineLevel="1" x14ac:dyDescent="0.3">
      <c r="A155" s="87" t="s">
        <v>198</v>
      </c>
      <c r="C155" s="37"/>
      <c r="D155" s="37"/>
      <c r="E155" s="39"/>
      <c r="F155" s="38"/>
      <c r="G155" s="38"/>
      <c r="H155" s="38"/>
      <c r="I155" s="38"/>
    </row>
    <row r="156" spans="1:9" outlineLevel="1" x14ac:dyDescent="0.3">
      <c r="A156" s="38" t="s">
        <v>135</v>
      </c>
      <c r="C156" s="37"/>
      <c r="D156" s="37"/>
      <c r="E156" s="39"/>
      <c r="F156" s="38"/>
      <c r="G156" s="41"/>
      <c r="H156" s="38" t="s">
        <v>136</v>
      </c>
      <c r="I156" s="38"/>
    </row>
    <row r="157" spans="1:9" outlineLevel="1" x14ac:dyDescent="0.3"/>
    <row r="158" spans="1:9" outlineLevel="1" x14ac:dyDescent="0.3">
      <c r="I158" s="45" t="str">
        <f>IF(I164&lt;0,"Приложение №1","")</f>
        <v/>
      </c>
    </row>
    <row r="159" spans="1:9" ht="25.5" outlineLevel="1" x14ac:dyDescent="0.3">
      <c r="A159" s="201" t="s">
        <v>132</v>
      </c>
      <c r="B159" s="201"/>
      <c r="C159" s="201"/>
      <c r="D159" s="201"/>
      <c r="E159" s="201"/>
      <c r="F159" s="201"/>
      <c r="G159" s="201"/>
      <c r="H159" s="201"/>
      <c r="I159" s="201"/>
    </row>
    <row r="160" spans="1:9" ht="25.5" outlineLevel="1" x14ac:dyDescent="0.3">
      <c r="A160" s="201" t="s">
        <v>39</v>
      </c>
      <c r="B160" s="201"/>
      <c r="C160" s="201"/>
      <c r="D160" s="201"/>
      <c r="E160" s="201"/>
      <c r="F160" s="201"/>
      <c r="G160" s="201"/>
      <c r="H160" s="201"/>
      <c r="I160" s="201"/>
    </row>
    <row r="161" spans="1:16384" outlineLevel="1" x14ac:dyDescent="0.3">
      <c r="A161" s="215" t="s">
        <v>10</v>
      </c>
      <c r="B161" s="215"/>
      <c r="C161" s="215"/>
      <c r="D161" s="215"/>
      <c r="E161" s="215"/>
      <c r="F161" s="215"/>
      <c r="G161" s="215"/>
      <c r="H161" s="215"/>
      <c r="I161" s="215"/>
    </row>
    <row r="162" spans="1:16384" s="24" customFormat="1" ht="60" customHeight="1" outlineLevel="1" x14ac:dyDescent="0.25">
      <c r="A162" s="185" t="s">
        <v>125</v>
      </c>
      <c r="B162" s="200" t="s">
        <v>126</v>
      </c>
      <c r="C162" s="203" t="s">
        <v>199</v>
      </c>
      <c r="D162" s="185" t="s">
        <v>128</v>
      </c>
      <c r="E162" s="213" t="s">
        <v>129</v>
      </c>
      <c r="F162" s="214" t="s">
        <v>130</v>
      </c>
      <c r="G162" s="200" t="s">
        <v>131</v>
      </c>
      <c r="H162" s="200"/>
      <c r="I162" s="200"/>
    </row>
    <row r="163" spans="1:16384" s="24" customFormat="1" ht="60" customHeight="1" outlineLevel="1" x14ac:dyDescent="0.25">
      <c r="A163" s="185"/>
      <c r="B163" s="200"/>
      <c r="C163" s="203"/>
      <c r="D163" s="185"/>
      <c r="E163" s="213"/>
      <c r="F163" s="214"/>
      <c r="G163" s="49" t="s">
        <v>112</v>
      </c>
      <c r="H163" s="49" t="s">
        <v>110</v>
      </c>
      <c r="I163" s="49" t="s">
        <v>111</v>
      </c>
    </row>
    <row r="164" spans="1:16384" ht="24" customHeight="1" outlineLevel="1" x14ac:dyDescent="0.3">
      <c r="A164" s="34" t="e">
        <f>IF(ПРИЛОЖЕНИЕ!$A161=0,SUMIFS('итог '!L:L,'итог '!$B:$B,ПРИЛОЖЕНИЕ!$A160),SUMIFS('итог '!L:L,'итог '!$B:$B,ПРИЛОЖЕНИЕ!$A160,'итог '!$D:$D,ПРИЛОЖЕНИЕ!$A161))</f>
        <v>#REF!</v>
      </c>
      <c r="B164" s="35" t="e">
        <f>IF(ПРИЛОЖЕНИЕ!$A161=0,SUMIFS('итог '!M:M,'итог '!$B:$B,ПРИЛОЖЕНИЕ!$A160),SUMIFS('итог '!M:M,'итог '!$B:$B,ПРИЛОЖЕНИЕ!$A160,'итог '!$D:$D,ПРИЛОЖЕНИЕ!$A161))</f>
        <v>#REF!</v>
      </c>
      <c r="C164" s="34">
        <f>IF(ПРИЛОЖЕНИЕ!$A161=0,SUMIFS('итог '!Q:Q,'итог '!$B:$B,ПРИЛОЖЕНИЕ!$A160),SUMIFS('итог '!Q:Q,'итог '!$B:$B,ПРИЛОЖЕНИЕ!$A160,'итог '!$D:$D,ПРИЛОЖЕНИЕ!$A161))</f>
        <v>287.28000000000009</v>
      </c>
      <c r="D164" s="34">
        <f>IF(ПРИЛОЖЕНИЕ!$A161=0,SUMIFS('итог '!S:S,'итог '!$B:$B,ПРИЛОЖЕНИЕ!$A160),SUMIFS('итог '!S:S,'итог '!$B:$B,ПРИЛОЖЕНИЕ!$A160,'итог '!$D:$D,ПРИЛОЖЕНИЕ!$A161))</f>
        <v>1.07</v>
      </c>
      <c r="E164" s="36" t="e">
        <f>IF(ПРИЛОЖЕНИЕ!$A161=0,SUMIFS('итог '!T:T,'итог '!$B:$B,ПРИЛОЖЕНИЕ!$A160),SUMIFS('итог '!T:T,'итог '!$B:$B,ПРИЛОЖЕНИЕ!$A160,'итог '!$D:$D,ПРИЛОЖЕНИЕ!$A161))</f>
        <v>#REF!</v>
      </c>
      <c r="F164" s="35" t="e">
        <f>IF(ПРИЛОЖЕНИЕ!$A161=0,SUMIFS('итог '!V:V,'итог '!$B:$B,ПРИЛОЖЕНИЕ!$A160),SUMIFS('итог '!V:V,'итог '!$B:$B,ПРИЛОЖЕНИЕ!$A160,'итог '!$D:$D,ПРИЛОЖЕНИЕ!$A161))</f>
        <v>#REF!</v>
      </c>
      <c r="G164" s="35">
        <f>IF(ПРИЛОЖЕНИЕ!$A161=0,SUMIFS('итог '!W:W,'итог '!$B:$B,ПРИЛОЖЕНИЕ!$A160),SUMIFS('итог '!W:W,'итог '!$B:$B,ПРИЛОЖЕНИЕ!$A160,'итог '!$D:$D,ПРИЛОЖЕНИЕ!$A161))</f>
        <v>162930096</v>
      </c>
      <c r="H164" s="35">
        <f>IF(ПРИЛОЖЕНИЕ!$A161=0,SUMIFS('итог '!X:X,'итог '!$B:$B,ПРИЛОЖЕНИЕ!$A160),SUMIFS('итог '!X:X,'итог '!$B:$B,ПРИЛОЖЕНИЕ!$A160,'итог '!$D:$D,ПРИЛОЖЕНИЕ!$A161))</f>
        <v>152468301</v>
      </c>
      <c r="I164" s="35">
        <f>IF(ПРИЛОЖЕНИЕ!$A161=0,SUMIFS('итог '!Y:Y,'итог '!$B:$B,ПРИЛОЖЕНИЕ!$A160),SUMIFS('итог '!Y:Y,'итог '!$B:$B,ПРИЛОЖЕНИЕ!$A160,'итог '!$D:$D,ПРИЛОЖЕНИЕ!$A161))</f>
        <v>10461795</v>
      </c>
    </row>
    <row r="165" spans="1:16384" outlineLevel="1" x14ac:dyDescent="0.3">
      <c r="A165" s="37"/>
      <c r="B165" s="38"/>
      <c r="C165" s="37"/>
      <c r="D165" s="37"/>
      <c r="E165" s="39"/>
      <c r="F165" s="38"/>
      <c r="G165" s="38"/>
      <c r="H165" s="38"/>
      <c r="I165" s="38"/>
    </row>
    <row r="166" spans="1:16384" outlineLevel="1" x14ac:dyDescent="0.3">
      <c r="A166" s="37"/>
      <c r="B166" s="40" t="s">
        <v>134</v>
      </c>
      <c r="C166" s="37"/>
      <c r="D166" s="37"/>
      <c r="E166" s="39"/>
      <c r="F166" s="38"/>
      <c r="G166" s="38"/>
      <c r="H166" s="38"/>
      <c r="I166" s="38"/>
    </row>
    <row r="167" spans="1:16384" ht="36.75" customHeight="1" outlineLevel="1" x14ac:dyDescent="0.3">
      <c r="A167" s="37"/>
      <c r="B167" s="38" t="s">
        <v>135</v>
      </c>
      <c r="C167" s="37"/>
      <c r="D167" s="37"/>
      <c r="E167" s="39"/>
      <c r="F167" s="38"/>
      <c r="G167" s="41"/>
      <c r="H167" s="38" t="s">
        <v>136</v>
      </c>
      <c r="I167" s="38"/>
    </row>
    <row r="168" spans="1:16384" outlineLevel="1" x14ac:dyDescent="0.3"/>
    <row r="169" spans="1:16384" outlineLevel="1" x14ac:dyDescent="0.3">
      <c r="I169" s="88" t="str">
        <f>IF(I175&lt;0,"Приложение №1","")</f>
        <v>Приложение №1</v>
      </c>
    </row>
    <row r="170" spans="1:16384" ht="25.5" outlineLevel="1" x14ac:dyDescent="0.3">
      <c r="A170" s="201" t="s">
        <v>132</v>
      </c>
      <c r="B170" s="201"/>
      <c r="C170" s="201"/>
      <c r="D170" s="201"/>
      <c r="E170" s="201"/>
      <c r="F170" s="201"/>
      <c r="G170" s="201"/>
      <c r="H170" s="201"/>
      <c r="I170" s="201"/>
    </row>
    <row r="171" spans="1:16384" ht="25.5" outlineLevel="1" x14ac:dyDescent="0.3">
      <c r="A171" s="201" t="s">
        <v>39</v>
      </c>
      <c r="B171" s="201"/>
      <c r="C171" s="201"/>
      <c r="D171" s="201"/>
      <c r="E171" s="201"/>
      <c r="F171" s="201"/>
      <c r="G171" s="201"/>
      <c r="H171" s="201"/>
      <c r="I171" s="201"/>
      <c r="J171" s="201"/>
      <c r="K171" s="201"/>
      <c r="L171" s="201"/>
      <c r="M171" s="201"/>
      <c r="N171" s="201"/>
      <c r="O171" s="201"/>
      <c r="P171" s="201"/>
      <c r="Q171" s="201"/>
      <c r="R171" s="201"/>
      <c r="S171" s="201"/>
      <c r="T171" s="201"/>
      <c r="U171" s="201"/>
      <c r="V171" s="201"/>
      <c r="W171" s="201"/>
      <c r="X171" s="201"/>
      <c r="Y171" s="201"/>
      <c r="Z171" s="201"/>
      <c r="AA171" s="201"/>
      <c r="AB171" s="201"/>
      <c r="AC171" s="201"/>
      <c r="AD171" s="201"/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  <c r="BY171" s="201"/>
      <c r="BZ171" s="201"/>
      <c r="CA171" s="201"/>
      <c r="CB171" s="201"/>
      <c r="CC171" s="201"/>
      <c r="CD171" s="201"/>
      <c r="CE171" s="201"/>
      <c r="CF171" s="201"/>
      <c r="CG171" s="201"/>
      <c r="CH171" s="201"/>
      <c r="CI171" s="201"/>
      <c r="CJ171" s="201"/>
      <c r="CK171" s="201"/>
      <c r="CL171" s="201"/>
      <c r="CM171" s="201"/>
      <c r="CN171" s="201"/>
      <c r="CO171" s="201"/>
      <c r="CP171" s="201"/>
      <c r="CQ171" s="201"/>
      <c r="CR171" s="201"/>
      <c r="CS171" s="201"/>
      <c r="CT171" s="201"/>
      <c r="CU171" s="201"/>
      <c r="CV171" s="201"/>
      <c r="CW171" s="201"/>
      <c r="CX171" s="201"/>
      <c r="CY171" s="201"/>
      <c r="CZ171" s="201"/>
      <c r="DA171" s="201"/>
      <c r="DB171" s="201"/>
      <c r="DC171" s="201"/>
      <c r="DD171" s="201"/>
      <c r="DE171" s="201"/>
      <c r="DF171" s="201"/>
      <c r="DG171" s="201"/>
      <c r="DH171" s="201"/>
      <c r="DI171" s="201"/>
      <c r="DJ171" s="201"/>
      <c r="DK171" s="201"/>
      <c r="DL171" s="201"/>
      <c r="DM171" s="201"/>
      <c r="DN171" s="201"/>
      <c r="DO171" s="201"/>
      <c r="DP171" s="201"/>
      <c r="DQ171" s="201"/>
      <c r="DR171" s="201"/>
      <c r="DS171" s="201"/>
      <c r="DT171" s="201"/>
      <c r="DU171" s="201"/>
      <c r="DV171" s="201"/>
      <c r="DW171" s="201"/>
      <c r="DX171" s="201"/>
      <c r="DY171" s="201"/>
      <c r="DZ171" s="201"/>
      <c r="EA171" s="201"/>
      <c r="EB171" s="201"/>
      <c r="EC171" s="201"/>
      <c r="ED171" s="201"/>
      <c r="EE171" s="201"/>
      <c r="EF171" s="201"/>
      <c r="EG171" s="201"/>
      <c r="EH171" s="201"/>
      <c r="EI171" s="201"/>
      <c r="EJ171" s="201"/>
      <c r="EK171" s="201"/>
      <c r="EL171" s="201"/>
      <c r="EM171" s="201"/>
      <c r="EN171" s="201"/>
      <c r="EO171" s="201"/>
      <c r="EP171" s="201"/>
      <c r="EQ171" s="201"/>
      <c r="ER171" s="201"/>
      <c r="ES171" s="201"/>
      <c r="ET171" s="201"/>
      <c r="EU171" s="201"/>
      <c r="EV171" s="201"/>
      <c r="EW171" s="201"/>
      <c r="EX171" s="201"/>
      <c r="EY171" s="201"/>
      <c r="EZ171" s="201"/>
      <c r="FA171" s="201"/>
      <c r="FB171" s="201"/>
      <c r="FC171" s="201"/>
      <c r="FD171" s="201"/>
      <c r="FE171" s="201"/>
      <c r="FF171" s="201"/>
      <c r="FG171" s="201"/>
      <c r="FH171" s="201"/>
      <c r="FI171" s="201"/>
      <c r="FJ171" s="201"/>
      <c r="FK171" s="201"/>
      <c r="FL171" s="201"/>
      <c r="FM171" s="201"/>
      <c r="FN171" s="201"/>
      <c r="FO171" s="201"/>
      <c r="FP171" s="201"/>
      <c r="FQ171" s="201"/>
      <c r="FR171" s="201"/>
      <c r="FS171" s="201"/>
      <c r="FT171" s="201"/>
      <c r="FU171" s="201"/>
      <c r="FV171" s="201"/>
      <c r="FW171" s="201"/>
      <c r="FX171" s="201"/>
      <c r="FY171" s="201"/>
      <c r="FZ171" s="201"/>
      <c r="GA171" s="201"/>
      <c r="GB171" s="201"/>
      <c r="GC171" s="201"/>
      <c r="GD171" s="201"/>
      <c r="GE171" s="201"/>
      <c r="GF171" s="201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201"/>
      <c r="GR171" s="201"/>
      <c r="GS171" s="201"/>
      <c r="GT171" s="201"/>
      <c r="GU171" s="201"/>
      <c r="GV171" s="201"/>
      <c r="GW171" s="201"/>
      <c r="GX171" s="201"/>
      <c r="GY171" s="201"/>
      <c r="GZ171" s="201"/>
      <c r="HA171" s="201"/>
      <c r="HB171" s="201"/>
      <c r="HC171" s="201"/>
      <c r="HD171" s="201"/>
      <c r="HE171" s="201"/>
      <c r="HF171" s="201"/>
      <c r="HG171" s="201"/>
      <c r="HH171" s="201"/>
      <c r="HI171" s="201"/>
      <c r="HJ171" s="201"/>
      <c r="HK171" s="201"/>
      <c r="HL171" s="201"/>
      <c r="HM171" s="201"/>
      <c r="HN171" s="201"/>
      <c r="HO171" s="201"/>
      <c r="HP171" s="201"/>
      <c r="HQ171" s="201"/>
      <c r="HR171" s="201"/>
      <c r="HS171" s="201"/>
      <c r="HT171" s="201"/>
      <c r="HU171" s="201"/>
      <c r="HV171" s="201"/>
      <c r="HW171" s="201"/>
      <c r="HX171" s="201"/>
      <c r="HY171" s="201"/>
      <c r="HZ171" s="201"/>
      <c r="IA171" s="201"/>
      <c r="IB171" s="201"/>
      <c r="IC171" s="201"/>
      <c r="ID171" s="201"/>
      <c r="IE171" s="201"/>
      <c r="IF171" s="201"/>
      <c r="IG171" s="201"/>
      <c r="IH171" s="201"/>
      <c r="II171" s="201"/>
      <c r="IJ171" s="201"/>
      <c r="IK171" s="201"/>
      <c r="IL171" s="201"/>
      <c r="IM171" s="201"/>
      <c r="IN171" s="201"/>
      <c r="IO171" s="201"/>
      <c r="IP171" s="201"/>
      <c r="IQ171" s="201"/>
      <c r="IR171" s="201"/>
      <c r="IS171" s="201"/>
      <c r="IT171" s="201"/>
      <c r="IU171" s="201"/>
      <c r="IV171" s="201"/>
      <c r="IW171" s="201"/>
      <c r="IX171" s="201"/>
      <c r="IY171" s="201"/>
      <c r="IZ171" s="201"/>
      <c r="JA171" s="201"/>
      <c r="JB171" s="201"/>
      <c r="JC171" s="201"/>
      <c r="JD171" s="201"/>
      <c r="JE171" s="201"/>
      <c r="JF171" s="201"/>
      <c r="JG171" s="201"/>
      <c r="JH171" s="201"/>
      <c r="JI171" s="201"/>
      <c r="JJ171" s="201"/>
      <c r="JK171" s="201"/>
      <c r="JL171" s="201"/>
      <c r="JM171" s="201"/>
      <c r="JN171" s="201"/>
      <c r="JO171" s="201"/>
      <c r="JP171" s="201"/>
      <c r="JQ171" s="201"/>
      <c r="JR171" s="201"/>
      <c r="JS171" s="201"/>
      <c r="JT171" s="201"/>
      <c r="JU171" s="201"/>
      <c r="JV171" s="201"/>
      <c r="JW171" s="201"/>
      <c r="JX171" s="201"/>
      <c r="JY171" s="201"/>
      <c r="JZ171" s="201"/>
      <c r="KA171" s="201"/>
      <c r="KB171" s="201"/>
      <c r="KC171" s="201"/>
      <c r="KD171" s="201"/>
      <c r="KE171" s="201"/>
      <c r="KF171" s="201"/>
      <c r="KG171" s="201"/>
      <c r="KH171" s="201"/>
      <c r="KI171" s="201"/>
      <c r="KJ171" s="201"/>
      <c r="KK171" s="201"/>
      <c r="KL171" s="201"/>
      <c r="KM171" s="201"/>
      <c r="KN171" s="201"/>
      <c r="KO171" s="201"/>
      <c r="KP171" s="201"/>
      <c r="KQ171" s="201"/>
      <c r="KR171" s="201"/>
      <c r="KS171" s="201"/>
      <c r="KT171" s="201"/>
      <c r="KU171" s="201"/>
      <c r="KV171" s="201"/>
      <c r="KW171" s="201"/>
      <c r="KX171" s="201"/>
      <c r="KY171" s="201"/>
      <c r="KZ171" s="201"/>
      <c r="LA171" s="201"/>
      <c r="LB171" s="201"/>
      <c r="LC171" s="201"/>
      <c r="LD171" s="201"/>
      <c r="LE171" s="201"/>
      <c r="LF171" s="201"/>
      <c r="LG171" s="201"/>
      <c r="LH171" s="201"/>
      <c r="LI171" s="201"/>
      <c r="LJ171" s="201"/>
      <c r="LK171" s="201"/>
      <c r="LL171" s="201"/>
      <c r="LM171" s="201"/>
      <c r="LN171" s="201"/>
      <c r="LO171" s="201"/>
      <c r="LP171" s="201"/>
      <c r="LQ171" s="201"/>
      <c r="LR171" s="201"/>
      <c r="LS171" s="201"/>
      <c r="LT171" s="201"/>
      <c r="LU171" s="201"/>
      <c r="LV171" s="201"/>
      <c r="LW171" s="201"/>
      <c r="LX171" s="201"/>
      <c r="LY171" s="201"/>
      <c r="LZ171" s="201"/>
      <c r="MA171" s="201"/>
      <c r="MB171" s="201"/>
      <c r="MC171" s="201"/>
      <c r="MD171" s="201"/>
      <c r="ME171" s="201"/>
      <c r="MF171" s="201"/>
      <c r="MG171" s="201"/>
      <c r="MH171" s="201"/>
      <c r="MI171" s="201"/>
      <c r="MJ171" s="201"/>
      <c r="MK171" s="201"/>
      <c r="ML171" s="201"/>
      <c r="MM171" s="201"/>
      <c r="MN171" s="201"/>
      <c r="MO171" s="201"/>
      <c r="MP171" s="201"/>
      <c r="MQ171" s="201"/>
      <c r="MR171" s="201"/>
      <c r="MS171" s="201"/>
      <c r="MT171" s="201"/>
      <c r="MU171" s="201"/>
      <c r="MV171" s="201"/>
      <c r="MW171" s="201"/>
      <c r="MX171" s="201"/>
      <c r="MY171" s="201"/>
      <c r="MZ171" s="201"/>
      <c r="NA171" s="201"/>
      <c r="NB171" s="201"/>
      <c r="NC171" s="201"/>
      <c r="ND171" s="201"/>
      <c r="NE171" s="201"/>
      <c r="NF171" s="201"/>
      <c r="NG171" s="201"/>
      <c r="NH171" s="201"/>
      <c r="NI171" s="201"/>
      <c r="NJ171" s="201"/>
      <c r="NK171" s="201"/>
      <c r="NL171" s="201"/>
      <c r="NM171" s="201"/>
      <c r="NN171" s="201"/>
      <c r="NO171" s="201"/>
      <c r="NP171" s="201"/>
      <c r="NQ171" s="201"/>
      <c r="NR171" s="201"/>
      <c r="NS171" s="201"/>
      <c r="NT171" s="201"/>
      <c r="NU171" s="201"/>
      <c r="NV171" s="201"/>
      <c r="NW171" s="201"/>
      <c r="NX171" s="201"/>
      <c r="NY171" s="201"/>
      <c r="NZ171" s="201"/>
      <c r="OA171" s="201"/>
      <c r="OB171" s="201"/>
      <c r="OC171" s="201"/>
      <c r="OD171" s="201"/>
      <c r="OE171" s="201"/>
      <c r="OF171" s="201"/>
      <c r="OG171" s="201"/>
      <c r="OH171" s="201"/>
      <c r="OI171" s="201"/>
      <c r="OJ171" s="201"/>
      <c r="OK171" s="201"/>
      <c r="OL171" s="201"/>
      <c r="OM171" s="201"/>
      <c r="ON171" s="201"/>
      <c r="OO171" s="201"/>
      <c r="OP171" s="201"/>
      <c r="OQ171" s="201"/>
      <c r="OR171" s="201"/>
      <c r="OS171" s="201"/>
      <c r="OT171" s="201"/>
      <c r="OU171" s="201"/>
      <c r="OV171" s="201"/>
      <c r="OW171" s="201"/>
      <c r="OX171" s="201"/>
      <c r="OY171" s="201"/>
      <c r="OZ171" s="201"/>
      <c r="PA171" s="201"/>
      <c r="PB171" s="201"/>
      <c r="PC171" s="201"/>
      <c r="PD171" s="201"/>
      <c r="PE171" s="201"/>
      <c r="PF171" s="201"/>
      <c r="PG171" s="201"/>
      <c r="PH171" s="201"/>
      <c r="PI171" s="201"/>
      <c r="PJ171" s="201"/>
      <c r="PK171" s="201"/>
      <c r="PL171" s="201"/>
      <c r="PM171" s="201"/>
      <c r="PN171" s="201"/>
      <c r="PO171" s="201"/>
      <c r="PP171" s="201"/>
      <c r="PQ171" s="201"/>
      <c r="PR171" s="201"/>
      <c r="PS171" s="201"/>
      <c r="PT171" s="201"/>
      <c r="PU171" s="201"/>
      <c r="PV171" s="201"/>
      <c r="PW171" s="201"/>
      <c r="PX171" s="201"/>
      <c r="PY171" s="201"/>
      <c r="PZ171" s="201"/>
      <c r="QA171" s="201"/>
      <c r="QB171" s="201"/>
      <c r="QC171" s="201"/>
      <c r="QD171" s="201"/>
      <c r="QE171" s="201"/>
      <c r="QF171" s="201"/>
      <c r="QG171" s="201"/>
      <c r="QH171" s="201"/>
      <c r="QI171" s="201"/>
      <c r="QJ171" s="201"/>
      <c r="QK171" s="201"/>
      <c r="QL171" s="201"/>
      <c r="QM171" s="201"/>
      <c r="QN171" s="201"/>
      <c r="QO171" s="201"/>
      <c r="QP171" s="201"/>
      <c r="QQ171" s="201"/>
      <c r="QR171" s="201"/>
      <c r="QS171" s="201"/>
      <c r="QT171" s="201"/>
      <c r="QU171" s="201"/>
      <c r="QV171" s="201"/>
      <c r="QW171" s="201"/>
      <c r="QX171" s="201"/>
      <c r="QY171" s="201"/>
      <c r="QZ171" s="201"/>
      <c r="RA171" s="201"/>
      <c r="RB171" s="201"/>
      <c r="RC171" s="201"/>
      <c r="RD171" s="201"/>
      <c r="RE171" s="201"/>
      <c r="RF171" s="201"/>
      <c r="RG171" s="201"/>
      <c r="RH171" s="201"/>
      <c r="RI171" s="201"/>
      <c r="RJ171" s="201"/>
      <c r="RK171" s="201"/>
      <c r="RL171" s="201"/>
      <c r="RM171" s="201"/>
      <c r="RN171" s="201"/>
      <c r="RO171" s="201"/>
      <c r="RP171" s="201"/>
      <c r="RQ171" s="201"/>
      <c r="RR171" s="201"/>
      <c r="RS171" s="201"/>
      <c r="RT171" s="201"/>
      <c r="RU171" s="201"/>
      <c r="RV171" s="201"/>
      <c r="RW171" s="201"/>
      <c r="RX171" s="201"/>
      <c r="RY171" s="201"/>
      <c r="RZ171" s="201"/>
      <c r="SA171" s="201"/>
      <c r="SB171" s="201"/>
      <c r="SC171" s="201"/>
      <c r="SD171" s="201"/>
      <c r="SE171" s="201"/>
      <c r="SF171" s="201"/>
      <c r="SG171" s="201"/>
      <c r="SH171" s="201"/>
      <c r="SI171" s="201"/>
      <c r="SJ171" s="201"/>
      <c r="SK171" s="201"/>
      <c r="SL171" s="201"/>
      <c r="SM171" s="201"/>
      <c r="SN171" s="201"/>
      <c r="SO171" s="201"/>
      <c r="SP171" s="201"/>
      <c r="SQ171" s="201"/>
      <c r="SR171" s="201"/>
      <c r="SS171" s="201"/>
      <c r="ST171" s="201"/>
      <c r="SU171" s="201"/>
      <c r="SV171" s="201"/>
      <c r="SW171" s="201"/>
      <c r="SX171" s="201"/>
      <c r="SY171" s="201"/>
      <c r="SZ171" s="201"/>
      <c r="TA171" s="201"/>
      <c r="TB171" s="201"/>
      <c r="TC171" s="201"/>
      <c r="TD171" s="201"/>
      <c r="TE171" s="201"/>
      <c r="TF171" s="201"/>
      <c r="TG171" s="201"/>
      <c r="TH171" s="201"/>
      <c r="TI171" s="201"/>
      <c r="TJ171" s="201"/>
      <c r="TK171" s="201"/>
      <c r="TL171" s="201"/>
      <c r="TM171" s="201"/>
      <c r="TN171" s="201"/>
      <c r="TO171" s="201"/>
      <c r="TP171" s="201"/>
      <c r="TQ171" s="201"/>
      <c r="TR171" s="201"/>
      <c r="TS171" s="201"/>
      <c r="TT171" s="201"/>
      <c r="TU171" s="201"/>
      <c r="TV171" s="201"/>
      <c r="TW171" s="201"/>
      <c r="TX171" s="201"/>
      <c r="TY171" s="201"/>
      <c r="TZ171" s="201"/>
      <c r="UA171" s="201"/>
      <c r="UB171" s="201"/>
      <c r="UC171" s="201"/>
      <c r="UD171" s="201"/>
      <c r="UE171" s="201"/>
      <c r="UF171" s="201"/>
      <c r="UG171" s="201"/>
      <c r="UH171" s="201"/>
      <c r="UI171" s="201"/>
      <c r="UJ171" s="201"/>
      <c r="UK171" s="201"/>
      <c r="UL171" s="201"/>
      <c r="UM171" s="201"/>
      <c r="UN171" s="201"/>
      <c r="UO171" s="201"/>
      <c r="UP171" s="201"/>
      <c r="UQ171" s="201"/>
      <c r="UR171" s="201"/>
      <c r="US171" s="201"/>
      <c r="UT171" s="201"/>
      <c r="UU171" s="201"/>
      <c r="UV171" s="201"/>
      <c r="UW171" s="201"/>
      <c r="UX171" s="201"/>
      <c r="UY171" s="201"/>
      <c r="UZ171" s="201"/>
      <c r="VA171" s="201"/>
      <c r="VB171" s="201"/>
      <c r="VC171" s="201"/>
      <c r="VD171" s="201"/>
      <c r="VE171" s="201"/>
      <c r="VF171" s="201"/>
      <c r="VG171" s="201"/>
      <c r="VH171" s="201"/>
      <c r="VI171" s="201"/>
      <c r="VJ171" s="201"/>
      <c r="VK171" s="201"/>
      <c r="VL171" s="201"/>
      <c r="VM171" s="201"/>
      <c r="VN171" s="201"/>
      <c r="VO171" s="201"/>
      <c r="VP171" s="201"/>
      <c r="VQ171" s="201"/>
      <c r="VR171" s="201"/>
      <c r="VS171" s="201"/>
      <c r="VT171" s="201"/>
      <c r="VU171" s="201"/>
      <c r="VV171" s="201"/>
      <c r="VW171" s="201"/>
      <c r="VX171" s="201"/>
      <c r="VY171" s="201"/>
      <c r="VZ171" s="201"/>
      <c r="WA171" s="201"/>
      <c r="WB171" s="201"/>
      <c r="WC171" s="201"/>
      <c r="WD171" s="201"/>
      <c r="WE171" s="201"/>
      <c r="WF171" s="201"/>
      <c r="WG171" s="201"/>
      <c r="WH171" s="201"/>
      <c r="WI171" s="201"/>
      <c r="WJ171" s="201"/>
      <c r="WK171" s="201"/>
      <c r="WL171" s="201"/>
      <c r="WM171" s="201"/>
      <c r="WN171" s="201"/>
      <c r="WO171" s="201"/>
      <c r="WP171" s="201"/>
      <c r="WQ171" s="201"/>
      <c r="WR171" s="201"/>
      <c r="WS171" s="201"/>
      <c r="WT171" s="201"/>
      <c r="WU171" s="201"/>
      <c r="WV171" s="201"/>
      <c r="WW171" s="201"/>
      <c r="WX171" s="201"/>
      <c r="WY171" s="201"/>
      <c r="WZ171" s="201"/>
      <c r="XA171" s="201"/>
      <c r="XB171" s="201"/>
      <c r="XC171" s="201"/>
      <c r="XD171" s="201"/>
      <c r="XE171" s="201"/>
      <c r="XF171" s="201"/>
      <c r="XG171" s="201"/>
      <c r="XH171" s="201"/>
      <c r="XI171" s="201"/>
      <c r="XJ171" s="201"/>
      <c r="XK171" s="201"/>
      <c r="XL171" s="201"/>
      <c r="XM171" s="201"/>
      <c r="XN171" s="201"/>
      <c r="XO171" s="201"/>
      <c r="XP171" s="201"/>
      <c r="XQ171" s="201"/>
      <c r="XR171" s="201"/>
      <c r="XS171" s="201"/>
      <c r="XT171" s="201"/>
      <c r="XU171" s="201"/>
      <c r="XV171" s="201"/>
      <c r="XW171" s="201"/>
      <c r="XX171" s="201"/>
      <c r="XY171" s="201"/>
      <c r="XZ171" s="201"/>
      <c r="YA171" s="201"/>
      <c r="YB171" s="201"/>
      <c r="YC171" s="201"/>
      <c r="YD171" s="201"/>
      <c r="YE171" s="201"/>
      <c r="YF171" s="201"/>
      <c r="YG171" s="201"/>
      <c r="YH171" s="201"/>
      <c r="YI171" s="201"/>
      <c r="YJ171" s="201"/>
      <c r="YK171" s="201"/>
      <c r="YL171" s="201"/>
      <c r="YM171" s="201"/>
      <c r="YN171" s="201"/>
      <c r="YO171" s="201"/>
      <c r="YP171" s="201"/>
      <c r="YQ171" s="201"/>
      <c r="YR171" s="201"/>
      <c r="YS171" s="201"/>
      <c r="YT171" s="201"/>
      <c r="YU171" s="201"/>
      <c r="YV171" s="201"/>
      <c r="YW171" s="201"/>
      <c r="YX171" s="201"/>
      <c r="YY171" s="201"/>
      <c r="YZ171" s="201"/>
      <c r="ZA171" s="201"/>
      <c r="ZB171" s="201"/>
      <c r="ZC171" s="201"/>
      <c r="ZD171" s="201"/>
      <c r="ZE171" s="201"/>
      <c r="ZF171" s="201"/>
      <c r="ZG171" s="201"/>
      <c r="ZH171" s="201"/>
      <c r="ZI171" s="201"/>
      <c r="ZJ171" s="201"/>
      <c r="ZK171" s="201"/>
      <c r="ZL171" s="201"/>
      <c r="ZM171" s="201"/>
      <c r="ZN171" s="201"/>
      <c r="ZO171" s="201"/>
      <c r="ZP171" s="201"/>
      <c r="ZQ171" s="201"/>
      <c r="ZR171" s="201"/>
      <c r="ZS171" s="201"/>
      <c r="ZT171" s="201"/>
      <c r="ZU171" s="201"/>
      <c r="ZV171" s="201"/>
      <c r="ZW171" s="201"/>
      <c r="ZX171" s="201"/>
      <c r="ZY171" s="201"/>
      <c r="ZZ171" s="201"/>
      <c r="AAA171" s="201"/>
      <c r="AAB171" s="201"/>
      <c r="AAC171" s="201"/>
      <c r="AAD171" s="201"/>
      <c r="AAE171" s="201"/>
      <c r="AAF171" s="201"/>
      <c r="AAG171" s="201"/>
      <c r="AAH171" s="201"/>
      <c r="AAI171" s="201"/>
      <c r="AAJ171" s="201"/>
      <c r="AAK171" s="201"/>
      <c r="AAL171" s="201"/>
      <c r="AAM171" s="201"/>
      <c r="AAN171" s="201"/>
      <c r="AAO171" s="201"/>
      <c r="AAP171" s="201"/>
      <c r="AAQ171" s="201"/>
      <c r="AAR171" s="201"/>
      <c r="AAS171" s="201"/>
      <c r="AAT171" s="201"/>
      <c r="AAU171" s="201"/>
      <c r="AAV171" s="201"/>
      <c r="AAW171" s="201"/>
      <c r="AAX171" s="201"/>
      <c r="AAY171" s="201"/>
      <c r="AAZ171" s="201"/>
      <c r="ABA171" s="201"/>
      <c r="ABB171" s="201"/>
      <c r="ABC171" s="201"/>
      <c r="ABD171" s="201"/>
      <c r="ABE171" s="201"/>
      <c r="ABF171" s="201"/>
      <c r="ABG171" s="201"/>
      <c r="ABH171" s="201"/>
      <c r="ABI171" s="201"/>
      <c r="ABJ171" s="201"/>
      <c r="ABK171" s="201"/>
      <c r="ABL171" s="201"/>
      <c r="ABM171" s="201"/>
      <c r="ABN171" s="201"/>
      <c r="ABO171" s="201"/>
      <c r="ABP171" s="201"/>
      <c r="ABQ171" s="201"/>
      <c r="ABR171" s="201"/>
      <c r="ABS171" s="201"/>
      <c r="ABT171" s="201"/>
      <c r="ABU171" s="201"/>
      <c r="ABV171" s="201"/>
      <c r="ABW171" s="201"/>
      <c r="ABX171" s="201"/>
      <c r="ABY171" s="201"/>
      <c r="ABZ171" s="201"/>
      <c r="ACA171" s="201"/>
      <c r="ACB171" s="201"/>
      <c r="ACC171" s="201"/>
      <c r="ACD171" s="201"/>
      <c r="ACE171" s="201"/>
      <c r="ACF171" s="201"/>
      <c r="ACG171" s="201"/>
      <c r="ACH171" s="201"/>
      <c r="ACI171" s="201"/>
      <c r="ACJ171" s="201"/>
      <c r="ACK171" s="201"/>
      <c r="ACL171" s="201"/>
      <c r="ACM171" s="201"/>
      <c r="ACN171" s="201"/>
      <c r="ACO171" s="201"/>
      <c r="ACP171" s="201"/>
      <c r="ACQ171" s="201"/>
      <c r="ACR171" s="201"/>
      <c r="ACS171" s="201"/>
      <c r="ACT171" s="201"/>
      <c r="ACU171" s="201"/>
      <c r="ACV171" s="201"/>
      <c r="ACW171" s="201"/>
      <c r="ACX171" s="201"/>
      <c r="ACY171" s="201"/>
      <c r="ACZ171" s="201"/>
      <c r="ADA171" s="201"/>
      <c r="ADB171" s="201"/>
      <c r="ADC171" s="201"/>
      <c r="ADD171" s="201"/>
      <c r="ADE171" s="201"/>
      <c r="ADF171" s="201"/>
      <c r="ADG171" s="201"/>
      <c r="ADH171" s="201"/>
      <c r="ADI171" s="201"/>
      <c r="ADJ171" s="201"/>
      <c r="ADK171" s="201"/>
      <c r="ADL171" s="201"/>
      <c r="ADM171" s="201"/>
      <c r="ADN171" s="201"/>
      <c r="ADO171" s="201"/>
      <c r="ADP171" s="201"/>
      <c r="ADQ171" s="201"/>
      <c r="ADR171" s="201"/>
      <c r="ADS171" s="201"/>
      <c r="ADT171" s="201"/>
      <c r="ADU171" s="201"/>
      <c r="ADV171" s="201"/>
      <c r="ADW171" s="201"/>
      <c r="ADX171" s="201"/>
      <c r="ADY171" s="201"/>
      <c r="ADZ171" s="201"/>
      <c r="AEA171" s="201"/>
      <c r="AEB171" s="201"/>
      <c r="AEC171" s="201"/>
      <c r="AED171" s="201"/>
      <c r="AEE171" s="201"/>
      <c r="AEF171" s="201"/>
      <c r="AEG171" s="201"/>
      <c r="AEH171" s="201"/>
      <c r="AEI171" s="201"/>
      <c r="AEJ171" s="201"/>
      <c r="AEK171" s="201"/>
      <c r="AEL171" s="201"/>
      <c r="AEM171" s="201"/>
      <c r="AEN171" s="201"/>
      <c r="AEO171" s="201"/>
      <c r="AEP171" s="201"/>
      <c r="AEQ171" s="201"/>
      <c r="AER171" s="201"/>
      <c r="AES171" s="201"/>
      <c r="AET171" s="201"/>
      <c r="AEU171" s="201"/>
      <c r="AEV171" s="201"/>
      <c r="AEW171" s="201"/>
      <c r="AEX171" s="201"/>
      <c r="AEY171" s="201"/>
      <c r="AEZ171" s="201"/>
      <c r="AFA171" s="201"/>
      <c r="AFB171" s="201"/>
      <c r="AFC171" s="201"/>
      <c r="AFD171" s="201"/>
      <c r="AFE171" s="201"/>
      <c r="AFF171" s="201"/>
      <c r="AFG171" s="201"/>
      <c r="AFH171" s="201"/>
      <c r="AFI171" s="201"/>
      <c r="AFJ171" s="201"/>
      <c r="AFK171" s="201"/>
      <c r="AFL171" s="201"/>
      <c r="AFM171" s="201"/>
      <c r="AFN171" s="201"/>
      <c r="AFO171" s="201"/>
      <c r="AFP171" s="201"/>
      <c r="AFQ171" s="201"/>
      <c r="AFR171" s="201"/>
      <c r="AFS171" s="201"/>
      <c r="AFT171" s="201"/>
      <c r="AFU171" s="201"/>
      <c r="AFV171" s="201"/>
      <c r="AFW171" s="201"/>
      <c r="AFX171" s="201"/>
      <c r="AFY171" s="201"/>
      <c r="AFZ171" s="201"/>
      <c r="AGA171" s="201"/>
      <c r="AGB171" s="201"/>
      <c r="AGC171" s="201"/>
      <c r="AGD171" s="201"/>
      <c r="AGE171" s="201"/>
      <c r="AGF171" s="201"/>
      <c r="AGG171" s="201"/>
      <c r="AGH171" s="201"/>
      <c r="AGI171" s="201"/>
      <c r="AGJ171" s="201"/>
      <c r="AGK171" s="201"/>
      <c r="AGL171" s="201"/>
      <c r="AGM171" s="201"/>
      <c r="AGN171" s="201"/>
      <c r="AGO171" s="201"/>
      <c r="AGP171" s="201"/>
      <c r="AGQ171" s="201"/>
      <c r="AGR171" s="201"/>
      <c r="AGS171" s="201"/>
      <c r="AGT171" s="201"/>
      <c r="AGU171" s="201"/>
      <c r="AGV171" s="201"/>
      <c r="AGW171" s="201"/>
      <c r="AGX171" s="201"/>
      <c r="AGY171" s="201"/>
      <c r="AGZ171" s="201"/>
      <c r="AHA171" s="201"/>
      <c r="AHB171" s="201"/>
      <c r="AHC171" s="201"/>
      <c r="AHD171" s="201"/>
      <c r="AHE171" s="201"/>
      <c r="AHF171" s="201"/>
      <c r="AHG171" s="201"/>
      <c r="AHH171" s="201"/>
      <c r="AHI171" s="201"/>
      <c r="AHJ171" s="201"/>
      <c r="AHK171" s="201"/>
      <c r="AHL171" s="201"/>
      <c r="AHM171" s="201"/>
      <c r="AHN171" s="201"/>
      <c r="AHO171" s="201"/>
      <c r="AHP171" s="201"/>
      <c r="AHQ171" s="201"/>
      <c r="AHR171" s="201"/>
      <c r="AHS171" s="201"/>
      <c r="AHT171" s="201"/>
      <c r="AHU171" s="201"/>
      <c r="AHV171" s="201"/>
      <c r="AHW171" s="201"/>
      <c r="AHX171" s="201"/>
      <c r="AHY171" s="201"/>
      <c r="AHZ171" s="201"/>
      <c r="AIA171" s="201"/>
      <c r="AIB171" s="201"/>
      <c r="AIC171" s="201"/>
      <c r="AID171" s="201"/>
      <c r="AIE171" s="201"/>
      <c r="AIF171" s="201"/>
      <c r="AIG171" s="201"/>
      <c r="AIH171" s="201"/>
      <c r="AII171" s="201"/>
      <c r="AIJ171" s="201"/>
      <c r="AIK171" s="201"/>
      <c r="AIL171" s="201"/>
      <c r="AIM171" s="201"/>
      <c r="AIN171" s="201"/>
      <c r="AIO171" s="201"/>
      <c r="AIP171" s="201"/>
      <c r="AIQ171" s="201"/>
      <c r="AIR171" s="201"/>
      <c r="AIS171" s="201"/>
      <c r="AIT171" s="201"/>
      <c r="AIU171" s="201"/>
      <c r="AIV171" s="201"/>
      <c r="AIW171" s="201"/>
      <c r="AIX171" s="201"/>
      <c r="AIY171" s="201"/>
      <c r="AIZ171" s="201"/>
      <c r="AJA171" s="201"/>
      <c r="AJB171" s="201"/>
      <c r="AJC171" s="201"/>
      <c r="AJD171" s="201"/>
      <c r="AJE171" s="201"/>
      <c r="AJF171" s="201"/>
      <c r="AJG171" s="201"/>
      <c r="AJH171" s="201"/>
      <c r="AJI171" s="201"/>
      <c r="AJJ171" s="201"/>
      <c r="AJK171" s="201"/>
      <c r="AJL171" s="201"/>
      <c r="AJM171" s="201"/>
      <c r="AJN171" s="201"/>
      <c r="AJO171" s="201"/>
      <c r="AJP171" s="201"/>
      <c r="AJQ171" s="201"/>
      <c r="AJR171" s="201"/>
      <c r="AJS171" s="201"/>
      <c r="AJT171" s="201"/>
      <c r="AJU171" s="201"/>
      <c r="AJV171" s="201"/>
      <c r="AJW171" s="201"/>
      <c r="AJX171" s="201"/>
      <c r="AJY171" s="201"/>
      <c r="AJZ171" s="201"/>
      <c r="AKA171" s="201"/>
      <c r="AKB171" s="201"/>
      <c r="AKC171" s="201"/>
      <c r="AKD171" s="201"/>
      <c r="AKE171" s="201"/>
      <c r="AKF171" s="201"/>
      <c r="AKG171" s="201"/>
      <c r="AKH171" s="201"/>
      <c r="AKI171" s="201"/>
      <c r="AKJ171" s="201"/>
      <c r="AKK171" s="201"/>
      <c r="AKL171" s="201"/>
      <c r="AKM171" s="201"/>
      <c r="AKN171" s="201"/>
      <c r="AKO171" s="201"/>
      <c r="AKP171" s="201"/>
      <c r="AKQ171" s="201"/>
      <c r="AKR171" s="201"/>
      <c r="AKS171" s="201"/>
      <c r="AKT171" s="201"/>
      <c r="AKU171" s="201"/>
      <c r="AKV171" s="201"/>
      <c r="AKW171" s="201"/>
      <c r="AKX171" s="201"/>
      <c r="AKY171" s="201"/>
      <c r="AKZ171" s="201"/>
      <c r="ALA171" s="201"/>
      <c r="ALB171" s="201"/>
      <c r="ALC171" s="201"/>
      <c r="ALD171" s="201"/>
      <c r="ALE171" s="201"/>
      <c r="ALF171" s="201"/>
      <c r="ALG171" s="201"/>
      <c r="ALH171" s="201"/>
      <c r="ALI171" s="201"/>
      <c r="ALJ171" s="201"/>
      <c r="ALK171" s="201"/>
      <c r="ALL171" s="201"/>
      <c r="ALM171" s="201"/>
      <c r="ALN171" s="201"/>
      <c r="ALO171" s="201"/>
      <c r="ALP171" s="201"/>
      <c r="ALQ171" s="201"/>
      <c r="ALR171" s="201"/>
      <c r="ALS171" s="201"/>
      <c r="ALT171" s="201"/>
      <c r="ALU171" s="201"/>
      <c r="ALV171" s="201"/>
      <c r="ALW171" s="201"/>
      <c r="ALX171" s="201"/>
      <c r="ALY171" s="201"/>
      <c r="ALZ171" s="201"/>
      <c r="AMA171" s="201"/>
      <c r="AMB171" s="201"/>
      <c r="AMC171" s="201"/>
      <c r="AMD171" s="201"/>
      <c r="AME171" s="201"/>
      <c r="AMF171" s="201"/>
      <c r="AMG171" s="201"/>
      <c r="AMH171" s="201"/>
      <c r="AMI171" s="201"/>
      <c r="AMJ171" s="201"/>
      <c r="AMK171" s="201"/>
      <c r="AML171" s="201"/>
      <c r="AMM171" s="201"/>
      <c r="AMN171" s="201"/>
      <c r="AMO171" s="201"/>
      <c r="AMP171" s="201"/>
      <c r="AMQ171" s="201"/>
      <c r="AMR171" s="201"/>
      <c r="AMS171" s="201"/>
      <c r="AMT171" s="201"/>
      <c r="AMU171" s="201"/>
      <c r="AMV171" s="201"/>
      <c r="AMW171" s="201"/>
      <c r="AMX171" s="201"/>
      <c r="AMY171" s="201"/>
      <c r="AMZ171" s="201"/>
      <c r="ANA171" s="201"/>
      <c r="ANB171" s="201"/>
      <c r="ANC171" s="201"/>
      <c r="AND171" s="201"/>
      <c r="ANE171" s="201"/>
      <c r="ANF171" s="201"/>
      <c r="ANG171" s="201"/>
      <c r="ANH171" s="201"/>
      <c r="ANI171" s="201"/>
      <c r="ANJ171" s="201"/>
      <c r="ANK171" s="201"/>
      <c r="ANL171" s="201"/>
      <c r="ANM171" s="201"/>
      <c r="ANN171" s="201"/>
      <c r="ANO171" s="201"/>
      <c r="ANP171" s="201"/>
      <c r="ANQ171" s="201"/>
      <c r="ANR171" s="201"/>
      <c r="ANS171" s="201"/>
      <c r="ANT171" s="201"/>
      <c r="ANU171" s="201"/>
      <c r="ANV171" s="201"/>
      <c r="ANW171" s="201"/>
      <c r="ANX171" s="201"/>
      <c r="ANY171" s="201"/>
      <c r="ANZ171" s="201"/>
      <c r="AOA171" s="201"/>
      <c r="AOB171" s="201"/>
      <c r="AOC171" s="201"/>
      <c r="AOD171" s="201"/>
      <c r="AOE171" s="201"/>
      <c r="AOF171" s="201"/>
      <c r="AOG171" s="201"/>
      <c r="AOH171" s="201"/>
      <c r="AOI171" s="201"/>
      <c r="AOJ171" s="201"/>
      <c r="AOK171" s="201"/>
      <c r="AOL171" s="201"/>
      <c r="AOM171" s="201"/>
      <c r="AON171" s="201"/>
      <c r="AOO171" s="201"/>
      <c r="AOP171" s="201"/>
      <c r="AOQ171" s="201"/>
      <c r="AOR171" s="201"/>
      <c r="AOS171" s="201"/>
      <c r="AOT171" s="201"/>
      <c r="AOU171" s="201"/>
      <c r="AOV171" s="201"/>
      <c r="AOW171" s="201"/>
      <c r="AOX171" s="201"/>
      <c r="AOY171" s="201"/>
      <c r="AOZ171" s="201"/>
      <c r="APA171" s="201"/>
      <c r="APB171" s="201"/>
      <c r="APC171" s="201"/>
      <c r="APD171" s="201"/>
      <c r="APE171" s="201"/>
      <c r="APF171" s="201"/>
      <c r="APG171" s="201"/>
      <c r="APH171" s="201"/>
      <c r="API171" s="201"/>
      <c r="APJ171" s="201"/>
      <c r="APK171" s="201"/>
      <c r="APL171" s="201"/>
      <c r="APM171" s="201"/>
      <c r="APN171" s="201"/>
      <c r="APO171" s="201"/>
      <c r="APP171" s="201"/>
      <c r="APQ171" s="201"/>
      <c r="APR171" s="201"/>
      <c r="APS171" s="201"/>
      <c r="APT171" s="201"/>
      <c r="APU171" s="201"/>
      <c r="APV171" s="201"/>
      <c r="APW171" s="201"/>
      <c r="APX171" s="201"/>
      <c r="APY171" s="201"/>
      <c r="APZ171" s="201"/>
      <c r="AQA171" s="201"/>
      <c r="AQB171" s="201"/>
      <c r="AQC171" s="201"/>
      <c r="AQD171" s="201"/>
      <c r="AQE171" s="201"/>
      <c r="AQF171" s="201"/>
      <c r="AQG171" s="201"/>
      <c r="AQH171" s="201"/>
      <c r="AQI171" s="201"/>
      <c r="AQJ171" s="201"/>
      <c r="AQK171" s="201"/>
      <c r="AQL171" s="201"/>
      <c r="AQM171" s="201"/>
      <c r="AQN171" s="201"/>
      <c r="AQO171" s="201"/>
      <c r="AQP171" s="201"/>
      <c r="AQQ171" s="201"/>
      <c r="AQR171" s="201"/>
      <c r="AQS171" s="201"/>
      <c r="AQT171" s="201"/>
      <c r="AQU171" s="201"/>
      <c r="AQV171" s="201"/>
      <c r="AQW171" s="201"/>
      <c r="AQX171" s="201"/>
      <c r="AQY171" s="201"/>
      <c r="AQZ171" s="201"/>
      <c r="ARA171" s="201"/>
      <c r="ARB171" s="201"/>
      <c r="ARC171" s="201"/>
      <c r="ARD171" s="201"/>
      <c r="ARE171" s="201"/>
      <c r="ARF171" s="201"/>
      <c r="ARG171" s="201"/>
      <c r="ARH171" s="201"/>
      <c r="ARI171" s="201"/>
      <c r="ARJ171" s="201"/>
      <c r="ARK171" s="201"/>
      <c r="ARL171" s="201"/>
      <c r="ARM171" s="201"/>
      <c r="ARN171" s="201"/>
      <c r="ARO171" s="201"/>
      <c r="ARP171" s="201"/>
      <c r="ARQ171" s="201"/>
      <c r="ARR171" s="201"/>
      <c r="ARS171" s="201"/>
      <c r="ART171" s="201"/>
      <c r="ARU171" s="201"/>
      <c r="ARV171" s="201"/>
      <c r="ARW171" s="201"/>
      <c r="ARX171" s="201"/>
      <c r="ARY171" s="201"/>
      <c r="ARZ171" s="201"/>
      <c r="ASA171" s="201"/>
      <c r="ASB171" s="201"/>
      <c r="ASC171" s="201"/>
      <c r="ASD171" s="201"/>
      <c r="ASE171" s="201"/>
      <c r="ASF171" s="201"/>
      <c r="ASG171" s="201"/>
      <c r="ASH171" s="201"/>
      <c r="ASI171" s="201"/>
      <c r="ASJ171" s="201"/>
      <c r="ASK171" s="201"/>
      <c r="ASL171" s="201"/>
      <c r="ASM171" s="201"/>
      <c r="ASN171" s="201"/>
      <c r="ASO171" s="201"/>
      <c r="ASP171" s="201"/>
      <c r="ASQ171" s="201"/>
      <c r="ASR171" s="201"/>
      <c r="ASS171" s="201"/>
      <c r="AST171" s="201"/>
      <c r="ASU171" s="201"/>
      <c r="ASV171" s="201"/>
      <c r="ASW171" s="201"/>
      <c r="ASX171" s="201"/>
      <c r="ASY171" s="201"/>
      <c r="ASZ171" s="201"/>
      <c r="ATA171" s="201"/>
      <c r="ATB171" s="201"/>
      <c r="ATC171" s="201"/>
      <c r="ATD171" s="201"/>
      <c r="ATE171" s="201"/>
      <c r="ATF171" s="201"/>
      <c r="ATG171" s="201"/>
      <c r="ATH171" s="201"/>
      <c r="ATI171" s="201"/>
      <c r="ATJ171" s="201"/>
      <c r="ATK171" s="201"/>
      <c r="ATL171" s="201"/>
      <c r="ATM171" s="201"/>
      <c r="ATN171" s="201"/>
      <c r="ATO171" s="201"/>
      <c r="ATP171" s="201"/>
      <c r="ATQ171" s="201"/>
      <c r="ATR171" s="201"/>
      <c r="ATS171" s="201"/>
      <c r="ATT171" s="201"/>
      <c r="ATU171" s="201"/>
      <c r="ATV171" s="201"/>
      <c r="ATW171" s="201"/>
      <c r="ATX171" s="201"/>
      <c r="ATY171" s="201"/>
      <c r="ATZ171" s="201"/>
      <c r="AUA171" s="201"/>
      <c r="AUB171" s="201"/>
      <c r="AUC171" s="201"/>
      <c r="AUD171" s="201"/>
      <c r="AUE171" s="201"/>
      <c r="AUF171" s="201"/>
      <c r="AUG171" s="201"/>
      <c r="AUH171" s="201"/>
      <c r="AUI171" s="201"/>
      <c r="AUJ171" s="201"/>
      <c r="AUK171" s="201"/>
      <c r="AUL171" s="201"/>
      <c r="AUM171" s="201"/>
      <c r="AUN171" s="201"/>
      <c r="AUO171" s="201"/>
      <c r="AUP171" s="201"/>
      <c r="AUQ171" s="201"/>
      <c r="AUR171" s="201"/>
      <c r="AUS171" s="201"/>
      <c r="AUT171" s="201"/>
      <c r="AUU171" s="201"/>
      <c r="AUV171" s="201"/>
      <c r="AUW171" s="201"/>
      <c r="AUX171" s="201"/>
      <c r="AUY171" s="201"/>
      <c r="AUZ171" s="201"/>
      <c r="AVA171" s="201"/>
      <c r="AVB171" s="201"/>
      <c r="AVC171" s="201"/>
      <c r="AVD171" s="201"/>
      <c r="AVE171" s="201"/>
      <c r="AVF171" s="201"/>
      <c r="AVG171" s="201"/>
      <c r="AVH171" s="201"/>
      <c r="AVI171" s="201"/>
      <c r="AVJ171" s="201"/>
      <c r="AVK171" s="201"/>
      <c r="AVL171" s="201"/>
      <c r="AVM171" s="201"/>
      <c r="AVN171" s="201"/>
      <c r="AVO171" s="201"/>
      <c r="AVP171" s="201"/>
      <c r="AVQ171" s="201"/>
      <c r="AVR171" s="201"/>
      <c r="AVS171" s="201"/>
      <c r="AVT171" s="201"/>
      <c r="AVU171" s="201"/>
      <c r="AVV171" s="201"/>
      <c r="AVW171" s="201"/>
      <c r="AVX171" s="201"/>
      <c r="AVY171" s="201"/>
      <c r="AVZ171" s="201"/>
      <c r="AWA171" s="201"/>
      <c r="AWB171" s="201"/>
      <c r="AWC171" s="201"/>
      <c r="AWD171" s="201"/>
      <c r="AWE171" s="201"/>
      <c r="AWF171" s="201"/>
      <c r="AWG171" s="201"/>
      <c r="AWH171" s="201"/>
      <c r="AWI171" s="201"/>
      <c r="AWJ171" s="201"/>
      <c r="AWK171" s="201"/>
      <c r="AWL171" s="201"/>
      <c r="AWM171" s="201"/>
      <c r="AWN171" s="201"/>
      <c r="AWO171" s="201"/>
      <c r="AWP171" s="201"/>
      <c r="AWQ171" s="201"/>
      <c r="AWR171" s="201"/>
      <c r="AWS171" s="201"/>
      <c r="AWT171" s="201"/>
      <c r="AWU171" s="201"/>
      <c r="AWV171" s="201"/>
      <c r="AWW171" s="201"/>
      <c r="AWX171" s="201"/>
      <c r="AWY171" s="201"/>
      <c r="AWZ171" s="201"/>
      <c r="AXA171" s="201"/>
      <c r="AXB171" s="201"/>
      <c r="AXC171" s="201"/>
      <c r="AXD171" s="201"/>
      <c r="AXE171" s="201"/>
      <c r="AXF171" s="201"/>
      <c r="AXG171" s="201"/>
      <c r="AXH171" s="201"/>
      <c r="AXI171" s="201"/>
      <c r="AXJ171" s="201"/>
      <c r="AXK171" s="201"/>
      <c r="AXL171" s="201"/>
      <c r="AXM171" s="201"/>
      <c r="AXN171" s="201"/>
      <c r="AXO171" s="201"/>
      <c r="AXP171" s="201"/>
      <c r="AXQ171" s="201"/>
      <c r="AXR171" s="201"/>
      <c r="AXS171" s="201"/>
      <c r="AXT171" s="201"/>
      <c r="AXU171" s="201"/>
      <c r="AXV171" s="201"/>
      <c r="AXW171" s="201"/>
      <c r="AXX171" s="201"/>
      <c r="AXY171" s="201"/>
      <c r="AXZ171" s="201"/>
      <c r="AYA171" s="201"/>
      <c r="AYB171" s="201"/>
      <c r="AYC171" s="201"/>
      <c r="AYD171" s="201"/>
      <c r="AYE171" s="201"/>
      <c r="AYF171" s="201"/>
      <c r="AYG171" s="201"/>
      <c r="AYH171" s="201"/>
      <c r="AYI171" s="201"/>
      <c r="AYJ171" s="201"/>
      <c r="AYK171" s="201"/>
      <c r="AYL171" s="201"/>
      <c r="AYM171" s="201"/>
      <c r="AYN171" s="201"/>
      <c r="AYO171" s="201"/>
      <c r="AYP171" s="201"/>
      <c r="AYQ171" s="201"/>
      <c r="AYR171" s="201"/>
      <c r="AYS171" s="201"/>
      <c r="AYT171" s="201"/>
      <c r="AYU171" s="201"/>
      <c r="AYV171" s="201"/>
      <c r="AYW171" s="201"/>
      <c r="AYX171" s="201"/>
      <c r="AYY171" s="201"/>
      <c r="AYZ171" s="201"/>
      <c r="AZA171" s="201"/>
      <c r="AZB171" s="201"/>
      <c r="AZC171" s="201"/>
      <c r="AZD171" s="201"/>
      <c r="AZE171" s="201"/>
      <c r="AZF171" s="201"/>
      <c r="AZG171" s="201"/>
      <c r="AZH171" s="201"/>
      <c r="AZI171" s="201"/>
      <c r="AZJ171" s="201"/>
      <c r="AZK171" s="201"/>
      <c r="AZL171" s="201"/>
      <c r="AZM171" s="201"/>
      <c r="AZN171" s="201"/>
      <c r="AZO171" s="201"/>
      <c r="AZP171" s="201"/>
      <c r="AZQ171" s="201"/>
      <c r="AZR171" s="201"/>
      <c r="AZS171" s="201"/>
      <c r="AZT171" s="201"/>
      <c r="AZU171" s="201"/>
      <c r="AZV171" s="201"/>
      <c r="AZW171" s="201"/>
      <c r="AZX171" s="201"/>
      <c r="AZY171" s="201"/>
      <c r="AZZ171" s="201"/>
      <c r="BAA171" s="201"/>
      <c r="BAB171" s="201"/>
      <c r="BAC171" s="201"/>
      <c r="BAD171" s="201"/>
      <c r="BAE171" s="201"/>
      <c r="BAF171" s="201"/>
      <c r="BAG171" s="201"/>
      <c r="BAH171" s="201"/>
      <c r="BAI171" s="201"/>
      <c r="BAJ171" s="201"/>
      <c r="BAK171" s="201"/>
      <c r="BAL171" s="201"/>
      <c r="BAM171" s="201"/>
      <c r="BAN171" s="201"/>
      <c r="BAO171" s="201"/>
      <c r="BAP171" s="201"/>
      <c r="BAQ171" s="201"/>
      <c r="BAR171" s="201"/>
      <c r="BAS171" s="201"/>
      <c r="BAT171" s="201"/>
      <c r="BAU171" s="201"/>
      <c r="BAV171" s="201"/>
      <c r="BAW171" s="201"/>
      <c r="BAX171" s="201"/>
      <c r="BAY171" s="201"/>
      <c r="BAZ171" s="201"/>
      <c r="BBA171" s="201"/>
      <c r="BBB171" s="201"/>
      <c r="BBC171" s="201"/>
      <c r="BBD171" s="201"/>
      <c r="BBE171" s="201"/>
      <c r="BBF171" s="201"/>
      <c r="BBG171" s="201"/>
      <c r="BBH171" s="201"/>
      <c r="BBI171" s="201"/>
      <c r="BBJ171" s="201"/>
      <c r="BBK171" s="201"/>
      <c r="BBL171" s="201"/>
      <c r="BBM171" s="201"/>
      <c r="BBN171" s="201"/>
      <c r="BBO171" s="201"/>
      <c r="BBP171" s="201"/>
      <c r="BBQ171" s="201"/>
      <c r="BBR171" s="201"/>
      <c r="BBS171" s="201"/>
      <c r="BBT171" s="201"/>
      <c r="BBU171" s="201"/>
      <c r="BBV171" s="201"/>
      <c r="BBW171" s="201"/>
      <c r="BBX171" s="201"/>
      <c r="BBY171" s="201"/>
      <c r="BBZ171" s="201"/>
      <c r="BCA171" s="201"/>
      <c r="BCB171" s="201"/>
      <c r="BCC171" s="201"/>
      <c r="BCD171" s="201"/>
      <c r="BCE171" s="201"/>
      <c r="BCF171" s="201"/>
      <c r="BCG171" s="201"/>
      <c r="BCH171" s="201"/>
      <c r="BCI171" s="201"/>
      <c r="BCJ171" s="201"/>
      <c r="BCK171" s="201"/>
      <c r="BCL171" s="201"/>
      <c r="BCM171" s="201"/>
      <c r="BCN171" s="201"/>
      <c r="BCO171" s="201"/>
      <c r="BCP171" s="201"/>
      <c r="BCQ171" s="201"/>
      <c r="BCR171" s="201"/>
      <c r="BCS171" s="201"/>
      <c r="BCT171" s="201"/>
      <c r="BCU171" s="201"/>
      <c r="BCV171" s="201"/>
      <c r="BCW171" s="201"/>
      <c r="BCX171" s="201"/>
      <c r="BCY171" s="201"/>
      <c r="BCZ171" s="201"/>
      <c r="BDA171" s="201"/>
      <c r="BDB171" s="201"/>
      <c r="BDC171" s="201"/>
      <c r="BDD171" s="201"/>
      <c r="BDE171" s="201"/>
      <c r="BDF171" s="201"/>
      <c r="BDG171" s="201"/>
      <c r="BDH171" s="201"/>
      <c r="BDI171" s="201"/>
      <c r="BDJ171" s="201"/>
      <c r="BDK171" s="201"/>
      <c r="BDL171" s="201"/>
      <c r="BDM171" s="201"/>
      <c r="BDN171" s="201"/>
      <c r="BDO171" s="201"/>
      <c r="BDP171" s="201"/>
      <c r="BDQ171" s="201"/>
      <c r="BDR171" s="201"/>
      <c r="BDS171" s="201"/>
      <c r="BDT171" s="201"/>
      <c r="BDU171" s="201"/>
      <c r="BDV171" s="201"/>
      <c r="BDW171" s="201"/>
      <c r="BDX171" s="201"/>
      <c r="BDY171" s="201"/>
      <c r="BDZ171" s="201"/>
      <c r="BEA171" s="201"/>
      <c r="BEB171" s="201"/>
      <c r="BEC171" s="201"/>
      <c r="BED171" s="201"/>
      <c r="BEE171" s="201"/>
      <c r="BEF171" s="201"/>
      <c r="BEG171" s="201"/>
      <c r="BEH171" s="201"/>
      <c r="BEI171" s="201"/>
      <c r="BEJ171" s="201"/>
      <c r="BEK171" s="201"/>
      <c r="BEL171" s="201"/>
      <c r="BEM171" s="201"/>
      <c r="BEN171" s="201"/>
      <c r="BEO171" s="201"/>
      <c r="BEP171" s="201"/>
      <c r="BEQ171" s="201"/>
      <c r="BER171" s="201"/>
      <c r="BES171" s="201"/>
      <c r="BET171" s="201"/>
      <c r="BEU171" s="201"/>
      <c r="BEV171" s="201"/>
      <c r="BEW171" s="201"/>
      <c r="BEX171" s="201"/>
      <c r="BEY171" s="201"/>
      <c r="BEZ171" s="201"/>
      <c r="BFA171" s="201"/>
      <c r="BFB171" s="201"/>
      <c r="BFC171" s="201"/>
      <c r="BFD171" s="201"/>
      <c r="BFE171" s="201"/>
      <c r="BFF171" s="201"/>
      <c r="BFG171" s="201"/>
      <c r="BFH171" s="201"/>
      <c r="BFI171" s="201"/>
      <c r="BFJ171" s="201"/>
      <c r="BFK171" s="201"/>
      <c r="BFL171" s="201"/>
      <c r="BFM171" s="201"/>
      <c r="BFN171" s="201"/>
      <c r="BFO171" s="201"/>
      <c r="BFP171" s="201"/>
      <c r="BFQ171" s="201"/>
      <c r="BFR171" s="201"/>
      <c r="BFS171" s="201"/>
      <c r="BFT171" s="201"/>
      <c r="BFU171" s="201"/>
      <c r="BFV171" s="201"/>
      <c r="BFW171" s="201"/>
      <c r="BFX171" s="201"/>
      <c r="BFY171" s="201"/>
      <c r="BFZ171" s="201"/>
      <c r="BGA171" s="201"/>
      <c r="BGB171" s="201"/>
      <c r="BGC171" s="201"/>
      <c r="BGD171" s="201"/>
      <c r="BGE171" s="201"/>
      <c r="BGF171" s="201"/>
      <c r="BGG171" s="201"/>
      <c r="BGH171" s="201"/>
      <c r="BGI171" s="201"/>
      <c r="BGJ171" s="201"/>
      <c r="BGK171" s="201"/>
      <c r="BGL171" s="201"/>
      <c r="BGM171" s="201"/>
      <c r="BGN171" s="201"/>
      <c r="BGO171" s="201"/>
      <c r="BGP171" s="201"/>
      <c r="BGQ171" s="201"/>
      <c r="BGR171" s="201"/>
      <c r="BGS171" s="201"/>
      <c r="BGT171" s="201"/>
      <c r="BGU171" s="201"/>
      <c r="BGV171" s="201"/>
      <c r="BGW171" s="201"/>
      <c r="BGX171" s="201"/>
      <c r="BGY171" s="201"/>
      <c r="BGZ171" s="201"/>
      <c r="BHA171" s="201"/>
      <c r="BHB171" s="201"/>
      <c r="BHC171" s="201"/>
      <c r="BHD171" s="201"/>
      <c r="BHE171" s="201"/>
      <c r="BHF171" s="201"/>
      <c r="BHG171" s="201"/>
      <c r="BHH171" s="201"/>
      <c r="BHI171" s="201"/>
      <c r="BHJ171" s="201"/>
      <c r="BHK171" s="201"/>
      <c r="BHL171" s="201"/>
      <c r="BHM171" s="201"/>
      <c r="BHN171" s="201"/>
      <c r="BHO171" s="201"/>
      <c r="BHP171" s="201"/>
      <c r="BHQ171" s="201"/>
      <c r="BHR171" s="201"/>
      <c r="BHS171" s="201"/>
      <c r="BHT171" s="201"/>
      <c r="BHU171" s="201"/>
      <c r="BHV171" s="201"/>
      <c r="BHW171" s="201"/>
      <c r="BHX171" s="201"/>
      <c r="BHY171" s="201"/>
      <c r="BHZ171" s="201"/>
      <c r="BIA171" s="201"/>
      <c r="BIB171" s="201"/>
      <c r="BIC171" s="201"/>
      <c r="BID171" s="201"/>
      <c r="BIE171" s="201"/>
      <c r="BIF171" s="201"/>
      <c r="BIG171" s="201"/>
      <c r="BIH171" s="201"/>
      <c r="BII171" s="201"/>
      <c r="BIJ171" s="201"/>
      <c r="BIK171" s="201"/>
      <c r="BIL171" s="201"/>
      <c r="BIM171" s="201"/>
      <c r="BIN171" s="201"/>
      <c r="BIO171" s="201"/>
      <c r="BIP171" s="201"/>
      <c r="BIQ171" s="201"/>
      <c r="BIR171" s="201"/>
      <c r="BIS171" s="201"/>
      <c r="BIT171" s="201"/>
      <c r="BIU171" s="201"/>
      <c r="BIV171" s="201"/>
      <c r="BIW171" s="201"/>
      <c r="BIX171" s="201"/>
      <c r="BIY171" s="201"/>
      <c r="BIZ171" s="201"/>
      <c r="BJA171" s="201"/>
      <c r="BJB171" s="201"/>
      <c r="BJC171" s="201"/>
      <c r="BJD171" s="201"/>
      <c r="BJE171" s="201"/>
      <c r="BJF171" s="201"/>
      <c r="BJG171" s="201"/>
      <c r="BJH171" s="201"/>
      <c r="BJI171" s="201"/>
      <c r="BJJ171" s="201"/>
      <c r="BJK171" s="201"/>
      <c r="BJL171" s="201"/>
      <c r="BJM171" s="201"/>
      <c r="BJN171" s="201"/>
      <c r="BJO171" s="201"/>
      <c r="BJP171" s="201"/>
      <c r="BJQ171" s="201"/>
      <c r="BJR171" s="201"/>
      <c r="BJS171" s="201"/>
      <c r="BJT171" s="201"/>
      <c r="BJU171" s="201"/>
      <c r="BJV171" s="201"/>
      <c r="BJW171" s="201"/>
      <c r="BJX171" s="201"/>
      <c r="BJY171" s="201"/>
      <c r="BJZ171" s="201"/>
      <c r="BKA171" s="201"/>
      <c r="BKB171" s="201"/>
      <c r="BKC171" s="201"/>
      <c r="BKD171" s="201"/>
      <c r="BKE171" s="201"/>
      <c r="BKF171" s="201"/>
      <c r="BKG171" s="201"/>
      <c r="BKH171" s="201"/>
      <c r="BKI171" s="201"/>
      <c r="BKJ171" s="201"/>
      <c r="BKK171" s="201"/>
      <c r="BKL171" s="201"/>
      <c r="BKM171" s="201"/>
      <c r="BKN171" s="201"/>
      <c r="BKO171" s="201"/>
      <c r="BKP171" s="201"/>
      <c r="BKQ171" s="201"/>
      <c r="BKR171" s="201"/>
      <c r="BKS171" s="201"/>
      <c r="BKT171" s="201"/>
      <c r="BKU171" s="201"/>
      <c r="BKV171" s="201"/>
      <c r="BKW171" s="201"/>
      <c r="BKX171" s="201"/>
      <c r="BKY171" s="201"/>
      <c r="BKZ171" s="201"/>
      <c r="BLA171" s="201"/>
      <c r="BLB171" s="201"/>
      <c r="BLC171" s="201"/>
      <c r="BLD171" s="201"/>
      <c r="BLE171" s="201"/>
      <c r="BLF171" s="201"/>
      <c r="BLG171" s="201"/>
      <c r="BLH171" s="201"/>
      <c r="BLI171" s="201"/>
      <c r="BLJ171" s="201"/>
      <c r="BLK171" s="201"/>
      <c r="BLL171" s="201"/>
      <c r="BLM171" s="201"/>
      <c r="BLN171" s="201"/>
      <c r="BLO171" s="201"/>
      <c r="BLP171" s="201"/>
      <c r="BLQ171" s="201"/>
      <c r="BLR171" s="201"/>
      <c r="BLS171" s="201"/>
      <c r="BLT171" s="201"/>
      <c r="BLU171" s="201"/>
      <c r="BLV171" s="201"/>
      <c r="BLW171" s="201"/>
      <c r="BLX171" s="201"/>
      <c r="BLY171" s="201"/>
      <c r="BLZ171" s="201"/>
      <c r="BMA171" s="201"/>
      <c r="BMB171" s="201"/>
      <c r="BMC171" s="201"/>
      <c r="BMD171" s="201"/>
      <c r="BME171" s="201"/>
      <c r="BMF171" s="201"/>
      <c r="BMG171" s="201"/>
      <c r="BMH171" s="201"/>
      <c r="BMI171" s="201"/>
      <c r="BMJ171" s="201"/>
      <c r="BMK171" s="201"/>
      <c r="BML171" s="201"/>
      <c r="BMM171" s="201"/>
      <c r="BMN171" s="201"/>
      <c r="BMO171" s="201"/>
      <c r="BMP171" s="201"/>
      <c r="BMQ171" s="201"/>
      <c r="BMR171" s="201"/>
      <c r="BMS171" s="201"/>
      <c r="BMT171" s="201"/>
      <c r="BMU171" s="201"/>
      <c r="BMV171" s="201"/>
      <c r="BMW171" s="201"/>
      <c r="BMX171" s="201"/>
      <c r="BMY171" s="201"/>
      <c r="BMZ171" s="201"/>
      <c r="BNA171" s="201"/>
      <c r="BNB171" s="201"/>
      <c r="BNC171" s="201"/>
      <c r="BND171" s="201"/>
      <c r="BNE171" s="201"/>
      <c r="BNF171" s="201"/>
      <c r="BNG171" s="201"/>
      <c r="BNH171" s="201"/>
      <c r="BNI171" s="201"/>
      <c r="BNJ171" s="201"/>
      <c r="BNK171" s="201"/>
      <c r="BNL171" s="201"/>
      <c r="BNM171" s="201"/>
      <c r="BNN171" s="201"/>
      <c r="BNO171" s="201"/>
      <c r="BNP171" s="201"/>
      <c r="BNQ171" s="201"/>
      <c r="BNR171" s="201"/>
      <c r="BNS171" s="201"/>
      <c r="BNT171" s="201"/>
      <c r="BNU171" s="201"/>
      <c r="BNV171" s="201"/>
      <c r="BNW171" s="201"/>
      <c r="BNX171" s="201"/>
      <c r="BNY171" s="201"/>
      <c r="BNZ171" s="201"/>
      <c r="BOA171" s="201"/>
      <c r="BOB171" s="201"/>
      <c r="BOC171" s="201"/>
      <c r="BOD171" s="201"/>
      <c r="BOE171" s="201"/>
      <c r="BOF171" s="201"/>
      <c r="BOG171" s="201"/>
      <c r="BOH171" s="201"/>
      <c r="BOI171" s="201"/>
      <c r="BOJ171" s="201"/>
      <c r="BOK171" s="201"/>
      <c r="BOL171" s="201"/>
      <c r="BOM171" s="201"/>
      <c r="BON171" s="201"/>
      <c r="BOO171" s="201"/>
      <c r="BOP171" s="201"/>
      <c r="BOQ171" s="201"/>
      <c r="BOR171" s="201"/>
      <c r="BOS171" s="201"/>
      <c r="BOT171" s="201"/>
      <c r="BOU171" s="201"/>
      <c r="BOV171" s="201"/>
      <c r="BOW171" s="201"/>
      <c r="BOX171" s="201"/>
      <c r="BOY171" s="201"/>
      <c r="BOZ171" s="201"/>
      <c r="BPA171" s="201"/>
      <c r="BPB171" s="201"/>
      <c r="BPC171" s="201"/>
      <c r="BPD171" s="201"/>
      <c r="BPE171" s="201"/>
      <c r="BPF171" s="201"/>
      <c r="BPG171" s="201"/>
      <c r="BPH171" s="201"/>
      <c r="BPI171" s="201"/>
      <c r="BPJ171" s="201"/>
      <c r="BPK171" s="201"/>
      <c r="BPL171" s="201"/>
      <c r="BPM171" s="201"/>
      <c r="BPN171" s="201"/>
      <c r="BPO171" s="201"/>
      <c r="BPP171" s="201"/>
      <c r="BPQ171" s="201"/>
      <c r="BPR171" s="201"/>
      <c r="BPS171" s="201"/>
      <c r="BPT171" s="201"/>
      <c r="BPU171" s="201"/>
      <c r="BPV171" s="201"/>
      <c r="BPW171" s="201"/>
      <c r="BPX171" s="201"/>
      <c r="BPY171" s="201"/>
      <c r="BPZ171" s="201"/>
      <c r="BQA171" s="201"/>
      <c r="BQB171" s="201"/>
      <c r="BQC171" s="201"/>
      <c r="BQD171" s="201"/>
      <c r="BQE171" s="201"/>
      <c r="BQF171" s="201"/>
      <c r="BQG171" s="201"/>
      <c r="BQH171" s="201"/>
      <c r="BQI171" s="201"/>
      <c r="BQJ171" s="201"/>
      <c r="BQK171" s="201"/>
      <c r="BQL171" s="201"/>
      <c r="BQM171" s="201"/>
      <c r="BQN171" s="201"/>
      <c r="BQO171" s="201"/>
      <c r="BQP171" s="201"/>
      <c r="BQQ171" s="201"/>
      <c r="BQR171" s="201"/>
      <c r="BQS171" s="201"/>
      <c r="BQT171" s="201"/>
      <c r="BQU171" s="201"/>
      <c r="BQV171" s="201"/>
      <c r="BQW171" s="201"/>
      <c r="BQX171" s="201"/>
      <c r="BQY171" s="201"/>
      <c r="BQZ171" s="201"/>
      <c r="BRA171" s="201"/>
      <c r="BRB171" s="201"/>
      <c r="BRC171" s="201"/>
      <c r="BRD171" s="201"/>
      <c r="BRE171" s="201"/>
      <c r="BRF171" s="201"/>
      <c r="BRG171" s="201"/>
      <c r="BRH171" s="201"/>
      <c r="BRI171" s="201"/>
      <c r="BRJ171" s="201"/>
      <c r="BRK171" s="201"/>
      <c r="BRL171" s="201"/>
      <c r="BRM171" s="201"/>
      <c r="BRN171" s="201"/>
      <c r="BRO171" s="201"/>
      <c r="BRP171" s="201"/>
      <c r="BRQ171" s="201"/>
      <c r="BRR171" s="201"/>
      <c r="BRS171" s="201"/>
      <c r="BRT171" s="201"/>
      <c r="BRU171" s="201"/>
      <c r="BRV171" s="201"/>
      <c r="BRW171" s="201"/>
      <c r="BRX171" s="201"/>
      <c r="BRY171" s="201"/>
      <c r="BRZ171" s="201"/>
      <c r="BSA171" s="201"/>
      <c r="BSB171" s="201"/>
      <c r="BSC171" s="201"/>
      <c r="BSD171" s="201"/>
      <c r="BSE171" s="201"/>
      <c r="BSF171" s="201"/>
      <c r="BSG171" s="201"/>
      <c r="BSH171" s="201"/>
      <c r="BSI171" s="201"/>
      <c r="BSJ171" s="201"/>
      <c r="BSK171" s="201"/>
      <c r="BSL171" s="201"/>
      <c r="BSM171" s="201"/>
      <c r="BSN171" s="201"/>
      <c r="BSO171" s="201"/>
      <c r="BSP171" s="201"/>
      <c r="BSQ171" s="201"/>
      <c r="BSR171" s="201"/>
      <c r="BSS171" s="201"/>
      <c r="BST171" s="201"/>
      <c r="BSU171" s="201"/>
      <c r="BSV171" s="201"/>
      <c r="BSW171" s="201"/>
      <c r="BSX171" s="201"/>
      <c r="BSY171" s="201"/>
      <c r="BSZ171" s="201"/>
      <c r="BTA171" s="201"/>
      <c r="BTB171" s="201"/>
      <c r="BTC171" s="201"/>
      <c r="BTD171" s="201"/>
      <c r="BTE171" s="201"/>
      <c r="BTF171" s="201"/>
      <c r="BTG171" s="201"/>
      <c r="BTH171" s="201"/>
      <c r="BTI171" s="201"/>
      <c r="BTJ171" s="201"/>
      <c r="BTK171" s="201"/>
      <c r="BTL171" s="201"/>
      <c r="BTM171" s="201"/>
      <c r="BTN171" s="201"/>
      <c r="BTO171" s="201"/>
      <c r="BTP171" s="201"/>
      <c r="BTQ171" s="201"/>
      <c r="BTR171" s="201"/>
      <c r="BTS171" s="201"/>
      <c r="BTT171" s="201"/>
      <c r="BTU171" s="201"/>
      <c r="BTV171" s="201"/>
      <c r="BTW171" s="201"/>
      <c r="BTX171" s="201"/>
      <c r="BTY171" s="201"/>
      <c r="BTZ171" s="201"/>
      <c r="BUA171" s="201"/>
      <c r="BUB171" s="201"/>
      <c r="BUC171" s="201"/>
      <c r="BUD171" s="201"/>
      <c r="BUE171" s="201"/>
      <c r="BUF171" s="201"/>
      <c r="BUG171" s="201"/>
      <c r="BUH171" s="201"/>
      <c r="BUI171" s="201"/>
      <c r="BUJ171" s="201"/>
      <c r="BUK171" s="201"/>
      <c r="BUL171" s="201"/>
      <c r="BUM171" s="201"/>
      <c r="BUN171" s="201"/>
      <c r="BUO171" s="201"/>
      <c r="BUP171" s="201"/>
      <c r="BUQ171" s="201"/>
      <c r="BUR171" s="201"/>
      <c r="BUS171" s="201"/>
      <c r="BUT171" s="201"/>
      <c r="BUU171" s="201"/>
      <c r="BUV171" s="201"/>
      <c r="BUW171" s="201"/>
      <c r="BUX171" s="201"/>
      <c r="BUY171" s="201"/>
      <c r="BUZ171" s="201"/>
      <c r="BVA171" s="201"/>
      <c r="BVB171" s="201"/>
      <c r="BVC171" s="201"/>
      <c r="BVD171" s="201"/>
      <c r="BVE171" s="201"/>
      <c r="BVF171" s="201"/>
      <c r="BVG171" s="201"/>
      <c r="BVH171" s="201"/>
      <c r="BVI171" s="201"/>
      <c r="BVJ171" s="201"/>
      <c r="BVK171" s="201"/>
      <c r="BVL171" s="201"/>
      <c r="BVM171" s="201"/>
      <c r="BVN171" s="201"/>
      <c r="BVO171" s="201"/>
      <c r="BVP171" s="201"/>
      <c r="BVQ171" s="201"/>
      <c r="BVR171" s="201"/>
      <c r="BVS171" s="201"/>
      <c r="BVT171" s="201"/>
      <c r="BVU171" s="201"/>
      <c r="BVV171" s="201"/>
      <c r="BVW171" s="201"/>
      <c r="BVX171" s="201"/>
      <c r="BVY171" s="201"/>
      <c r="BVZ171" s="201"/>
      <c r="BWA171" s="201"/>
      <c r="BWB171" s="201"/>
      <c r="BWC171" s="201"/>
      <c r="BWD171" s="201"/>
      <c r="BWE171" s="201"/>
      <c r="BWF171" s="201"/>
      <c r="BWG171" s="201"/>
      <c r="BWH171" s="201"/>
      <c r="BWI171" s="201"/>
      <c r="BWJ171" s="201"/>
      <c r="BWK171" s="201"/>
      <c r="BWL171" s="201"/>
      <c r="BWM171" s="201"/>
      <c r="BWN171" s="201"/>
      <c r="BWO171" s="201"/>
      <c r="BWP171" s="201"/>
      <c r="BWQ171" s="201"/>
      <c r="BWR171" s="201"/>
      <c r="BWS171" s="201"/>
      <c r="BWT171" s="201"/>
      <c r="BWU171" s="201"/>
      <c r="BWV171" s="201"/>
      <c r="BWW171" s="201"/>
      <c r="BWX171" s="201"/>
      <c r="BWY171" s="201"/>
      <c r="BWZ171" s="201"/>
      <c r="BXA171" s="201"/>
      <c r="BXB171" s="201"/>
      <c r="BXC171" s="201"/>
      <c r="BXD171" s="201"/>
      <c r="BXE171" s="201"/>
      <c r="BXF171" s="201"/>
      <c r="BXG171" s="201"/>
      <c r="BXH171" s="201"/>
      <c r="BXI171" s="201"/>
      <c r="BXJ171" s="201"/>
      <c r="BXK171" s="201"/>
      <c r="BXL171" s="201"/>
      <c r="BXM171" s="201"/>
      <c r="BXN171" s="201"/>
      <c r="BXO171" s="201"/>
      <c r="BXP171" s="201"/>
      <c r="BXQ171" s="201"/>
      <c r="BXR171" s="201"/>
      <c r="BXS171" s="201"/>
      <c r="BXT171" s="201"/>
      <c r="BXU171" s="201"/>
      <c r="BXV171" s="201"/>
      <c r="BXW171" s="201"/>
      <c r="BXX171" s="201"/>
      <c r="BXY171" s="201"/>
      <c r="BXZ171" s="201"/>
      <c r="BYA171" s="201"/>
      <c r="BYB171" s="201"/>
      <c r="BYC171" s="201"/>
      <c r="BYD171" s="201"/>
      <c r="BYE171" s="201"/>
      <c r="BYF171" s="201"/>
      <c r="BYG171" s="201"/>
      <c r="BYH171" s="201"/>
      <c r="BYI171" s="201"/>
      <c r="BYJ171" s="201"/>
      <c r="BYK171" s="201"/>
      <c r="BYL171" s="201"/>
      <c r="BYM171" s="201"/>
      <c r="BYN171" s="201"/>
      <c r="BYO171" s="201"/>
      <c r="BYP171" s="201"/>
      <c r="BYQ171" s="201"/>
      <c r="BYR171" s="201"/>
      <c r="BYS171" s="201"/>
      <c r="BYT171" s="201"/>
      <c r="BYU171" s="201"/>
      <c r="BYV171" s="201"/>
      <c r="BYW171" s="201"/>
      <c r="BYX171" s="201"/>
      <c r="BYY171" s="201"/>
      <c r="BYZ171" s="201"/>
      <c r="BZA171" s="201"/>
      <c r="BZB171" s="201"/>
      <c r="BZC171" s="201"/>
      <c r="BZD171" s="201"/>
      <c r="BZE171" s="201"/>
      <c r="BZF171" s="201"/>
      <c r="BZG171" s="201"/>
      <c r="BZH171" s="201"/>
      <c r="BZI171" s="201"/>
      <c r="BZJ171" s="201"/>
      <c r="BZK171" s="201"/>
      <c r="BZL171" s="201"/>
      <c r="BZM171" s="201"/>
      <c r="BZN171" s="201"/>
      <c r="BZO171" s="201"/>
      <c r="BZP171" s="201"/>
      <c r="BZQ171" s="201"/>
      <c r="BZR171" s="201"/>
      <c r="BZS171" s="201"/>
      <c r="BZT171" s="201"/>
      <c r="BZU171" s="201"/>
      <c r="BZV171" s="201"/>
      <c r="BZW171" s="201"/>
      <c r="BZX171" s="201"/>
      <c r="BZY171" s="201"/>
      <c r="BZZ171" s="201"/>
      <c r="CAA171" s="201"/>
      <c r="CAB171" s="201"/>
      <c r="CAC171" s="201"/>
      <c r="CAD171" s="201"/>
      <c r="CAE171" s="201"/>
      <c r="CAF171" s="201"/>
      <c r="CAG171" s="201"/>
      <c r="CAH171" s="201"/>
      <c r="CAI171" s="201"/>
      <c r="CAJ171" s="201"/>
      <c r="CAK171" s="201"/>
      <c r="CAL171" s="201"/>
      <c r="CAM171" s="201"/>
      <c r="CAN171" s="201"/>
      <c r="CAO171" s="201"/>
      <c r="CAP171" s="201"/>
      <c r="CAQ171" s="201"/>
      <c r="CAR171" s="201"/>
      <c r="CAS171" s="201"/>
      <c r="CAT171" s="201"/>
      <c r="CAU171" s="201"/>
      <c r="CAV171" s="201"/>
      <c r="CAW171" s="201"/>
      <c r="CAX171" s="201"/>
      <c r="CAY171" s="201"/>
      <c r="CAZ171" s="201"/>
      <c r="CBA171" s="201"/>
      <c r="CBB171" s="201"/>
      <c r="CBC171" s="201"/>
      <c r="CBD171" s="201"/>
      <c r="CBE171" s="201"/>
      <c r="CBF171" s="201"/>
      <c r="CBG171" s="201"/>
      <c r="CBH171" s="201"/>
      <c r="CBI171" s="201"/>
      <c r="CBJ171" s="201"/>
      <c r="CBK171" s="201"/>
      <c r="CBL171" s="201"/>
      <c r="CBM171" s="201"/>
      <c r="CBN171" s="201"/>
      <c r="CBO171" s="201"/>
      <c r="CBP171" s="201"/>
      <c r="CBQ171" s="201"/>
      <c r="CBR171" s="201"/>
      <c r="CBS171" s="201"/>
      <c r="CBT171" s="201"/>
      <c r="CBU171" s="201"/>
      <c r="CBV171" s="201"/>
      <c r="CBW171" s="201"/>
      <c r="CBX171" s="201"/>
      <c r="CBY171" s="201"/>
      <c r="CBZ171" s="201"/>
      <c r="CCA171" s="201"/>
      <c r="CCB171" s="201"/>
      <c r="CCC171" s="201"/>
      <c r="CCD171" s="201"/>
      <c r="CCE171" s="201"/>
      <c r="CCF171" s="201"/>
      <c r="CCG171" s="201"/>
      <c r="CCH171" s="201"/>
      <c r="CCI171" s="201"/>
      <c r="CCJ171" s="201"/>
      <c r="CCK171" s="201"/>
      <c r="CCL171" s="201"/>
      <c r="CCM171" s="201"/>
      <c r="CCN171" s="201"/>
      <c r="CCO171" s="201"/>
      <c r="CCP171" s="201"/>
      <c r="CCQ171" s="201"/>
      <c r="CCR171" s="201"/>
      <c r="CCS171" s="201"/>
      <c r="CCT171" s="201"/>
      <c r="CCU171" s="201"/>
      <c r="CCV171" s="201"/>
      <c r="CCW171" s="201"/>
      <c r="CCX171" s="201"/>
      <c r="CCY171" s="201"/>
      <c r="CCZ171" s="201"/>
      <c r="CDA171" s="201"/>
      <c r="CDB171" s="201"/>
      <c r="CDC171" s="201"/>
      <c r="CDD171" s="201"/>
      <c r="CDE171" s="201"/>
      <c r="CDF171" s="201"/>
      <c r="CDG171" s="201"/>
      <c r="CDH171" s="201"/>
      <c r="CDI171" s="201"/>
      <c r="CDJ171" s="201"/>
      <c r="CDK171" s="201"/>
      <c r="CDL171" s="201"/>
      <c r="CDM171" s="201"/>
      <c r="CDN171" s="201"/>
      <c r="CDO171" s="201"/>
      <c r="CDP171" s="201"/>
      <c r="CDQ171" s="201"/>
      <c r="CDR171" s="201"/>
      <c r="CDS171" s="201"/>
      <c r="CDT171" s="201"/>
      <c r="CDU171" s="201"/>
      <c r="CDV171" s="201"/>
      <c r="CDW171" s="201"/>
      <c r="CDX171" s="201"/>
      <c r="CDY171" s="201"/>
      <c r="CDZ171" s="201"/>
      <c r="CEA171" s="201"/>
      <c r="CEB171" s="201"/>
      <c r="CEC171" s="201"/>
      <c r="CED171" s="201"/>
      <c r="CEE171" s="201"/>
      <c r="CEF171" s="201"/>
      <c r="CEG171" s="201"/>
      <c r="CEH171" s="201"/>
      <c r="CEI171" s="201"/>
      <c r="CEJ171" s="201"/>
      <c r="CEK171" s="201"/>
      <c r="CEL171" s="201"/>
      <c r="CEM171" s="201"/>
      <c r="CEN171" s="201"/>
      <c r="CEO171" s="201"/>
      <c r="CEP171" s="201"/>
      <c r="CEQ171" s="201"/>
      <c r="CER171" s="201"/>
      <c r="CES171" s="201"/>
      <c r="CET171" s="201"/>
      <c r="CEU171" s="201"/>
      <c r="CEV171" s="201"/>
      <c r="CEW171" s="201"/>
      <c r="CEX171" s="201"/>
      <c r="CEY171" s="201"/>
      <c r="CEZ171" s="201"/>
      <c r="CFA171" s="201"/>
      <c r="CFB171" s="201"/>
      <c r="CFC171" s="201"/>
      <c r="CFD171" s="201"/>
      <c r="CFE171" s="201"/>
      <c r="CFF171" s="201"/>
      <c r="CFG171" s="201"/>
      <c r="CFH171" s="201"/>
      <c r="CFI171" s="201"/>
      <c r="CFJ171" s="201"/>
      <c r="CFK171" s="201"/>
      <c r="CFL171" s="201"/>
      <c r="CFM171" s="201"/>
      <c r="CFN171" s="201"/>
      <c r="CFO171" s="201"/>
      <c r="CFP171" s="201"/>
      <c r="CFQ171" s="201"/>
      <c r="CFR171" s="201"/>
      <c r="CFS171" s="201"/>
      <c r="CFT171" s="201"/>
      <c r="CFU171" s="201"/>
      <c r="CFV171" s="201"/>
      <c r="CFW171" s="201"/>
      <c r="CFX171" s="201"/>
      <c r="CFY171" s="201"/>
      <c r="CFZ171" s="201"/>
      <c r="CGA171" s="201"/>
      <c r="CGB171" s="201"/>
      <c r="CGC171" s="201"/>
      <c r="CGD171" s="201"/>
      <c r="CGE171" s="201"/>
      <c r="CGF171" s="201"/>
      <c r="CGG171" s="201"/>
      <c r="CGH171" s="201"/>
      <c r="CGI171" s="201"/>
      <c r="CGJ171" s="201"/>
      <c r="CGK171" s="201"/>
      <c r="CGL171" s="201"/>
      <c r="CGM171" s="201"/>
      <c r="CGN171" s="201"/>
      <c r="CGO171" s="201"/>
      <c r="CGP171" s="201"/>
      <c r="CGQ171" s="201"/>
      <c r="CGR171" s="201"/>
      <c r="CGS171" s="201"/>
      <c r="CGT171" s="201"/>
      <c r="CGU171" s="201"/>
      <c r="CGV171" s="201"/>
      <c r="CGW171" s="201"/>
      <c r="CGX171" s="201"/>
      <c r="CGY171" s="201"/>
      <c r="CGZ171" s="201"/>
      <c r="CHA171" s="201"/>
      <c r="CHB171" s="201"/>
      <c r="CHC171" s="201"/>
      <c r="CHD171" s="201"/>
      <c r="CHE171" s="201"/>
      <c r="CHF171" s="201"/>
      <c r="CHG171" s="201"/>
      <c r="CHH171" s="201"/>
      <c r="CHI171" s="201"/>
      <c r="CHJ171" s="201"/>
      <c r="CHK171" s="201"/>
      <c r="CHL171" s="201"/>
      <c r="CHM171" s="201"/>
      <c r="CHN171" s="201"/>
      <c r="CHO171" s="201"/>
      <c r="CHP171" s="201"/>
      <c r="CHQ171" s="201"/>
      <c r="CHR171" s="201"/>
      <c r="CHS171" s="201"/>
      <c r="CHT171" s="201"/>
      <c r="CHU171" s="201"/>
      <c r="CHV171" s="201"/>
      <c r="CHW171" s="201"/>
      <c r="CHX171" s="201"/>
      <c r="CHY171" s="201"/>
      <c r="CHZ171" s="201"/>
      <c r="CIA171" s="201"/>
      <c r="CIB171" s="201"/>
      <c r="CIC171" s="201"/>
      <c r="CID171" s="201"/>
      <c r="CIE171" s="201"/>
      <c r="CIF171" s="201"/>
      <c r="CIG171" s="201"/>
      <c r="CIH171" s="201"/>
      <c r="CII171" s="201"/>
      <c r="CIJ171" s="201"/>
      <c r="CIK171" s="201"/>
      <c r="CIL171" s="201"/>
      <c r="CIM171" s="201"/>
      <c r="CIN171" s="201"/>
      <c r="CIO171" s="201"/>
      <c r="CIP171" s="201"/>
      <c r="CIQ171" s="201"/>
      <c r="CIR171" s="201"/>
      <c r="CIS171" s="201"/>
      <c r="CIT171" s="201"/>
      <c r="CIU171" s="201"/>
      <c r="CIV171" s="201"/>
      <c r="CIW171" s="201"/>
      <c r="CIX171" s="201"/>
      <c r="CIY171" s="201"/>
      <c r="CIZ171" s="201"/>
      <c r="CJA171" s="201"/>
      <c r="CJB171" s="201"/>
      <c r="CJC171" s="201"/>
      <c r="CJD171" s="201"/>
      <c r="CJE171" s="201"/>
      <c r="CJF171" s="201"/>
      <c r="CJG171" s="201"/>
      <c r="CJH171" s="201"/>
      <c r="CJI171" s="201"/>
      <c r="CJJ171" s="201"/>
      <c r="CJK171" s="201"/>
      <c r="CJL171" s="201"/>
      <c r="CJM171" s="201"/>
      <c r="CJN171" s="201"/>
      <c r="CJO171" s="201"/>
      <c r="CJP171" s="201"/>
      <c r="CJQ171" s="201"/>
      <c r="CJR171" s="201"/>
      <c r="CJS171" s="201"/>
      <c r="CJT171" s="201"/>
      <c r="CJU171" s="201"/>
      <c r="CJV171" s="201"/>
      <c r="CJW171" s="201"/>
      <c r="CJX171" s="201"/>
      <c r="CJY171" s="201"/>
      <c r="CJZ171" s="201"/>
      <c r="CKA171" s="201"/>
      <c r="CKB171" s="201"/>
      <c r="CKC171" s="201"/>
      <c r="CKD171" s="201"/>
      <c r="CKE171" s="201"/>
      <c r="CKF171" s="201"/>
      <c r="CKG171" s="201"/>
      <c r="CKH171" s="201"/>
      <c r="CKI171" s="201"/>
      <c r="CKJ171" s="201"/>
      <c r="CKK171" s="201"/>
      <c r="CKL171" s="201"/>
      <c r="CKM171" s="201"/>
      <c r="CKN171" s="201"/>
      <c r="CKO171" s="201"/>
      <c r="CKP171" s="201"/>
      <c r="CKQ171" s="201"/>
      <c r="CKR171" s="201"/>
      <c r="CKS171" s="201"/>
      <c r="CKT171" s="201"/>
      <c r="CKU171" s="201"/>
      <c r="CKV171" s="201"/>
      <c r="CKW171" s="201"/>
      <c r="CKX171" s="201"/>
      <c r="CKY171" s="201"/>
      <c r="CKZ171" s="201"/>
      <c r="CLA171" s="201"/>
      <c r="CLB171" s="201"/>
      <c r="CLC171" s="201"/>
      <c r="CLD171" s="201"/>
      <c r="CLE171" s="201"/>
      <c r="CLF171" s="201"/>
      <c r="CLG171" s="201"/>
      <c r="CLH171" s="201"/>
      <c r="CLI171" s="201"/>
      <c r="CLJ171" s="201"/>
      <c r="CLK171" s="201"/>
      <c r="CLL171" s="201"/>
      <c r="CLM171" s="201"/>
      <c r="CLN171" s="201"/>
      <c r="CLO171" s="201"/>
      <c r="CLP171" s="201"/>
      <c r="CLQ171" s="201"/>
      <c r="CLR171" s="201"/>
      <c r="CLS171" s="201"/>
      <c r="CLT171" s="201"/>
      <c r="CLU171" s="201"/>
      <c r="CLV171" s="201"/>
      <c r="CLW171" s="201"/>
      <c r="CLX171" s="201"/>
      <c r="CLY171" s="201"/>
      <c r="CLZ171" s="201"/>
      <c r="CMA171" s="201"/>
      <c r="CMB171" s="201"/>
      <c r="CMC171" s="201"/>
      <c r="CMD171" s="201"/>
      <c r="CME171" s="201"/>
      <c r="CMF171" s="201"/>
      <c r="CMG171" s="201"/>
      <c r="CMH171" s="201"/>
      <c r="CMI171" s="201"/>
      <c r="CMJ171" s="201"/>
      <c r="CMK171" s="201"/>
      <c r="CML171" s="201"/>
      <c r="CMM171" s="201"/>
      <c r="CMN171" s="201"/>
      <c r="CMO171" s="201"/>
      <c r="CMP171" s="201"/>
      <c r="CMQ171" s="201"/>
      <c r="CMR171" s="201"/>
      <c r="CMS171" s="201"/>
      <c r="CMT171" s="201"/>
      <c r="CMU171" s="201"/>
      <c r="CMV171" s="201"/>
      <c r="CMW171" s="201"/>
      <c r="CMX171" s="201"/>
      <c r="CMY171" s="201"/>
      <c r="CMZ171" s="201"/>
      <c r="CNA171" s="201"/>
      <c r="CNB171" s="201"/>
      <c r="CNC171" s="201"/>
      <c r="CND171" s="201"/>
      <c r="CNE171" s="201"/>
      <c r="CNF171" s="201"/>
      <c r="CNG171" s="201"/>
      <c r="CNH171" s="201"/>
      <c r="CNI171" s="201"/>
      <c r="CNJ171" s="201"/>
      <c r="CNK171" s="201"/>
      <c r="CNL171" s="201"/>
      <c r="CNM171" s="201"/>
      <c r="CNN171" s="201"/>
      <c r="CNO171" s="201"/>
      <c r="CNP171" s="201"/>
      <c r="CNQ171" s="201"/>
      <c r="CNR171" s="201"/>
      <c r="CNS171" s="201"/>
      <c r="CNT171" s="201"/>
      <c r="CNU171" s="201"/>
      <c r="CNV171" s="201"/>
      <c r="CNW171" s="201"/>
      <c r="CNX171" s="201"/>
      <c r="CNY171" s="201"/>
      <c r="CNZ171" s="201"/>
      <c r="COA171" s="201"/>
      <c r="COB171" s="201"/>
      <c r="COC171" s="201"/>
      <c r="COD171" s="201"/>
      <c r="COE171" s="201"/>
      <c r="COF171" s="201"/>
      <c r="COG171" s="201"/>
      <c r="COH171" s="201"/>
      <c r="COI171" s="201"/>
      <c r="COJ171" s="201"/>
      <c r="COK171" s="201"/>
      <c r="COL171" s="201"/>
      <c r="COM171" s="201"/>
      <c r="CON171" s="201"/>
      <c r="COO171" s="201"/>
      <c r="COP171" s="201"/>
      <c r="COQ171" s="201"/>
      <c r="COR171" s="201"/>
      <c r="COS171" s="201"/>
      <c r="COT171" s="201"/>
      <c r="COU171" s="201"/>
      <c r="COV171" s="201"/>
      <c r="COW171" s="201"/>
      <c r="COX171" s="201"/>
      <c r="COY171" s="201"/>
      <c r="COZ171" s="201"/>
      <c r="CPA171" s="201"/>
      <c r="CPB171" s="201"/>
      <c r="CPC171" s="201"/>
      <c r="CPD171" s="201"/>
      <c r="CPE171" s="201"/>
      <c r="CPF171" s="201"/>
      <c r="CPG171" s="201"/>
      <c r="CPH171" s="201"/>
      <c r="CPI171" s="201"/>
      <c r="CPJ171" s="201"/>
      <c r="CPK171" s="201"/>
      <c r="CPL171" s="201"/>
      <c r="CPM171" s="201"/>
      <c r="CPN171" s="201"/>
      <c r="CPO171" s="201"/>
      <c r="CPP171" s="201"/>
      <c r="CPQ171" s="201"/>
      <c r="CPR171" s="201"/>
      <c r="CPS171" s="201"/>
      <c r="CPT171" s="201"/>
      <c r="CPU171" s="201"/>
      <c r="CPV171" s="201"/>
      <c r="CPW171" s="201"/>
      <c r="CPX171" s="201"/>
      <c r="CPY171" s="201"/>
      <c r="CPZ171" s="201"/>
      <c r="CQA171" s="201"/>
      <c r="CQB171" s="201"/>
      <c r="CQC171" s="201"/>
      <c r="CQD171" s="201"/>
      <c r="CQE171" s="201"/>
      <c r="CQF171" s="201"/>
      <c r="CQG171" s="201"/>
      <c r="CQH171" s="201"/>
      <c r="CQI171" s="201"/>
      <c r="CQJ171" s="201"/>
      <c r="CQK171" s="201"/>
      <c r="CQL171" s="201"/>
      <c r="CQM171" s="201"/>
      <c r="CQN171" s="201"/>
      <c r="CQO171" s="201"/>
      <c r="CQP171" s="201"/>
      <c r="CQQ171" s="201"/>
      <c r="CQR171" s="201"/>
      <c r="CQS171" s="201"/>
      <c r="CQT171" s="201"/>
      <c r="CQU171" s="201"/>
      <c r="CQV171" s="201"/>
      <c r="CQW171" s="201"/>
      <c r="CQX171" s="201"/>
      <c r="CQY171" s="201"/>
      <c r="CQZ171" s="201"/>
      <c r="CRA171" s="201"/>
      <c r="CRB171" s="201"/>
      <c r="CRC171" s="201"/>
      <c r="CRD171" s="201"/>
      <c r="CRE171" s="201"/>
      <c r="CRF171" s="201"/>
      <c r="CRG171" s="201"/>
      <c r="CRH171" s="201"/>
      <c r="CRI171" s="201"/>
      <c r="CRJ171" s="201"/>
      <c r="CRK171" s="201"/>
      <c r="CRL171" s="201"/>
      <c r="CRM171" s="201"/>
      <c r="CRN171" s="201"/>
      <c r="CRO171" s="201"/>
      <c r="CRP171" s="201"/>
      <c r="CRQ171" s="201"/>
      <c r="CRR171" s="201"/>
      <c r="CRS171" s="201"/>
      <c r="CRT171" s="201"/>
      <c r="CRU171" s="201"/>
      <c r="CRV171" s="201"/>
      <c r="CRW171" s="201"/>
      <c r="CRX171" s="201"/>
      <c r="CRY171" s="201"/>
      <c r="CRZ171" s="201"/>
      <c r="CSA171" s="201"/>
      <c r="CSB171" s="201"/>
      <c r="CSC171" s="201"/>
      <c r="CSD171" s="201"/>
      <c r="CSE171" s="201"/>
      <c r="CSF171" s="201"/>
      <c r="CSG171" s="201"/>
      <c r="CSH171" s="201"/>
      <c r="CSI171" s="201"/>
      <c r="CSJ171" s="201"/>
      <c r="CSK171" s="201"/>
      <c r="CSL171" s="201"/>
      <c r="CSM171" s="201"/>
      <c r="CSN171" s="201"/>
      <c r="CSO171" s="201"/>
      <c r="CSP171" s="201"/>
      <c r="CSQ171" s="201"/>
      <c r="CSR171" s="201"/>
      <c r="CSS171" s="201"/>
      <c r="CST171" s="201"/>
      <c r="CSU171" s="201"/>
      <c r="CSV171" s="201"/>
      <c r="CSW171" s="201"/>
      <c r="CSX171" s="201"/>
      <c r="CSY171" s="201"/>
      <c r="CSZ171" s="201"/>
      <c r="CTA171" s="201"/>
      <c r="CTB171" s="201"/>
      <c r="CTC171" s="201"/>
      <c r="CTD171" s="201"/>
      <c r="CTE171" s="201"/>
      <c r="CTF171" s="201"/>
      <c r="CTG171" s="201"/>
      <c r="CTH171" s="201"/>
      <c r="CTI171" s="201"/>
      <c r="CTJ171" s="201"/>
      <c r="CTK171" s="201"/>
      <c r="CTL171" s="201"/>
      <c r="CTM171" s="201"/>
      <c r="CTN171" s="201"/>
      <c r="CTO171" s="201"/>
      <c r="CTP171" s="201"/>
      <c r="CTQ171" s="201"/>
      <c r="CTR171" s="201"/>
      <c r="CTS171" s="201"/>
      <c r="CTT171" s="201"/>
      <c r="CTU171" s="201"/>
      <c r="CTV171" s="201"/>
      <c r="CTW171" s="201"/>
      <c r="CTX171" s="201"/>
      <c r="CTY171" s="201"/>
      <c r="CTZ171" s="201"/>
      <c r="CUA171" s="201"/>
      <c r="CUB171" s="201"/>
      <c r="CUC171" s="201"/>
      <c r="CUD171" s="201"/>
      <c r="CUE171" s="201"/>
      <c r="CUF171" s="201"/>
      <c r="CUG171" s="201"/>
      <c r="CUH171" s="201"/>
      <c r="CUI171" s="201"/>
      <c r="CUJ171" s="201"/>
      <c r="CUK171" s="201"/>
      <c r="CUL171" s="201"/>
      <c r="CUM171" s="201"/>
      <c r="CUN171" s="201"/>
      <c r="CUO171" s="201"/>
      <c r="CUP171" s="201"/>
      <c r="CUQ171" s="201"/>
      <c r="CUR171" s="201"/>
      <c r="CUS171" s="201"/>
      <c r="CUT171" s="201"/>
      <c r="CUU171" s="201"/>
      <c r="CUV171" s="201"/>
      <c r="CUW171" s="201"/>
      <c r="CUX171" s="201"/>
      <c r="CUY171" s="201"/>
      <c r="CUZ171" s="201"/>
      <c r="CVA171" s="201"/>
      <c r="CVB171" s="201"/>
      <c r="CVC171" s="201"/>
      <c r="CVD171" s="201"/>
      <c r="CVE171" s="201"/>
      <c r="CVF171" s="201"/>
      <c r="CVG171" s="201"/>
      <c r="CVH171" s="201"/>
      <c r="CVI171" s="201"/>
      <c r="CVJ171" s="201"/>
      <c r="CVK171" s="201"/>
      <c r="CVL171" s="201"/>
      <c r="CVM171" s="201"/>
      <c r="CVN171" s="201"/>
      <c r="CVO171" s="201"/>
      <c r="CVP171" s="201"/>
      <c r="CVQ171" s="201"/>
      <c r="CVR171" s="201"/>
      <c r="CVS171" s="201"/>
      <c r="CVT171" s="201"/>
      <c r="CVU171" s="201"/>
      <c r="CVV171" s="201"/>
      <c r="CVW171" s="201"/>
      <c r="CVX171" s="201"/>
      <c r="CVY171" s="201"/>
      <c r="CVZ171" s="201"/>
      <c r="CWA171" s="201"/>
      <c r="CWB171" s="201"/>
      <c r="CWC171" s="201"/>
      <c r="CWD171" s="201"/>
      <c r="CWE171" s="201"/>
      <c r="CWF171" s="201"/>
      <c r="CWG171" s="201"/>
      <c r="CWH171" s="201"/>
      <c r="CWI171" s="201"/>
      <c r="CWJ171" s="201"/>
      <c r="CWK171" s="201"/>
      <c r="CWL171" s="201"/>
      <c r="CWM171" s="201"/>
      <c r="CWN171" s="201"/>
      <c r="CWO171" s="201"/>
      <c r="CWP171" s="201"/>
      <c r="CWQ171" s="201"/>
      <c r="CWR171" s="201"/>
      <c r="CWS171" s="201"/>
      <c r="CWT171" s="201"/>
      <c r="CWU171" s="201"/>
      <c r="CWV171" s="201"/>
      <c r="CWW171" s="201"/>
      <c r="CWX171" s="201"/>
      <c r="CWY171" s="201"/>
      <c r="CWZ171" s="201"/>
      <c r="CXA171" s="201"/>
      <c r="CXB171" s="201"/>
      <c r="CXC171" s="201"/>
      <c r="CXD171" s="201"/>
      <c r="CXE171" s="201"/>
      <c r="CXF171" s="201"/>
      <c r="CXG171" s="201"/>
      <c r="CXH171" s="201"/>
      <c r="CXI171" s="201"/>
      <c r="CXJ171" s="201"/>
      <c r="CXK171" s="201"/>
      <c r="CXL171" s="201"/>
      <c r="CXM171" s="201"/>
      <c r="CXN171" s="201"/>
      <c r="CXO171" s="201"/>
      <c r="CXP171" s="201"/>
      <c r="CXQ171" s="201"/>
      <c r="CXR171" s="201"/>
      <c r="CXS171" s="201"/>
      <c r="CXT171" s="201"/>
      <c r="CXU171" s="201"/>
      <c r="CXV171" s="201"/>
      <c r="CXW171" s="201"/>
      <c r="CXX171" s="201"/>
      <c r="CXY171" s="201"/>
      <c r="CXZ171" s="201"/>
      <c r="CYA171" s="201"/>
      <c r="CYB171" s="201"/>
      <c r="CYC171" s="201"/>
      <c r="CYD171" s="201"/>
      <c r="CYE171" s="201"/>
      <c r="CYF171" s="201"/>
      <c r="CYG171" s="201"/>
      <c r="CYH171" s="201"/>
      <c r="CYI171" s="201"/>
      <c r="CYJ171" s="201"/>
      <c r="CYK171" s="201"/>
      <c r="CYL171" s="201"/>
      <c r="CYM171" s="201"/>
      <c r="CYN171" s="201"/>
      <c r="CYO171" s="201"/>
      <c r="CYP171" s="201"/>
      <c r="CYQ171" s="201"/>
      <c r="CYR171" s="201"/>
      <c r="CYS171" s="201"/>
      <c r="CYT171" s="201"/>
      <c r="CYU171" s="201"/>
      <c r="CYV171" s="201"/>
      <c r="CYW171" s="201"/>
      <c r="CYX171" s="201"/>
      <c r="CYY171" s="201"/>
      <c r="CYZ171" s="201"/>
      <c r="CZA171" s="201"/>
      <c r="CZB171" s="201"/>
      <c r="CZC171" s="201"/>
      <c r="CZD171" s="201"/>
      <c r="CZE171" s="201"/>
      <c r="CZF171" s="201"/>
      <c r="CZG171" s="201"/>
      <c r="CZH171" s="201"/>
      <c r="CZI171" s="201"/>
      <c r="CZJ171" s="201"/>
      <c r="CZK171" s="201"/>
      <c r="CZL171" s="201"/>
      <c r="CZM171" s="201"/>
      <c r="CZN171" s="201"/>
      <c r="CZO171" s="201"/>
      <c r="CZP171" s="201"/>
      <c r="CZQ171" s="201"/>
      <c r="CZR171" s="201"/>
      <c r="CZS171" s="201"/>
      <c r="CZT171" s="201"/>
      <c r="CZU171" s="201"/>
      <c r="CZV171" s="201"/>
      <c r="CZW171" s="201"/>
      <c r="CZX171" s="201"/>
      <c r="CZY171" s="201"/>
      <c r="CZZ171" s="201"/>
      <c r="DAA171" s="201"/>
      <c r="DAB171" s="201"/>
      <c r="DAC171" s="201"/>
      <c r="DAD171" s="201"/>
      <c r="DAE171" s="201"/>
      <c r="DAF171" s="201"/>
      <c r="DAG171" s="201"/>
      <c r="DAH171" s="201"/>
      <c r="DAI171" s="201"/>
      <c r="DAJ171" s="201"/>
      <c r="DAK171" s="201"/>
      <c r="DAL171" s="201"/>
      <c r="DAM171" s="201"/>
      <c r="DAN171" s="201"/>
      <c r="DAO171" s="201"/>
      <c r="DAP171" s="201"/>
      <c r="DAQ171" s="201"/>
      <c r="DAR171" s="201"/>
      <c r="DAS171" s="201"/>
      <c r="DAT171" s="201"/>
      <c r="DAU171" s="201"/>
      <c r="DAV171" s="201"/>
      <c r="DAW171" s="201"/>
      <c r="DAX171" s="201"/>
      <c r="DAY171" s="201"/>
      <c r="DAZ171" s="201"/>
      <c r="DBA171" s="201"/>
      <c r="DBB171" s="201"/>
      <c r="DBC171" s="201"/>
      <c r="DBD171" s="201"/>
      <c r="DBE171" s="201"/>
      <c r="DBF171" s="201"/>
      <c r="DBG171" s="201"/>
      <c r="DBH171" s="201"/>
      <c r="DBI171" s="201"/>
      <c r="DBJ171" s="201"/>
      <c r="DBK171" s="201"/>
      <c r="DBL171" s="201"/>
      <c r="DBM171" s="201"/>
      <c r="DBN171" s="201"/>
      <c r="DBO171" s="201"/>
      <c r="DBP171" s="201"/>
      <c r="DBQ171" s="201"/>
      <c r="DBR171" s="201"/>
      <c r="DBS171" s="201"/>
      <c r="DBT171" s="201"/>
      <c r="DBU171" s="201"/>
      <c r="DBV171" s="201"/>
      <c r="DBW171" s="201"/>
      <c r="DBX171" s="201"/>
      <c r="DBY171" s="201"/>
      <c r="DBZ171" s="201"/>
      <c r="DCA171" s="201"/>
      <c r="DCB171" s="201"/>
      <c r="DCC171" s="201"/>
      <c r="DCD171" s="201"/>
      <c r="DCE171" s="201"/>
      <c r="DCF171" s="201"/>
      <c r="DCG171" s="201"/>
      <c r="DCH171" s="201"/>
      <c r="DCI171" s="201"/>
      <c r="DCJ171" s="201"/>
      <c r="DCK171" s="201"/>
      <c r="DCL171" s="201"/>
      <c r="DCM171" s="201"/>
      <c r="DCN171" s="201"/>
      <c r="DCO171" s="201"/>
      <c r="DCP171" s="201"/>
      <c r="DCQ171" s="201"/>
      <c r="DCR171" s="201"/>
      <c r="DCS171" s="201"/>
      <c r="DCT171" s="201"/>
      <c r="DCU171" s="201"/>
      <c r="DCV171" s="201"/>
      <c r="DCW171" s="201"/>
      <c r="DCX171" s="201"/>
      <c r="DCY171" s="201"/>
      <c r="DCZ171" s="201"/>
      <c r="DDA171" s="201"/>
      <c r="DDB171" s="201"/>
      <c r="DDC171" s="201"/>
      <c r="DDD171" s="201"/>
      <c r="DDE171" s="201"/>
      <c r="DDF171" s="201"/>
      <c r="DDG171" s="201"/>
      <c r="DDH171" s="201"/>
      <c r="DDI171" s="201"/>
      <c r="DDJ171" s="201"/>
      <c r="DDK171" s="201"/>
      <c r="DDL171" s="201"/>
      <c r="DDM171" s="201"/>
      <c r="DDN171" s="201"/>
      <c r="DDO171" s="201"/>
      <c r="DDP171" s="201"/>
      <c r="DDQ171" s="201"/>
      <c r="DDR171" s="201"/>
      <c r="DDS171" s="201"/>
      <c r="DDT171" s="201"/>
      <c r="DDU171" s="201"/>
      <c r="DDV171" s="201"/>
      <c r="DDW171" s="201"/>
      <c r="DDX171" s="201"/>
      <c r="DDY171" s="201"/>
      <c r="DDZ171" s="201"/>
      <c r="DEA171" s="201"/>
      <c r="DEB171" s="201"/>
      <c r="DEC171" s="201"/>
      <c r="DED171" s="201"/>
      <c r="DEE171" s="201"/>
      <c r="DEF171" s="201"/>
      <c r="DEG171" s="201"/>
      <c r="DEH171" s="201"/>
      <c r="DEI171" s="201"/>
      <c r="DEJ171" s="201"/>
      <c r="DEK171" s="201"/>
      <c r="DEL171" s="201"/>
      <c r="DEM171" s="201"/>
      <c r="DEN171" s="201"/>
      <c r="DEO171" s="201"/>
      <c r="DEP171" s="201"/>
      <c r="DEQ171" s="201"/>
      <c r="DER171" s="201"/>
      <c r="DES171" s="201"/>
      <c r="DET171" s="201"/>
      <c r="DEU171" s="201"/>
      <c r="DEV171" s="201"/>
      <c r="DEW171" s="201"/>
      <c r="DEX171" s="201"/>
      <c r="DEY171" s="201"/>
      <c r="DEZ171" s="201"/>
      <c r="DFA171" s="201"/>
      <c r="DFB171" s="201"/>
      <c r="DFC171" s="201"/>
      <c r="DFD171" s="201"/>
      <c r="DFE171" s="201"/>
      <c r="DFF171" s="201"/>
      <c r="DFG171" s="201"/>
      <c r="DFH171" s="201"/>
      <c r="DFI171" s="201"/>
      <c r="DFJ171" s="201"/>
      <c r="DFK171" s="201"/>
      <c r="DFL171" s="201"/>
      <c r="DFM171" s="201"/>
      <c r="DFN171" s="201"/>
      <c r="DFO171" s="201"/>
      <c r="DFP171" s="201"/>
      <c r="DFQ171" s="201"/>
      <c r="DFR171" s="201"/>
      <c r="DFS171" s="201"/>
      <c r="DFT171" s="201"/>
      <c r="DFU171" s="201"/>
      <c r="DFV171" s="201"/>
      <c r="DFW171" s="201"/>
      <c r="DFX171" s="201"/>
      <c r="DFY171" s="201"/>
      <c r="DFZ171" s="201"/>
      <c r="DGA171" s="201"/>
      <c r="DGB171" s="201"/>
      <c r="DGC171" s="201"/>
      <c r="DGD171" s="201"/>
      <c r="DGE171" s="201"/>
      <c r="DGF171" s="201"/>
      <c r="DGG171" s="201"/>
      <c r="DGH171" s="201"/>
      <c r="DGI171" s="201"/>
      <c r="DGJ171" s="201"/>
      <c r="DGK171" s="201"/>
      <c r="DGL171" s="201"/>
      <c r="DGM171" s="201"/>
      <c r="DGN171" s="201"/>
      <c r="DGO171" s="201"/>
      <c r="DGP171" s="201"/>
      <c r="DGQ171" s="201"/>
      <c r="DGR171" s="201"/>
      <c r="DGS171" s="201"/>
      <c r="DGT171" s="201"/>
      <c r="DGU171" s="201"/>
      <c r="DGV171" s="201"/>
      <c r="DGW171" s="201"/>
      <c r="DGX171" s="201"/>
      <c r="DGY171" s="201"/>
      <c r="DGZ171" s="201"/>
      <c r="DHA171" s="201"/>
      <c r="DHB171" s="201"/>
      <c r="DHC171" s="201"/>
      <c r="DHD171" s="201"/>
      <c r="DHE171" s="201"/>
      <c r="DHF171" s="201"/>
      <c r="DHG171" s="201"/>
      <c r="DHH171" s="201"/>
      <c r="DHI171" s="201"/>
      <c r="DHJ171" s="201"/>
      <c r="DHK171" s="201"/>
      <c r="DHL171" s="201"/>
      <c r="DHM171" s="201"/>
      <c r="DHN171" s="201"/>
      <c r="DHO171" s="201"/>
      <c r="DHP171" s="201"/>
      <c r="DHQ171" s="201"/>
      <c r="DHR171" s="201"/>
      <c r="DHS171" s="201"/>
      <c r="DHT171" s="201"/>
      <c r="DHU171" s="201"/>
      <c r="DHV171" s="201"/>
      <c r="DHW171" s="201"/>
      <c r="DHX171" s="201"/>
      <c r="DHY171" s="201"/>
      <c r="DHZ171" s="201"/>
      <c r="DIA171" s="201"/>
      <c r="DIB171" s="201"/>
      <c r="DIC171" s="201"/>
      <c r="DID171" s="201"/>
      <c r="DIE171" s="201"/>
      <c r="DIF171" s="201"/>
      <c r="DIG171" s="201"/>
      <c r="DIH171" s="201"/>
      <c r="DII171" s="201"/>
      <c r="DIJ171" s="201"/>
      <c r="DIK171" s="201"/>
      <c r="DIL171" s="201"/>
      <c r="DIM171" s="201"/>
      <c r="DIN171" s="201"/>
      <c r="DIO171" s="201"/>
      <c r="DIP171" s="201"/>
      <c r="DIQ171" s="201"/>
      <c r="DIR171" s="201"/>
      <c r="DIS171" s="201"/>
      <c r="DIT171" s="201"/>
      <c r="DIU171" s="201"/>
      <c r="DIV171" s="201"/>
      <c r="DIW171" s="201"/>
      <c r="DIX171" s="201"/>
      <c r="DIY171" s="201"/>
      <c r="DIZ171" s="201"/>
      <c r="DJA171" s="201"/>
      <c r="DJB171" s="201"/>
      <c r="DJC171" s="201"/>
      <c r="DJD171" s="201"/>
      <c r="DJE171" s="201"/>
      <c r="DJF171" s="201"/>
      <c r="DJG171" s="201"/>
      <c r="DJH171" s="201"/>
      <c r="DJI171" s="201"/>
      <c r="DJJ171" s="201"/>
      <c r="DJK171" s="201"/>
      <c r="DJL171" s="201"/>
      <c r="DJM171" s="201"/>
      <c r="DJN171" s="201"/>
      <c r="DJO171" s="201"/>
      <c r="DJP171" s="201"/>
      <c r="DJQ171" s="201"/>
      <c r="DJR171" s="201"/>
      <c r="DJS171" s="201"/>
      <c r="DJT171" s="201"/>
      <c r="DJU171" s="201"/>
      <c r="DJV171" s="201"/>
      <c r="DJW171" s="201"/>
      <c r="DJX171" s="201"/>
      <c r="DJY171" s="201"/>
      <c r="DJZ171" s="201"/>
      <c r="DKA171" s="201"/>
      <c r="DKB171" s="201"/>
      <c r="DKC171" s="201"/>
      <c r="DKD171" s="201"/>
      <c r="DKE171" s="201"/>
      <c r="DKF171" s="201"/>
      <c r="DKG171" s="201"/>
      <c r="DKH171" s="201"/>
      <c r="DKI171" s="201"/>
      <c r="DKJ171" s="201"/>
      <c r="DKK171" s="201"/>
      <c r="DKL171" s="201"/>
      <c r="DKM171" s="201"/>
      <c r="DKN171" s="201"/>
      <c r="DKO171" s="201"/>
      <c r="DKP171" s="201"/>
      <c r="DKQ171" s="201"/>
      <c r="DKR171" s="201"/>
      <c r="DKS171" s="201"/>
      <c r="DKT171" s="201"/>
      <c r="DKU171" s="201"/>
      <c r="DKV171" s="201"/>
      <c r="DKW171" s="201"/>
      <c r="DKX171" s="201"/>
      <c r="DKY171" s="201"/>
      <c r="DKZ171" s="201"/>
      <c r="DLA171" s="201"/>
      <c r="DLB171" s="201"/>
      <c r="DLC171" s="201"/>
      <c r="DLD171" s="201"/>
      <c r="DLE171" s="201"/>
      <c r="DLF171" s="201"/>
      <c r="DLG171" s="201"/>
      <c r="DLH171" s="201"/>
      <c r="DLI171" s="201"/>
      <c r="DLJ171" s="201"/>
      <c r="DLK171" s="201"/>
      <c r="DLL171" s="201"/>
      <c r="DLM171" s="201"/>
      <c r="DLN171" s="201"/>
      <c r="DLO171" s="201"/>
      <c r="DLP171" s="201"/>
      <c r="DLQ171" s="201"/>
      <c r="DLR171" s="201"/>
      <c r="DLS171" s="201"/>
      <c r="DLT171" s="201"/>
      <c r="DLU171" s="201"/>
      <c r="DLV171" s="201"/>
      <c r="DLW171" s="201"/>
      <c r="DLX171" s="201"/>
      <c r="DLY171" s="201"/>
      <c r="DLZ171" s="201"/>
      <c r="DMA171" s="201"/>
      <c r="DMB171" s="201"/>
      <c r="DMC171" s="201"/>
      <c r="DMD171" s="201"/>
      <c r="DME171" s="201"/>
      <c r="DMF171" s="201"/>
      <c r="DMG171" s="201"/>
      <c r="DMH171" s="201"/>
      <c r="DMI171" s="201"/>
      <c r="DMJ171" s="201"/>
      <c r="DMK171" s="201"/>
      <c r="DML171" s="201"/>
      <c r="DMM171" s="201"/>
      <c r="DMN171" s="201"/>
      <c r="DMO171" s="201"/>
      <c r="DMP171" s="201"/>
      <c r="DMQ171" s="201"/>
      <c r="DMR171" s="201"/>
      <c r="DMS171" s="201"/>
      <c r="DMT171" s="201"/>
      <c r="DMU171" s="201"/>
      <c r="DMV171" s="201"/>
      <c r="DMW171" s="201"/>
      <c r="DMX171" s="201"/>
      <c r="DMY171" s="201"/>
      <c r="DMZ171" s="201"/>
      <c r="DNA171" s="201"/>
      <c r="DNB171" s="201"/>
      <c r="DNC171" s="201"/>
      <c r="DND171" s="201"/>
      <c r="DNE171" s="201"/>
      <c r="DNF171" s="201"/>
      <c r="DNG171" s="201"/>
      <c r="DNH171" s="201"/>
      <c r="DNI171" s="201"/>
      <c r="DNJ171" s="201"/>
      <c r="DNK171" s="201"/>
      <c r="DNL171" s="201"/>
      <c r="DNM171" s="201"/>
      <c r="DNN171" s="201"/>
      <c r="DNO171" s="201"/>
      <c r="DNP171" s="201"/>
      <c r="DNQ171" s="201"/>
      <c r="DNR171" s="201"/>
      <c r="DNS171" s="201"/>
      <c r="DNT171" s="201"/>
      <c r="DNU171" s="201"/>
      <c r="DNV171" s="201"/>
      <c r="DNW171" s="201"/>
      <c r="DNX171" s="201"/>
      <c r="DNY171" s="201"/>
      <c r="DNZ171" s="201"/>
      <c r="DOA171" s="201"/>
      <c r="DOB171" s="201"/>
      <c r="DOC171" s="201"/>
      <c r="DOD171" s="201"/>
      <c r="DOE171" s="201"/>
      <c r="DOF171" s="201"/>
      <c r="DOG171" s="201"/>
      <c r="DOH171" s="201"/>
      <c r="DOI171" s="201"/>
      <c r="DOJ171" s="201"/>
      <c r="DOK171" s="201"/>
      <c r="DOL171" s="201"/>
      <c r="DOM171" s="201"/>
      <c r="DON171" s="201"/>
      <c r="DOO171" s="201"/>
      <c r="DOP171" s="201"/>
      <c r="DOQ171" s="201"/>
      <c r="DOR171" s="201"/>
      <c r="DOS171" s="201"/>
      <c r="DOT171" s="201"/>
      <c r="DOU171" s="201"/>
      <c r="DOV171" s="201"/>
      <c r="DOW171" s="201"/>
      <c r="DOX171" s="201"/>
      <c r="DOY171" s="201"/>
      <c r="DOZ171" s="201"/>
      <c r="DPA171" s="201"/>
      <c r="DPB171" s="201"/>
      <c r="DPC171" s="201"/>
      <c r="DPD171" s="201"/>
      <c r="DPE171" s="201"/>
      <c r="DPF171" s="201"/>
      <c r="DPG171" s="201"/>
      <c r="DPH171" s="201"/>
      <c r="DPI171" s="201"/>
      <c r="DPJ171" s="201"/>
      <c r="DPK171" s="201"/>
      <c r="DPL171" s="201"/>
      <c r="DPM171" s="201"/>
      <c r="DPN171" s="201"/>
      <c r="DPO171" s="201"/>
      <c r="DPP171" s="201"/>
      <c r="DPQ171" s="201"/>
      <c r="DPR171" s="201"/>
      <c r="DPS171" s="201"/>
      <c r="DPT171" s="201"/>
      <c r="DPU171" s="201"/>
      <c r="DPV171" s="201"/>
      <c r="DPW171" s="201"/>
      <c r="DPX171" s="201"/>
      <c r="DPY171" s="201"/>
      <c r="DPZ171" s="201"/>
      <c r="DQA171" s="201"/>
      <c r="DQB171" s="201"/>
      <c r="DQC171" s="201"/>
      <c r="DQD171" s="201"/>
      <c r="DQE171" s="201"/>
      <c r="DQF171" s="201"/>
      <c r="DQG171" s="201"/>
      <c r="DQH171" s="201"/>
      <c r="DQI171" s="201"/>
      <c r="DQJ171" s="201"/>
      <c r="DQK171" s="201"/>
      <c r="DQL171" s="201"/>
      <c r="DQM171" s="201"/>
      <c r="DQN171" s="201"/>
      <c r="DQO171" s="201"/>
      <c r="DQP171" s="201"/>
      <c r="DQQ171" s="201"/>
      <c r="DQR171" s="201"/>
      <c r="DQS171" s="201"/>
      <c r="DQT171" s="201"/>
      <c r="DQU171" s="201"/>
      <c r="DQV171" s="201"/>
      <c r="DQW171" s="201"/>
      <c r="DQX171" s="201"/>
      <c r="DQY171" s="201"/>
      <c r="DQZ171" s="201"/>
      <c r="DRA171" s="201"/>
      <c r="DRB171" s="201"/>
      <c r="DRC171" s="201"/>
      <c r="DRD171" s="201"/>
      <c r="DRE171" s="201"/>
      <c r="DRF171" s="201"/>
      <c r="DRG171" s="201"/>
      <c r="DRH171" s="201"/>
      <c r="DRI171" s="201"/>
      <c r="DRJ171" s="201"/>
      <c r="DRK171" s="201"/>
      <c r="DRL171" s="201"/>
      <c r="DRM171" s="201"/>
      <c r="DRN171" s="201"/>
      <c r="DRO171" s="201"/>
      <c r="DRP171" s="201"/>
      <c r="DRQ171" s="201"/>
      <c r="DRR171" s="201"/>
      <c r="DRS171" s="201"/>
      <c r="DRT171" s="201"/>
      <c r="DRU171" s="201"/>
      <c r="DRV171" s="201"/>
      <c r="DRW171" s="201"/>
      <c r="DRX171" s="201"/>
      <c r="DRY171" s="201"/>
      <c r="DRZ171" s="201"/>
      <c r="DSA171" s="201"/>
      <c r="DSB171" s="201"/>
      <c r="DSC171" s="201"/>
      <c r="DSD171" s="201"/>
      <c r="DSE171" s="201"/>
      <c r="DSF171" s="201"/>
      <c r="DSG171" s="201"/>
      <c r="DSH171" s="201"/>
      <c r="DSI171" s="201"/>
      <c r="DSJ171" s="201"/>
      <c r="DSK171" s="201"/>
      <c r="DSL171" s="201"/>
      <c r="DSM171" s="201"/>
      <c r="DSN171" s="201"/>
      <c r="DSO171" s="201"/>
      <c r="DSP171" s="201"/>
      <c r="DSQ171" s="201"/>
      <c r="DSR171" s="201"/>
      <c r="DSS171" s="201"/>
      <c r="DST171" s="201"/>
      <c r="DSU171" s="201"/>
      <c r="DSV171" s="201"/>
      <c r="DSW171" s="201"/>
      <c r="DSX171" s="201"/>
      <c r="DSY171" s="201"/>
      <c r="DSZ171" s="201"/>
      <c r="DTA171" s="201"/>
      <c r="DTB171" s="201"/>
      <c r="DTC171" s="201"/>
      <c r="DTD171" s="201"/>
      <c r="DTE171" s="201"/>
      <c r="DTF171" s="201"/>
      <c r="DTG171" s="201"/>
      <c r="DTH171" s="201"/>
      <c r="DTI171" s="201"/>
      <c r="DTJ171" s="201"/>
      <c r="DTK171" s="201"/>
      <c r="DTL171" s="201"/>
      <c r="DTM171" s="201"/>
      <c r="DTN171" s="201"/>
      <c r="DTO171" s="201"/>
      <c r="DTP171" s="201"/>
      <c r="DTQ171" s="201"/>
      <c r="DTR171" s="201"/>
      <c r="DTS171" s="201"/>
      <c r="DTT171" s="201"/>
      <c r="DTU171" s="201"/>
      <c r="DTV171" s="201"/>
      <c r="DTW171" s="201"/>
      <c r="DTX171" s="201"/>
      <c r="DTY171" s="201"/>
      <c r="DTZ171" s="201"/>
      <c r="DUA171" s="201"/>
      <c r="DUB171" s="201"/>
      <c r="DUC171" s="201"/>
      <c r="DUD171" s="201"/>
      <c r="DUE171" s="201"/>
      <c r="DUF171" s="201"/>
      <c r="DUG171" s="201"/>
      <c r="DUH171" s="201"/>
      <c r="DUI171" s="201"/>
      <c r="DUJ171" s="201"/>
      <c r="DUK171" s="201"/>
      <c r="DUL171" s="201"/>
      <c r="DUM171" s="201"/>
      <c r="DUN171" s="201"/>
      <c r="DUO171" s="201"/>
      <c r="DUP171" s="201"/>
      <c r="DUQ171" s="201"/>
      <c r="DUR171" s="201"/>
      <c r="DUS171" s="201"/>
      <c r="DUT171" s="201"/>
      <c r="DUU171" s="201"/>
      <c r="DUV171" s="201"/>
      <c r="DUW171" s="201"/>
      <c r="DUX171" s="201"/>
      <c r="DUY171" s="201"/>
      <c r="DUZ171" s="201"/>
      <c r="DVA171" s="201"/>
      <c r="DVB171" s="201"/>
      <c r="DVC171" s="201"/>
      <c r="DVD171" s="201"/>
      <c r="DVE171" s="201"/>
      <c r="DVF171" s="201"/>
      <c r="DVG171" s="201"/>
      <c r="DVH171" s="201"/>
      <c r="DVI171" s="201"/>
      <c r="DVJ171" s="201"/>
      <c r="DVK171" s="201"/>
      <c r="DVL171" s="201"/>
      <c r="DVM171" s="201"/>
      <c r="DVN171" s="201"/>
      <c r="DVO171" s="201"/>
      <c r="DVP171" s="201"/>
      <c r="DVQ171" s="201"/>
      <c r="DVR171" s="201"/>
      <c r="DVS171" s="201"/>
      <c r="DVT171" s="201"/>
      <c r="DVU171" s="201"/>
      <c r="DVV171" s="201"/>
      <c r="DVW171" s="201"/>
      <c r="DVX171" s="201"/>
      <c r="DVY171" s="201"/>
      <c r="DVZ171" s="201"/>
      <c r="DWA171" s="201"/>
      <c r="DWB171" s="201"/>
      <c r="DWC171" s="201"/>
      <c r="DWD171" s="201"/>
      <c r="DWE171" s="201"/>
      <c r="DWF171" s="201"/>
      <c r="DWG171" s="201"/>
      <c r="DWH171" s="201"/>
      <c r="DWI171" s="201"/>
      <c r="DWJ171" s="201"/>
      <c r="DWK171" s="201"/>
      <c r="DWL171" s="201"/>
      <c r="DWM171" s="201"/>
      <c r="DWN171" s="201"/>
      <c r="DWO171" s="201"/>
      <c r="DWP171" s="201"/>
      <c r="DWQ171" s="201"/>
      <c r="DWR171" s="201"/>
      <c r="DWS171" s="201"/>
      <c r="DWT171" s="201"/>
      <c r="DWU171" s="201"/>
      <c r="DWV171" s="201"/>
      <c r="DWW171" s="201"/>
      <c r="DWX171" s="201"/>
      <c r="DWY171" s="201"/>
      <c r="DWZ171" s="201"/>
      <c r="DXA171" s="201"/>
      <c r="DXB171" s="201"/>
      <c r="DXC171" s="201"/>
      <c r="DXD171" s="201"/>
      <c r="DXE171" s="201"/>
      <c r="DXF171" s="201"/>
      <c r="DXG171" s="201"/>
      <c r="DXH171" s="201"/>
      <c r="DXI171" s="201"/>
      <c r="DXJ171" s="201"/>
      <c r="DXK171" s="201"/>
      <c r="DXL171" s="201"/>
      <c r="DXM171" s="201"/>
      <c r="DXN171" s="201"/>
      <c r="DXO171" s="201"/>
      <c r="DXP171" s="201"/>
      <c r="DXQ171" s="201"/>
      <c r="DXR171" s="201"/>
      <c r="DXS171" s="201"/>
      <c r="DXT171" s="201"/>
      <c r="DXU171" s="201"/>
      <c r="DXV171" s="201"/>
      <c r="DXW171" s="201"/>
      <c r="DXX171" s="201"/>
      <c r="DXY171" s="201"/>
      <c r="DXZ171" s="201"/>
      <c r="DYA171" s="201"/>
      <c r="DYB171" s="201"/>
      <c r="DYC171" s="201"/>
      <c r="DYD171" s="201"/>
      <c r="DYE171" s="201"/>
      <c r="DYF171" s="201"/>
      <c r="DYG171" s="201"/>
      <c r="DYH171" s="201"/>
      <c r="DYI171" s="201"/>
      <c r="DYJ171" s="201"/>
      <c r="DYK171" s="201"/>
      <c r="DYL171" s="201"/>
      <c r="DYM171" s="201"/>
      <c r="DYN171" s="201"/>
      <c r="DYO171" s="201"/>
      <c r="DYP171" s="201"/>
      <c r="DYQ171" s="201"/>
      <c r="DYR171" s="201"/>
      <c r="DYS171" s="201"/>
      <c r="DYT171" s="201"/>
      <c r="DYU171" s="201"/>
      <c r="DYV171" s="201"/>
      <c r="DYW171" s="201"/>
      <c r="DYX171" s="201"/>
      <c r="DYY171" s="201"/>
      <c r="DYZ171" s="201"/>
      <c r="DZA171" s="201"/>
      <c r="DZB171" s="201"/>
      <c r="DZC171" s="201"/>
      <c r="DZD171" s="201"/>
      <c r="DZE171" s="201"/>
      <c r="DZF171" s="201"/>
      <c r="DZG171" s="201"/>
      <c r="DZH171" s="201"/>
      <c r="DZI171" s="201"/>
      <c r="DZJ171" s="201"/>
      <c r="DZK171" s="201"/>
      <c r="DZL171" s="201"/>
      <c r="DZM171" s="201"/>
      <c r="DZN171" s="201"/>
      <c r="DZO171" s="201"/>
      <c r="DZP171" s="201"/>
      <c r="DZQ171" s="201"/>
      <c r="DZR171" s="201"/>
      <c r="DZS171" s="201"/>
      <c r="DZT171" s="201"/>
      <c r="DZU171" s="201"/>
      <c r="DZV171" s="201"/>
      <c r="DZW171" s="201"/>
      <c r="DZX171" s="201"/>
      <c r="DZY171" s="201"/>
      <c r="DZZ171" s="201"/>
      <c r="EAA171" s="201"/>
      <c r="EAB171" s="201"/>
      <c r="EAC171" s="201"/>
      <c r="EAD171" s="201"/>
      <c r="EAE171" s="201"/>
      <c r="EAF171" s="201"/>
      <c r="EAG171" s="201"/>
      <c r="EAH171" s="201"/>
      <c r="EAI171" s="201"/>
      <c r="EAJ171" s="201"/>
      <c r="EAK171" s="201"/>
      <c r="EAL171" s="201"/>
      <c r="EAM171" s="201"/>
      <c r="EAN171" s="201"/>
      <c r="EAO171" s="201"/>
      <c r="EAP171" s="201"/>
      <c r="EAQ171" s="201"/>
      <c r="EAR171" s="201"/>
      <c r="EAS171" s="201"/>
      <c r="EAT171" s="201"/>
      <c r="EAU171" s="201"/>
      <c r="EAV171" s="201"/>
      <c r="EAW171" s="201"/>
      <c r="EAX171" s="201"/>
      <c r="EAY171" s="201"/>
      <c r="EAZ171" s="201"/>
      <c r="EBA171" s="201"/>
      <c r="EBB171" s="201"/>
      <c r="EBC171" s="201"/>
      <c r="EBD171" s="201"/>
      <c r="EBE171" s="201"/>
      <c r="EBF171" s="201"/>
      <c r="EBG171" s="201"/>
      <c r="EBH171" s="201"/>
      <c r="EBI171" s="201"/>
      <c r="EBJ171" s="201"/>
      <c r="EBK171" s="201"/>
      <c r="EBL171" s="201"/>
      <c r="EBM171" s="201"/>
      <c r="EBN171" s="201"/>
      <c r="EBO171" s="201"/>
      <c r="EBP171" s="201"/>
      <c r="EBQ171" s="201"/>
      <c r="EBR171" s="201"/>
      <c r="EBS171" s="201"/>
      <c r="EBT171" s="201"/>
      <c r="EBU171" s="201"/>
      <c r="EBV171" s="201"/>
      <c r="EBW171" s="201"/>
      <c r="EBX171" s="201"/>
      <c r="EBY171" s="201"/>
      <c r="EBZ171" s="201"/>
      <c r="ECA171" s="201"/>
      <c r="ECB171" s="201"/>
      <c r="ECC171" s="201"/>
      <c r="ECD171" s="201"/>
      <c r="ECE171" s="201"/>
      <c r="ECF171" s="201"/>
      <c r="ECG171" s="201"/>
      <c r="ECH171" s="201"/>
      <c r="ECI171" s="201"/>
      <c r="ECJ171" s="201"/>
      <c r="ECK171" s="201"/>
      <c r="ECL171" s="201"/>
      <c r="ECM171" s="201"/>
      <c r="ECN171" s="201"/>
      <c r="ECO171" s="201"/>
      <c r="ECP171" s="201"/>
      <c r="ECQ171" s="201"/>
      <c r="ECR171" s="201"/>
      <c r="ECS171" s="201"/>
      <c r="ECT171" s="201"/>
      <c r="ECU171" s="201"/>
      <c r="ECV171" s="201"/>
      <c r="ECW171" s="201"/>
      <c r="ECX171" s="201"/>
      <c r="ECY171" s="201"/>
      <c r="ECZ171" s="201"/>
      <c r="EDA171" s="201"/>
      <c r="EDB171" s="201"/>
      <c r="EDC171" s="201"/>
      <c r="EDD171" s="201"/>
      <c r="EDE171" s="201"/>
      <c r="EDF171" s="201"/>
      <c r="EDG171" s="201"/>
      <c r="EDH171" s="201"/>
      <c r="EDI171" s="201"/>
      <c r="EDJ171" s="201"/>
      <c r="EDK171" s="201"/>
      <c r="EDL171" s="201"/>
      <c r="EDM171" s="201"/>
      <c r="EDN171" s="201"/>
      <c r="EDO171" s="201"/>
      <c r="EDP171" s="201"/>
      <c r="EDQ171" s="201"/>
      <c r="EDR171" s="201"/>
      <c r="EDS171" s="201"/>
      <c r="EDT171" s="201"/>
      <c r="EDU171" s="201"/>
      <c r="EDV171" s="201"/>
      <c r="EDW171" s="201"/>
      <c r="EDX171" s="201"/>
      <c r="EDY171" s="201"/>
      <c r="EDZ171" s="201"/>
      <c r="EEA171" s="201"/>
      <c r="EEB171" s="201"/>
      <c r="EEC171" s="201"/>
      <c r="EED171" s="201"/>
      <c r="EEE171" s="201"/>
      <c r="EEF171" s="201"/>
      <c r="EEG171" s="201"/>
      <c r="EEH171" s="201"/>
      <c r="EEI171" s="201"/>
      <c r="EEJ171" s="201"/>
      <c r="EEK171" s="201"/>
      <c r="EEL171" s="201"/>
      <c r="EEM171" s="201"/>
      <c r="EEN171" s="201"/>
      <c r="EEO171" s="201"/>
      <c r="EEP171" s="201"/>
      <c r="EEQ171" s="201"/>
      <c r="EER171" s="201"/>
      <c r="EES171" s="201"/>
      <c r="EET171" s="201"/>
      <c r="EEU171" s="201"/>
      <c r="EEV171" s="201"/>
      <c r="EEW171" s="201"/>
      <c r="EEX171" s="201"/>
      <c r="EEY171" s="201"/>
      <c r="EEZ171" s="201"/>
      <c r="EFA171" s="201"/>
      <c r="EFB171" s="201"/>
      <c r="EFC171" s="201"/>
      <c r="EFD171" s="201"/>
      <c r="EFE171" s="201"/>
      <c r="EFF171" s="201"/>
      <c r="EFG171" s="201"/>
      <c r="EFH171" s="201"/>
      <c r="EFI171" s="201"/>
      <c r="EFJ171" s="201"/>
      <c r="EFK171" s="201"/>
      <c r="EFL171" s="201"/>
      <c r="EFM171" s="201"/>
      <c r="EFN171" s="201"/>
      <c r="EFO171" s="201"/>
      <c r="EFP171" s="201"/>
      <c r="EFQ171" s="201"/>
      <c r="EFR171" s="201"/>
      <c r="EFS171" s="201"/>
      <c r="EFT171" s="201"/>
      <c r="EFU171" s="201"/>
      <c r="EFV171" s="201"/>
      <c r="EFW171" s="201"/>
      <c r="EFX171" s="201"/>
      <c r="EFY171" s="201"/>
      <c r="EFZ171" s="201"/>
      <c r="EGA171" s="201"/>
      <c r="EGB171" s="201"/>
      <c r="EGC171" s="201"/>
      <c r="EGD171" s="201"/>
      <c r="EGE171" s="201"/>
      <c r="EGF171" s="201"/>
      <c r="EGG171" s="201"/>
      <c r="EGH171" s="201"/>
      <c r="EGI171" s="201"/>
      <c r="EGJ171" s="201"/>
      <c r="EGK171" s="201"/>
      <c r="EGL171" s="201"/>
      <c r="EGM171" s="201"/>
      <c r="EGN171" s="201"/>
      <c r="EGO171" s="201"/>
      <c r="EGP171" s="201"/>
      <c r="EGQ171" s="201"/>
      <c r="EGR171" s="201"/>
      <c r="EGS171" s="201"/>
      <c r="EGT171" s="201"/>
      <c r="EGU171" s="201"/>
      <c r="EGV171" s="201"/>
      <c r="EGW171" s="201"/>
      <c r="EGX171" s="201"/>
      <c r="EGY171" s="201"/>
      <c r="EGZ171" s="201"/>
      <c r="EHA171" s="201"/>
      <c r="EHB171" s="201"/>
      <c r="EHC171" s="201"/>
      <c r="EHD171" s="201"/>
      <c r="EHE171" s="201"/>
      <c r="EHF171" s="201"/>
      <c r="EHG171" s="201"/>
      <c r="EHH171" s="201"/>
      <c r="EHI171" s="201"/>
      <c r="EHJ171" s="201"/>
      <c r="EHK171" s="201"/>
      <c r="EHL171" s="201"/>
      <c r="EHM171" s="201"/>
      <c r="EHN171" s="201"/>
      <c r="EHO171" s="201"/>
      <c r="EHP171" s="201"/>
      <c r="EHQ171" s="201"/>
      <c r="EHR171" s="201"/>
      <c r="EHS171" s="201"/>
      <c r="EHT171" s="201"/>
      <c r="EHU171" s="201"/>
      <c r="EHV171" s="201"/>
      <c r="EHW171" s="201"/>
      <c r="EHX171" s="201"/>
      <c r="EHY171" s="201"/>
      <c r="EHZ171" s="201"/>
      <c r="EIA171" s="201"/>
      <c r="EIB171" s="201"/>
      <c r="EIC171" s="201"/>
      <c r="EID171" s="201"/>
      <c r="EIE171" s="201"/>
      <c r="EIF171" s="201"/>
      <c r="EIG171" s="201"/>
      <c r="EIH171" s="201"/>
      <c r="EII171" s="201"/>
      <c r="EIJ171" s="201"/>
      <c r="EIK171" s="201"/>
      <c r="EIL171" s="201"/>
      <c r="EIM171" s="201"/>
      <c r="EIN171" s="201"/>
      <c r="EIO171" s="201"/>
      <c r="EIP171" s="201"/>
      <c r="EIQ171" s="201"/>
      <c r="EIR171" s="201"/>
      <c r="EIS171" s="201"/>
      <c r="EIT171" s="201"/>
      <c r="EIU171" s="201"/>
      <c r="EIV171" s="201"/>
      <c r="EIW171" s="201"/>
      <c r="EIX171" s="201"/>
      <c r="EIY171" s="201"/>
      <c r="EIZ171" s="201"/>
      <c r="EJA171" s="201"/>
      <c r="EJB171" s="201"/>
      <c r="EJC171" s="201"/>
      <c r="EJD171" s="201"/>
      <c r="EJE171" s="201"/>
      <c r="EJF171" s="201"/>
      <c r="EJG171" s="201"/>
      <c r="EJH171" s="201"/>
      <c r="EJI171" s="201"/>
      <c r="EJJ171" s="201"/>
      <c r="EJK171" s="201"/>
      <c r="EJL171" s="201"/>
      <c r="EJM171" s="201"/>
      <c r="EJN171" s="201"/>
      <c r="EJO171" s="201"/>
      <c r="EJP171" s="201"/>
      <c r="EJQ171" s="201"/>
      <c r="EJR171" s="201"/>
      <c r="EJS171" s="201"/>
      <c r="EJT171" s="201"/>
      <c r="EJU171" s="201"/>
      <c r="EJV171" s="201"/>
      <c r="EJW171" s="201"/>
      <c r="EJX171" s="201"/>
      <c r="EJY171" s="201"/>
      <c r="EJZ171" s="201"/>
      <c r="EKA171" s="201"/>
      <c r="EKB171" s="201"/>
      <c r="EKC171" s="201"/>
      <c r="EKD171" s="201"/>
      <c r="EKE171" s="201"/>
      <c r="EKF171" s="201"/>
      <c r="EKG171" s="201"/>
      <c r="EKH171" s="201"/>
      <c r="EKI171" s="201"/>
      <c r="EKJ171" s="201"/>
      <c r="EKK171" s="201"/>
      <c r="EKL171" s="201"/>
      <c r="EKM171" s="201"/>
      <c r="EKN171" s="201"/>
      <c r="EKO171" s="201"/>
      <c r="EKP171" s="201"/>
      <c r="EKQ171" s="201"/>
      <c r="EKR171" s="201"/>
      <c r="EKS171" s="201"/>
      <c r="EKT171" s="201"/>
      <c r="EKU171" s="201"/>
      <c r="EKV171" s="201"/>
      <c r="EKW171" s="201"/>
      <c r="EKX171" s="201"/>
      <c r="EKY171" s="201"/>
      <c r="EKZ171" s="201"/>
      <c r="ELA171" s="201"/>
      <c r="ELB171" s="201"/>
      <c r="ELC171" s="201"/>
      <c r="ELD171" s="201"/>
      <c r="ELE171" s="201"/>
      <c r="ELF171" s="201"/>
      <c r="ELG171" s="201"/>
      <c r="ELH171" s="201"/>
      <c r="ELI171" s="201"/>
      <c r="ELJ171" s="201"/>
      <c r="ELK171" s="201"/>
      <c r="ELL171" s="201"/>
      <c r="ELM171" s="201"/>
      <c r="ELN171" s="201"/>
      <c r="ELO171" s="201"/>
      <c r="ELP171" s="201"/>
      <c r="ELQ171" s="201"/>
      <c r="ELR171" s="201"/>
      <c r="ELS171" s="201"/>
      <c r="ELT171" s="201"/>
      <c r="ELU171" s="201"/>
      <c r="ELV171" s="201"/>
      <c r="ELW171" s="201"/>
      <c r="ELX171" s="201"/>
      <c r="ELY171" s="201"/>
      <c r="ELZ171" s="201"/>
      <c r="EMA171" s="201"/>
      <c r="EMB171" s="201"/>
      <c r="EMC171" s="201"/>
      <c r="EMD171" s="201"/>
      <c r="EME171" s="201"/>
      <c r="EMF171" s="201"/>
      <c r="EMG171" s="201"/>
      <c r="EMH171" s="201"/>
      <c r="EMI171" s="201"/>
      <c r="EMJ171" s="201"/>
      <c r="EMK171" s="201"/>
      <c r="EML171" s="201"/>
      <c r="EMM171" s="201"/>
      <c r="EMN171" s="201"/>
      <c r="EMO171" s="201"/>
      <c r="EMP171" s="201"/>
      <c r="EMQ171" s="201"/>
      <c r="EMR171" s="201"/>
      <c r="EMS171" s="201"/>
      <c r="EMT171" s="201"/>
      <c r="EMU171" s="201"/>
      <c r="EMV171" s="201"/>
      <c r="EMW171" s="201"/>
      <c r="EMX171" s="201"/>
      <c r="EMY171" s="201"/>
      <c r="EMZ171" s="201"/>
      <c r="ENA171" s="201"/>
      <c r="ENB171" s="201"/>
      <c r="ENC171" s="201"/>
      <c r="END171" s="201"/>
      <c r="ENE171" s="201"/>
      <c r="ENF171" s="201"/>
      <c r="ENG171" s="201"/>
      <c r="ENH171" s="201"/>
      <c r="ENI171" s="201"/>
      <c r="ENJ171" s="201"/>
      <c r="ENK171" s="201"/>
      <c r="ENL171" s="201"/>
      <c r="ENM171" s="201"/>
      <c r="ENN171" s="201"/>
      <c r="ENO171" s="201"/>
      <c r="ENP171" s="201"/>
      <c r="ENQ171" s="201"/>
      <c r="ENR171" s="201"/>
      <c r="ENS171" s="201"/>
      <c r="ENT171" s="201"/>
      <c r="ENU171" s="201"/>
      <c r="ENV171" s="201"/>
      <c r="ENW171" s="201"/>
      <c r="ENX171" s="201"/>
      <c r="ENY171" s="201"/>
      <c r="ENZ171" s="201"/>
      <c r="EOA171" s="201"/>
      <c r="EOB171" s="201"/>
      <c r="EOC171" s="201"/>
      <c r="EOD171" s="201"/>
      <c r="EOE171" s="201"/>
      <c r="EOF171" s="201"/>
      <c r="EOG171" s="201"/>
      <c r="EOH171" s="201"/>
      <c r="EOI171" s="201"/>
      <c r="EOJ171" s="201"/>
      <c r="EOK171" s="201"/>
      <c r="EOL171" s="201"/>
      <c r="EOM171" s="201"/>
      <c r="EON171" s="201"/>
      <c r="EOO171" s="201"/>
      <c r="EOP171" s="201"/>
      <c r="EOQ171" s="201"/>
      <c r="EOR171" s="201"/>
      <c r="EOS171" s="201"/>
      <c r="EOT171" s="201"/>
      <c r="EOU171" s="201"/>
      <c r="EOV171" s="201"/>
      <c r="EOW171" s="201"/>
      <c r="EOX171" s="201"/>
      <c r="EOY171" s="201"/>
      <c r="EOZ171" s="201"/>
      <c r="EPA171" s="201"/>
      <c r="EPB171" s="201"/>
      <c r="EPC171" s="201"/>
      <c r="EPD171" s="201"/>
      <c r="EPE171" s="201"/>
      <c r="EPF171" s="201"/>
      <c r="EPG171" s="201"/>
      <c r="EPH171" s="201"/>
      <c r="EPI171" s="201"/>
      <c r="EPJ171" s="201"/>
      <c r="EPK171" s="201"/>
      <c r="EPL171" s="201"/>
      <c r="EPM171" s="201"/>
      <c r="EPN171" s="201"/>
      <c r="EPO171" s="201"/>
      <c r="EPP171" s="201"/>
      <c r="EPQ171" s="201"/>
      <c r="EPR171" s="201"/>
      <c r="EPS171" s="201"/>
      <c r="EPT171" s="201"/>
      <c r="EPU171" s="201"/>
      <c r="EPV171" s="201"/>
      <c r="EPW171" s="201"/>
      <c r="EPX171" s="201"/>
      <c r="EPY171" s="201"/>
      <c r="EPZ171" s="201"/>
      <c r="EQA171" s="201"/>
      <c r="EQB171" s="201"/>
      <c r="EQC171" s="201"/>
      <c r="EQD171" s="201"/>
      <c r="EQE171" s="201"/>
      <c r="EQF171" s="201"/>
      <c r="EQG171" s="201"/>
      <c r="EQH171" s="201"/>
      <c r="EQI171" s="201"/>
      <c r="EQJ171" s="201"/>
      <c r="EQK171" s="201"/>
      <c r="EQL171" s="201"/>
      <c r="EQM171" s="201"/>
      <c r="EQN171" s="201"/>
      <c r="EQO171" s="201"/>
      <c r="EQP171" s="201"/>
      <c r="EQQ171" s="201"/>
      <c r="EQR171" s="201"/>
      <c r="EQS171" s="201"/>
      <c r="EQT171" s="201"/>
      <c r="EQU171" s="201"/>
      <c r="EQV171" s="201"/>
      <c r="EQW171" s="201"/>
      <c r="EQX171" s="201"/>
      <c r="EQY171" s="201"/>
      <c r="EQZ171" s="201"/>
      <c r="ERA171" s="201"/>
      <c r="ERB171" s="201"/>
      <c r="ERC171" s="201"/>
      <c r="ERD171" s="201"/>
      <c r="ERE171" s="201"/>
      <c r="ERF171" s="201"/>
      <c r="ERG171" s="201"/>
      <c r="ERH171" s="201"/>
      <c r="ERI171" s="201"/>
      <c r="ERJ171" s="201"/>
      <c r="ERK171" s="201"/>
      <c r="ERL171" s="201"/>
      <c r="ERM171" s="201"/>
      <c r="ERN171" s="201"/>
      <c r="ERO171" s="201"/>
      <c r="ERP171" s="201"/>
      <c r="ERQ171" s="201"/>
      <c r="ERR171" s="201"/>
      <c r="ERS171" s="201"/>
      <c r="ERT171" s="201"/>
      <c r="ERU171" s="201"/>
      <c r="ERV171" s="201"/>
      <c r="ERW171" s="201"/>
      <c r="ERX171" s="201"/>
      <c r="ERY171" s="201"/>
      <c r="ERZ171" s="201"/>
      <c r="ESA171" s="201"/>
      <c r="ESB171" s="201"/>
      <c r="ESC171" s="201"/>
      <c r="ESD171" s="201"/>
      <c r="ESE171" s="201"/>
      <c r="ESF171" s="201"/>
      <c r="ESG171" s="201"/>
      <c r="ESH171" s="201"/>
      <c r="ESI171" s="201"/>
      <c r="ESJ171" s="201"/>
      <c r="ESK171" s="201"/>
      <c r="ESL171" s="201"/>
      <c r="ESM171" s="201"/>
      <c r="ESN171" s="201"/>
      <c r="ESO171" s="201"/>
      <c r="ESP171" s="201"/>
      <c r="ESQ171" s="201"/>
      <c r="ESR171" s="201"/>
      <c r="ESS171" s="201"/>
      <c r="EST171" s="201"/>
      <c r="ESU171" s="201"/>
      <c r="ESV171" s="201"/>
      <c r="ESW171" s="201"/>
      <c r="ESX171" s="201"/>
      <c r="ESY171" s="201"/>
      <c r="ESZ171" s="201"/>
      <c r="ETA171" s="201"/>
      <c r="ETB171" s="201"/>
      <c r="ETC171" s="201"/>
      <c r="ETD171" s="201"/>
      <c r="ETE171" s="201"/>
      <c r="ETF171" s="201"/>
      <c r="ETG171" s="201"/>
      <c r="ETH171" s="201"/>
      <c r="ETI171" s="201"/>
      <c r="ETJ171" s="201"/>
      <c r="ETK171" s="201"/>
      <c r="ETL171" s="201"/>
      <c r="ETM171" s="201"/>
      <c r="ETN171" s="201"/>
      <c r="ETO171" s="201"/>
      <c r="ETP171" s="201"/>
      <c r="ETQ171" s="201"/>
      <c r="ETR171" s="201"/>
      <c r="ETS171" s="201"/>
      <c r="ETT171" s="201"/>
      <c r="ETU171" s="201"/>
      <c r="ETV171" s="201"/>
      <c r="ETW171" s="201"/>
      <c r="ETX171" s="201"/>
      <c r="ETY171" s="201"/>
      <c r="ETZ171" s="201"/>
      <c r="EUA171" s="201"/>
      <c r="EUB171" s="201"/>
      <c r="EUC171" s="201"/>
      <c r="EUD171" s="201"/>
      <c r="EUE171" s="201"/>
      <c r="EUF171" s="201"/>
      <c r="EUG171" s="201"/>
      <c r="EUH171" s="201"/>
      <c r="EUI171" s="201"/>
      <c r="EUJ171" s="201"/>
      <c r="EUK171" s="201"/>
      <c r="EUL171" s="201"/>
      <c r="EUM171" s="201"/>
      <c r="EUN171" s="201"/>
      <c r="EUO171" s="201"/>
      <c r="EUP171" s="201"/>
      <c r="EUQ171" s="201"/>
      <c r="EUR171" s="201"/>
      <c r="EUS171" s="201"/>
      <c r="EUT171" s="201"/>
      <c r="EUU171" s="201"/>
      <c r="EUV171" s="201"/>
      <c r="EUW171" s="201"/>
      <c r="EUX171" s="201"/>
      <c r="EUY171" s="201"/>
      <c r="EUZ171" s="201"/>
      <c r="EVA171" s="201"/>
      <c r="EVB171" s="201"/>
      <c r="EVC171" s="201"/>
      <c r="EVD171" s="201"/>
      <c r="EVE171" s="201"/>
      <c r="EVF171" s="201"/>
      <c r="EVG171" s="201"/>
      <c r="EVH171" s="201"/>
      <c r="EVI171" s="201"/>
      <c r="EVJ171" s="201"/>
      <c r="EVK171" s="201"/>
      <c r="EVL171" s="201"/>
      <c r="EVM171" s="201"/>
      <c r="EVN171" s="201"/>
      <c r="EVO171" s="201"/>
      <c r="EVP171" s="201"/>
      <c r="EVQ171" s="201"/>
      <c r="EVR171" s="201"/>
      <c r="EVS171" s="201"/>
      <c r="EVT171" s="201"/>
      <c r="EVU171" s="201"/>
      <c r="EVV171" s="201"/>
      <c r="EVW171" s="201"/>
      <c r="EVX171" s="201"/>
      <c r="EVY171" s="201"/>
      <c r="EVZ171" s="201"/>
      <c r="EWA171" s="201"/>
      <c r="EWB171" s="201"/>
      <c r="EWC171" s="201"/>
      <c r="EWD171" s="201"/>
      <c r="EWE171" s="201"/>
      <c r="EWF171" s="201"/>
      <c r="EWG171" s="201"/>
      <c r="EWH171" s="201"/>
      <c r="EWI171" s="201"/>
      <c r="EWJ171" s="201"/>
      <c r="EWK171" s="201"/>
      <c r="EWL171" s="201"/>
      <c r="EWM171" s="201"/>
      <c r="EWN171" s="201"/>
      <c r="EWO171" s="201"/>
      <c r="EWP171" s="201"/>
      <c r="EWQ171" s="201"/>
      <c r="EWR171" s="201"/>
      <c r="EWS171" s="201"/>
      <c r="EWT171" s="201"/>
      <c r="EWU171" s="201"/>
      <c r="EWV171" s="201"/>
      <c r="EWW171" s="201"/>
      <c r="EWX171" s="201"/>
      <c r="EWY171" s="201"/>
      <c r="EWZ171" s="201"/>
      <c r="EXA171" s="201"/>
      <c r="EXB171" s="201"/>
      <c r="EXC171" s="201"/>
      <c r="EXD171" s="201"/>
      <c r="EXE171" s="201"/>
      <c r="EXF171" s="201"/>
      <c r="EXG171" s="201"/>
      <c r="EXH171" s="201"/>
      <c r="EXI171" s="201"/>
      <c r="EXJ171" s="201"/>
      <c r="EXK171" s="201"/>
      <c r="EXL171" s="201"/>
      <c r="EXM171" s="201"/>
      <c r="EXN171" s="201"/>
      <c r="EXO171" s="201"/>
      <c r="EXP171" s="201"/>
      <c r="EXQ171" s="201"/>
      <c r="EXR171" s="201"/>
      <c r="EXS171" s="201"/>
      <c r="EXT171" s="201"/>
      <c r="EXU171" s="201"/>
      <c r="EXV171" s="201"/>
      <c r="EXW171" s="201"/>
      <c r="EXX171" s="201"/>
      <c r="EXY171" s="201"/>
      <c r="EXZ171" s="201"/>
      <c r="EYA171" s="201"/>
      <c r="EYB171" s="201"/>
      <c r="EYC171" s="201"/>
      <c r="EYD171" s="201"/>
      <c r="EYE171" s="201"/>
      <c r="EYF171" s="201"/>
      <c r="EYG171" s="201"/>
      <c r="EYH171" s="201"/>
      <c r="EYI171" s="201"/>
      <c r="EYJ171" s="201"/>
      <c r="EYK171" s="201"/>
      <c r="EYL171" s="201"/>
      <c r="EYM171" s="201"/>
      <c r="EYN171" s="201"/>
      <c r="EYO171" s="201"/>
      <c r="EYP171" s="201"/>
      <c r="EYQ171" s="201"/>
      <c r="EYR171" s="201"/>
      <c r="EYS171" s="201"/>
      <c r="EYT171" s="201"/>
      <c r="EYU171" s="201"/>
      <c r="EYV171" s="201"/>
      <c r="EYW171" s="201"/>
      <c r="EYX171" s="201"/>
      <c r="EYY171" s="201"/>
      <c r="EYZ171" s="201"/>
      <c r="EZA171" s="201"/>
      <c r="EZB171" s="201"/>
      <c r="EZC171" s="201"/>
      <c r="EZD171" s="201"/>
      <c r="EZE171" s="201"/>
      <c r="EZF171" s="201"/>
      <c r="EZG171" s="201"/>
      <c r="EZH171" s="201"/>
      <c r="EZI171" s="201"/>
      <c r="EZJ171" s="201"/>
      <c r="EZK171" s="201"/>
      <c r="EZL171" s="201"/>
      <c r="EZM171" s="201"/>
      <c r="EZN171" s="201"/>
      <c r="EZO171" s="201"/>
      <c r="EZP171" s="201"/>
      <c r="EZQ171" s="201"/>
      <c r="EZR171" s="201"/>
      <c r="EZS171" s="201"/>
      <c r="EZT171" s="201"/>
      <c r="EZU171" s="201"/>
      <c r="EZV171" s="201"/>
      <c r="EZW171" s="201"/>
      <c r="EZX171" s="201"/>
      <c r="EZY171" s="201"/>
      <c r="EZZ171" s="201"/>
      <c r="FAA171" s="201"/>
      <c r="FAB171" s="201"/>
      <c r="FAC171" s="201"/>
      <c r="FAD171" s="201"/>
      <c r="FAE171" s="201"/>
      <c r="FAF171" s="201"/>
      <c r="FAG171" s="201"/>
      <c r="FAH171" s="201"/>
      <c r="FAI171" s="201"/>
      <c r="FAJ171" s="201"/>
      <c r="FAK171" s="201"/>
      <c r="FAL171" s="201"/>
      <c r="FAM171" s="201"/>
      <c r="FAN171" s="201"/>
      <c r="FAO171" s="201"/>
      <c r="FAP171" s="201"/>
      <c r="FAQ171" s="201"/>
      <c r="FAR171" s="201"/>
      <c r="FAS171" s="201"/>
      <c r="FAT171" s="201"/>
      <c r="FAU171" s="201"/>
      <c r="FAV171" s="201"/>
      <c r="FAW171" s="201"/>
      <c r="FAX171" s="201"/>
      <c r="FAY171" s="201"/>
      <c r="FAZ171" s="201"/>
      <c r="FBA171" s="201"/>
      <c r="FBB171" s="201"/>
      <c r="FBC171" s="201"/>
      <c r="FBD171" s="201"/>
      <c r="FBE171" s="201"/>
      <c r="FBF171" s="201"/>
      <c r="FBG171" s="201"/>
      <c r="FBH171" s="201"/>
      <c r="FBI171" s="201"/>
      <c r="FBJ171" s="201"/>
      <c r="FBK171" s="201"/>
      <c r="FBL171" s="201"/>
      <c r="FBM171" s="201"/>
      <c r="FBN171" s="201"/>
      <c r="FBO171" s="201"/>
      <c r="FBP171" s="201"/>
      <c r="FBQ171" s="201"/>
      <c r="FBR171" s="201"/>
      <c r="FBS171" s="201"/>
      <c r="FBT171" s="201"/>
      <c r="FBU171" s="201"/>
      <c r="FBV171" s="201"/>
      <c r="FBW171" s="201"/>
      <c r="FBX171" s="201"/>
      <c r="FBY171" s="201"/>
      <c r="FBZ171" s="201"/>
      <c r="FCA171" s="201"/>
      <c r="FCB171" s="201"/>
      <c r="FCC171" s="201"/>
      <c r="FCD171" s="201"/>
      <c r="FCE171" s="201"/>
      <c r="FCF171" s="201"/>
      <c r="FCG171" s="201"/>
      <c r="FCH171" s="201"/>
      <c r="FCI171" s="201"/>
      <c r="FCJ171" s="201"/>
      <c r="FCK171" s="201"/>
      <c r="FCL171" s="201"/>
      <c r="FCM171" s="201"/>
      <c r="FCN171" s="201"/>
      <c r="FCO171" s="201"/>
      <c r="FCP171" s="201"/>
      <c r="FCQ171" s="201"/>
      <c r="FCR171" s="201"/>
      <c r="FCS171" s="201"/>
      <c r="FCT171" s="201"/>
      <c r="FCU171" s="201"/>
      <c r="FCV171" s="201"/>
      <c r="FCW171" s="201"/>
      <c r="FCX171" s="201"/>
      <c r="FCY171" s="201"/>
      <c r="FCZ171" s="201"/>
      <c r="FDA171" s="201"/>
      <c r="FDB171" s="201"/>
      <c r="FDC171" s="201"/>
      <c r="FDD171" s="201"/>
      <c r="FDE171" s="201"/>
      <c r="FDF171" s="201"/>
      <c r="FDG171" s="201"/>
      <c r="FDH171" s="201"/>
      <c r="FDI171" s="201"/>
      <c r="FDJ171" s="201"/>
      <c r="FDK171" s="201"/>
      <c r="FDL171" s="201"/>
      <c r="FDM171" s="201"/>
      <c r="FDN171" s="201"/>
      <c r="FDO171" s="201"/>
      <c r="FDP171" s="201"/>
      <c r="FDQ171" s="201"/>
      <c r="FDR171" s="201"/>
      <c r="FDS171" s="201"/>
      <c r="FDT171" s="201"/>
      <c r="FDU171" s="201"/>
      <c r="FDV171" s="201"/>
      <c r="FDW171" s="201"/>
      <c r="FDX171" s="201"/>
      <c r="FDY171" s="201"/>
      <c r="FDZ171" s="201"/>
      <c r="FEA171" s="201"/>
      <c r="FEB171" s="201"/>
      <c r="FEC171" s="201"/>
      <c r="FED171" s="201"/>
      <c r="FEE171" s="201"/>
      <c r="FEF171" s="201"/>
      <c r="FEG171" s="201"/>
      <c r="FEH171" s="201"/>
      <c r="FEI171" s="201"/>
      <c r="FEJ171" s="201"/>
      <c r="FEK171" s="201"/>
      <c r="FEL171" s="201"/>
      <c r="FEM171" s="201"/>
      <c r="FEN171" s="201"/>
      <c r="FEO171" s="201"/>
      <c r="FEP171" s="201"/>
      <c r="FEQ171" s="201"/>
      <c r="FER171" s="201"/>
      <c r="FES171" s="201"/>
      <c r="FET171" s="201"/>
      <c r="FEU171" s="201"/>
      <c r="FEV171" s="201"/>
      <c r="FEW171" s="201"/>
      <c r="FEX171" s="201"/>
      <c r="FEY171" s="201"/>
      <c r="FEZ171" s="201"/>
      <c r="FFA171" s="201"/>
      <c r="FFB171" s="201"/>
      <c r="FFC171" s="201"/>
      <c r="FFD171" s="201"/>
      <c r="FFE171" s="201"/>
      <c r="FFF171" s="201"/>
      <c r="FFG171" s="201"/>
      <c r="FFH171" s="201"/>
      <c r="FFI171" s="201"/>
      <c r="FFJ171" s="201"/>
      <c r="FFK171" s="201"/>
      <c r="FFL171" s="201"/>
      <c r="FFM171" s="201"/>
      <c r="FFN171" s="201"/>
      <c r="FFO171" s="201"/>
      <c r="FFP171" s="201"/>
      <c r="FFQ171" s="201"/>
      <c r="FFR171" s="201"/>
      <c r="FFS171" s="201"/>
      <c r="FFT171" s="201"/>
      <c r="FFU171" s="201"/>
      <c r="FFV171" s="201"/>
      <c r="FFW171" s="201"/>
      <c r="FFX171" s="201"/>
      <c r="FFY171" s="201"/>
      <c r="FFZ171" s="201"/>
      <c r="FGA171" s="201"/>
      <c r="FGB171" s="201"/>
      <c r="FGC171" s="201"/>
      <c r="FGD171" s="201"/>
      <c r="FGE171" s="201"/>
      <c r="FGF171" s="201"/>
      <c r="FGG171" s="201"/>
      <c r="FGH171" s="201"/>
      <c r="FGI171" s="201"/>
      <c r="FGJ171" s="201"/>
      <c r="FGK171" s="201"/>
      <c r="FGL171" s="201"/>
      <c r="FGM171" s="201"/>
      <c r="FGN171" s="201"/>
      <c r="FGO171" s="201"/>
      <c r="FGP171" s="201"/>
      <c r="FGQ171" s="201"/>
      <c r="FGR171" s="201"/>
      <c r="FGS171" s="201"/>
      <c r="FGT171" s="201"/>
      <c r="FGU171" s="201"/>
      <c r="FGV171" s="201"/>
      <c r="FGW171" s="201"/>
      <c r="FGX171" s="201"/>
      <c r="FGY171" s="201"/>
      <c r="FGZ171" s="201"/>
      <c r="FHA171" s="201"/>
      <c r="FHB171" s="201"/>
      <c r="FHC171" s="201"/>
      <c r="FHD171" s="201"/>
      <c r="FHE171" s="201"/>
      <c r="FHF171" s="201"/>
      <c r="FHG171" s="201"/>
      <c r="FHH171" s="201"/>
      <c r="FHI171" s="201"/>
      <c r="FHJ171" s="201"/>
      <c r="FHK171" s="201"/>
      <c r="FHL171" s="201"/>
      <c r="FHM171" s="201"/>
      <c r="FHN171" s="201"/>
      <c r="FHO171" s="201"/>
      <c r="FHP171" s="201"/>
      <c r="FHQ171" s="201"/>
      <c r="FHR171" s="201"/>
      <c r="FHS171" s="201"/>
      <c r="FHT171" s="201"/>
      <c r="FHU171" s="201"/>
      <c r="FHV171" s="201"/>
      <c r="FHW171" s="201"/>
      <c r="FHX171" s="201"/>
      <c r="FHY171" s="201"/>
      <c r="FHZ171" s="201"/>
      <c r="FIA171" s="201"/>
      <c r="FIB171" s="201"/>
      <c r="FIC171" s="201"/>
      <c r="FID171" s="201"/>
      <c r="FIE171" s="201"/>
      <c r="FIF171" s="201"/>
      <c r="FIG171" s="201"/>
      <c r="FIH171" s="201"/>
      <c r="FII171" s="201"/>
      <c r="FIJ171" s="201"/>
      <c r="FIK171" s="201"/>
      <c r="FIL171" s="201"/>
      <c r="FIM171" s="201"/>
      <c r="FIN171" s="201"/>
      <c r="FIO171" s="201"/>
      <c r="FIP171" s="201"/>
      <c r="FIQ171" s="201"/>
      <c r="FIR171" s="201"/>
      <c r="FIS171" s="201"/>
      <c r="FIT171" s="201"/>
      <c r="FIU171" s="201"/>
      <c r="FIV171" s="201"/>
      <c r="FIW171" s="201"/>
      <c r="FIX171" s="201"/>
      <c r="FIY171" s="201"/>
      <c r="FIZ171" s="201"/>
      <c r="FJA171" s="201"/>
      <c r="FJB171" s="201"/>
      <c r="FJC171" s="201"/>
      <c r="FJD171" s="201"/>
      <c r="FJE171" s="201"/>
      <c r="FJF171" s="201"/>
      <c r="FJG171" s="201"/>
      <c r="FJH171" s="201"/>
      <c r="FJI171" s="201"/>
      <c r="FJJ171" s="201"/>
      <c r="FJK171" s="201"/>
      <c r="FJL171" s="201"/>
      <c r="FJM171" s="201"/>
      <c r="FJN171" s="201"/>
      <c r="FJO171" s="201"/>
      <c r="FJP171" s="201"/>
      <c r="FJQ171" s="201"/>
      <c r="FJR171" s="201"/>
      <c r="FJS171" s="201"/>
      <c r="FJT171" s="201"/>
      <c r="FJU171" s="201"/>
      <c r="FJV171" s="201"/>
      <c r="FJW171" s="201"/>
      <c r="FJX171" s="201"/>
      <c r="FJY171" s="201"/>
      <c r="FJZ171" s="201"/>
      <c r="FKA171" s="201"/>
      <c r="FKB171" s="201"/>
      <c r="FKC171" s="201"/>
      <c r="FKD171" s="201"/>
      <c r="FKE171" s="201"/>
      <c r="FKF171" s="201"/>
      <c r="FKG171" s="201"/>
      <c r="FKH171" s="201"/>
      <c r="FKI171" s="201"/>
      <c r="FKJ171" s="201"/>
      <c r="FKK171" s="201"/>
      <c r="FKL171" s="201"/>
      <c r="FKM171" s="201"/>
      <c r="FKN171" s="201"/>
      <c r="FKO171" s="201"/>
      <c r="FKP171" s="201"/>
      <c r="FKQ171" s="201"/>
      <c r="FKR171" s="201"/>
      <c r="FKS171" s="201"/>
      <c r="FKT171" s="201"/>
      <c r="FKU171" s="201"/>
      <c r="FKV171" s="201"/>
      <c r="FKW171" s="201"/>
      <c r="FKX171" s="201"/>
      <c r="FKY171" s="201"/>
      <c r="FKZ171" s="201"/>
      <c r="FLA171" s="201"/>
      <c r="FLB171" s="201"/>
      <c r="FLC171" s="201"/>
      <c r="FLD171" s="201"/>
      <c r="FLE171" s="201"/>
      <c r="FLF171" s="201"/>
      <c r="FLG171" s="201"/>
      <c r="FLH171" s="201"/>
      <c r="FLI171" s="201"/>
      <c r="FLJ171" s="201"/>
      <c r="FLK171" s="201"/>
      <c r="FLL171" s="201"/>
      <c r="FLM171" s="201"/>
      <c r="FLN171" s="201"/>
      <c r="FLO171" s="201"/>
      <c r="FLP171" s="201"/>
      <c r="FLQ171" s="201"/>
      <c r="FLR171" s="201"/>
      <c r="FLS171" s="201"/>
      <c r="FLT171" s="201"/>
      <c r="FLU171" s="201"/>
      <c r="FLV171" s="201"/>
      <c r="FLW171" s="201"/>
      <c r="FLX171" s="201"/>
      <c r="FLY171" s="201"/>
      <c r="FLZ171" s="201"/>
      <c r="FMA171" s="201"/>
      <c r="FMB171" s="201"/>
      <c r="FMC171" s="201"/>
      <c r="FMD171" s="201"/>
      <c r="FME171" s="201"/>
      <c r="FMF171" s="201"/>
      <c r="FMG171" s="201"/>
      <c r="FMH171" s="201"/>
      <c r="FMI171" s="201"/>
      <c r="FMJ171" s="201"/>
      <c r="FMK171" s="201"/>
      <c r="FML171" s="201"/>
      <c r="FMM171" s="201"/>
      <c r="FMN171" s="201"/>
      <c r="FMO171" s="201"/>
      <c r="FMP171" s="201"/>
      <c r="FMQ171" s="201"/>
      <c r="FMR171" s="201"/>
      <c r="FMS171" s="201"/>
      <c r="FMT171" s="201"/>
      <c r="FMU171" s="201"/>
      <c r="FMV171" s="201"/>
      <c r="FMW171" s="201"/>
      <c r="FMX171" s="201"/>
      <c r="FMY171" s="201"/>
      <c r="FMZ171" s="201"/>
      <c r="FNA171" s="201"/>
      <c r="FNB171" s="201"/>
      <c r="FNC171" s="201"/>
      <c r="FND171" s="201"/>
      <c r="FNE171" s="201"/>
      <c r="FNF171" s="201"/>
      <c r="FNG171" s="201"/>
      <c r="FNH171" s="201"/>
      <c r="FNI171" s="201"/>
      <c r="FNJ171" s="201"/>
      <c r="FNK171" s="201"/>
      <c r="FNL171" s="201"/>
      <c r="FNM171" s="201"/>
      <c r="FNN171" s="201"/>
      <c r="FNO171" s="201"/>
      <c r="FNP171" s="201"/>
      <c r="FNQ171" s="201"/>
      <c r="FNR171" s="201"/>
      <c r="FNS171" s="201"/>
      <c r="FNT171" s="201"/>
      <c r="FNU171" s="201"/>
      <c r="FNV171" s="201"/>
      <c r="FNW171" s="201"/>
      <c r="FNX171" s="201"/>
      <c r="FNY171" s="201"/>
      <c r="FNZ171" s="201"/>
      <c r="FOA171" s="201"/>
      <c r="FOB171" s="201"/>
      <c r="FOC171" s="201"/>
      <c r="FOD171" s="201"/>
      <c r="FOE171" s="201"/>
      <c r="FOF171" s="201"/>
      <c r="FOG171" s="201"/>
      <c r="FOH171" s="201"/>
      <c r="FOI171" s="201"/>
      <c r="FOJ171" s="201"/>
      <c r="FOK171" s="201"/>
      <c r="FOL171" s="201"/>
      <c r="FOM171" s="201"/>
      <c r="FON171" s="201"/>
      <c r="FOO171" s="201"/>
      <c r="FOP171" s="201"/>
      <c r="FOQ171" s="201"/>
      <c r="FOR171" s="201"/>
      <c r="FOS171" s="201"/>
      <c r="FOT171" s="201"/>
      <c r="FOU171" s="201"/>
      <c r="FOV171" s="201"/>
      <c r="FOW171" s="201"/>
      <c r="FOX171" s="201"/>
      <c r="FOY171" s="201"/>
      <c r="FOZ171" s="201"/>
      <c r="FPA171" s="201"/>
      <c r="FPB171" s="201"/>
      <c r="FPC171" s="201"/>
      <c r="FPD171" s="201"/>
      <c r="FPE171" s="201"/>
      <c r="FPF171" s="201"/>
      <c r="FPG171" s="201"/>
      <c r="FPH171" s="201"/>
      <c r="FPI171" s="201"/>
      <c r="FPJ171" s="201"/>
      <c r="FPK171" s="201"/>
      <c r="FPL171" s="201"/>
      <c r="FPM171" s="201"/>
      <c r="FPN171" s="201"/>
      <c r="FPO171" s="201"/>
      <c r="FPP171" s="201"/>
      <c r="FPQ171" s="201"/>
      <c r="FPR171" s="201"/>
      <c r="FPS171" s="201"/>
      <c r="FPT171" s="201"/>
      <c r="FPU171" s="201"/>
      <c r="FPV171" s="201"/>
      <c r="FPW171" s="201"/>
      <c r="FPX171" s="201"/>
      <c r="FPY171" s="201"/>
      <c r="FPZ171" s="201"/>
      <c r="FQA171" s="201"/>
      <c r="FQB171" s="201"/>
      <c r="FQC171" s="201"/>
      <c r="FQD171" s="201"/>
      <c r="FQE171" s="201"/>
      <c r="FQF171" s="201"/>
      <c r="FQG171" s="201"/>
      <c r="FQH171" s="201"/>
      <c r="FQI171" s="201"/>
      <c r="FQJ171" s="201"/>
      <c r="FQK171" s="201"/>
      <c r="FQL171" s="201"/>
      <c r="FQM171" s="201"/>
      <c r="FQN171" s="201"/>
      <c r="FQO171" s="201"/>
      <c r="FQP171" s="201"/>
      <c r="FQQ171" s="201"/>
      <c r="FQR171" s="201"/>
      <c r="FQS171" s="201"/>
      <c r="FQT171" s="201"/>
      <c r="FQU171" s="201"/>
      <c r="FQV171" s="201"/>
      <c r="FQW171" s="201"/>
      <c r="FQX171" s="201"/>
      <c r="FQY171" s="201"/>
      <c r="FQZ171" s="201"/>
      <c r="FRA171" s="201"/>
      <c r="FRB171" s="201"/>
      <c r="FRC171" s="201"/>
      <c r="FRD171" s="201"/>
      <c r="FRE171" s="201"/>
      <c r="FRF171" s="201"/>
      <c r="FRG171" s="201"/>
      <c r="FRH171" s="201"/>
      <c r="FRI171" s="201"/>
      <c r="FRJ171" s="201"/>
      <c r="FRK171" s="201"/>
      <c r="FRL171" s="201"/>
      <c r="FRM171" s="201"/>
      <c r="FRN171" s="201"/>
      <c r="FRO171" s="201"/>
      <c r="FRP171" s="201"/>
      <c r="FRQ171" s="201"/>
      <c r="FRR171" s="201"/>
      <c r="FRS171" s="201"/>
      <c r="FRT171" s="201"/>
      <c r="FRU171" s="201"/>
      <c r="FRV171" s="201"/>
      <c r="FRW171" s="201"/>
      <c r="FRX171" s="201"/>
      <c r="FRY171" s="201"/>
      <c r="FRZ171" s="201"/>
      <c r="FSA171" s="201"/>
      <c r="FSB171" s="201"/>
      <c r="FSC171" s="201"/>
      <c r="FSD171" s="201"/>
      <c r="FSE171" s="201"/>
      <c r="FSF171" s="201"/>
      <c r="FSG171" s="201"/>
      <c r="FSH171" s="201"/>
      <c r="FSI171" s="201"/>
      <c r="FSJ171" s="201"/>
      <c r="FSK171" s="201"/>
      <c r="FSL171" s="201"/>
      <c r="FSM171" s="201"/>
      <c r="FSN171" s="201"/>
      <c r="FSO171" s="201"/>
      <c r="FSP171" s="201"/>
      <c r="FSQ171" s="201"/>
      <c r="FSR171" s="201"/>
      <c r="FSS171" s="201"/>
      <c r="FST171" s="201"/>
      <c r="FSU171" s="201"/>
      <c r="FSV171" s="201"/>
      <c r="FSW171" s="201"/>
      <c r="FSX171" s="201"/>
      <c r="FSY171" s="201"/>
      <c r="FSZ171" s="201"/>
      <c r="FTA171" s="201"/>
      <c r="FTB171" s="201"/>
      <c r="FTC171" s="201"/>
      <c r="FTD171" s="201"/>
      <c r="FTE171" s="201"/>
      <c r="FTF171" s="201"/>
      <c r="FTG171" s="201"/>
      <c r="FTH171" s="201"/>
      <c r="FTI171" s="201"/>
      <c r="FTJ171" s="201"/>
      <c r="FTK171" s="201"/>
      <c r="FTL171" s="201"/>
      <c r="FTM171" s="201"/>
      <c r="FTN171" s="201"/>
      <c r="FTO171" s="201"/>
      <c r="FTP171" s="201"/>
      <c r="FTQ171" s="201"/>
      <c r="FTR171" s="201"/>
      <c r="FTS171" s="201"/>
      <c r="FTT171" s="201"/>
      <c r="FTU171" s="201"/>
      <c r="FTV171" s="201"/>
      <c r="FTW171" s="201"/>
      <c r="FTX171" s="201"/>
      <c r="FTY171" s="201"/>
      <c r="FTZ171" s="201"/>
      <c r="FUA171" s="201"/>
      <c r="FUB171" s="201"/>
      <c r="FUC171" s="201"/>
      <c r="FUD171" s="201"/>
      <c r="FUE171" s="201"/>
      <c r="FUF171" s="201"/>
      <c r="FUG171" s="201"/>
      <c r="FUH171" s="201"/>
      <c r="FUI171" s="201"/>
      <c r="FUJ171" s="201"/>
      <c r="FUK171" s="201"/>
      <c r="FUL171" s="201"/>
      <c r="FUM171" s="201"/>
      <c r="FUN171" s="201"/>
      <c r="FUO171" s="201"/>
      <c r="FUP171" s="201"/>
      <c r="FUQ171" s="201"/>
      <c r="FUR171" s="201"/>
      <c r="FUS171" s="201"/>
      <c r="FUT171" s="201"/>
      <c r="FUU171" s="201"/>
      <c r="FUV171" s="201"/>
      <c r="FUW171" s="201"/>
      <c r="FUX171" s="201"/>
      <c r="FUY171" s="201"/>
      <c r="FUZ171" s="201"/>
      <c r="FVA171" s="201"/>
      <c r="FVB171" s="201"/>
      <c r="FVC171" s="201"/>
      <c r="FVD171" s="201"/>
      <c r="FVE171" s="201"/>
      <c r="FVF171" s="201"/>
      <c r="FVG171" s="201"/>
      <c r="FVH171" s="201"/>
      <c r="FVI171" s="201"/>
      <c r="FVJ171" s="201"/>
      <c r="FVK171" s="201"/>
      <c r="FVL171" s="201"/>
      <c r="FVM171" s="201"/>
      <c r="FVN171" s="201"/>
      <c r="FVO171" s="201"/>
      <c r="FVP171" s="201"/>
      <c r="FVQ171" s="201"/>
      <c r="FVR171" s="201"/>
      <c r="FVS171" s="201"/>
      <c r="FVT171" s="201"/>
      <c r="FVU171" s="201"/>
      <c r="FVV171" s="201"/>
      <c r="FVW171" s="201"/>
      <c r="FVX171" s="201"/>
      <c r="FVY171" s="201"/>
      <c r="FVZ171" s="201"/>
      <c r="FWA171" s="201"/>
      <c r="FWB171" s="201"/>
      <c r="FWC171" s="201"/>
      <c r="FWD171" s="201"/>
      <c r="FWE171" s="201"/>
      <c r="FWF171" s="201"/>
      <c r="FWG171" s="201"/>
      <c r="FWH171" s="201"/>
      <c r="FWI171" s="201"/>
      <c r="FWJ171" s="201"/>
      <c r="FWK171" s="201"/>
      <c r="FWL171" s="201"/>
      <c r="FWM171" s="201"/>
      <c r="FWN171" s="201"/>
      <c r="FWO171" s="201"/>
      <c r="FWP171" s="201"/>
      <c r="FWQ171" s="201"/>
      <c r="FWR171" s="201"/>
      <c r="FWS171" s="201"/>
      <c r="FWT171" s="201"/>
      <c r="FWU171" s="201"/>
      <c r="FWV171" s="201"/>
      <c r="FWW171" s="201"/>
      <c r="FWX171" s="201"/>
      <c r="FWY171" s="201"/>
      <c r="FWZ171" s="201"/>
      <c r="FXA171" s="201"/>
      <c r="FXB171" s="201"/>
      <c r="FXC171" s="201"/>
      <c r="FXD171" s="201"/>
      <c r="FXE171" s="201"/>
      <c r="FXF171" s="201"/>
      <c r="FXG171" s="201"/>
      <c r="FXH171" s="201"/>
      <c r="FXI171" s="201"/>
      <c r="FXJ171" s="201"/>
      <c r="FXK171" s="201"/>
      <c r="FXL171" s="201"/>
      <c r="FXM171" s="201"/>
      <c r="FXN171" s="201"/>
      <c r="FXO171" s="201"/>
      <c r="FXP171" s="201"/>
      <c r="FXQ171" s="201"/>
      <c r="FXR171" s="201"/>
      <c r="FXS171" s="201"/>
      <c r="FXT171" s="201"/>
      <c r="FXU171" s="201"/>
      <c r="FXV171" s="201"/>
      <c r="FXW171" s="201"/>
      <c r="FXX171" s="201"/>
      <c r="FXY171" s="201"/>
      <c r="FXZ171" s="201"/>
      <c r="FYA171" s="201"/>
      <c r="FYB171" s="201"/>
      <c r="FYC171" s="201"/>
      <c r="FYD171" s="201"/>
      <c r="FYE171" s="201"/>
      <c r="FYF171" s="201"/>
      <c r="FYG171" s="201"/>
      <c r="FYH171" s="201"/>
      <c r="FYI171" s="201"/>
      <c r="FYJ171" s="201"/>
      <c r="FYK171" s="201"/>
      <c r="FYL171" s="201"/>
      <c r="FYM171" s="201"/>
      <c r="FYN171" s="201"/>
      <c r="FYO171" s="201"/>
      <c r="FYP171" s="201"/>
      <c r="FYQ171" s="201"/>
      <c r="FYR171" s="201"/>
      <c r="FYS171" s="201"/>
      <c r="FYT171" s="201"/>
      <c r="FYU171" s="201"/>
      <c r="FYV171" s="201"/>
      <c r="FYW171" s="201"/>
      <c r="FYX171" s="201"/>
      <c r="FYY171" s="201"/>
      <c r="FYZ171" s="201"/>
      <c r="FZA171" s="201"/>
      <c r="FZB171" s="201"/>
      <c r="FZC171" s="201"/>
      <c r="FZD171" s="201"/>
      <c r="FZE171" s="201"/>
      <c r="FZF171" s="201"/>
      <c r="FZG171" s="201"/>
      <c r="FZH171" s="201"/>
      <c r="FZI171" s="201"/>
      <c r="FZJ171" s="201"/>
      <c r="FZK171" s="201"/>
      <c r="FZL171" s="201"/>
      <c r="FZM171" s="201"/>
      <c r="FZN171" s="201"/>
      <c r="FZO171" s="201"/>
      <c r="FZP171" s="201"/>
      <c r="FZQ171" s="201"/>
      <c r="FZR171" s="201"/>
      <c r="FZS171" s="201"/>
      <c r="FZT171" s="201"/>
      <c r="FZU171" s="201"/>
      <c r="FZV171" s="201"/>
      <c r="FZW171" s="201"/>
      <c r="FZX171" s="201"/>
      <c r="FZY171" s="201"/>
      <c r="FZZ171" s="201"/>
      <c r="GAA171" s="201"/>
      <c r="GAB171" s="201"/>
      <c r="GAC171" s="201"/>
      <c r="GAD171" s="201"/>
      <c r="GAE171" s="201"/>
      <c r="GAF171" s="201"/>
      <c r="GAG171" s="201"/>
      <c r="GAH171" s="201"/>
      <c r="GAI171" s="201"/>
      <c r="GAJ171" s="201"/>
      <c r="GAK171" s="201"/>
      <c r="GAL171" s="201"/>
      <c r="GAM171" s="201"/>
      <c r="GAN171" s="201"/>
      <c r="GAO171" s="201"/>
      <c r="GAP171" s="201"/>
      <c r="GAQ171" s="201"/>
      <c r="GAR171" s="201"/>
      <c r="GAS171" s="201"/>
      <c r="GAT171" s="201"/>
      <c r="GAU171" s="201"/>
      <c r="GAV171" s="201"/>
      <c r="GAW171" s="201"/>
      <c r="GAX171" s="201"/>
      <c r="GAY171" s="201"/>
      <c r="GAZ171" s="201"/>
      <c r="GBA171" s="201"/>
      <c r="GBB171" s="201"/>
      <c r="GBC171" s="201"/>
      <c r="GBD171" s="201"/>
      <c r="GBE171" s="201"/>
      <c r="GBF171" s="201"/>
      <c r="GBG171" s="201"/>
      <c r="GBH171" s="201"/>
      <c r="GBI171" s="201"/>
      <c r="GBJ171" s="201"/>
      <c r="GBK171" s="201"/>
      <c r="GBL171" s="201"/>
      <c r="GBM171" s="201"/>
      <c r="GBN171" s="201"/>
      <c r="GBO171" s="201"/>
      <c r="GBP171" s="201"/>
      <c r="GBQ171" s="201"/>
      <c r="GBR171" s="201"/>
      <c r="GBS171" s="201"/>
      <c r="GBT171" s="201"/>
      <c r="GBU171" s="201"/>
      <c r="GBV171" s="201"/>
      <c r="GBW171" s="201"/>
      <c r="GBX171" s="201"/>
      <c r="GBY171" s="201"/>
      <c r="GBZ171" s="201"/>
      <c r="GCA171" s="201"/>
      <c r="GCB171" s="201"/>
      <c r="GCC171" s="201"/>
      <c r="GCD171" s="201"/>
      <c r="GCE171" s="201"/>
      <c r="GCF171" s="201"/>
      <c r="GCG171" s="201"/>
      <c r="GCH171" s="201"/>
      <c r="GCI171" s="201"/>
      <c r="GCJ171" s="201"/>
      <c r="GCK171" s="201"/>
      <c r="GCL171" s="201"/>
      <c r="GCM171" s="201"/>
      <c r="GCN171" s="201"/>
      <c r="GCO171" s="201"/>
      <c r="GCP171" s="201"/>
      <c r="GCQ171" s="201"/>
      <c r="GCR171" s="201"/>
      <c r="GCS171" s="201"/>
      <c r="GCT171" s="201"/>
      <c r="GCU171" s="201"/>
      <c r="GCV171" s="201"/>
      <c r="GCW171" s="201"/>
      <c r="GCX171" s="201"/>
      <c r="GCY171" s="201"/>
      <c r="GCZ171" s="201"/>
      <c r="GDA171" s="201"/>
      <c r="GDB171" s="201"/>
      <c r="GDC171" s="201"/>
      <c r="GDD171" s="201"/>
      <c r="GDE171" s="201"/>
      <c r="GDF171" s="201"/>
      <c r="GDG171" s="201"/>
      <c r="GDH171" s="201"/>
      <c r="GDI171" s="201"/>
      <c r="GDJ171" s="201"/>
      <c r="GDK171" s="201"/>
      <c r="GDL171" s="201"/>
      <c r="GDM171" s="201"/>
      <c r="GDN171" s="201"/>
      <c r="GDO171" s="201"/>
      <c r="GDP171" s="201"/>
      <c r="GDQ171" s="201"/>
      <c r="GDR171" s="201"/>
      <c r="GDS171" s="201"/>
      <c r="GDT171" s="201"/>
      <c r="GDU171" s="201"/>
      <c r="GDV171" s="201"/>
      <c r="GDW171" s="201"/>
      <c r="GDX171" s="201"/>
      <c r="GDY171" s="201"/>
      <c r="GDZ171" s="201"/>
      <c r="GEA171" s="201"/>
      <c r="GEB171" s="201"/>
      <c r="GEC171" s="201"/>
      <c r="GED171" s="201"/>
      <c r="GEE171" s="201"/>
      <c r="GEF171" s="201"/>
      <c r="GEG171" s="201"/>
      <c r="GEH171" s="201"/>
      <c r="GEI171" s="201"/>
      <c r="GEJ171" s="201"/>
      <c r="GEK171" s="201"/>
      <c r="GEL171" s="201"/>
      <c r="GEM171" s="201"/>
      <c r="GEN171" s="201"/>
      <c r="GEO171" s="201"/>
      <c r="GEP171" s="201"/>
      <c r="GEQ171" s="201"/>
      <c r="GER171" s="201"/>
      <c r="GES171" s="201"/>
      <c r="GET171" s="201"/>
      <c r="GEU171" s="201"/>
      <c r="GEV171" s="201"/>
      <c r="GEW171" s="201"/>
      <c r="GEX171" s="201"/>
      <c r="GEY171" s="201"/>
      <c r="GEZ171" s="201"/>
      <c r="GFA171" s="201"/>
      <c r="GFB171" s="201"/>
      <c r="GFC171" s="201"/>
      <c r="GFD171" s="201"/>
      <c r="GFE171" s="201"/>
      <c r="GFF171" s="201"/>
      <c r="GFG171" s="201"/>
      <c r="GFH171" s="201"/>
      <c r="GFI171" s="201"/>
      <c r="GFJ171" s="201"/>
      <c r="GFK171" s="201"/>
      <c r="GFL171" s="201"/>
      <c r="GFM171" s="201"/>
      <c r="GFN171" s="201"/>
      <c r="GFO171" s="201"/>
      <c r="GFP171" s="201"/>
      <c r="GFQ171" s="201"/>
      <c r="GFR171" s="201"/>
      <c r="GFS171" s="201"/>
      <c r="GFT171" s="201"/>
      <c r="GFU171" s="201"/>
      <c r="GFV171" s="201"/>
      <c r="GFW171" s="201"/>
      <c r="GFX171" s="201"/>
      <c r="GFY171" s="201"/>
      <c r="GFZ171" s="201"/>
      <c r="GGA171" s="201"/>
      <c r="GGB171" s="201"/>
      <c r="GGC171" s="201"/>
      <c r="GGD171" s="201"/>
      <c r="GGE171" s="201"/>
      <c r="GGF171" s="201"/>
      <c r="GGG171" s="201"/>
      <c r="GGH171" s="201"/>
      <c r="GGI171" s="201"/>
      <c r="GGJ171" s="201"/>
      <c r="GGK171" s="201"/>
      <c r="GGL171" s="201"/>
      <c r="GGM171" s="201"/>
      <c r="GGN171" s="201"/>
      <c r="GGO171" s="201"/>
      <c r="GGP171" s="201"/>
      <c r="GGQ171" s="201"/>
      <c r="GGR171" s="201"/>
      <c r="GGS171" s="201"/>
      <c r="GGT171" s="201"/>
      <c r="GGU171" s="201"/>
      <c r="GGV171" s="201"/>
      <c r="GGW171" s="201"/>
      <c r="GGX171" s="201"/>
      <c r="GGY171" s="201"/>
      <c r="GGZ171" s="201"/>
      <c r="GHA171" s="201"/>
      <c r="GHB171" s="201"/>
      <c r="GHC171" s="201"/>
      <c r="GHD171" s="201"/>
      <c r="GHE171" s="201"/>
      <c r="GHF171" s="201"/>
      <c r="GHG171" s="201"/>
      <c r="GHH171" s="201"/>
      <c r="GHI171" s="201"/>
      <c r="GHJ171" s="201"/>
      <c r="GHK171" s="201"/>
      <c r="GHL171" s="201"/>
      <c r="GHM171" s="201"/>
      <c r="GHN171" s="201"/>
      <c r="GHO171" s="201"/>
      <c r="GHP171" s="201"/>
      <c r="GHQ171" s="201"/>
      <c r="GHR171" s="201"/>
      <c r="GHS171" s="201"/>
      <c r="GHT171" s="201"/>
      <c r="GHU171" s="201"/>
      <c r="GHV171" s="201"/>
      <c r="GHW171" s="201"/>
      <c r="GHX171" s="201"/>
      <c r="GHY171" s="201"/>
      <c r="GHZ171" s="201"/>
      <c r="GIA171" s="201"/>
      <c r="GIB171" s="201"/>
      <c r="GIC171" s="201"/>
      <c r="GID171" s="201"/>
      <c r="GIE171" s="201"/>
      <c r="GIF171" s="201"/>
      <c r="GIG171" s="201"/>
      <c r="GIH171" s="201"/>
      <c r="GII171" s="201"/>
      <c r="GIJ171" s="201"/>
      <c r="GIK171" s="201"/>
      <c r="GIL171" s="201"/>
      <c r="GIM171" s="201"/>
      <c r="GIN171" s="201"/>
      <c r="GIO171" s="201"/>
      <c r="GIP171" s="201"/>
      <c r="GIQ171" s="201"/>
      <c r="GIR171" s="201"/>
      <c r="GIS171" s="201"/>
      <c r="GIT171" s="201"/>
      <c r="GIU171" s="201"/>
      <c r="GIV171" s="201"/>
      <c r="GIW171" s="201"/>
      <c r="GIX171" s="201"/>
      <c r="GIY171" s="201"/>
      <c r="GIZ171" s="201"/>
      <c r="GJA171" s="201"/>
      <c r="GJB171" s="201"/>
      <c r="GJC171" s="201"/>
      <c r="GJD171" s="201"/>
      <c r="GJE171" s="201"/>
      <c r="GJF171" s="201"/>
      <c r="GJG171" s="201"/>
      <c r="GJH171" s="201"/>
      <c r="GJI171" s="201"/>
      <c r="GJJ171" s="201"/>
      <c r="GJK171" s="201"/>
      <c r="GJL171" s="201"/>
      <c r="GJM171" s="201"/>
      <c r="GJN171" s="201"/>
      <c r="GJO171" s="201"/>
      <c r="GJP171" s="201"/>
      <c r="GJQ171" s="201"/>
      <c r="GJR171" s="201"/>
      <c r="GJS171" s="201"/>
      <c r="GJT171" s="201"/>
      <c r="GJU171" s="201"/>
      <c r="GJV171" s="201"/>
      <c r="GJW171" s="201"/>
      <c r="GJX171" s="201"/>
      <c r="GJY171" s="201"/>
      <c r="GJZ171" s="201"/>
      <c r="GKA171" s="201"/>
      <c r="GKB171" s="201"/>
      <c r="GKC171" s="201"/>
      <c r="GKD171" s="201"/>
      <c r="GKE171" s="201"/>
      <c r="GKF171" s="201"/>
      <c r="GKG171" s="201"/>
      <c r="GKH171" s="201"/>
      <c r="GKI171" s="201"/>
      <c r="GKJ171" s="201"/>
      <c r="GKK171" s="201"/>
      <c r="GKL171" s="201"/>
      <c r="GKM171" s="201"/>
      <c r="GKN171" s="201"/>
      <c r="GKO171" s="201"/>
      <c r="GKP171" s="201"/>
      <c r="GKQ171" s="201"/>
      <c r="GKR171" s="201"/>
      <c r="GKS171" s="201"/>
      <c r="GKT171" s="201"/>
      <c r="GKU171" s="201"/>
      <c r="GKV171" s="201"/>
      <c r="GKW171" s="201"/>
      <c r="GKX171" s="201"/>
      <c r="GKY171" s="201"/>
      <c r="GKZ171" s="201"/>
      <c r="GLA171" s="201"/>
      <c r="GLB171" s="201"/>
      <c r="GLC171" s="201"/>
      <c r="GLD171" s="201"/>
      <c r="GLE171" s="201"/>
      <c r="GLF171" s="201"/>
      <c r="GLG171" s="201"/>
      <c r="GLH171" s="201"/>
      <c r="GLI171" s="201"/>
      <c r="GLJ171" s="201"/>
      <c r="GLK171" s="201"/>
      <c r="GLL171" s="201"/>
      <c r="GLM171" s="201"/>
      <c r="GLN171" s="201"/>
      <c r="GLO171" s="201"/>
      <c r="GLP171" s="201"/>
      <c r="GLQ171" s="201"/>
      <c r="GLR171" s="201"/>
      <c r="GLS171" s="201"/>
      <c r="GLT171" s="201"/>
      <c r="GLU171" s="201"/>
      <c r="GLV171" s="201"/>
      <c r="GLW171" s="201"/>
      <c r="GLX171" s="201"/>
      <c r="GLY171" s="201"/>
      <c r="GLZ171" s="201"/>
      <c r="GMA171" s="201"/>
      <c r="GMB171" s="201"/>
      <c r="GMC171" s="201"/>
      <c r="GMD171" s="201"/>
      <c r="GME171" s="201"/>
      <c r="GMF171" s="201"/>
      <c r="GMG171" s="201"/>
      <c r="GMH171" s="201"/>
      <c r="GMI171" s="201"/>
      <c r="GMJ171" s="201"/>
      <c r="GMK171" s="201"/>
      <c r="GML171" s="201"/>
      <c r="GMM171" s="201"/>
      <c r="GMN171" s="201"/>
      <c r="GMO171" s="201"/>
      <c r="GMP171" s="201"/>
      <c r="GMQ171" s="201"/>
      <c r="GMR171" s="201"/>
      <c r="GMS171" s="201"/>
      <c r="GMT171" s="201"/>
      <c r="GMU171" s="201"/>
      <c r="GMV171" s="201"/>
      <c r="GMW171" s="201"/>
      <c r="GMX171" s="201"/>
      <c r="GMY171" s="201"/>
      <c r="GMZ171" s="201"/>
      <c r="GNA171" s="201"/>
      <c r="GNB171" s="201"/>
      <c r="GNC171" s="201"/>
      <c r="GND171" s="201"/>
      <c r="GNE171" s="201"/>
      <c r="GNF171" s="201"/>
      <c r="GNG171" s="201"/>
      <c r="GNH171" s="201"/>
      <c r="GNI171" s="201"/>
      <c r="GNJ171" s="201"/>
      <c r="GNK171" s="201"/>
      <c r="GNL171" s="201"/>
      <c r="GNM171" s="201"/>
      <c r="GNN171" s="201"/>
      <c r="GNO171" s="201"/>
      <c r="GNP171" s="201"/>
      <c r="GNQ171" s="201"/>
      <c r="GNR171" s="201"/>
      <c r="GNS171" s="201"/>
      <c r="GNT171" s="201"/>
      <c r="GNU171" s="201"/>
      <c r="GNV171" s="201"/>
      <c r="GNW171" s="201"/>
      <c r="GNX171" s="201"/>
      <c r="GNY171" s="201"/>
      <c r="GNZ171" s="201"/>
      <c r="GOA171" s="201"/>
      <c r="GOB171" s="201"/>
      <c r="GOC171" s="201"/>
      <c r="GOD171" s="201"/>
      <c r="GOE171" s="201"/>
      <c r="GOF171" s="201"/>
      <c r="GOG171" s="201"/>
      <c r="GOH171" s="201"/>
      <c r="GOI171" s="201"/>
      <c r="GOJ171" s="201"/>
      <c r="GOK171" s="201"/>
      <c r="GOL171" s="201"/>
      <c r="GOM171" s="201"/>
      <c r="GON171" s="201"/>
      <c r="GOO171" s="201"/>
      <c r="GOP171" s="201"/>
      <c r="GOQ171" s="201"/>
      <c r="GOR171" s="201"/>
      <c r="GOS171" s="201"/>
      <c r="GOT171" s="201"/>
      <c r="GOU171" s="201"/>
      <c r="GOV171" s="201"/>
      <c r="GOW171" s="201"/>
      <c r="GOX171" s="201"/>
      <c r="GOY171" s="201"/>
      <c r="GOZ171" s="201"/>
      <c r="GPA171" s="201"/>
      <c r="GPB171" s="201"/>
      <c r="GPC171" s="201"/>
      <c r="GPD171" s="201"/>
      <c r="GPE171" s="201"/>
      <c r="GPF171" s="201"/>
      <c r="GPG171" s="201"/>
      <c r="GPH171" s="201"/>
      <c r="GPI171" s="201"/>
      <c r="GPJ171" s="201"/>
      <c r="GPK171" s="201"/>
      <c r="GPL171" s="201"/>
      <c r="GPM171" s="201"/>
      <c r="GPN171" s="201"/>
      <c r="GPO171" s="201"/>
      <c r="GPP171" s="201"/>
      <c r="GPQ171" s="201"/>
      <c r="GPR171" s="201"/>
      <c r="GPS171" s="201"/>
      <c r="GPT171" s="201"/>
      <c r="GPU171" s="201"/>
      <c r="GPV171" s="201"/>
      <c r="GPW171" s="201"/>
      <c r="GPX171" s="201"/>
      <c r="GPY171" s="201"/>
      <c r="GPZ171" s="201"/>
      <c r="GQA171" s="201"/>
      <c r="GQB171" s="201"/>
      <c r="GQC171" s="201"/>
      <c r="GQD171" s="201"/>
      <c r="GQE171" s="201"/>
      <c r="GQF171" s="201"/>
      <c r="GQG171" s="201"/>
      <c r="GQH171" s="201"/>
      <c r="GQI171" s="201"/>
      <c r="GQJ171" s="201"/>
      <c r="GQK171" s="201"/>
      <c r="GQL171" s="201"/>
      <c r="GQM171" s="201"/>
      <c r="GQN171" s="201"/>
      <c r="GQO171" s="201"/>
      <c r="GQP171" s="201"/>
      <c r="GQQ171" s="201"/>
      <c r="GQR171" s="201"/>
      <c r="GQS171" s="201"/>
      <c r="GQT171" s="201"/>
      <c r="GQU171" s="201"/>
      <c r="GQV171" s="201"/>
      <c r="GQW171" s="201"/>
      <c r="GQX171" s="201"/>
      <c r="GQY171" s="201"/>
      <c r="GQZ171" s="201"/>
      <c r="GRA171" s="201"/>
      <c r="GRB171" s="201"/>
      <c r="GRC171" s="201"/>
      <c r="GRD171" s="201"/>
      <c r="GRE171" s="201"/>
      <c r="GRF171" s="201"/>
      <c r="GRG171" s="201"/>
      <c r="GRH171" s="201"/>
      <c r="GRI171" s="201"/>
      <c r="GRJ171" s="201"/>
      <c r="GRK171" s="201"/>
      <c r="GRL171" s="201"/>
      <c r="GRM171" s="201"/>
      <c r="GRN171" s="201"/>
      <c r="GRO171" s="201"/>
      <c r="GRP171" s="201"/>
      <c r="GRQ171" s="201"/>
      <c r="GRR171" s="201"/>
      <c r="GRS171" s="201"/>
      <c r="GRT171" s="201"/>
      <c r="GRU171" s="201"/>
      <c r="GRV171" s="201"/>
      <c r="GRW171" s="201"/>
      <c r="GRX171" s="201"/>
      <c r="GRY171" s="201"/>
      <c r="GRZ171" s="201"/>
      <c r="GSA171" s="201"/>
      <c r="GSB171" s="201"/>
      <c r="GSC171" s="201"/>
      <c r="GSD171" s="201"/>
      <c r="GSE171" s="201"/>
      <c r="GSF171" s="201"/>
      <c r="GSG171" s="201"/>
      <c r="GSH171" s="201"/>
      <c r="GSI171" s="201"/>
      <c r="GSJ171" s="201"/>
      <c r="GSK171" s="201"/>
      <c r="GSL171" s="201"/>
      <c r="GSM171" s="201"/>
      <c r="GSN171" s="201"/>
      <c r="GSO171" s="201"/>
      <c r="GSP171" s="201"/>
      <c r="GSQ171" s="201"/>
      <c r="GSR171" s="201"/>
      <c r="GSS171" s="201"/>
      <c r="GST171" s="201"/>
      <c r="GSU171" s="201"/>
      <c r="GSV171" s="201"/>
      <c r="GSW171" s="201"/>
      <c r="GSX171" s="201"/>
      <c r="GSY171" s="201"/>
      <c r="GSZ171" s="201"/>
      <c r="GTA171" s="201"/>
      <c r="GTB171" s="201"/>
      <c r="GTC171" s="201"/>
      <c r="GTD171" s="201"/>
      <c r="GTE171" s="201"/>
      <c r="GTF171" s="201"/>
      <c r="GTG171" s="201"/>
      <c r="GTH171" s="201"/>
      <c r="GTI171" s="201"/>
      <c r="GTJ171" s="201"/>
      <c r="GTK171" s="201"/>
      <c r="GTL171" s="201"/>
      <c r="GTM171" s="201"/>
      <c r="GTN171" s="201"/>
      <c r="GTO171" s="201"/>
      <c r="GTP171" s="201"/>
      <c r="GTQ171" s="201"/>
      <c r="GTR171" s="201"/>
      <c r="GTS171" s="201"/>
      <c r="GTT171" s="201"/>
      <c r="GTU171" s="201"/>
      <c r="GTV171" s="201"/>
      <c r="GTW171" s="201"/>
      <c r="GTX171" s="201"/>
      <c r="GTY171" s="201"/>
      <c r="GTZ171" s="201"/>
      <c r="GUA171" s="201"/>
      <c r="GUB171" s="201"/>
      <c r="GUC171" s="201"/>
      <c r="GUD171" s="201"/>
      <c r="GUE171" s="201"/>
      <c r="GUF171" s="201"/>
      <c r="GUG171" s="201"/>
      <c r="GUH171" s="201"/>
      <c r="GUI171" s="201"/>
      <c r="GUJ171" s="201"/>
      <c r="GUK171" s="201"/>
      <c r="GUL171" s="201"/>
      <c r="GUM171" s="201"/>
      <c r="GUN171" s="201"/>
      <c r="GUO171" s="201"/>
      <c r="GUP171" s="201"/>
      <c r="GUQ171" s="201"/>
      <c r="GUR171" s="201"/>
      <c r="GUS171" s="201"/>
      <c r="GUT171" s="201"/>
      <c r="GUU171" s="201"/>
      <c r="GUV171" s="201"/>
      <c r="GUW171" s="201"/>
      <c r="GUX171" s="201"/>
      <c r="GUY171" s="201"/>
      <c r="GUZ171" s="201"/>
      <c r="GVA171" s="201"/>
      <c r="GVB171" s="201"/>
      <c r="GVC171" s="201"/>
      <c r="GVD171" s="201"/>
      <c r="GVE171" s="201"/>
      <c r="GVF171" s="201"/>
      <c r="GVG171" s="201"/>
      <c r="GVH171" s="201"/>
      <c r="GVI171" s="201"/>
      <c r="GVJ171" s="201"/>
      <c r="GVK171" s="201"/>
      <c r="GVL171" s="201"/>
      <c r="GVM171" s="201"/>
      <c r="GVN171" s="201"/>
      <c r="GVO171" s="201"/>
      <c r="GVP171" s="201"/>
      <c r="GVQ171" s="201"/>
      <c r="GVR171" s="201"/>
      <c r="GVS171" s="201"/>
      <c r="GVT171" s="201"/>
      <c r="GVU171" s="201"/>
      <c r="GVV171" s="201"/>
      <c r="GVW171" s="201"/>
      <c r="GVX171" s="201"/>
      <c r="GVY171" s="201"/>
      <c r="GVZ171" s="201"/>
      <c r="GWA171" s="201"/>
      <c r="GWB171" s="201"/>
      <c r="GWC171" s="201"/>
      <c r="GWD171" s="201"/>
      <c r="GWE171" s="201"/>
      <c r="GWF171" s="201"/>
      <c r="GWG171" s="201"/>
      <c r="GWH171" s="201"/>
      <c r="GWI171" s="201"/>
      <c r="GWJ171" s="201"/>
      <c r="GWK171" s="201"/>
      <c r="GWL171" s="201"/>
      <c r="GWM171" s="201"/>
      <c r="GWN171" s="201"/>
      <c r="GWO171" s="201"/>
      <c r="GWP171" s="201"/>
      <c r="GWQ171" s="201"/>
      <c r="GWR171" s="201"/>
      <c r="GWS171" s="201"/>
      <c r="GWT171" s="201"/>
      <c r="GWU171" s="201"/>
      <c r="GWV171" s="201"/>
      <c r="GWW171" s="201"/>
      <c r="GWX171" s="201"/>
      <c r="GWY171" s="201"/>
      <c r="GWZ171" s="201"/>
      <c r="GXA171" s="201"/>
      <c r="GXB171" s="201"/>
      <c r="GXC171" s="201"/>
      <c r="GXD171" s="201"/>
      <c r="GXE171" s="201"/>
      <c r="GXF171" s="201"/>
      <c r="GXG171" s="201"/>
      <c r="GXH171" s="201"/>
      <c r="GXI171" s="201"/>
      <c r="GXJ171" s="201"/>
      <c r="GXK171" s="201"/>
      <c r="GXL171" s="201"/>
      <c r="GXM171" s="201"/>
      <c r="GXN171" s="201"/>
      <c r="GXO171" s="201"/>
      <c r="GXP171" s="201"/>
      <c r="GXQ171" s="201"/>
      <c r="GXR171" s="201"/>
      <c r="GXS171" s="201"/>
      <c r="GXT171" s="201"/>
      <c r="GXU171" s="201"/>
      <c r="GXV171" s="201"/>
      <c r="GXW171" s="201"/>
      <c r="GXX171" s="201"/>
      <c r="GXY171" s="201"/>
      <c r="GXZ171" s="201"/>
      <c r="GYA171" s="201"/>
      <c r="GYB171" s="201"/>
      <c r="GYC171" s="201"/>
      <c r="GYD171" s="201"/>
      <c r="GYE171" s="201"/>
      <c r="GYF171" s="201"/>
      <c r="GYG171" s="201"/>
      <c r="GYH171" s="201"/>
      <c r="GYI171" s="201"/>
      <c r="GYJ171" s="201"/>
      <c r="GYK171" s="201"/>
      <c r="GYL171" s="201"/>
      <c r="GYM171" s="201"/>
      <c r="GYN171" s="201"/>
      <c r="GYO171" s="201"/>
      <c r="GYP171" s="201"/>
      <c r="GYQ171" s="201"/>
      <c r="GYR171" s="201"/>
      <c r="GYS171" s="201"/>
      <c r="GYT171" s="201"/>
      <c r="GYU171" s="201"/>
      <c r="GYV171" s="201"/>
      <c r="GYW171" s="201"/>
      <c r="GYX171" s="201"/>
      <c r="GYY171" s="201"/>
      <c r="GYZ171" s="201"/>
      <c r="GZA171" s="201"/>
      <c r="GZB171" s="201"/>
      <c r="GZC171" s="201"/>
      <c r="GZD171" s="201"/>
      <c r="GZE171" s="201"/>
      <c r="GZF171" s="201"/>
      <c r="GZG171" s="201"/>
      <c r="GZH171" s="201"/>
      <c r="GZI171" s="201"/>
      <c r="GZJ171" s="201"/>
      <c r="GZK171" s="201"/>
      <c r="GZL171" s="201"/>
      <c r="GZM171" s="201"/>
      <c r="GZN171" s="201"/>
      <c r="GZO171" s="201"/>
      <c r="GZP171" s="201"/>
      <c r="GZQ171" s="201"/>
      <c r="GZR171" s="201"/>
      <c r="GZS171" s="201"/>
      <c r="GZT171" s="201"/>
      <c r="GZU171" s="201"/>
      <c r="GZV171" s="201"/>
      <c r="GZW171" s="201"/>
      <c r="GZX171" s="201"/>
      <c r="GZY171" s="201"/>
      <c r="GZZ171" s="201"/>
      <c r="HAA171" s="201"/>
      <c r="HAB171" s="201"/>
      <c r="HAC171" s="201"/>
      <c r="HAD171" s="201"/>
      <c r="HAE171" s="201"/>
      <c r="HAF171" s="201"/>
      <c r="HAG171" s="201"/>
      <c r="HAH171" s="201"/>
      <c r="HAI171" s="201"/>
      <c r="HAJ171" s="201"/>
      <c r="HAK171" s="201"/>
      <c r="HAL171" s="201"/>
      <c r="HAM171" s="201"/>
      <c r="HAN171" s="201"/>
      <c r="HAO171" s="201"/>
      <c r="HAP171" s="201"/>
      <c r="HAQ171" s="201"/>
      <c r="HAR171" s="201"/>
      <c r="HAS171" s="201"/>
      <c r="HAT171" s="201"/>
      <c r="HAU171" s="201"/>
      <c r="HAV171" s="201"/>
      <c r="HAW171" s="201"/>
      <c r="HAX171" s="201"/>
      <c r="HAY171" s="201"/>
      <c r="HAZ171" s="201"/>
      <c r="HBA171" s="201"/>
      <c r="HBB171" s="201"/>
      <c r="HBC171" s="201"/>
      <c r="HBD171" s="201"/>
      <c r="HBE171" s="201"/>
      <c r="HBF171" s="201"/>
      <c r="HBG171" s="201"/>
      <c r="HBH171" s="201"/>
      <c r="HBI171" s="201"/>
      <c r="HBJ171" s="201"/>
      <c r="HBK171" s="201"/>
      <c r="HBL171" s="201"/>
      <c r="HBM171" s="201"/>
      <c r="HBN171" s="201"/>
      <c r="HBO171" s="201"/>
      <c r="HBP171" s="201"/>
      <c r="HBQ171" s="201"/>
      <c r="HBR171" s="201"/>
      <c r="HBS171" s="201"/>
      <c r="HBT171" s="201"/>
      <c r="HBU171" s="201"/>
      <c r="HBV171" s="201"/>
      <c r="HBW171" s="201"/>
      <c r="HBX171" s="201"/>
      <c r="HBY171" s="201"/>
      <c r="HBZ171" s="201"/>
      <c r="HCA171" s="201"/>
      <c r="HCB171" s="201"/>
      <c r="HCC171" s="201"/>
      <c r="HCD171" s="201"/>
      <c r="HCE171" s="201"/>
      <c r="HCF171" s="201"/>
      <c r="HCG171" s="201"/>
      <c r="HCH171" s="201"/>
      <c r="HCI171" s="201"/>
      <c r="HCJ171" s="201"/>
      <c r="HCK171" s="201"/>
      <c r="HCL171" s="201"/>
      <c r="HCM171" s="201"/>
      <c r="HCN171" s="201"/>
      <c r="HCO171" s="201"/>
      <c r="HCP171" s="201"/>
      <c r="HCQ171" s="201"/>
      <c r="HCR171" s="201"/>
      <c r="HCS171" s="201"/>
      <c r="HCT171" s="201"/>
      <c r="HCU171" s="201"/>
      <c r="HCV171" s="201"/>
      <c r="HCW171" s="201"/>
      <c r="HCX171" s="201"/>
      <c r="HCY171" s="201"/>
      <c r="HCZ171" s="201"/>
      <c r="HDA171" s="201"/>
      <c r="HDB171" s="201"/>
      <c r="HDC171" s="201"/>
      <c r="HDD171" s="201"/>
      <c r="HDE171" s="201"/>
      <c r="HDF171" s="201"/>
      <c r="HDG171" s="201"/>
      <c r="HDH171" s="201"/>
      <c r="HDI171" s="201"/>
      <c r="HDJ171" s="201"/>
      <c r="HDK171" s="201"/>
      <c r="HDL171" s="201"/>
      <c r="HDM171" s="201"/>
      <c r="HDN171" s="201"/>
      <c r="HDO171" s="201"/>
      <c r="HDP171" s="201"/>
      <c r="HDQ171" s="201"/>
      <c r="HDR171" s="201"/>
      <c r="HDS171" s="201"/>
      <c r="HDT171" s="201"/>
      <c r="HDU171" s="201"/>
      <c r="HDV171" s="201"/>
      <c r="HDW171" s="201"/>
      <c r="HDX171" s="201"/>
      <c r="HDY171" s="201"/>
      <c r="HDZ171" s="201"/>
      <c r="HEA171" s="201"/>
      <c r="HEB171" s="201"/>
      <c r="HEC171" s="201"/>
      <c r="HED171" s="201"/>
      <c r="HEE171" s="201"/>
      <c r="HEF171" s="201"/>
      <c r="HEG171" s="201"/>
      <c r="HEH171" s="201"/>
      <c r="HEI171" s="201"/>
      <c r="HEJ171" s="201"/>
      <c r="HEK171" s="201"/>
      <c r="HEL171" s="201"/>
      <c r="HEM171" s="201"/>
      <c r="HEN171" s="201"/>
      <c r="HEO171" s="201"/>
      <c r="HEP171" s="201"/>
      <c r="HEQ171" s="201"/>
      <c r="HER171" s="201"/>
      <c r="HES171" s="201"/>
      <c r="HET171" s="201"/>
      <c r="HEU171" s="201"/>
      <c r="HEV171" s="201"/>
      <c r="HEW171" s="201"/>
      <c r="HEX171" s="201"/>
      <c r="HEY171" s="201"/>
      <c r="HEZ171" s="201"/>
      <c r="HFA171" s="201"/>
      <c r="HFB171" s="201"/>
      <c r="HFC171" s="201"/>
      <c r="HFD171" s="201"/>
      <c r="HFE171" s="201"/>
      <c r="HFF171" s="201"/>
      <c r="HFG171" s="201"/>
      <c r="HFH171" s="201"/>
      <c r="HFI171" s="201"/>
      <c r="HFJ171" s="201"/>
      <c r="HFK171" s="201"/>
      <c r="HFL171" s="201"/>
      <c r="HFM171" s="201"/>
      <c r="HFN171" s="201"/>
      <c r="HFO171" s="201"/>
      <c r="HFP171" s="201"/>
      <c r="HFQ171" s="201"/>
      <c r="HFR171" s="201"/>
      <c r="HFS171" s="201"/>
      <c r="HFT171" s="201"/>
      <c r="HFU171" s="201"/>
      <c r="HFV171" s="201"/>
      <c r="HFW171" s="201"/>
      <c r="HFX171" s="201"/>
      <c r="HFY171" s="201"/>
      <c r="HFZ171" s="201"/>
      <c r="HGA171" s="201"/>
      <c r="HGB171" s="201"/>
      <c r="HGC171" s="201"/>
      <c r="HGD171" s="201"/>
      <c r="HGE171" s="201"/>
      <c r="HGF171" s="201"/>
      <c r="HGG171" s="201"/>
      <c r="HGH171" s="201"/>
      <c r="HGI171" s="201"/>
      <c r="HGJ171" s="201"/>
      <c r="HGK171" s="201"/>
      <c r="HGL171" s="201"/>
      <c r="HGM171" s="201"/>
      <c r="HGN171" s="201"/>
      <c r="HGO171" s="201"/>
      <c r="HGP171" s="201"/>
      <c r="HGQ171" s="201"/>
      <c r="HGR171" s="201"/>
      <c r="HGS171" s="201"/>
      <c r="HGT171" s="201"/>
      <c r="HGU171" s="201"/>
      <c r="HGV171" s="201"/>
      <c r="HGW171" s="201"/>
      <c r="HGX171" s="201"/>
      <c r="HGY171" s="201"/>
      <c r="HGZ171" s="201"/>
      <c r="HHA171" s="201"/>
      <c r="HHB171" s="201"/>
      <c r="HHC171" s="201"/>
      <c r="HHD171" s="201"/>
      <c r="HHE171" s="201"/>
      <c r="HHF171" s="201"/>
      <c r="HHG171" s="201"/>
      <c r="HHH171" s="201"/>
      <c r="HHI171" s="201"/>
      <c r="HHJ171" s="201"/>
      <c r="HHK171" s="201"/>
      <c r="HHL171" s="201"/>
      <c r="HHM171" s="201"/>
      <c r="HHN171" s="201"/>
      <c r="HHO171" s="201"/>
      <c r="HHP171" s="201"/>
      <c r="HHQ171" s="201"/>
      <c r="HHR171" s="201"/>
      <c r="HHS171" s="201"/>
      <c r="HHT171" s="201"/>
      <c r="HHU171" s="201"/>
      <c r="HHV171" s="201"/>
      <c r="HHW171" s="201"/>
      <c r="HHX171" s="201"/>
      <c r="HHY171" s="201"/>
      <c r="HHZ171" s="201"/>
      <c r="HIA171" s="201"/>
      <c r="HIB171" s="201"/>
      <c r="HIC171" s="201"/>
      <c r="HID171" s="201"/>
      <c r="HIE171" s="201"/>
      <c r="HIF171" s="201"/>
      <c r="HIG171" s="201"/>
      <c r="HIH171" s="201"/>
      <c r="HII171" s="201"/>
      <c r="HIJ171" s="201"/>
      <c r="HIK171" s="201"/>
      <c r="HIL171" s="201"/>
      <c r="HIM171" s="201"/>
      <c r="HIN171" s="201"/>
      <c r="HIO171" s="201"/>
      <c r="HIP171" s="201"/>
      <c r="HIQ171" s="201"/>
      <c r="HIR171" s="201"/>
      <c r="HIS171" s="201"/>
      <c r="HIT171" s="201"/>
      <c r="HIU171" s="201"/>
      <c r="HIV171" s="201"/>
      <c r="HIW171" s="201"/>
      <c r="HIX171" s="201"/>
      <c r="HIY171" s="201"/>
      <c r="HIZ171" s="201"/>
      <c r="HJA171" s="201"/>
      <c r="HJB171" s="201"/>
      <c r="HJC171" s="201"/>
      <c r="HJD171" s="201"/>
      <c r="HJE171" s="201"/>
      <c r="HJF171" s="201"/>
      <c r="HJG171" s="201"/>
      <c r="HJH171" s="201"/>
      <c r="HJI171" s="201"/>
      <c r="HJJ171" s="201"/>
      <c r="HJK171" s="201"/>
      <c r="HJL171" s="201"/>
      <c r="HJM171" s="201"/>
      <c r="HJN171" s="201"/>
      <c r="HJO171" s="201"/>
      <c r="HJP171" s="201"/>
      <c r="HJQ171" s="201"/>
      <c r="HJR171" s="201"/>
      <c r="HJS171" s="201"/>
      <c r="HJT171" s="201"/>
      <c r="HJU171" s="201"/>
      <c r="HJV171" s="201"/>
      <c r="HJW171" s="201"/>
      <c r="HJX171" s="201"/>
      <c r="HJY171" s="201"/>
      <c r="HJZ171" s="201"/>
      <c r="HKA171" s="201"/>
      <c r="HKB171" s="201"/>
      <c r="HKC171" s="201"/>
      <c r="HKD171" s="201"/>
      <c r="HKE171" s="201"/>
      <c r="HKF171" s="201"/>
      <c r="HKG171" s="201"/>
      <c r="HKH171" s="201"/>
      <c r="HKI171" s="201"/>
      <c r="HKJ171" s="201"/>
      <c r="HKK171" s="201"/>
      <c r="HKL171" s="201"/>
      <c r="HKM171" s="201"/>
      <c r="HKN171" s="201"/>
      <c r="HKO171" s="201"/>
      <c r="HKP171" s="201"/>
      <c r="HKQ171" s="201"/>
      <c r="HKR171" s="201"/>
      <c r="HKS171" s="201"/>
      <c r="HKT171" s="201"/>
      <c r="HKU171" s="201"/>
      <c r="HKV171" s="201"/>
      <c r="HKW171" s="201"/>
      <c r="HKX171" s="201"/>
      <c r="HKY171" s="201"/>
      <c r="HKZ171" s="201"/>
      <c r="HLA171" s="201"/>
      <c r="HLB171" s="201"/>
      <c r="HLC171" s="201"/>
      <c r="HLD171" s="201"/>
      <c r="HLE171" s="201"/>
      <c r="HLF171" s="201"/>
      <c r="HLG171" s="201"/>
      <c r="HLH171" s="201"/>
      <c r="HLI171" s="201"/>
      <c r="HLJ171" s="201"/>
      <c r="HLK171" s="201"/>
      <c r="HLL171" s="201"/>
      <c r="HLM171" s="201"/>
      <c r="HLN171" s="201"/>
      <c r="HLO171" s="201"/>
      <c r="HLP171" s="201"/>
      <c r="HLQ171" s="201"/>
      <c r="HLR171" s="201"/>
      <c r="HLS171" s="201"/>
      <c r="HLT171" s="201"/>
      <c r="HLU171" s="201"/>
      <c r="HLV171" s="201"/>
      <c r="HLW171" s="201"/>
      <c r="HLX171" s="201"/>
      <c r="HLY171" s="201"/>
      <c r="HLZ171" s="201"/>
      <c r="HMA171" s="201"/>
      <c r="HMB171" s="201"/>
      <c r="HMC171" s="201"/>
      <c r="HMD171" s="201"/>
      <c r="HME171" s="201"/>
      <c r="HMF171" s="201"/>
      <c r="HMG171" s="201"/>
      <c r="HMH171" s="201"/>
      <c r="HMI171" s="201"/>
      <c r="HMJ171" s="201"/>
      <c r="HMK171" s="201"/>
      <c r="HML171" s="201"/>
      <c r="HMM171" s="201"/>
      <c r="HMN171" s="201"/>
      <c r="HMO171" s="201"/>
      <c r="HMP171" s="201"/>
      <c r="HMQ171" s="201"/>
      <c r="HMR171" s="201"/>
      <c r="HMS171" s="201"/>
      <c r="HMT171" s="201"/>
      <c r="HMU171" s="201"/>
      <c r="HMV171" s="201"/>
      <c r="HMW171" s="201"/>
      <c r="HMX171" s="201"/>
      <c r="HMY171" s="201"/>
      <c r="HMZ171" s="201"/>
      <c r="HNA171" s="201"/>
      <c r="HNB171" s="201"/>
      <c r="HNC171" s="201"/>
      <c r="HND171" s="201"/>
      <c r="HNE171" s="201"/>
      <c r="HNF171" s="201"/>
      <c r="HNG171" s="201"/>
      <c r="HNH171" s="201"/>
      <c r="HNI171" s="201"/>
      <c r="HNJ171" s="201"/>
      <c r="HNK171" s="201"/>
      <c r="HNL171" s="201"/>
      <c r="HNM171" s="201"/>
      <c r="HNN171" s="201"/>
      <c r="HNO171" s="201"/>
      <c r="HNP171" s="201"/>
      <c r="HNQ171" s="201"/>
      <c r="HNR171" s="201"/>
      <c r="HNS171" s="201"/>
      <c r="HNT171" s="201"/>
      <c r="HNU171" s="201"/>
      <c r="HNV171" s="201"/>
      <c r="HNW171" s="201"/>
      <c r="HNX171" s="201"/>
      <c r="HNY171" s="201"/>
      <c r="HNZ171" s="201"/>
      <c r="HOA171" s="201"/>
      <c r="HOB171" s="201"/>
      <c r="HOC171" s="201"/>
      <c r="HOD171" s="201"/>
      <c r="HOE171" s="201"/>
      <c r="HOF171" s="201"/>
      <c r="HOG171" s="201"/>
      <c r="HOH171" s="201"/>
      <c r="HOI171" s="201"/>
      <c r="HOJ171" s="201"/>
      <c r="HOK171" s="201"/>
      <c r="HOL171" s="201"/>
      <c r="HOM171" s="201"/>
      <c r="HON171" s="201"/>
      <c r="HOO171" s="201"/>
      <c r="HOP171" s="201"/>
      <c r="HOQ171" s="201"/>
      <c r="HOR171" s="201"/>
      <c r="HOS171" s="201"/>
      <c r="HOT171" s="201"/>
      <c r="HOU171" s="201"/>
      <c r="HOV171" s="201"/>
      <c r="HOW171" s="201"/>
      <c r="HOX171" s="201"/>
      <c r="HOY171" s="201"/>
      <c r="HOZ171" s="201"/>
      <c r="HPA171" s="201"/>
      <c r="HPB171" s="201"/>
      <c r="HPC171" s="201"/>
      <c r="HPD171" s="201"/>
      <c r="HPE171" s="201"/>
      <c r="HPF171" s="201"/>
      <c r="HPG171" s="201"/>
      <c r="HPH171" s="201"/>
      <c r="HPI171" s="201"/>
      <c r="HPJ171" s="201"/>
      <c r="HPK171" s="201"/>
      <c r="HPL171" s="201"/>
      <c r="HPM171" s="201"/>
      <c r="HPN171" s="201"/>
      <c r="HPO171" s="201"/>
      <c r="HPP171" s="201"/>
      <c r="HPQ171" s="201"/>
      <c r="HPR171" s="201"/>
      <c r="HPS171" s="201"/>
      <c r="HPT171" s="201"/>
      <c r="HPU171" s="201"/>
      <c r="HPV171" s="201"/>
      <c r="HPW171" s="201"/>
      <c r="HPX171" s="201"/>
      <c r="HPY171" s="201"/>
      <c r="HPZ171" s="201"/>
      <c r="HQA171" s="201"/>
      <c r="HQB171" s="201"/>
      <c r="HQC171" s="201"/>
      <c r="HQD171" s="201"/>
      <c r="HQE171" s="201"/>
      <c r="HQF171" s="201"/>
      <c r="HQG171" s="201"/>
      <c r="HQH171" s="201"/>
      <c r="HQI171" s="201"/>
      <c r="HQJ171" s="201"/>
      <c r="HQK171" s="201"/>
      <c r="HQL171" s="201"/>
      <c r="HQM171" s="201"/>
      <c r="HQN171" s="201"/>
      <c r="HQO171" s="201"/>
      <c r="HQP171" s="201"/>
      <c r="HQQ171" s="201"/>
      <c r="HQR171" s="201"/>
      <c r="HQS171" s="201"/>
      <c r="HQT171" s="201"/>
      <c r="HQU171" s="201"/>
      <c r="HQV171" s="201"/>
      <c r="HQW171" s="201"/>
      <c r="HQX171" s="201"/>
      <c r="HQY171" s="201"/>
      <c r="HQZ171" s="201"/>
      <c r="HRA171" s="201"/>
      <c r="HRB171" s="201"/>
      <c r="HRC171" s="201"/>
      <c r="HRD171" s="201"/>
      <c r="HRE171" s="201"/>
      <c r="HRF171" s="201"/>
      <c r="HRG171" s="201"/>
      <c r="HRH171" s="201"/>
      <c r="HRI171" s="201"/>
      <c r="HRJ171" s="201"/>
      <c r="HRK171" s="201"/>
      <c r="HRL171" s="201"/>
      <c r="HRM171" s="201"/>
      <c r="HRN171" s="201"/>
      <c r="HRO171" s="201"/>
      <c r="HRP171" s="201"/>
      <c r="HRQ171" s="201"/>
      <c r="HRR171" s="201"/>
      <c r="HRS171" s="201"/>
      <c r="HRT171" s="201"/>
      <c r="HRU171" s="201"/>
      <c r="HRV171" s="201"/>
      <c r="HRW171" s="201"/>
      <c r="HRX171" s="201"/>
      <c r="HRY171" s="201"/>
      <c r="HRZ171" s="201"/>
      <c r="HSA171" s="201"/>
      <c r="HSB171" s="201"/>
      <c r="HSC171" s="201"/>
      <c r="HSD171" s="201"/>
      <c r="HSE171" s="201"/>
      <c r="HSF171" s="201"/>
      <c r="HSG171" s="201"/>
      <c r="HSH171" s="201"/>
      <c r="HSI171" s="201"/>
      <c r="HSJ171" s="201"/>
      <c r="HSK171" s="201"/>
      <c r="HSL171" s="201"/>
      <c r="HSM171" s="201"/>
      <c r="HSN171" s="201"/>
      <c r="HSO171" s="201"/>
      <c r="HSP171" s="201"/>
      <c r="HSQ171" s="201"/>
      <c r="HSR171" s="201"/>
      <c r="HSS171" s="201"/>
      <c r="HST171" s="201"/>
      <c r="HSU171" s="201"/>
      <c r="HSV171" s="201"/>
      <c r="HSW171" s="201"/>
      <c r="HSX171" s="201"/>
      <c r="HSY171" s="201"/>
      <c r="HSZ171" s="201"/>
      <c r="HTA171" s="201"/>
      <c r="HTB171" s="201"/>
      <c r="HTC171" s="201"/>
      <c r="HTD171" s="201"/>
      <c r="HTE171" s="201"/>
      <c r="HTF171" s="201"/>
      <c r="HTG171" s="201"/>
      <c r="HTH171" s="201"/>
      <c r="HTI171" s="201"/>
      <c r="HTJ171" s="201"/>
      <c r="HTK171" s="201"/>
      <c r="HTL171" s="201"/>
      <c r="HTM171" s="201"/>
      <c r="HTN171" s="201"/>
      <c r="HTO171" s="201"/>
      <c r="HTP171" s="201"/>
      <c r="HTQ171" s="201"/>
      <c r="HTR171" s="201"/>
      <c r="HTS171" s="201"/>
      <c r="HTT171" s="201"/>
      <c r="HTU171" s="201"/>
      <c r="HTV171" s="201"/>
      <c r="HTW171" s="201"/>
      <c r="HTX171" s="201"/>
      <c r="HTY171" s="201"/>
      <c r="HTZ171" s="201"/>
      <c r="HUA171" s="201"/>
      <c r="HUB171" s="201"/>
      <c r="HUC171" s="201"/>
      <c r="HUD171" s="201"/>
      <c r="HUE171" s="201"/>
      <c r="HUF171" s="201"/>
      <c r="HUG171" s="201"/>
      <c r="HUH171" s="201"/>
      <c r="HUI171" s="201"/>
      <c r="HUJ171" s="201"/>
      <c r="HUK171" s="201"/>
      <c r="HUL171" s="201"/>
      <c r="HUM171" s="201"/>
      <c r="HUN171" s="201"/>
      <c r="HUO171" s="201"/>
      <c r="HUP171" s="201"/>
      <c r="HUQ171" s="201"/>
      <c r="HUR171" s="201"/>
      <c r="HUS171" s="201"/>
      <c r="HUT171" s="201"/>
      <c r="HUU171" s="201"/>
      <c r="HUV171" s="201"/>
      <c r="HUW171" s="201"/>
      <c r="HUX171" s="201"/>
      <c r="HUY171" s="201"/>
      <c r="HUZ171" s="201"/>
      <c r="HVA171" s="201"/>
      <c r="HVB171" s="201"/>
      <c r="HVC171" s="201"/>
      <c r="HVD171" s="201"/>
      <c r="HVE171" s="201"/>
      <c r="HVF171" s="201"/>
      <c r="HVG171" s="201"/>
      <c r="HVH171" s="201"/>
      <c r="HVI171" s="201"/>
      <c r="HVJ171" s="201"/>
      <c r="HVK171" s="201"/>
      <c r="HVL171" s="201"/>
      <c r="HVM171" s="201"/>
      <c r="HVN171" s="201"/>
      <c r="HVO171" s="201"/>
      <c r="HVP171" s="201"/>
      <c r="HVQ171" s="201"/>
      <c r="HVR171" s="201"/>
      <c r="HVS171" s="201"/>
      <c r="HVT171" s="201"/>
      <c r="HVU171" s="201"/>
      <c r="HVV171" s="201"/>
      <c r="HVW171" s="201"/>
      <c r="HVX171" s="201"/>
      <c r="HVY171" s="201"/>
      <c r="HVZ171" s="201"/>
      <c r="HWA171" s="201"/>
      <c r="HWB171" s="201"/>
      <c r="HWC171" s="201"/>
      <c r="HWD171" s="201"/>
      <c r="HWE171" s="201"/>
      <c r="HWF171" s="201"/>
      <c r="HWG171" s="201"/>
      <c r="HWH171" s="201"/>
      <c r="HWI171" s="201"/>
      <c r="HWJ171" s="201"/>
      <c r="HWK171" s="201"/>
      <c r="HWL171" s="201"/>
      <c r="HWM171" s="201"/>
      <c r="HWN171" s="201"/>
      <c r="HWO171" s="201"/>
      <c r="HWP171" s="201"/>
      <c r="HWQ171" s="201"/>
      <c r="HWR171" s="201"/>
      <c r="HWS171" s="201"/>
      <c r="HWT171" s="201"/>
      <c r="HWU171" s="201"/>
      <c r="HWV171" s="201"/>
      <c r="HWW171" s="201"/>
      <c r="HWX171" s="201"/>
      <c r="HWY171" s="201"/>
      <c r="HWZ171" s="201"/>
      <c r="HXA171" s="201"/>
      <c r="HXB171" s="201"/>
      <c r="HXC171" s="201"/>
      <c r="HXD171" s="201"/>
      <c r="HXE171" s="201"/>
      <c r="HXF171" s="201"/>
      <c r="HXG171" s="201"/>
      <c r="HXH171" s="201"/>
      <c r="HXI171" s="201"/>
      <c r="HXJ171" s="201"/>
      <c r="HXK171" s="201"/>
      <c r="HXL171" s="201"/>
      <c r="HXM171" s="201"/>
      <c r="HXN171" s="201"/>
      <c r="HXO171" s="201"/>
      <c r="HXP171" s="201"/>
      <c r="HXQ171" s="201"/>
      <c r="HXR171" s="201"/>
      <c r="HXS171" s="201"/>
      <c r="HXT171" s="201"/>
      <c r="HXU171" s="201"/>
      <c r="HXV171" s="201"/>
      <c r="HXW171" s="201"/>
      <c r="HXX171" s="201"/>
      <c r="HXY171" s="201"/>
      <c r="HXZ171" s="201"/>
      <c r="HYA171" s="201"/>
      <c r="HYB171" s="201"/>
      <c r="HYC171" s="201"/>
      <c r="HYD171" s="201"/>
      <c r="HYE171" s="201"/>
      <c r="HYF171" s="201"/>
      <c r="HYG171" s="201"/>
      <c r="HYH171" s="201"/>
      <c r="HYI171" s="201"/>
      <c r="HYJ171" s="201"/>
      <c r="HYK171" s="201"/>
      <c r="HYL171" s="201"/>
      <c r="HYM171" s="201"/>
      <c r="HYN171" s="201"/>
      <c r="HYO171" s="201"/>
      <c r="HYP171" s="201"/>
      <c r="HYQ171" s="201"/>
      <c r="HYR171" s="201"/>
      <c r="HYS171" s="201"/>
      <c r="HYT171" s="201"/>
      <c r="HYU171" s="201"/>
      <c r="HYV171" s="201"/>
      <c r="HYW171" s="201"/>
      <c r="HYX171" s="201"/>
      <c r="HYY171" s="201"/>
      <c r="HYZ171" s="201"/>
      <c r="HZA171" s="201"/>
      <c r="HZB171" s="201"/>
      <c r="HZC171" s="201"/>
      <c r="HZD171" s="201"/>
      <c r="HZE171" s="201"/>
      <c r="HZF171" s="201"/>
      <c r="HZG171" s="201"/>
      <c r="HZH171" s="201"/>
      <c r="HZI171" s="201"/>
      <c r="HZJ171" s="201"/>
      <c r="HZK171" s="201"/>
      <c r="HZL171" s="201"/>
      <c r="HZM171" s="201"/>
      <c r="HZN171" s="201"/>
      <c r="HZO171" s="201"/>
      <c r="HZP171" s="201"/>
      <c r="HZQ171" s="201"/>
      <c r="HZR171" s="201"/>
      <c r="HZS171" s="201"/>
      <c r="HZT171" s="201"/>
      <c r="HZU171" s="201"/>
      <c r="HZV171" s="201"/>
      <c r="HZW171" s="201"/>
      <c r="HZX171" s="201"/>
      <c r="HZY171" s="201"/>
      <c r="HZZ171" s="201"/>
      <c r="IAA171" s="201"/>
      <c r="IAB171" s="201"/>
      <c r="IAC171" s="201"/>
      <c r="IAD171" s="201"/>
      <c r="IAE171" s="201"/>
      <c r="IAF171" s="201"/>
      <c r="IAG171" s="201"/>
      <c r="IAH171" s="201"/>
      <c r="IAI171" s="201"/>
      <c r="IAJ171" s="201"/>
      <c r="IAK171" s="201"/>
      <c r="IAL171" s="201"/>
      <c r="IAM171" s="201"/>
      <c r="IAN171" s="201"/>
      <c r="IAO171" s="201"/>
      <c r="IAP171" s="201"/>
      <c r="IAQ171" s="201"/>
      <c r="IAR171" s="201"/>
      <c r="IAS171" s="201"/>
      <c r="IAT171" s="201"/>
      <c r="IAU171" s="201"/>
      <c r="IAV171" s="201"/>
      <c r="IAW171" s="201"/>
      <c r="IAX171" s="201"/>
      <c r="IAY171" s="201"/>
      <c r="IAZ171" s="201"/>
      <c r="IBA171" s="201"/>
      <c r="IBB171" s="201"/>
      <c r="IBC171" s="201"/>
      <c r="IBD171" s="201"/>
      <c r="IBE171" s="201"/>
      <c r="IBF171" s="201"/>
      <c r="IBG171" s="201"/>
      <c r="IBH171" s="201"/>
      <c r="IBI171" s="201"/>
      <c r="IBJ171" s="201"/>
      <c r="IBK171" s="201"/>
      <c r="IBL171" s="201"/>
      <c r="IBM171" s="201"/>
      <c r="IBN171" s="201"/>
      <c r="IBO171" s="201"/>
      <c r="IBP171" s="201"/>
      <c r="IBQ171" s="201"/>
      <c r="IBR171" s="201"/>
      <c r="IBS171" s="201"/>
      <c r="IBT171" s="201"/>
      <c r="IBU171" s="201"/>
      <c r="IBV171" s="201"/>
      <c r="IBW171" s="201"/>
      <c r="IBX171" s="201"/>
      <c r="IBY171" s="201"/>
      <c r="IBZ171" s="201"/>
      <c r="ICA171" s="201"/>
      <c r="ICB171" s="201"/>
      <c r="ICC171" s="201"/>
      <c r="ICD171" s="201"/>
      <c r="ICE171" s="201"/>
      <c r="ICF171" s="201"/>
      <c r="ICG171" s="201"/>
      <c r="ICH171" s="201"/>
      <c r="ICI171" s="201"/>
      <c r="ICJ171" s="201"/>
      <c r="ICK171" s="201"/>
      <c r="ICL171" s="201"/>
      <c r="ICM171" s="201"/>
      <c r="ICN171" s="201"/>
      <c r="ICO171" s="201"/>
      <c r="ICP171" s="201"/>
      <c r="ICQ171" s="201"/>
      <c r="ICR171" s="201"/>
      <c r="ICS171" s="201"/>
      <c r="ICT171" s="201"/>
      <c r="ICU171" s="201"/>
      <c r="ICV171" s="201"/>
      <c r="ICW171" s="201"/>
      <c r="ICX171" s="201"/>
      <c r="ICY171" s="201"/>
      <c r="ICZ171" s="201"/>
      <c r="IDA171" s="201"/>
      <c r="IDB171" s="201"/>
      <c r="IDC171" s="201"/>
      <c r="IDD171" s="201"/>
      <c r="IDE171" s="201"/>
      <c r="IDF171" s="201"/>
      <c r="IDG171" s="201"/>
      <c r="IDH171" s="201"/>
      <c r="IDI171" s="201"/>
      <c r="IDJ171" s="201"/>
      <c r="IDK171" s="201"/>
      <c r="IDL171" s="201"/>
      <c r="IDM171" s="201"/>
      <c r="IDN171" s="201"/>
      <c r="IDO171" s="201"/>
      <c r="IDP171" s="201"/>
      <c r="IDQ171" s="201"/>
      <c r="IDR171" s="201"/>
      <c r="IDS171" s="201"/>
      <c r="IDT171" s="201"/>
      <c r="IDU171" s="201"/>
      <c r="IDV171" s="201"/>
      <c r="IDW171" s="201"/>
      <c r="IDX171" s="201"/>
      <c r="IDY171" s="201"/>
      <c r="IDZ171" s="201"/>
      <c r="IEA171" s="201"/>
      <c r="IEB171" s="201"/>
      <c r="IEC171" s="201"/>
      <c r="IED171" s="201"/>
      <c r="IEE171" s="201"/>
      <c r="IEF171" s="201"/>
      <c r="IEG171" s="201"/>
      <c r="IEH171" s="201"/>
      <c r="IEI171" s="201"/>
      <c r="IEJ171" s="201"/>
      <c r="IEK171" s="201"/>
      <c r="IEL171" s="201"/>
      <c r="IEM171" s="201"/>
      <c r="IEN171" s="201"/>
      <c r="IEO171" s="201"/>
      <c r="IEP171" s="201"/>
      <c r="IEQ171" s="201"/>
      <c r="IER171" s="201"/>
      <c r="IES171" s="201"/>
      <c r="IET171" s="201"/>
      <c r="IEU171" s="201"/>
      <c r="IEV171" s="201"/>
      <c r="IEW171" s="201"/>
      <c r="IEX171" s="201"/>
      <c r="IEY171" s="201"/>
      <c r="IEZ171" s="201"/>
      <c r="IFA171" s="201"/>
      <c r="IFB171" s="201"/>
      <c r="IFC171" s="201"/>
      <c r="IFD171" s="201"/>
      <c r="IFE171" s="201"/>
      <c r="IFF171" s="201"/>
      <c r="IFG171" s="201"/>
      <c r="IFH171" s="201"/>
      <c r="IFI171" s="201"/>
      <c r="IFJ171" s="201"/>
      <c r="IFK171" s="201"/>
      <c r="IFL171" s="201"/>
      <c r="IFM171" s="201"/>
      <c r="IFN171" s="201"/>
      <c r="IFO171" s="201"/>
      <c r="IFP171" s="201"/>
      <c r="IFQ171" s="201"/>
      <c r="IFR171" s="201"/>
      <c r="IFS171" s="201"/>
      <c r="IFT171" s="201"/>
      <c r="IFU171" s="201"/>
      <c r="IFV171" s="201"/>
      <c r="IFW171" s="201"/>
      <c r="IFX171" s="201"/>
      <c r="IFY171" s="201"/>
      <c r="IFZ171" s="201"/>
      <c r="IGA171" s="201"/>
      <c r="IGB171" s="201"/>
      <c r="IGC171" s="201"/>
      <c r="IGD171" s="201"/>
      <c r="IGE171" s="201"/>
      <c r="IGF171" s="201"/>
      <c r="IGG171" s="201"/>
      <c r="IGH171" s="201"/>
      <c r="IGI171" s="201"/>
      <c r="IGJ171" s="201"/>
      <c r="IGK171" s="201"/>
      <c r="IGL171" s="201"/>
      <c r="IGM171" s="201"/>
      <c r="IGN171" s="201"/>
      <c r="IGO171" s="201"/>
      <c r="IGP171" s="201"/>
      <c r="IGQ171" s="201"/>
      <c r="IGR171" s="201"/>
      <c r="IGS171" s="201"/>
      <c r="IGT171" s="201"/>
      <c r="IGU171" s="201"/>
      <c r="IGV171" s="201"/>
      <c r="IGW171" s="201"/>
      <c r="IGX171" s="201"/>
      <c r="IGY171" s="201"/>
      <c r="IGZ171" s="201"/>
      <c r="IHA171" s="201"/>
      <c r="IHB171" s="201"/>
      <c r="IHC171" s="201"/>
      <c r="IHD171" s="201"/>
      <c r="IHE171" s="201"/>
      <c r="IHF171" s="201"/>
      <c r="IHG171" s="201"/>
      <c r="IHH171" s="201"/>
      <c r="IHI171" s="201"/>
      <c r="IHJ171" s="201"/>
      <c r="IHK171" s="201"/>
      <c r="IHL171" s="201"/>
      <c r="IHM171" s="201"/>
      <c r="IHN171" s="201"/>
      <c r="IHO171" s="201"/>
      <c r="IHP171" s="201"/>
      <c r="IHQ171" s="201"/>
      <c r="IHR171" s="201"/>
      <c r="IHS171" s="201"/>
      <c r="IHT171" s="201"/>
      <c r="IHU171" s="201"/>
      <c r="IHV171" s="201"/>
      <c r="IHW171" s="201"/>
      <c r="IHX171" s="201"/>
      <c r="IHY171" s="201"/>
      <c r="IHZ171" s="201"/>
      <c r="IIA171" s="201"/>
      <c r="IIB171" s="201"/>
      <c r="IIC171" s="201"/>
      <c r="IID171" s="201"/>
      <c r="IIE171" s="201"/>
      <c r="IIF171" s="201"/>
      <c r="IIG171" s="201"/>
      <c r="IIH171" s="201"/>
      <c r="III171" s="201"/>
      <c r="IIJ171" s="201"/>
      <c r="IIK171" s="201"/>
      <c r="IIL171" s="201"/>
      <c r="IIM171" s="201"/>
      <c r="IIN171" s="201"/>
      <c r="IIO171" s="201"/>
      <c r="IIP171" s="201"/>
      <c r="IIQ171" s="201"/>
      <c r="IIR171" s="201"/>
      <c r="IIS171" s="201"/>
      <c r="IIT171" s="201"/>
      <c r="IIU171" s="201"/>
      <c r="IIV171" s="201"/>
      <c r="IIW171" s="201"/>
      <c r="IIX171" s="201"/>
      <c r="IIY171" s="201"/>
      <c r="IIZ171" s="201"/>
      <c r="IJA171" s="201"/>
      <c r="IJB171" s="201"/>
      <c r="IJC171" s="201"/>
      <c r="IJD171" s="201"/>
      <c r="IJE171" s="201"/>
      <c r="IJF171" s="201"/>
      <c r="IJG171" s="201"/>
      <c r="IJH171" s="201"/>
      <c r="IJI171" s="201"/>
      <c r="IJJ171" s="201"/>
      <c r="IJK171" s="201"/>
      <c r="IJL171" s="201"/>
      <c r="IJM171" s="201"/>
      <c r="IJN171" s="201"/>
      <c r="IJO171" s="201"/>
      <c r="IJP171" s="201"/>
      <c r="IJQ171" s="201"/>
      <c r="IJR171" s="201"/>
      <c r="IJS171" s="201"/>
      <c r="IJT171" s="201"/>
      <c r="IJU171" s="201"/>
      <c r="IJV171" s="201"/>
      <c r="IJW171" s="201"/>
      <c r="IJX171" s="201"/>
      <c r="IJY171" s="201"/>
      <c r="IJZ171" s="201"/>
      <c r="IKA171" s="201"/>
      <c r="IKB171" s="201"/>
      <c r="IKC171" s="201"/>
      <c r="IKD171" s="201"/>
      <c r="IKE171" s="201"/>
      <c r="IKF171" s="201"/>
      <c r="IKG171" s="201"/>
      <c r="IKH171" s="201"/>
      <c r="IKI171" s="201"/>
      <c r="IKJ171" s="201"/>
      <c r="IKK171" s="201"/>
      <c r="IKL171" s="201"/>
      <c r="IKM171" s="201"/>
      <c r="IKN171" s="201"/>
      <c r="IKO171" s="201"/>
      <c r="IKP171" s="201"/>
      <c r="IKQ171" s="201"/>
      <c r="IKR171" s="201"/>
      <c r="IKS171" s="201"/>
      <c r="IKT171" s="201"/>
      <c r="IKU171" s="201"/>
      <c r="IKV171" s="201"/>
      <c r="IKW171" s="201"/>
      <c r="IKX171" s="201"/>
      <c r="IKY171" s="201"/>
      <c r="IKZ171" s="201"/>
      <c r="ILA171" s="201"/>
      <c r="ILB171" s="201"/>
      <c r="ILC171" s="201"/>
      <c r="ILD171" s="201"/>
      <c r="ILE171" s="201"/>
      <c r="ILF171" s="201"/>
      <c r="ILG171" s="201"/>
      <c r="ILH171" s="201"/>
      <c r="ILI171" s="201"/>
      <c r="ILJ171" s="201"/>
      <c r="ILK171" s="201"/>
      <c r="ILL171" s="201"/>
      <c r="ILM171" s="201"/>
      <c r="ILN171" s="201"/>
      <c r="ILO171" s="201"/>
      <c r="ILP171" s="201"/>
      <c r="ILQ171" s="201"/>
      <c r="ILR171" s="201"/>
      <c r="ILS171" s="201"/>
      <c r="ILT171" s="201"/>
      <c r="ILU171" s="201"/>
      <c r="ILV171" s="201"/>
      <c r="ILW171" s="201"/>
      <c r="ILX171" s="201"/>
      <c r="ILY171" s="201"/>
      <c r="ILZ171" s="201"/>
      <c r="IMA171" s="201"/>
      <c r="IMB171" s="201"/>
      <c r="IMC171" s="201"/>
      <c r="IMD171" s="201"/>
      <c r="IME171" s="201"/>
      <c r="IMF171" s="201"/>
      <c r="IMG171" s="201"/>
      <c r="IMH171" s="201"/>
      <c r="IMI171" s="201"/>
      <c r="IMJ171" s="201"/>
      <c r="IMK171" s="201"/>
      <c r="IML171" s="201"/>
      <c r="IMM171" s="201"/>
      <c r="IMN171" s="201"/>
      <c r="IMO171" s="201"/>
      <c r="IMP171" s="201"/>
      <c r="IMQ171" s="201"/>
      <c r="IMR171" s="201"/>
      <c r="IMS171" s="201"/>
      <c r="IMT171" s="201"/>
      <c r="IMU171" s="201"/>
      <c r="IMV171" s="201"/>
      <c r="IMW171" s="201"/>
      <c r="IMX171" s="201"/>
      <c r="IMY171" s="201"/>
      <c r="IMZ171" s="201"/>
      <c r="INA171" s="201"/>
      <c r="INB171" s="201"/>
      <c r="INC171" s="201"/>
      <c r="IND171" s="201"/>
      <c r="INE171" s="201"/>
      <c r="INF171" s="201"/>
      <c r="ING171" s="201"/>
      <c r="INH171" s="201"/>
      <c r="INI171" s="201"/>
      <c r="INJ171" s="201"/>
      <c r="INK171" s="201"/>
      <c r="INL171" s="201"/>
      <c r="INM171" s="201"/>
      <c r="INN171" s="201"/>
      <c r="INO171" s="201"/>
      <c r="INP171" s="201"/>
      <c r="INQ171" s="201"/>
      <c r="INR171" s="201"/>
      <c r="INS171" s="201"/>
      <c r="INT171" s="201"/>
      <c r="INU171" s="201"/>
      <c r="INV171" s="201"/>
      <c r="INW171" s="201"/>
      <c r="INX171" s="201"/>
      <c r="INY171" s="201"/>
      <c r="INZ171" s="201"/>
      <c r="IOA171" s="201"/>
      <c r="IOB171" s="201"/>
      <c r="IOC171" s="201"/>
      <c r="IOD171" s="201"/>
      <c r="IOE171" s="201"/>
      <c r="IOF171" s="201"/>
      <c r="IOG171" s="201"/>
      <c r="IOH171" s="201"/>
      <c r="IOI171" s="201"/>
      <c r="IOJ171" s="201"/>
      <c r="IOK171" s="201"/>
      <c r="IOL171" s="201"/>
      <c r="IOM171" s="201"/>
      <c r="ION171" s="201"/>
      <c r="IOO171" s="201"/>
      <c r="IOP171" s="201"/>
      <c r="IOQ171" s="201"/>
      <c r="IOR171" s="201"/>
      <c r="IOS171" s="201"/>
      <c r="IOT171" s="201"/>
      <c r="IOU171" s="201"/>
      <c r="IOV171" s="201"/>
      <c r="IOW171" s="201"/>
      <c r="IOX171" s="201"/>
      <c r="IOY171" s="201"/>
      <c r="IOZ171" s="201"/>
      <c r="IPA171" s="201"/>
      <c r="IPB171" s="201"/>
      <c r="IPC171" s="201"/>
      <c r="IPD171" s="201"/>
      <c r="IPE171" s="201"/>
      <c r="IPF171" s="201"/>
      <c r="IPG171" s="201"/>
      <c r="IPH171" s="201"/>
      <c r="IPI171" s="201"/>
      <c r="IPJ171" s="201"/>
      <c r="IPK171" s="201"/>
      <c r="IPL171" s="201"/>
      <c r="IPM171" s="201"/>
      <c r="IPN171" s="201"/>
      <c r="IPO171" s="201"/>
      <c r="IPP171" s="201"/>
      <c r="IPQ171" s="201"/>
      <c r="IPR171" s="201"/>
      <c r="IPS171" s="201"/>
      <c r="IPT171" s="201"/>
      <c r="IPU171" s="201"/>
      <c r="IPV171" s="201"/>
      <c r="IPW171" s="201"/>
      <c r="IPX171" s="201"/>
      <c r="IPY171" s="201"/>
      <c r="IPZ171" s="201"/>
      <c r="IQA171" s="201"/>
      <c r="IQB171" s="201"/>
      <c r="IQC171" s="201"/>
      <c r="IQD171" s="201"/>
      <c r="IQE171" s="201"/>
      <c r="IQF171" s="201"/>
      <c r="IQG171" s="201"/>
      <c r="IQH171" s="201"/>
      <c r="IQI171" s="201"/>
      <c r="IQJ171" s="201"/>
      <c r="IQK171" s="201"/>
      <c r="IQL171" s="201"/>
      <c r="IQM171" s="201"/>
      <c r="IQN171" s="201"/>
      <c r="IQO171" s="201"/>
      <c r="IQP171" s="201"/>
      <c r="IQQ171" s="201"/>
      <c r="IQR171" s="201"/>
      <c r="IQS171" s="201"/>
      <c r="IQT171" s="201"/>
      <c r="IQU171" s="201"/>
      <c r="IQV171" s="201"/>
      <c r="IQW171" s="201"/>
      <c r="IQX171" s="201"/>
      <c r="IQY171" s="201"/>
      <c r="IQZ171" s="201"/>
      <c r="IRA171" s="201"/>
      <c r="IRB171" s="201"/>
      <c r="IRC171" s="201"/>
      <c r="IRD171" s="201"/>
      <c r="IRE171" s="201"/>
      <c r="IRF171" s="201"/>
      <c r="IRG171" s="201"/>
      <c r="IRH171" s="201"/>
      <c r="IRI171" s="201"/>
      <c r="IRJ171" s="201"/>
      <c r="IRK171" s="201"/>
      <c r="IRL171" s="201"/>
      <c r="IRM171" s="201"/>
      <c r="IRN171" s="201"/>
      <c r="IRO171" s="201"/>
      <c r="IRP171" s="201"/>
      <c r="IRQ171" s="201"/>
      <c r="IRR171" s="201"/>
      <c r="IRS171" s="201"/>
      <c r="IRT171" s="201"/>
      <c r="IRU171" s="201"/>
      <c r="IRV171" s="201"/>
      <c r="IRW171" s="201"/>
      <c r="IRX171" s="201"/>
      <c r="IRY171" s="201"/>
      <c r="IRZ171" s="201"/>
      <c r="ISA171" s="201"/>
      <c r="ISB171" s="201"/>
      <c r="ISC171" s="201"/>
      <c r="ISD171" s="201"/>
      <c r="ISE171" s="201"/>
      <c r="ISF171" s="201"/>
      <c r="ISG171" s="201"/>
      <c r="ISH171" s="201"/>
      <c r="ISI171" s="201"/>
      <c r="ISJ171" s="201"/>
      <c r="ISK171" s="201"/>
      <c r="ISL171" s="201"/>
      <c r="ISM171" s="201"/>
      <c r="ISN171" s="201"/>
      <c r="ISO171" s="201"/>
      <c r="ISP171" s="201"/>
      <c r="ISQ171" s="201"/>
      <c r="ISR171" s="201"/>
      <c r="ISS171" s="201"/>
      <c r="IST171" s="201"/>
      <c r="ISU171" s="201"/>
      <c r="ISV171" s="201"/>
      <c r="ISW171" s="201"/>
      <c r="ISX171" s="201"/>
      <c r="ISY171" s="201"/>
      <c r="ISZ171" s="201"/>
      <c r="ITA171" s="201"/>
      <c r="ITB171" s="201"/>
      <c r="ITC171" s="201"/>
      <c r="ITD171" s="201"/>
      <c r="ITE171" s="201"/>
      <c r="ITF171" s="201"/>
      <c r="ITG171" s="201"/>
      <c r="ITH171" s="201"/>
      <c r="ITI171" s="201"/>
      <c r="ITJ171" s="201"/>
      <c r="ITK171" s="201"/>
      <c r="ITL171" s="201"/>
      <c r="ITM171" s="201"/>
      <c r="ITN171" s="201"/>
      <c r="ITO171" s="201"/>
      <c r="ITP171" s="201"/>
      <c r="ITQ171" s="201"/>
      <c r="ITR171" s="201"/>
      <c r="ITS171" s="201"/>
      <c r="ITT171" s="201"/>
      <c r="ITU171" s="201"/>
      <c r="ITV171" s="201"/>
      <c r="ITW171" s="201"/>
      <c r="ITX171" s="201"/>
      <c r="ITY171" s="201"/>
      <c r="ITZ171" s="201"/>
      <c r="IUA171" s="201"/>
      <c r="IUB171" s="201"/>
      <c r="IUC171" s="201"/>
      <c r="IUD171" s="201"/>
      <c r="IUE171" s="201"/>
      <c r="IUF171" s="201"/>
      <c r="IUG171" s="201"/>
      <c r="IUH171" s="201"/>
      <c r="IUI171" s="201"/>
      <c r="IUJ171" s="201"/>
      <c r="IUK171" s="201"/>
      <c r="IUL171" s="201"/>
      <c r="IUM171" s="201"/>
      <c r="IUN171" s="201"/>
      <c r="IUO171" s="201"/>
      <c r="IUP171" s="201"/>
      <c r="IUQ171" s="201"/>
      <c r="IUR171" s="201"/>
      <c r="IUS171" s="201"/>
      <c r="IUT171" s="201"/>
      <c r="IUU171" s="201"/>
      <c r="IUV171" s="201"/>
      <c r="IUW171" s="201"/>
      <c r="IUX171" s="201"/>
      <c r="IUY171" s="201"/>
      <c r="IUZ171" s="201"/>
      <c r="IVA171" s="201"/>
      <c r="IVB171" s="201"/>
      <c r="IVC171" s="201"/>
      <c r="IVD171" s="201"/>
      <c r="IVE171" s="201"/>
      <c r="IVF171" s="201"/>
      <c r="IVG171" s="201"/>
      <c r="IVH171" s="201"/>
      <c r="IVI171" s="201"/>
      <c r="IVJ171" s="201"/>
      <c r="IVK171" s="201"/>
      <c r="IVL171" s="201"/>
      <c r="IVM171" s="201"/>
      <c r="IVN171" s="201"/>
      <c r="IVO171" s="201"/>
      <c r="IVP171" s="201"/>
      <c r="IVQ171" s="201"/>
      <c r="IVR171" s="201"/>
      <c r="IVS171" s="201"/>
      <c r="IVT171" s="201"/>
      <c r="IVU171" s="201"/>
      <c r="IVV171" s="201"/>
      <c r="IVW171" s="201"/>
      <c r="IVX171" s="201"/>
      <c r="IVY171" s="201"/>
      <c r="IVZ171" s="201"/>
      <c r="IWA171" s="201"/>
      <c r="IWB171" s="201"/>
      <c r="IWC171" s="201"/>
      <c r="IWD171" s="201"/>
      <c r="IWE171" s="201"/>
      <c r="IWF171" s="201"/>
      <c r="IWG171" s="201"/>
      <c r="IWH171" s="201"/>
      <c r="IWI171" s="201"/>
      <c r="IWJ171" s="201"/>
      <c r="IWK171" s="201"/>
      <c r="IWL171" s="201"/>
      <c r="IWM171" s="201"/>
      <c r="IWN171" s="201"/>
      <c r="IWO171" s="201"/>
      <c r="IWP171" s="201"/>
      <c r="IWQ171" s="201"/>
      <c r="IWR171" s="201"/>
      <c r="IWS171" s="201"/>
      <c r="IWT171" s="201"/>
      <c r="IWU171" s="201"/>
      <c r="IWV171" s="201"/>
      <c r="IWW171" s="201"/>
      <c r="IWX171" s="201"/>
      <c r="IWY171" s="201"/>
      <c r="IWZ171" s="201"/>
      <c r="IXA171" s="201"/>
      <c r="IXB171" s="201"/>
      <c r="IXC171" s="201"/>
      <c r="IXD171" s="201"/>
      <c r="IXE171" s="201"/>
      <c r="IXF171" s="201"/>
      <c r="IXG171" s="201"/>
      <c r="IXH171" s="201"/>
      <c r="IXI171" s="201"/>
      <c r="IXJ171" s="201"/>
      <c r="IXK171" s="201"/>
      <c r="IXL171" s="201"/>
      <c r="IXM171" s="201"/>
      <c r="IXN171" s="201"/>
      <c r="IXO171" s="201"/>
      <c r="IXP171" s="201"/>
      <c r="IXQ171" s="201"/>
      <c r="IXR171" s="201"/>
      <c r="IXS171" s="201"/>
      <c r="IXT171" s="201"/>
      <c r="IXU171" s="201"/>
      <c r="IXV171" s="201"/>
      <c r="IXW171" s="201"/>
      <c r="IXX171" s="201"/>
      <c r="IXY171" s="201"/>
      <c r="IXZ171" s="201"/>
      <c r="IYA171" s="201"/>
      <c r="IYB171" s="201"/>
      <c r="IYC171" s="201"/>
      <c r="IYD171" s="201"/>
      <c r="IYE171" s="201"/>
      <c r="IYF171" s="201"/>
      <c r="IYG171" s="201"/>
      <c r="IYH171" s="201"/>
      <c r="IYI171" s="201"/>
      <c r="IYJ171" s="201"/>
      <c r="IYK171" s="201"/>
      <c r="IYL171" s="201"/>
      <c r="IYM171" s="201"/>
      <c r="IYN171" s="201"/>
      <c r="IYO171" s="201"/>
      <c r="IYP171" s="201"/>
      <c r="IYQ171" s="201"/>
      <c r="IYR171" s="201"/>
      <c r="IYS171" s="201"/>
      <c r="IYT171" s="201"/>
      <c r="IYU171" s="201"/>
      <c r="IYV171" s="201"/>
      <c r="IYW171" s="201"/>
      <c r="IYX171" s="201"/>
      <c r="IYY171" s="201"/>
      <c r="IYZ171" s="201"/>
      <c r="IZA171" s="201"/>
      <c r="IZB171" s="201"/>
      <c r="IZC171" s="201"/>
      <c r="IZD171" s="201"/>
      <c r="IZE171" s="201"/>
      <c r="IZF171" s="201"/>
      <c r="IZG171" s="201"/>
      <c r="IZH171" s="201"/>
      <c r="IZI171" s="201"/>
      <c r="IZJ171" s="201"/>
      <c r="IZK171" s="201"/>
      <c r="IZL171" s="201"/>
      <c r="IZM171" s="201"/>
      <c r="IZN171" s="201"/>
      <c r="IZO171" s="201"/>
      <c r="IZP171" s="201"/>
      <c r="IZQ171" s="201"/>
      <c r="IZR171" s="201"/>
      <c r="IZS171" s="201"/>
      <c r="IZT171" s="201"/>
      <c r="IZU171" s="201"/>
      <c r="IZV171" s="201"/>
      <c r="IZW171" s="201"/>
      <c r="IZX171" s="201"/>
      <c r="IZY171" s="201"/>
      <c r="IZZ171" s="201"/>
      <c r="JAA171" s="201"/>
      <c r="JAB171" s="201"/>
      <c r="JAC171" s="201"/>
      <c r="JAD171" s="201"/>
      <c r="JAE171" s="201"/>
      <c r="JAF171" s="201"/>
      <c r="JAG171" s="201"/>
      <c r="JAH171" s="201"/>
      <c r="JAI171" s="201"/>
      <c r="JAJ171" s="201"/>
      <c r="JAK171" s="201"/>
      <c r="JAL171" s="201"/>
      <c r="JAM171" s="201"/>
      <c r="JAN171" s="201"/>
      <c r="JAO171" s="201"/>
      <c r="JAP171" s="201"/>
      <c r="JAQ171" s="201"/>
      <c r="JAR171" s="201"/>
      <c r="JAS171" s="201"/>
      <c r="JAT171" s="201"/>
      <c r="JAU171" s="201"/>
      <c r="JAV171" s="201"/>
      <c r="JAW171" s="201"/>
      <c r="JAX171" s="201"/>
      <c r="JAY171" s="201"/>
      <c r="JAZ171" s="201"/>
      <c r="JBA171" s="201"/>
      <c r="JBB171" s="201"/>
      <c r="JBC171" s="201"/>
      <c r="JBD171" s="201"/>
      <c r="JBE171" s="201"/>
      <c r="JBF171" s="201"/>
      <c r="JBG171" s="201"/>
      <c r="JBH171" s="201"/>
      <c r="JBI171" s="201"/>
      <c r="JBJ171" s="201"/>
      <c r="JBK171" s="201"/>
      <c r="JBL171" s="201"/>
      <c r="JBM171" s="201"/>
      <c r="JBN171" s="201"/>
      <c r="JBO171" s="201"/>
      <c r="JBP171" s="201"/>
      <c r="JBQ171" s="201"/>
      <c r="JBR171" s="201"/>
      <c r="JBS171" s="201"/>
      <c r="JBT171" s="201"/>
      <c r="JBU171" s="201"/>
      <c r="JBV171" s="201"/>
      <c r="JBW171" s="201"/>
      <c r="JBX171" s="201"/>
      <c r="JBY171" s="201"/>
      <c r="JBZ171" s="201"/>
      <c r="JCA171" s="201"/>
      <c r="JCB171" s="201"/>
      <c r="JCC171" s="201"/>
      <c r="JCD171" s="201"/>
      <c r="JCE171" s="201"/>
      <c r="JCF171" s="201"/>
      <c r="JCG171" s="201"/>
      <c r="JCH171" s="201"/>
      <c r="JCI171" s="201"/>
      <c r="JCJ171" s="201"/>
      <c r="JCK171" s="201"/>
      <c r="JCL171" s="201"/>
      <c r="JCM171" s="201"/>
      <c r="JCN171" s="201"/>
      <c r="JCO171" s="201"/>
      <c r="JCP171" s="201"/>
      <c r="JCQ171" s="201"/>
      <c r="JCR171" s="201"/>
      <c r="JCS171" s="201"/>
      <c r="JCT171" s="201"/>
      <c r="JCU171" s="201"/>
      <c r="JCV171" s="201"/>
      <c r="JCW171" s="201"/>
      <c r="JCX171" s="201"/>
      <c r="JCY171" s="201"/>
      <c r="JCZ171" s="201"/>
      <c r="JDA171" s="201"/>
      <c r="JDB171" s="201"/>
      <c r="JDC171" s="201"/>
      <c r="JDD171" s="201"/>
      <c r="JDE171" s="201"/>
      <c r="JDF171" s="201"/>
      <c r="JDG171" s="201"/>
      <c r="JDH171" s="201"/>
      <c r="JDI171" s="201"/>
      <c r="JDJ171" s="201"/>
      <c r="JDK171" s="201"/>
      <c r="JDL171" s="201"/>
      <c r="JDM171" s="201"/>
      <c r="JDN171" s="201"/>
      <c r="JDO171" s="201"/>
      <c r="JDP171" s="201"/>
      <c r="JDQ171" s="201"/>
      <c r="JDR171" s="201"/>
      <c r="JDS171" s="201"/>
      <c r="JDT171" s="201"/>
      <c r="JDU171" s="201"/>
      <c r="JDV171" s="201"/>
      <c r="JDW171" s="201"/>
      <c r="JDX171" s="201"/>
      <c r="JDY171" s="201"/>
      <c r="JDZ171" s="201"/>
      <c r="JEA171" s="201"/>
      <c r="JEB171" s="201"/>
      <c r="JEC171" s="201"/>
      <c r="JED171" s="201"/>
      <c r="JEE171" s="201"/>
      <c r="JEF171" s="201"/>
      <c r="JEG171" s="201"/>
      <c r="JEH171" s="201"/>
      <c r="JEI171" s="201"/>
      <c r="JEJ171" s="201"/>
      <c r="JEK171" s="201"/>
      <c r="JEL171" s="201"/>
      <c r="JEM171" s="201"/>
      <c r="JEN171" s="201"/>
      <c r="JEO171" s="201"/>
      <c r="JEP171" s="201"/>
      <c r="JEQ171" s="201"/>
      <c r="JER171" s="201"/>
      <c r="JES171" s="201"/>
      <c r="JET171" s="201"/>
      <c r="JEU171" s="201"/>
      <c r="JEV171" s="201"/>
      <c r="JEW171" s="201"/>
      <c r="JEX171" s="201"/>
      <c r="JEY171" s="201"/>
      <c r="JEZ171" s="201"/>
      <c r="JFA171" s="201"/>
      <c r="JFB171" s="201"/>
      <c r="JFC171" s="201"/>
      <c r="JFD171" s="201"/>
      <c r="JFE171" s="201"/>
      <c r="JFF171" s="201"/>
      <c r="JFG171" s="201"/>
      <c r="JFH171" s="201"/>
      <c r="JFI171" s="201"/>
      <c r="JFJ171" s="201"/>
      <c r="JFK171" s="201"/>
      <c r="JFL171" s="201"/>
      <c r="JFM171" s="201"/>
      <c r="JFN171" s="201"/>
      <c r="JFO171" s="201"/>
      <c r="JFP171" s="201"/>
      <c r="JFQ171" s="201"/>
      <c r="JFR171" s="201"/>
      <c r="JFS171" s="201"/>
      <c r="JFT171" s="201"/>
      <c r="JFU171" s="201"/>
      <c r="JFV171" s="201"/>
      <c r="JFW171" s="201"/>
      <c r="JFX171" s="201"/>
      <c r="JFY171" s="201"/>
      <c r="JFZ171" s="201"/>
      <c r="JGA171" s="201"/>
      <c r="JGB171" s="201"/>
      <c r="JGC171" s="201"/>
      <c r="JGD171" s="201"/>
      <c r="JGE171" s="201"/>
      <c r="JGF171" s="201"/>
      <c r="JGG171" s="201"/>
      <c r="JGH171" s="201"/>
      <c r="JGI171" s="201"/>
      <c r="JGJ171" s="201"/>
      <c r="JGK171" s="201"/>
      <c r="JGL171" s="201"/>
      <c r="JGM171" s="201"/>
      <c r="JGN171" s="201"/>
      <c r="JGO171" s="201"/>
      <c r="JGP171" s="201"/>
      <c r="JGQ171" s="201"/>
      <c r="JGR171" s="201"/>
      <c r="JGS171" s="201"/>
      <c r="JGT171" s="201"/>
      <c r="JGU171" s="201"/>
      <c r="JGV171" s="201"/>
      <c r="JGW171" s="201"/>
      <c r="JGX171" s="201"/>
      <c r="JGY171" s="201"/>
      <c r="JGZ171" s="201"/>
      <c r="JHA171" s="201"/>
      <c r="JHB171" s="201"/>
      <c r="JHC171" s="201"/>
      <c r="JHD171" s="201"/>
      <c r="JHE171" s="201"/>
      <c r="JHF171" s="201"/>
      <c r="JHG171" s="201"/>
      <c r="JHH171" s="201"/>
      <c r="JHI171" s="201"/>
      <c r="JHJ171" s="201"/>
      <c r="JHK171" s="201"/>
      <c r="JHL171" s="201"/>
      <c r="JHM171" s="201"/>
      <c r="JHN171" s="201"/>
      <c r="JHO171" s="201"/>
      <c r="JHP171" s="201"/>
      <c r="JHQ171" s="201"/>
      <c r="JHR171" s="201"/>
      <c r="JHS171" s="201"/>
      <c r="JHT171" s="201"/>
      <c r="JHU171" s="201"/>
      <c r="JHV171" s="201"/>
      <c r="JHW171" s="201"/>
      <c r="JHX171" s="201"/>
      <c r="JHY171" s="201"/>
      <c r="JHZ171" s="201"/>
      <c r="JIA171" s="201"/>
      <c r="JIB171" s="201"/>
      <c r="JIC171" s="201"/>
      <c r="JID171" s="201"/>
      <c r="JIE171" s="201"/>
      <c r="JIF171" s="201"/>
      <c r="JIG171" s="201"/>
      <c r="JIH171" s="201"/>
      <c r="JII171" s="201"/>
      <c r="JIJ171" s="201"/>
      <c r="JIK171" s="201"/>
      <c r="JIL171" s="201"/>
      <c r="JIM171" s="201"/>
      <c r="JIN171" s="201"/>
      <c r="JIO171" s="201"/>
      <c r="JIP171" s="201"/>
      <c r="JIQ171" s="201"/>
      <c r="JIR171" s="201"/>
      <c r="JIS171" s="201"/>
      <c r="JIT171" s="201"/>
      <c r="JIU171" s="201"/>
      <c r="JIV171" s="201"/>
      <c r="JIW171" s="201"/>
      <c r="JIX171" s="201"/>
      <c r="JIY171" s="201"/>
      <c r="JIZ171" s="201"/>
      <c r="JJA171" s="201"/>
      <c r="JJB171" s="201"/>
      <c r="JJC171" s="201"/>
      <c r="JJD171" s="201"/>
      <c r="JJE171" s="201"/>
      <c r="JJF171" s="201"/>
      <c r="JJG171" s="201"/>
      <c r="JJH171" s="201"/>
      <c r="JJI171" s="201"/>
      <c r="JJJ171" s="201"/>
      <c r="JJK171" s="201"/>
      <c r="JJL171" s="201"/>
      <c r="JJM171" s="201"/>
      <c r="JJN171" s="201"/>
      <c r="JJO171" s="201"/>
      <c r="JJP171" s="201"/>
      <c r="JJQ171" s="201"/>
      <c r="JJR171" s="201"/>
      <c r="JJS171" s="201"/>
      <c r="JJT171" s="201"/>
      <c r="JJU171" s="201"/>
      <c r="JJV171" s="201"/>
      <c r="JJW171" s="201"/>
      <c r="JJX171" s="201"/>
      <c r="JJY171" s="201"/>
      <c r="JJZ171" s="201"/>
      <c r="JKA171" s="201"/>
      <c r="JKB171" s="201"/>
      <c r="JKC171" s="201"/>
      <c r="JKD171" s="201"/>
      <c r="JKE171" s="201"/>
      <c r="JKF171" s="201"/>
      <c r="JKG171" s="201"/>
      <c r="JKH171" s="201"/>
      <c r="JKI171" s="201"/>
      <c r="JKJ171" s="201"/>
      <c r="JKK171" s="201"/>
      <c r="JKL171" s="201"/>
      <c r="JKM171" s="201"/>
      <c r="JKN171" s="201"/>
      <c r="JKO171" s="201"/>
      <c r="JKP171" s="201"/>
      <c r="JKQ171" s="201"/>
      <c r="JKR171" s="201"/>
      <c r="JKS171" s="201"/>
      <c r="JKT171" s="201"/>
      <c r="JKU171" s="201"/>
      <c r="JKV171" s="201"/>
      <c r="JKW171" s="201"/>
      <c r="JKX171" s="201"/>
      <c r="JKY171" s="201"/>
      <c r="JKZ171" s="201"/>
      <c r="JLA171" s="201"/>
      <c r="JLB171" s="201"/>
      <c r="JLC171" s="201"/>
      <c r="JLD171" s="201"/>
      <c r="JLE171" s="201"/>
      <c r="JLF171" s="201"/>
      <c r="JLG171" s="201"/>
      <c r="JLH171" s="201"/>
      <c r="JLI171" s="201"/>
      <c r="JLJ171" s="201"/>
      <c r="JLK171" s="201"/>
      <c r="JLL171" s="201"/>
      <c r="JLM171" s="201"/>
      <c r="JLN171" s="201"/>
      <c r="JLO171" s="201"/>
      <c r="JLP171" s="201"/>
      <c r="JLQ171" s="201"/>
      <c r="JLR171" s="201"/>
      <c r="JLS171" s="201"/>
      <c r="JLT171" s="201"/>
      <c r="JLU171" s="201"/>
      <c r="JLV171" s="201"/>
      <c r="JLW171" s="201"/>
      <c r="JLX171" s="201"/>
      <c r="JLY171" s="201"/>
      <c r="JLZ171" s="201"/>
      <c r="JMA171" s="201"/>
      <c r="JMB171" s="201"/>
      <c r="JMC171" s="201"/>
      <c r="JMD171" s="201"/>
      <c r="JME171" s="201"/>
      <c r="JMF171" s="201"/>
      <c r="JMG171" s="201"/>
      <c r="JMH171" s="201"/>
      <c r="JMI171" s="201"/>
      <c r="JMJ171" s="201"/>
      <c r="JMK171" s="201"/>
      <c r="JML171" s="201"/>
      <c r="JMM171" s="201"/>
      <c r="JMN171" s="201"/>
      <c r="JMO171" s="201"/>
      <c r="JMP171" s="201"/>
      <c r="JMQ171" s="201"/>
      <c r="JMR171" s="201"/>
      <c r="JMS171" s="201"/>
      <c r="JMT171" s="201"/>
      <c r="JMU171" s="201"/>
      <c r="JMV171" s="201"/>
      <c r="JMW171" s="201"/>
      <c r="JMX171" s="201"/>
      <c r="JMY171" s="201"/>
      <c r="JMZ171" s="201"/>
      <c r="JNA171" s="201"/>
      <c r="JNB171" s="201"/>
      <c r="JNC171" s="201"/>
      <c r="JND171" s="201"/>
      <c r="JNE171" s="201"/>
      <c r="JNF171" s="201"/>
      <c r="JNG171" s="201"/>
      <c r="JNH171" s="201"/>
      <c r="JNI171" s="201"/>
      <c r="JNJ171" s="201"/>
      <c r="JNK171" s="201"/>
      <c r="JNL171" s="201"/>
      <c r="JNM171" s="201"/>
      <c r="JNN171" s="201"/>
      <c r="JNO171" s="201"/>
      <c r="JNP171" s="201"/>
      <c r="JNQ171" s="201"/>
      <c r="JNR171" s="201"/>
      <c r="JNS171" s="201"/>
      <c r="JNT171" s="201"/>
      <c r="JNU171" s="201"/>
      <c r="JNV171" s="201"/>
      <c r="JNW171" s="201"/>
      <c r="JNX171" s="201"/>
      <c r="JNY171" s="201"/>
      <c r="JNZ171" s="201"/>
      <c r="JOA171" s="201"/>
      <c r="JOB171" s="201"/>
      <c r="JOC171" s="201"/>
      <c r="JOD171" s="201"/>
      <c r="JOE171" s="201"/>
      <c r="JOF171" s="201"/>
      <c r="JOG171" s="201"/>
      <c r="JOH171" s="201"/>
      <c r="JOI171" s="201"/>
      <c r="JOJ171" s="201"/>
      <c r="JOK171" s="201"/>
      <c r="JOL171" s="201"/>
      <c r="JOM171" s="201"/>
      <c r="JON171" s="201"/>
      <c r="JOO171" s="201"/>
      <c r="JOP171" s="201"/>
      <c r="JOQ171" s="201"/>
      <c r="JOR171" s="201"/>
      <c r="JOS171" s="201"/>
      <c r="JOT171" s="201"/>
      <c r="JOU171" s="201"/>
      <c r="JOV171" s="201"/>
      <c r="JOW171" s="201"/>
      <c r="JOX171" s="201"/>
      <c r="JOY171" s="201"/>
      <c r="JOZ171" s="201"/>
      <c r="JPA171" s="201"/>
      <c r="JPB171" s="201"/>
      <c r="JPC171" s="201"/>
      <c r="JPD171" s="201"/>
      <c r="JPE171" s="201"/>
      <c r="JPF171" s="201"/>
      <c r="JPG171" s="201"/>
      <c r="JPH171" s="201"/>
      <c r="JPI171" s="201"/>
      <c r="JPJ171" s="201"/>
      <c r="JPK171" s="201"/>
      <c r="JPL171" s="201"/>
      <c r="JPM171" s="201"/>
      <c r="JPN171" s="201"/>
      <c r="JPO171" s="201"/>
      <c r="JPP171" s="201"/>
      <c r="JPQ171" s="201"/>
      <c r="JPR171" s="201"/>
      <c r="JPS171" s="201"/>
      <c r="JPT171" s="201"/>
      <c r="JPU171" s="201"/>
      <c r="JPV171" s="201"/>
      <c r="JPW171" s="201"/>
      <c r="JPX171" s="201"/>
      <c r="JPY171" s="201"/>
      <c r="JPZ171" s="201"/>
      <c r="JQA171" s="201"/>
      <c r="JQB171" s="201"/>
      <c r="JQC171" s="201"/>
      <c r="JQD171" s="201"/>
      <c r="JQE171" s="201"/>
      <c r="JQF171" s="201"/>
      <c r="JQG171" s="201"/>
      <c r="JQH171" s="201"/>
      <c r="JQI171" s="201"/>
      <c r="JQJ171" s="201"/>
      <c r="JQK171" s="201"/>
      <c r="JQL171" s="201"/>
      <c r="JQM171" s="201"/>
      <c r="JQN171" s="201"/>
      <c r="JQO171" s="201"/>
      <c r="JQP171" s="201"/>
      <c r="JQQ171" s="201"/>
      <c r="JQR171" s="201"/>
      <c r="JQS171" s="201"/>
      <c r="JQT171" s="201"/>
      <c r="JQU171" s="201"/>
      <c r="JQV171" s="201"/>
      <c r="JQW171" s="201"/>
      <c r="JQX171" s="201"/>
      <c r="JQY171" s="201"/>
      <c r="JQZ171" s="201"/>
      <c r="JRA171" s="201"/>
      <c r="JRB171" s="201"/>
      <c r="JRC171" s="201"/>
      <c r="JRD171" s="201"/>
      <c r="JRE171" s="201"/>
      <c r="JRF171" s="201"/>
      <c r="JRG171" s="201"/>
      <c r="JRH171" s="201"/>
      <c r="JRI171" s="201"/>
      <c r="JRJ171" s="201"/>
      <c r="JRK171" s="201"/>
      <c r="JRL171" s="201"/>
      <c r="JRM171" s="201"/>
      <c r="JRN171" s="201"/>
      <c r="JRO171" s="201"/>
      <c r="JRP171" s="201"/>
      <c r="JRQ171" s="201"/>
      <c r="JRR171" s="201"/>
      <c r="JRS171" s="201"/>
      <c r="JRT171" s="201"/>
      <c r="JRU171" s="201"/>
      <c r="JRV171" s="201"/>
      <c r="JRW171" s="201"/>
      <c r="JRX171" s="201"/>
      <c r="JRY171" s="201"/>
      <c r="JRZ171" s="201"/>
      <c r="JSA171" s="201"/>
      <c r="JSB171" s="201"/>
      <c r="JSC171" s="201"/>
      <c r="JSD171" s="201"/>
      <c r="JSE171" s="201"/>
      <c r="JSF171" s="201"/>
      <c r="JSG171" s="201"/>
      <c r="JSH171" s="201"/>
      <c r="JSI171" s="201"/>
      <c r="JSJ171" s="201"/>
      <c r="JSK171" s="201"/>
      <c r="JSL171" s="201"/>
      <c r="JSM171" s="201"/>
      <c r="JSN171" s="201"/>
      <c r="JSO171" s="201"/>
      <c r="JSP171" s="201"/>
      <c r="JSQ171" s="201"/>
      <c r="JSR171" s="201"/>
      <c r="JSS171" s="201"/>
      <c r="JST171" s="201"/>
      <c r="JSU171" s="201"/>
      <c r="JSV171" s="201"/>
      <c r="JSW171" s="201"/>
      <c r="JSX171" s="201"/>
      <c r="JSY171" s="201"/>
      <c r="JSZ171" s="201"/>
      <c r="JTA171" s="201"/>
      <c r="JTB171" s="201"/>
      <c r="JTC171" s="201"/>
      <c r="JTD171" s="201"/>
      <c r="JTE171" s="201"/>
      <c r="JTF171" s="201"/>
      <c r="JTG171" s="201"/>
      <c r="JTH171" s="201"/>
      <c r="JTI171" s="201"/>
      <c r="JTJ171" s="201"/>
      <c r="JTK171" s="201"/>
      <c r="JTL171" s="201"/>
      <c r="JTM171" s="201"/>
      <c r="JTN171" s="201"/>
      <c r="JTO171" s="201"/>
      <c r="JTP171" s="201"/>
      <c r="JTQ171" s="201"/>
      <c r="JTR171" s="201"/>
      <c r="JTS171" s="201"/>
      <c r="JTT171" s="201"/>
      <c r="JTU171" s="201"/>
      <c r="JTV171" s="201"/>
      <c r="JTW171" s="201"/>
      <c r="JTX171" s="201"/>
      <c r="JTY171" s="201"/>
      <c r="JTZ171" s="201"/>
      <c r="JUA171" s="201"/>
      <c r="JUB171" s="201"/>
      <c r="JUC171" s="201"/>
      <c r="JUD171" s="201"/>
      <c r="JUE171" s="201"/>
      <c r="JUF171" s="201"/>
      <c r="JUG171" s="201"/>
      <c r="JUH171" s="201"/>
      <c r="JUI171" s="201"/>
      <c r="JUJ171" s="201"/>
      <c r="JUK171" s="201"/>
      <c r="JUL171" s="201"/>
      <c r="JUM171" s="201"/>
      <c r="JUN171" s="201"/>
      <c r="JUO171" s="201"/>
      <c r="JUP171" s="201"/>
      <c r="JUQ171" s="201"/>
      <c r="JUR171" s="201"/>
      <c r="JUS171" s="201"/>
      <c r="JUT171" s="201"/>
      <c r="JUU171" s="201"/>
      <c r="JUV171" s="201"/>
      <c r="JUW171" s="201"/>
      <c r="JUX171" s="201"/>
      <c r="JUY171" s="201"/>
      <c r="JUZ171" s="201"/>
      <c r="JVA171" s="201"/>
      <c r="JVB171" s="201"/>
      <c r="JVC171" s="201"/>
      <c r="JVD171" s="201"/>
      <c r="JVE171" s="201"/>
      <c r="JVF171" s="201"/>
      <c r="JVG171" s="201"/>
      <c r="JVH171" s="201"/>
      <c r="JVI171" s="201"/>
      <c r="JVJ171" s="201"/>
      <c r="JVK171" s="201"/>
      <c r="JVL171" s="201"/>
      <c r="JVM171" s="201"/>
      <c r="JVN171" s="201"/>
      <c r="JVO171" s="201"/>
      <c r="JVP171" s="201"/>
      <c r="JVQ171" s="201"/>
      <c r="JVR171" s="201"/>
      <c r="JVS171" s="201"/>
      <c r="JVT171" s="201"/>
      <c r="JVU171" s="201"/>
      <c r="JVV171" s="201"/>
      <c r="JVW171" s="201"/>
      <c r="JVX171" s="201"/>
      <c r="JVY171" s="201"/>
      <c r="JVZ171" s="201"/>
      <c r="JWA171" s="201"/>
      <c r="JWB171" s="201"/>
      <c r="JWC171" s="201"/>
      <c r="JWD171" s="201"/>
      <c r="JWE171" s="201"/>
      <c r="JWF171" s="201"/>
      <c r="JWG171" s="201"/>
      <c r="JWH171" s="201"/>
      <c r="JWI171" s="201"/>
      <c r="JWJ171" s="201"/>
      <c r="JWK171" s="201"/>
      <c r="JWL171" s="201"/>
      <c r="JWM171" s="201"/>
      <c r="JWN171" s="201"/>
      <c r="JWO171" s="201"/>
      <c r="JWP171" s="201"/>
      <c r="JWQ171" s="201"/>
      <c r="JWR171" s="201"/>
      <c r="JWS171" s="201"/>
      <c r="JWT171" s="201"/>
      <c r="JWU171" s="201"/>
      <c r="JWV171" s="201"/>
      <c r="JWW171" s="201"/>
      <c r="JWX171" s="201"/>
      <c r="JWY171" s="201"/>
      <c r="JWZ171" s="201"/>
      <c r="JXA171" s="201"/>
      <c r="JXB171" s="201"/>
      <c r="JXC171" s="201"/>
      <c r="JXD171" s="201"/>
      <c r="JXE171" s="201"/>
      <c r="JXF171" s="201"/>
      <c r="JXG171" s="201"/>
      <c r="JXH171" s="201"/>
      <c r="JXI171" s="201"/>
      <c r="JXJ171" s="201"/>
      <c r="JXK171" s="201"/>
      <c r="JXL171" s="201"/>
      <c r="JXM171" s="201"/>
      <c r="JXN171" s="201"/>
      <c r="JXO171" s="201"/>
      <c r="JXP171" s="201"/>
      <c r="JXQ171" s="201"/>
      <c r="JXR171" s="201"/>
      <c r="JXS171" s="201"/>
      <c r="JXT171" s="201"/>
      <c r="JXU171" s="201"/>
      <c r="JXV171" s="201"/>
      <c r="JXW171" s="201"/>
      <c r="JXX171" s="201"/>
      <c r="JXY171" s="201"/>
      <c r="JXZ171" s="201"/>
      <c r="JYA171" s="201"/>
      <c r="JYB171" s="201"/>
      <c r="JYC171" s="201"/>
      <c r="JYD171" s="201"/>
      <c r="JYE171" s="201"/>
      <c r="JYF171" s="201"/>
      <c r="JYG171" s="201"/>
      <c r="JYH171" s="201"/>
      <c r="JYI171" s="201"/>
      <c r="JYJ171" s="201"/>
      <c r="JYK171" s="201"/>
      <c r="JYL171" s="201"/>
      <c r="JYM171" s="201"/>
      <c r="JYN171" s="201"/>
      <c r="JYO171" s="201"/>
      <c r="JYP171" s="201"/>
      <c r="JYQ171" s="201"/>
      <c r="JYR171" s="201"/>
      <c r="JYS171" s="201"/>
      <c r="JYT171" s="201"/>
      <c r="JYU171" s="201"/>
      <c r="JYV171" s="201"/>
      <c r="JYW171" s="201"/>
      <c r="JYX171" s="201"/>
      <c r="JYY171" s="201"/>
      <c r="JYZ171" s="201"/>
      <c r="JZA171" s="201"/>
      <c r="JZB171" s="201"/>
      <c r="JZC171" s="201"/>
      <c r="JZD171" s="201"/>
      <c r="JZE171" s="201"/>
      <c r="JZF171" s="201"/>
      <c r="JZG171" s="201"/>
      <c r="JZH171" s="201"/>
      <c r="JZI171" s="201"/>
      <c r="JZJ171" s="201"/>
      <c r="JZK171" s="201"/>
      <c r="JZL171" s="201"/>
      <c r="JZM171" s="201"/>
      <c r="JZN171" s="201"/>
      <c r="JZO171" s="201"/>
      <c r="JZP171" s="201"/>
      <c r="JZQ171" s="201"/>
      <c r="JZR171" s="201"/>
      <c r="JZS171" s="201"/>
      <c r="JZT171" s="201"/>
      <c r="JZU171" s="201"/>
      <c r="JZV171" s="201"/>
      <c r="JZW171" s="201"/>
      <c r="JZX171" s="201"/>
      <c r="JZY171" s="201"/>
      <c r="JZZ171" s="201"/>
      <c r="KAA171" s="201"/>
      <c r="KAB171" s="201"/>
      <c r="KAC171" s="201"/>
      <c r="KAD171" s="201"/>
      <c r="KAE171" s="201"/>
      <c r="KAF171" s="201"/>
      <c r="KAG171" s="201"/>
      <c r="KAH171" s="201"/>
      <c r="KAI171" s="201"/>
      <c r="KAJ171" s="201"/>
      <c r="KAK171" s="201"/>
      <c r="KAL171" s="201"/>
      <c r="KAM171" s="201"/>
      <c r="KAN171" s="201"/>
      <c r="KAO171" s="201"/>
      <c r="KAP171" s="201"/>
      <c r="KAQ171" s="201"/>
      <c r="KAR171" s="201"/>
      <c r="KAS171" s="201"/>
      <c r="KAT171" s="201"/>
      <c r="KAU171" s="201"/>
      <c r="KAV171" s="201"/>
      <c r="KAW171" s="201"/>
      <c r="KAX171" s="201"/>
      <c r="KAY171" s="201"/>
      <c r="KAZ171" s="201"/>
      <c r="KBA171" s="201"/>
      <c r="KBB171" s="201"/>
      <c r="KBC171" s="201"/>
      <c r="KBD171" s="201"/>
      <c r="KBE171" s="201"/>
      <c r="KBF171" s="201"/>
      <c r="KBG171" s="201"/>
      <c r="KBH171" s="201"/>
      <c r="KBI171" s="201"/>
      <c r="KBJ171" s="201"/>
      <c r="KBK171" s="201"/>
      <c r="KBL171" s="201"/>
      <c r="KBM171" s="201"/>
      <c r="KBN171" s="201"/>
      <c r="KBO171" s="201"/>
      <c r="KBP171" s="201"/>
      <c r="KBQ171" s="201"/>
      <c r="KBR171" s="201"/>
      <c r="KBS171" s="201"/>
      <c r="KBT171" s="201"/>
      <c r="KBU171" s="201"/>
      <c r="KBV171" s="201"/>
      <c r="KBW171" s="201"/>
      <c r="KBX171" s="201"/>
      <c r="KBY171" s="201"/>
      <c r="KBZ171" s="201"/>
      <c r="KCA171" s="201"/>
      <c r="KCB171" s="201"/>
      <c r="KCC171" s="201"/>
      <c r="KCD171" s="201"/>
      <c r="KCE171" s="201"/>
      <c r="KCF171" s="201"/>
      <c r="KCG171" s="201"/>
      <c r="KCH171" s="201"/>
      <c r="KCI171" s="201"/>
      <c r="KCJ171" s="201"/>
      <c r="KCK171" s="201"/>
      <c r="KCL171" s="201"/>
      <c r="KCM171" s="201"/>
      <c r="KCN171" s="201"/>
      <c r="KCO171" s="201"/>
      <c r="KCP171" s="201"/>
      <c r="KCQ171" s="201"/>
      <c r="KCR171" s="201"/>
      <c r="KCS171" s="201"/>
      <c r="KCT171" s="201"/>
      <c r="KCU171" s="201"/>
      <c r="KCV171" s="201"/>
      <c r="KCW171" s="201"/>
      <c r="KCX171" s="201"/>
      <c r="KCY171" s="201"/>
      <c r="KCZ171" s="201"/>
      <c r="KDA171" s="201"/>
      <c r="KDB171" s="201"/>
      <c r="KDC171" s="201"/>
      <c r="KDD171" s="201"/>
      <c r="KDE171" s="201"/>
      <c r="KDF171" s="201"/>
      <c r="KDG171" s="201"/>
      <c r="KDH171" s="201"/>
      <c r="KDI171" s="201"/>
      <c r="KDJ171" s="201"/>
      <c r="KDK171" s="201"/>
      <c r="KDL171" s="201"/>
      <c r="KDM171" s="201"/>
      <c r="KDN171" s="201"/>
      <c r="KDO171" s="201"/>
      <c r="KDP171" s="201"/>
      <c r="KDQ171" s="201"/>
      <c r="KDR171" s="201"/>
      <c r="KDS171" s="201"/>
      <c r="KDT171" s="201"/>
      <c r="KDU171" s="201"/>
      <c r="KDV171" s="201"/>
      <c r="KDW171" s="201"/>
      <c r="KDX171" s="201"/>
      <c r="KDY171" s="201"/>
      <c r="KDZ171" s="201"/>
      <c r="KEA171" s="201"/>
      <c r="KEB171" s="201"/>
      <c r="KEC171" s="201"/>
      <c r="KED171" s="201"/>
      <c r="KEE171" s="201"/>
      <c r="KEF171" s="201"/>
      <c r="KEG171" s="201"/>
      <c r="KEH171" s="201"/>
      <c r="KEI171" s="201"/>
      <c r="KEJ171" s="201"/>
      <c r="KEK171" s="201"/>
      <c r="KEL171" s="201"/>
      <c r="KEM171" s="201"/>
      <c r="KEN171" s="201"/>
      <c r="KEO171" s="201"/>
      <c r="KEP171" s="201"/>
      <c r="KEQ171" s="201"/>
      <c r="KER171" s="201"/>
      <c r="KES171" s="201"/>
      <c r="KET171" s="201"/>
      <c r="KEU171" s="201"/>
      <c r="KEV171" s="201"/>
      <c r="KEW171" s="201"/>
      <c r="KEX171" s="201"/>
      <c r="KEY171" s="201"/>
      <c r="KEZ171" s="201"/>
      <c r="KFA171" s="201"/>
      <c r="KFB171" s="201"/>
      <c r="KFC171" s="201"/>
      <c r="KFD171" s="201"/>
      <c r="KFE171" s="201"/>
      <c r="KFF171" s="201"/>
      <c r="KFG171" s="201"/>
      <c r="KFH171" s="201"/>
      <c r="KFI171" s="201"/>
      <c r="KFJ171" s="201"/>
      <c r="KFK171" s="201"/>
      <c r="KFL171" s="201"/>
      <c r="KFM171" s="201"/>
      <c r="KFN171" s="201"/>
      <c r="KFO171" s="201"/>
      <c r="KFP171" s="201"/>
      <c r="KFQ171" s="201"/>
      <c r="KFR171" s="201"/>
      <c r="KFS171" s="201"/>
      <c r="KFT171" s="201"/>
      <c r="KFU171" s="201"/>
      <c r="KFV171" s="201"/>
      <c r="KFW171" s="201"/>
      <c r="KFX171" s="201"/>
      <c r="KFY171" s="201"/>
      <c r="KFZ171" s="201"/>
      <c r="KGA171" s="201"/>
      <c r="KGB171" s="201"/>
      <c r="KGC171" s="201"/>
      <c r="KGD171" s="201"/>
      <c r="KGE171" s="201"/>
      <c r="KGF171" s="201"/>
      <c r="KGG171" s="201"/>
      <c r="KGH171" s="201"/>
      <c r="KGI171" s="201"/>
      <c r="KGJ171" s="201"/>
      <c r="KGK171" s="201"/>
      <c r="KGL171" s="201"/>
      <c r="KGM171" s="201"/>
      <c r="KGN171" s="201"/>
      <c r="KGO171" s="201"/>
      <c r="KGP171" s="201"/>
      <c r="KGQ171" s="201"/>
      <c r="KGR171" s="201"/>
      <c r="KGS171" s="201"/>
      <c r="KGT171" s="201"/>
      <c r="KGU171" s="201"/>
      <c r="KGV171" s="201"/>
      <c r="KGW171" s="201"/>
      <c r="KGX171" s="201"/>
      <c r="KGY171" s="201"/>
      <c r="KGZ171" s="201"/>
      <c r="KHA171" s="201"/>
      <c r="KHB171" s="201"/>
      <c r="KHC171" s="201"/>
      <c r="KHD171" s="201"/>
      <c r="KHE171" s="201"/>
      <c r="KHF171" s="201"/>
      <c r="KHG171" s="201"/>
      <c r="KHH171" s="201"/>
      <c r="KHI171" s="201"/>
      <c r="KHJ171" s="201"/>
      <c r="KHK171" s="201"/>
      <c r="KHL171" s="201"/>
      <c r="KHM171" s="201"/>
      <c r="KHN171" s="201"/>
      <c r="KHO171" s="201"/>
      <c r="KHP171" s="201"/>
      <c r="KHQ171" s="201"/>
      <c r="KHR171" s="201"/>
      <c r="KHS171" s="201"/>
      <c r="KHT171" s="201"/>
      <c r="KHU171" s="201"/>
      <c r="KHV171" s="201"/>
      <c r="KHW171" s="201"/>
      <c r="KHX171" s="201"/>
      <c r="KHY171" s="201"/>
      <c r="KHZ171" s="201"/>
      <c r="KIA171" s="201"/>
      <c r="KIB171" s="201"/>
      <c r="KIC171" s="201"/>
      <c r="KID171" s="201"/>
      <c r="KIE171" s="201"/>
      <c r="KIF171" s="201"/>
      <c r="KIG171" s="201"/>
      <c r="KIH171" s="201"/>
      <c r="KII171" s="201"/>
      <c r="KIJ171" s="201"/>
      <c r="KIK171" s="201"/>
      <c r="KIL171" s="201"/>
      <c r="KIM171" s="201"/>
      <c r="KIN171" s="201"/>
      <c r="KIO171" s="201"/>
      <c r="KIP171" s="201"/>
      <c r="KIQ171" s="201"/>
      <c r="KIR171" s="201"/>
      <c r="KIS171" s="201"/>
      <c r="KIT171" s="201"/>
      <c r="KIU171" s="201"/>
      <c r="KIV171" s="201"/>
      <c r="KIW171" s="201"/>
      <c r="KIX171" s="201"/>
      <c r="KIY171" s="201"/>
      <c r="KIZ171" s="201"/>
      <c r="KJA171" s="201"/>
      <c r="KJB171" s="201"/>
      <c r="KJC171" s="201"/>
      <c r="KJD171" s="201"/>
      <c r="KJE171" s="201"/>
      <c r="KJF171" s="201"/>
      <c r="KJG171" s="201"/>
      <c r="KJH171" s="201"/>
      <c r="KJI171" s="201"/>
      <c r="KJJ171" s="201"/>
      <c r="KJK171" s="201"/>
      <c r="KJL171" s="201"/>
      <c r="KJM171" s="201"/>
      <c r="KJN171" s="201"/>
      <c r="KJO171" s="201"/>
      <c r="KJP171" s="201"/>
      <c r="KJQ171" s="201"/>
      <c r="KJR171" s="201"/>
      <c r="KJS171" s="201"/>
      <c r="KJT171" s="201"/>
      <c r="KJU171" s="201"/>
      <c r="KJV171" s="201"/>
      <c r="KJW171" s="201"/>
      <c r="KJX171" s="201"/>
      <c r="KJY171" s="201"/>
      <c r="KJZ171" s="201"/>
      <c r="KKA171" s="201"/>
      <c r="KKB171" s="201"/>
      <c r="KKC171" s="201"/>
      <c r="KKD171" s="201"/>
      <c r="KKE171" s="201"/>
      <c r="KKF171" s="201"/>
      <c r="KKG171" s="201"/>
      <c r="KKH171" s="201"/>
      <c r="KKI171" s="201"/>
      <c r="KKJ171" s="201"/>
      <c r="KKK171" s="201"/>
      <c r="KKL171" s="201"/>
      <c r="KKM171" s="201"/>
      <c r="KKN171" s="201"/>
      <c r="KKO171" s="201"/>
      <c r="KKP171" s="201"/>
      <c r="KKQ171" s="201"/>
      <c r="KKR171" s="201"/>
      <c r="KKS171" s="201"/>
      <c r="KKT171" s="201"/>
      <c r="KKU171" s="201"/>
      <c r="KKV171" s="201"/>
      <c r="KKW171" s="201"/>
      <c r="KKX171" s="201"/>
      <c r="KKY171" s="201"/>
      <c r="KKZ171" s="201"/>
      <c r="KLA171" s="201"/>
      <c r="KLB171" s="201"/>
      <c r="KLC171" s="201"/>
      <c r="KLD171" s="201"/>
      <c r="KLE171" s="201"/>
      <c r="KLF171" s="201"/>
      <c r="KLG171" s="201"/>
      <c r="KLH171" s="201"/>
      <c r="KLI171" s="201"/>
      <c r="KLJ171" s="201"/>
      <c r="KLK171" s="201"/>
      <c r="KLL171" s="201"/>
      <c r="KLM171" s="201"/>
      <c r="KLN171" s="201"/>
      <c r="KLO171" s="201"/>
      <c r="KLP171" s="201"/>
      <c r="KLQ171" s="201"/>
      <c r="KLR171" s="201"/>
      <c r="KLS171" s="201"/>
      <c r="KLT171" s="201"/>
      <c r="KLU171" s="201"/>
      <c r="KLV171" s="201"/>
      <c r="KLW171" s="201"/>
      <c r="KLX171" s="201"/>
      <c r="KLY171" s="201"/>
      <c r="KLZ171" s="201"/>
      <c r="KMA171" s="201"/>
      <c r="KMB171" s="201"/>
      <c r="KMC171" s="201"/>
      <c r="KMD171" s="201"/>
      <c r="KME171" s="201"/>
      <c r="KMF171" s="201"/>
      <c r="KMG171" s="201"/>
      <c r="KMH171" s="201"/>
      <c r="KMI171" s="201"/>
      <c r="KMJ171" s="201"/>
      <c r="KMK171" s="201"/>
      <c r="KML171" s="201"/>
      <c r="KMM171" s="201"/>
      <c r="KMN171" s="201"/>
      <c r="KMO171" s="201"/>
      <c r="KMP171" s="201"/>
      <c r="KMQ171" s="201"/>
      <c r="KMR171" s="201"/>
      <c r="KMS171" s="201"/>
      <c r="KMT171" s="201"/>
      <c r="KMU171" s="201"/>
      <c r="KMV171" s="201"/>
      <c r="KMW171" s="201"/>
      <c r="KMX171" s="201"/>
      <c r="KMY171" s="201"/>
      <c r="KMZ171" s="201"/>
      <c r="KNA171" s="201"/>
      <c r="KNB171" s="201"/>
      <c r="KNC171" s="201"/>
      <c r="KND171" s="201"/>
      <c r="KNE171" s="201"/>
      <c r="KNF171" s="201"/>
      <c r="KNG171" s="201"/>
      <c r="KNH171" s="201"/>
      <c r="KNI171" s="201"/>
      <c r="KNJ171" s="201"/>
      <c r="KNK171" s="201"/>
      <c r="KNL171" s="201"/>
      <c r="KNM171" s="201"/>
      <c r="KNN171" s="201"/>
      <c r="KNO171" s="201"/>
      <c r="KNP171" s="201"/>
      <c r="KNQ171" s="201"/>
      <c r="KNR171" s="201"/>
      <c r="KNS171" s="201"/>
      <c r="KNT171" s="201"/>
      <c r="KNU171" s="201"/>
      <c r="KNV171" s="201"/>
      <c r="KNW171" s="201"/>
      <c r="KNX171" s="201"/>
      <c r="KNY171" s="201"/>
      <c r="KNZ171" s="201"/>
      <c r="KOA171" s="201"/>
      <c r="KOB171" s="201"/>
      <c r="KOC171" s="201"/>
      <c r="KOD171" s="201"/>
      <c r="KOE171" s="201"/>
      <c r="KOF171" s="201"/>
      <c r="KOG171" s="201"/>
      <c r="KOH171" s="201"/>
      <c r="KOI171" s="201"/>
      <c r="KOJ171" s="201"/>
      <c r="KOK171" s="201"/>
      <c r="KOL171" s="201"/>
      <c r="KOM171" s="201"/>
      <c r="KON171" s="201"/>
      <c r="KOO171" s="201"/>
      <c r="KOP171" s="201"/>
      <c r="KOQ171" s="201"/>
      <c r="KOR171" s="201"/>
      <c r="KOS171" s="201"/>
      <c r="KOT171" s="201"/>
      <c r="KOU171" s="201"/>
      <c r="KOV171" s="201"/>
      <c r="KOW171" s="201"/>
      <c r="KOX171" s="201"/>
      <c r="KOY171" s="201"/>
      <c r="KOZ171" s="201"/>
      <c r="KPA171" s="201"/>
      <c r="KPB171" s="201"/>
      <c r="KPC171" s="201"/>
      <c r="KPD171" s="201"/>
      <c r="KPE171" s="201"/>
      <c r="KPF171" s="201"/>
      <c r="KPG171" s="201"/>
      <c r="KPH171" s="201"/>
      <c r="KPI171" s="201"/>
      <c r="KPJ171" s="201"/>
      <c r="KPK171" s="201"/>
      <c r="KPL171" s="201"/>
      <c r="KPM171" s="201"/>
      <c r="KPN171" s="201"/>
      <c r="KPO171" s="201"/>
      <c r="KPP171" s="201"/>
      <c r="KPQ171" s="201"/>
      <c r="KPR171" s="201"/>
      <c r="KPS171" s="201"/>
      <c r="KPT171" s="201"/>
      <c r="KPU171" s="201"/>
      <c r="KPV171" s="201"/>
      <c r="KPW171" s="201"/>
      <c r="KPX171" s="201"/>
      <c r="KPY171" s="201"/>
      <c r="KPZ171" s="201"/>
      <c r="KQA171" s="201"/>
      <c r="KQB171" s="201"/>
      <c r="KQC171" s="201"/>
      <c r="KQD171" s="201"/>
      <c r="KQE171" s="201"/>
      <c r="KQF171" s="201"/>
      <c r="KQG171" s="201"/>
      <c r="KQH171" s="201"/>
      <c r="KQI171" s="201"/>
      <c r="KQJ171" s="201"/>
      <c r="KQK171" s="201"/>
      <c r="KQL171" s="201"/>
      <c r="KQM171" s="201"/>
      <c r="KQN171" s="201"/>
      <c r="KQO171" s="201"/>
      <c r="KQP171" s="201"/>
      <c r="KQQ171" s="201"/>
      <c r="KQR171" s="201"/>
      <c r="KQS171" s="201"/>
      <c r="KQT171" s="201"/>
      <c r="KQU171" s="201"/>
      <c r="KQV171" s="201"/>
      <c r="KQW171" s="201"/>
      <c r="KQX171" s="201"/>
      <c r="KQY171" s="201"/>
      <c r="KQZ171" s="201"/>
      <c r="KRA171" s="201"/>
      <c r="KRB171" s="201"/>
      <c r="KRC171" s="201"/>
      <c r="KRD171" s="201"/>
      <c r="KRE171" s="201"/>
      <c r="KRF171" s="201"/>
      <c r="KRG171" s="201"/>
      <c r="KRH171" s="201"/>
      <c r="KRI171" s="201"/>
      <c r="KRJ171" s="201"/>
      <c r="KRK171" s="201"/>
      <c r="KRL171" s="201"/>
      <c r="KRM171" s="201"/>
      <c r="KRN171" s="201"/>
      <c r="KRO171" s="201"/>
      <c r="KRP171" s="201"/>
      <c r="KRQ171" s="201"/>
      <c r="KRR171" s="201"/>
      <c r="KRS171" s="201"/>
      <c r="KRT171" s="201"/>
      <c r="KRU171" s="201"/>
      <c r="KRV171" s="201"/>
      <c r="KRW171" s="201"/>
      <c r="KRX171" s="201"/>
      <c r="KRY171" s="201"/>
      <c r="KRZ171" s="201"/>
      <c r="KSA171" s="201"/>
      <c r="KSB171" s="201"/>
      <c r="KSC171" s="201"/>
      <c r="KSD171" s="201"/>
      <c r="KSE171" s="201"/>
      <c r="KSF171" s="201"/>
      <c r="KSG171" s="201"/>
      <c r="KSH171" s="201"/>
      <c r="KSI171" s="201"/>
      <c r="KSJ171" s="201"/>
      <c r="KSK171" s="201"/>
      <c r="KSL171" s="201"/>
      <c r="KSM171" s="201"/>
      <c r="KSN171" s="201"/>
      <c r="KSO171" s="201"/>
      <c r="KSP171" s="201"/>
      <c r="KSQ171" s="201"/>
      <c r="KSR171" s="201"/>
      <c r="KSS171" s="201"/>
      <c r="KST171" s="201"/>
      <c r="KSU171" s="201"/>
      <c r="KSV171" s="201"/>
      <c r="KSW171" s="201"/>
      <c r="KSX171" s="201"/>
      <c r="KSY171" s="201"/>
      <c r="KSZ171" s="201"/>
      <c r="KTA171" s="201"/>
      <c r="KTB171" s="201"/>
      <c r="KTC171" s="201"/>
      <c r="KTD171" s="201"/>
      <c r="KTE171" s="201"/>
      <c r="KTF171" s="201"/>
      <c r="KTG171" s="201"/>
      <c r="KTH171" s="201"/>
      <c r="KTI171" s="201"/>
      <c r="KTJ171" s="201"/>
      <c r="KTK171" s="201"/>
      <c r="KTL171" s="201"/>
      <c r="KTM171" s="201"/>
      <c r="KTN171" s="201"/>
      <c r="KTO171" s="201"/>
      <c r="KTP171" s="201"/>
      <c r="KTQ171" s="201"/>
      <c r="KTR171" s="201"/>
      <c r="KTS171" s="201"/>
      <c r="KTT171" s="201"/>
      <c r="KTU171" s="201"/>
      <c r="KTV171" s="201"/>
      <c r="KTW171" s="201"/>
      <c r="KTX171" s="201"/>
      <c r="KTY171" s="201"/>
      <c r="KTZ171" s="201"/>
      <c r="KUA171" s="201"/>
      <c r="KUB171" s="201"/>
      <c r="KUC171" s="201"/>
      <c r="KUD171" s="201"/>
      <c r="KUE171" s="201"/>
      <c r="KUF171" s="201"/>
      <c r="KUG171" s="201"/>
      <c r="KUH171" s="201"/>
      <c r="KUI171" s="201"/>
      <c r="KUJ171" s="201"/>
      <c r="KUK171" s="201"/>
      <c r="KUL171" s="201"/>
      <c r="KUM171" s="201"/>
      <c r="KUN171" s="201"/>
      <c r="KUO171" s="201"/>
      <c r="KUP171" s="201"/>
      <c r="KUQ171" s="201"/>
      <c r="KUR171" s="201"/>
      <c r="KUS171" s="201"/>
      <c r="KUT171" s="201"/>
      <c r="KUU171" s="201"/>
      <c r="KUV171" s="201"/>
      <c r="KUW171" s="201"/>
      <c r="KUX171" s="201"/>
      <c r="KUY171" s="201"/>
      <c r="KUZ171" s="201"/>
      <c r="KVA171" s="201"/>
      <c r="KVB171" s="201"/>
      <c r="KVC171" s="201"/>
      <c r="KVD171" s="201"/>
      <c r="KVE171" s="201"/>
      <c r="KVF171" s="201"/>
      <c r="KVG171" s="201"/>
      <c r="KVH171" s="201"/>
      <c r="KVI171" s="201"/>
      <c r="KVJ171" s="201"/>
      <c r="KVK171" s="201"/>
      <c r="KVL171" s="201"/>
      <c r="KVM171" s="201"/>
      <c r="KVN171" s="201"/>
      <c r="KVO171" s="201"/>
      <c r="KVP171" s="201"/>
      <c r="KVQ171" s="201"/>
      <c r="KVR171" s="201"/>
      <c r="KVS171" s="201"/>
      <c r="KVT171" s="201"/>
      <c r="KVU171" s="201"/>
      <c r="KVV171" s="201"/>
      <c r="KVW171" s="201"/>
      <c r="KVX171" s="201"/>
      <c r="KVY171" s="201"/>
      <c r="KVZ171" s="201"/>
      <c r="KWA171" s="201"/>
      <c r="KWB171" s="201"/>
      <c r="KWC171" s="201"/>
      <c r="KWD171" s="201"/>
      <c r="KWE171" s="201"/>
      <c r="KWF171" s="201"/>
      <c r="KWG171" s="201"/>
      <c r="KWH171" s="201"/>
      <c r="KWI171" s="201"/>
      <c r="KWJ171" s="201"/>
      <c r="KWK171" s="201"/>
      <c r="KWL171" s="201"/>
      <c r="KWM171" s="201"/>
      <c r="KWN171" s="201"/>
      <c r="KWO171" s="201"/>
      <c r="KWP171" s="201"/>
      <c r="KWQ171" s="201"/>
      <c r="KWR171" s="201"/>
      <c r="KWS171" s="201"/>
      <c r="KWT171" s="201"/>
      <c r="KWU171" s="201"/>
      <c r="KWV171" s="201"/>
      <c r="KWW171" s="201"/>
      <c r="KWX171" s="201"/>
      <c r="KWY171" s="201"/>
      <c r="KWZ171" s="201"/>
      <c r="KXA171" s="201"/>
      <c r="KXB171" s="201"/>
      <c r="KXC171" s="201"/>
      <c r="KXD171" s="201"/>
      <c r="KXE171" s="201"/>
      <c r="KXF171" s="201"/>
      <c r="KXG171" s="201"/>
      <c r="KXH171" s="201"/>
      <c r="KXI171" s="201"/>
      <c r="KXJ171" s="201"/>
      <c r="KXK171" s="201"/>
      <c r="KXL171" s="201"/>
      <c r="KXM171" s="201"/>
      <c r="KXN171" s="201"/>
      <c r="KXO171" s="201"/>
      <c r="KXP171" s="201"/>
      <c r="KXQ171" s="201"/>
      <c r="KXR171" s="201"/>
      <c r="KXS171" s="201"/>
      <c r="KXT171" s="201"/>
      <c r="KXU171" s="201"/>
      <c r="KXV171" s="201"/>
      <c r="KXW171" s="201"/>
      <c r="KXX171" s="201"/>
      <c r="KXY171" s="201"/>
      <c r="KXZ171" s="201"/>
      <c r="KYA171" s="201"/>
      <c r="KYB171" s="201"/>
      <c r="KYC171" s="201"/>
      <c r="KYD171" s="201"/>
      <c r="KYE171" s="201"/>
      <c r="KYF171" s="201"/>
      <c r="KYG171" s="201"/>
      <c r="KYH171" s="201"/>
      <c r="KYI171" s="201"/>
      <c r="KYJ171" s="201"/>
      <c r="KYK171" s="201"/>
      <c r="KYL171" s="201"/>
      <c r="KYM171" s="201"/>
      <c r="KYN171" s="201"/>
      <c r="KYO171" s="201"/>
      <c r="KYP171" s="201"/>
      <c r="KYQ171" s="201"/>
      <c r="KYR171" s="201"/>
      <c r="KYS171" s="201"/>
      <c r="KYT171" s="201"/>
      <c r="KYU171" s="201"/>
      <c r="KYV171" s="201"/>
      <c r="KYW171" s="201"/>
      <c r="KYX171" s="201"/>
      <c r="KYY171" s="201"/>
      <c r="KYZ171" s="201"/>
      <c r="KZA171" s="201"/>
      <c r="KZB171" s="201"/>
      <c r="KZC171" s="201"/>
      <c r="KZD171" s="201"/>
      <c r="KZE171" s="201"/>
      <c r="KZF171" s="201"/>
      <c r="KZG171" s="201"/>
      <c r="KZH171" s="201"/>
      <c r="KZI171" s="201"/>
      <c r="KZJ171" s="201"/>
      <c r="KZK171" s="201"/>
      <c r="KZL171" s="201"/>
      <c r="KZM171" s="201"/>
      <c r="KZN171" s="201"/>
      <c r="KZO171" s="201"/>
      <c r="KZP171" s="201"/>
      <c r="KZQ171" s="201"/>
      <c r="KZR171" s="201"/>
      <c r="KZS171" s="201"/>
      <c r="KZT171" s="201"/>
      <c r="KZU171" s="201"/>
      <c r="KZV171" s="201"/>
      <c r="KZW171" s="201"/>
      <c r="KZX171" s="201"/>
      <c r="KZY171" s="201"/>
      <c r="KZZ171" s="201"/>
      <c r="LAA171" s="201"/>
      <c r="LAB171" s="201"/>
      <c r="LAC171" s="201"/>
      <c r="LAD171" s="201"/>
      <c r="LAE171" s="201"/>
      <c r="LAF171" s="201"/>
      <c r="LAG171" s="201"/>
      <c r="LAH171" s="201"/>
      <c r="LAI171" s="201"/>
      <c r="LAJ171" s="201"/>
      <c r="LAK171" s="201"/>
      <c r="LAL171" s="201"/>
      <c r="LAM171" s="201"/>
      <c r="LAN171" s="201"/>
      <c r="LAO171" s="201"/>
      <c r="LAP171" s="201"/>
      <c r="LAQ171" s="201"/>
      <c r="LAR171" s="201"/>
      <c r="LAS171" s="201"/>
      <c r="LAT171" s="201"/>
      <c r="LAU171" s="201"/>
      <c r="LAV171" s="201"/>
      <c r="LAW171" s="201"/>
      <c r="LAX171" s="201"/>
      <c r="LAY171" s="201"/>
      <c r="LAZ171" s="201"/>
      <c r="LBA171" s="201"/>
      <c r="LBB171" s="201"/>
      <c r="LBC171" s="201"/>
      <c r="LBD171" s="201"/>
      <c r="LBE171" s="201"/>
      <c r="LBF171" s="201"/>
      <c r="LBG171" s="201"/>
      <c r="LBH171" s="201"/>
      <c r="LBI171" s="201"/>
      <c r="LBJ171" s="201"/>
      <c r="LBK171" s="201"/>
      <c r="LBL171" s="201"/>
      <c r="LBM171" s="201"/>
      <c r="LBN171" s="201"/>
      <c r="LBO171" s="201"/>
      <c r="LBP171" s="201"/>
      <c r="LBQ171" s="201"/>
      <c r="LBR171" s="201"/>
      <c r="LBS171" s="201"/>
      <c r="LBT171" s="201"/>
      <c r="LBU171" s="201"/>
      <c r="LBV171" s="201"/>
      <c r="LBW171" s="201"/>
      <c r="LBX171" s="201"/>
      <c r="LBY171" s="201"/>
      <c r="LBZ171" s="201"/>
      <c r="LCA171" s="201"/>
      <c r="LCB171" s="201"/>
      <c r="LCC171" s="201"/>
      <c r="LCD171" s="201"/>
      <c r="LCE171" s="201"/>
      <c r="LCF171" s="201"/>
      <c r="LCG171" s="201"/>
      <c r="LCH171" s="201"/>
      <c r="LCI171" s="201"/>
      <c r="LCJ171" s="201"/>
      <c r="LCK171" s="201"/>
      <c r="LCL171" s="201"/>
      <c r="LCM171" s="201"/>
      <c r="LCN171" s="201"/>
      <c r="LCO171" s="201"/>
      <c r="LCP171" s="201"/>
      <c r="LCQ171" s="201"/>
      <c r="LCR171" s="201"/>
      <c r="LCS171" s="201"/>
      <c r="LCT171" s="201"/>
      <c r="LCU171" s="201"/>
      <c r="LCV171" s="201"/>
      <c r="LCW171" s="201"/>
      <c r="LCX171" s="201"/>
      <c r="LCY171" s="201"/>
      <c r="LCZ171" s="201"/>
      <c r="LDA171" s="201"/>
      <c r="LDB171" s="201"/>
      <c r="LDC171" s="201"/>
      <c r="LDD171" s="201"/>
      <c r="LDE171" s="201"/>
      <c r="LDF171" s="201"/>
      <c r="LDG171" s="201"/>
      <c r="LDH171" s="201"/>
      <c r="LDI171" s="201"/>
      <c r="LDJ171" s="201"/>
      <c r="LDK171" s="201"/>
      <c r="LDL171" s="201"/>
      <c r="LDM171" s="201"/>
      <c r="LDN171" s="201"/>
      <c r="LDO171" s="201"/>
      <c r="LDP171" s="201"/>
      <c r="LDQ171" s="201"/>
      <c r="LDR171" s="201"/>
      <c r="LDS171" s="201"/>
      <c r="LDT171" s="201"/>
      <c r="LDU171" s="201"/>
      <c r="LDV171" s="201"/>
      <c r="LDW171" s="201"/>
      <c r="LDX171" s="201"/>
      <c r="LDY171" s="201"/>
      <c r="LDZ171" s="201"/>
      <c r="LEA171" s="201"/>
      <c r="LEB171" s="201"/>
      <c r="LEC171" s="201"/>
      <c r="LED171" s="201"/>
      <c r="LEE171" s="201"/>
      <c r="LEF171" s="201"/>
      <c r="LEG171" s="201"/>
      <c r="LEH171" s="201"/>
      <c r="LEI171" s="201"/>
      <c r="LEJ171" s="201"/>
      <c r="LEK171" s="201"/>
      <c r="LEL171" s="201"/>
      <c r="LEM171" s="201"/>
      <c r="LEN171" s="201"/>
      <c r="LEO171" s="201"/>
      <c r="LEP171" s="201"/>
      <c r="LEQ171" s="201"/>
      <c r="LER171" s="201"/>
      <c r="LES171" s="201"/>
      <c r="LET171" s="201"/>
      <c r="LEU171" s="201"/>
      <c r="LEV171" s="201"/>
      <c r="LEW171" s="201"/>
      <c r="LEX171" s="201"/>
      <c r="LEY171" s="201"/>
      <c r="LEZ171" s="201"/>
      <c r="LFA171" s="201"/>
      <c r="LFB171" s="201"/>
      <c r="LFC171" s="201"/>
      <c r="LFD171" s="201"/>
      <c r="LFE171" s="201"/>
      <c r="LFF171" s="201"/>
      <c r="LFG171" s="201"/>
      <c r="LFH171" s="201"/>
      <c r="LFI171" s="201"/>
      <c r="LFJ171" s="201"/>
      <c r="LFK171" s="201"/>
      <c r="LFL171" s="201"/>
      <c r="LFM171" s="201"/>
      <c r="LFN171" s="201"/>
      <c r="LFO171" s="201"/>
      <c r="LFP171" s="201"/>
      <c r="LFQ171" s="201"/>
      <c r="LFR171" s="201"/>
      <c r="LFS171" s="201"/>
      <c r="LFT171" s="201"/>
      <c r="LFU171" s="201"/>
      <c r="LFV171" s="201"/>
      <c r="LFW171" s="201"/>
      <c r="LFX171" s="201"/>
      <c r="LFY171" s="201"/>
      <c r="LFZ171" s="201"/>
      <c r="LGA171" s="201"/>
      <c r="LGB171" s="201"/>
      <c r="LGC171" s="201"/>
      <c r="LGD171" s="201"/>
      <c r="LGE171" s="201"/>
      <c r="LGF171" s="201"/>
      <c r="LGG171" s="201"/>
      <c r="LGH171" s="201"/>
      <c r="LGI171" s="201"/>
      <c r="LGJ171" s="201"/>
      <c r="LGK171" s="201"/>
      <c r="LGL171" s="201"/>
      <c r="LGM171" s="201"/>
      <c r="LGN171" s="201"/>
      <c r="LGO171" s="201"/>
      <c r="LGP171" s="201"/>
      <c r="LGQ171" s="201"/>
      <c r="LGR171" s="201"/>
      <c r="LGS171" s="201"/>
      <c r="LGT171" s="201"/>
      <c r="LGU171" s="201"/>
      <c r="LGV171" s="201"/>
      <c r="LGW171" s="201"/>
      <c r="LGX171" s="201"/>
      <c r="LGY171" s="201"/>
      <c r="LGZ171" s="201"/>
      <c r="LHA171" s="201"/>
      <c r="LHB171" s="201"/>
      <c r="LHC171" s="201"/>
      <c r="LHD171" s="201"/>
      <c r="LHE171" s="201"/>
      <c r="LHF171" s="201"/>
      <c r="LHG171" s="201"/>
      <c r="LHH171" s="201"/>
      <c r="LHI171" s="201"/>
      <c r="LHJ171" s="201"/>
      <c r="LHK171" s="201"/>
      <c r="LHL171" s="201"/>
      <c r="LHM171" s="201"/>
      <c r="LHN171" s="201"/>
      <c r="LHO171" s="201"/>
      <c r="LHP171" s="201"/>
      <c r="LHQ171" s="201"/>
      <c r="LHR171" s="201"/>
      <c r="LHS171" s="201"/>
      <c r="LHT171" s="201"/>
      <c r="LHU171" s="201"/>
      <c r="LHV171" s="201"/>
      <c r="LHW171" s="201"/>
      <c r="LHX171" s="201"/>
      <c r="LHY171" s="201"/>
      <c r="LHZ171" s="201"/>
      <c r="LIA171" s="201"/>
      <c r="LIB171" s="201"/>
      <c r="LIC171" s="201"/>
      <c r="LID171" s="201"/>
      <c r="LIE171" s="201"/>
      <c r="LIF171" s="201"/>
      <c r="LIG171" s="201"/>
      <c r="LIH171" s="201"/>
      <c r="LII171" s="201"/>
      <c r="LIJ171" s="201"/>
      <c r="LIK171" s="201"/>
      <c r="LIL171" s="201"/>
      <c r="LIM171" s="201"/>
      <c r="LIN171" s="201"/>
      <c r="LIO171" s="201"/>
      <c r="LIP171" s="201"/>
      <c r="LIQ171" s="201"/>
      <c r="LIR171" s="201"/>
      <c r="LIS171" s="201"/>
      <c r="LIT171" s="201"/>
      <c r="LIU171" s="201"/>
      <c r="LIV171" s="201"/>
      <c r="LIW171" s="201"/>
      <c r="LIX171" s="201"/>
      <c r="LIY171" s="201"/>
      <c r="LIZ171" s="201"/>
      <c r="LJA171" s="201"/>
      <c r="LJB171" s="201"/>
      <c r="LJC171" s="201"/>
      <c r="LJD171" s="201"/>
      <c r="LJE171" s="201"/>
      <c r="LJF171" s="201"/>
      <c r="LJG171" s="201"/>
      <c r="LJH171" s="201"/>
      <c r="LJI171" s="201"/>
      <c r="LJJ171" s="201"/>
      <c r="LJK171" s="201"/>
      <c r="LJL171" s="201"/>
      <c r="LJM171" s="201"/>
      <c r="LJN171" s="201"/>
      <c r="LJO171" s="201"/>
      <c r="LJP171" s="201"/>
      <c r="LJQ171" s="201"/>
      <c r="LJR171" s="201"/>
      <c r="LJS171" s="201"/>
      <c r="LJT171" s="201"/>
      <c r="LJU171" s="201"/>
      <c r="LJV171" s="201"/>
      <c r="LJW171" s="201"/>
      <c r="LJX171" s="201"/>
      <c r="LJY171" s="201"/>
      <c r="LJZ171" s="201"/>
      <c r="LKA171" s="201"/>
      <c r="LKB171" s="201"/>
      <c r="LKC171" s="201"/>
      <c r="LKD171" s="201"/>
      <c r="LKE171" s="201"/>
      <c r="LKF171" s="201"/>
      <c r="LKG171" s="201"/>
      <c r="LKH171" s="201"/>
      <c r="LKI171" s="201"/>
      <c r="LKJ171" s="201"/>
      <c r="LKK171" s="201"/>
      <c r="LKL171" s="201"/>
      <c r="LKM171" s="201"/>
      <c r="LKN171" s="201"/>
      <c r="LKO171" s="201"/>
      <c r="LKP171" s="201"/>
      <c r="LKQ171" s="201"/>
      <c r="LKR171" s="201"/>
      <c r="LKS171" s="201"/>
      <c r="LKT171" s="201"/>
      <c r="LKU171" s="201"/>
      <c r="LKV171" s="201"/>
      <c r="LKW171" s="201"/>
      <c r="LKX171" s="201"/>
      <c r="LKY171" s="201"/>
      <c r="LKZ171" s="201"/>
      <c r="LLA171" s="201"/>
      <c r="LLB171" s="201"/>
      <c r="LLC171" s="201"/>
      <c r="LLD171" s="201"/>
      <c r="LLE171" s="201"/>
      <c r="LLF171" s="201"/>
      <c r="LLG171" s="201"/>
      <c r="LLH171" s="201"/>
      <c r="LLI171" s="201"/>
      <c r="LLJ171" s="201"/>
      <c r="LLK171" s="201"/>
      <c r="LLL171" s="201"/>
      <c r="LLM171" s="201"/>
      <c r="LLN171" s="201"/>
      <c r="LLO171" s="201"/>
      <c r="LLP171" s="201"/>
      <c r="LLQ171" s="201"/>
      <c r="LLR171" s="201"/>
      <c r="LLS171" s="201"/>
      <c r="LLT171" s="201"/>
      <c r="LLU171" s="201"/>
      <c r="LLV171" s="201"/>
      <c r="LLW171" s="201"/>
      <c r="LLX171" s="201"/>
      <c r="LLY171" s="201"/>
      <c r="LLZ171" s="201"/>
      <c r="LMA171" s="201"/>
      <c r="LMB171" s="201"/>
      <c r="LMC171" s="201"/>
      <c r="LMD171" s="201"/>
      <c r="LME171" s="201"/>
      <c r="LMF171" s="201"/>
      <c r="LMG171" s="201"/>
      <c r="LMH171" s="201"/>
      <c r="LMI171" s="201"/>
      <c r="LMJ171" s="201"/>
      <c r="LMK171" s="201"/>
      <c r="LML171" s="201"/>
      <c r="LMM171" s="201"/>
      <c r="LMN171" s="201"/>
      <c r="LMO171" s="201"/>
      <c r="LMP171" s="201"/>
      <c r="LMQ171" s="201"/>
      <c r="LMR171" s="201"/>
      <c r="LMS171" s="201"/>
      <c r="LMT171" s="201"/>
      <c r="LMU171" s="201"/>
      <c r="LMV171" s="201"/>
      <c r="LMW171" s="201"/>
      <c r="LMX171" s="201"/>
      <c r="LMY171" s="201"/>
      <c r="LMZ171" s="201"/>
      <c r="LNA171" s="201"/>
      <c r="LNB171" s="201"/>
      <c r="LNC171" s="201"/>
      <c r="LND171" s="201"/>
      <c r="LNE171" s="201"/>
      <c r="LNF171" s="201"/>
      <c r="LNG171" s="201"/>
      <c r="LNH171" s="201"/>
      <c r="LNI171" s="201"/>
      <c r="LNJ171" s="201"/>
      <c r="LNK171" s="201"/>
      <c r="LNL171" s="201"/>
      <c r="LNM171" s="201"/>
      <c r="LNN171" s="201"/>
      <c r="LNO171" s="201"/>
      <c r="LNP171" s="201"/>
      <c r="LNQ171" s="201"/>
      <c r="LNR171" s="201"/>
      <c r="LNS171" s="201"/>
      <c r="LNT171" s="201"/>
      <c r="LNU171" s="201"/>
      <c r="LNV171" s="201"/>
      <c r="LNW171" s="201"/>
      <c r="LNX171" s="201"/>
      <c r="LNY171" s="201"/>
      <c r="LNZ171" s="201"/>
      <c r="LOA171" s="201"/>
      <c r="LOB171" s="201"/>
      <c r="LOC171" s="201"/>
      <c r="LOD171" s="201"/>
      <c r="LOE171" s="201"/>
      <c r="LOF171" s="201"/>
      <c r="LOG171" s="201"/>
      <c r="LOH171" s="201"/>
      <c r="LOI171" s="201"/>
      <c r="LOJ171" s="201"/>
      <c r="LOK171" s="201"/>
      <c r="LOL171" s="201"/>
      <c r="LOM171" s="201"/>
      <c r="LON171" s="201"/>
      <c r="LOO171" s="201"/>
      <c r="LOP171" s="201"/>
      <c r="LOQ171" s="201"/>
      <c r="LOR171" s="201"/>
      <c r="LOS171" s="201"/>
      <c r="LOT171" s="201"/>
      <c r="LOU171" s="201"/>
      <c r="LOV171" s="201"/>
      <c r="LOW171" s="201"/>
      <c r="LOX171" s="201"/>
      <c r="LOY171" s="201"/>
      <c r="LOZ171" s="201"/>
      <c r="LPA171" s="201"/>
      <c r="LPB171" s="201"/>
      <c r="LPC171" s="201"/>
      <c r="LPD171" s="201"/>
      <c r="LPE171" s="201"/>
      <c r="LPF171" s="201"/>
      <c r="LPG171" s="201"/>
      <c r="LPH171" s="201"/>
      <c r="LPI171" s="201"/>
      <c r="LPJ171" s="201"/>
      <c r="LPK171" s="201"/>
      <c r="LPL171" s="201"/>
      <c r="LPM171" s="201"/>
      <c r="LPN171" s="201"/>
      <c r="LPO171" s="201"/>
      <c r="LPP171" s="201"/>
      <c r="LPQ171" s="201"/>
      <c r="LPR171" s="201"/>
      <c r="LPS171" s="201"/>
      <c r="LPT171" s="201"/>
      <c r="LPU171" s="201"/>
      <c r="LPV171" s="201"/>
      <c r="LPW171" s="201"/>
      <c r="LPX171" s="201"/>
      <c r="LPY171" s="201"/>
      <c r="LPZ171" s="201"/>
      <c r="LQA171" s="201"/>
      <c r="LQB171" s="201"/>
      <c r="LQC171" s="201"/>
      <c r="LQD171" s="201"/>
      <c r="LQE171" s="201"/>
      <c r="LQF171" s="201"/>
      <c r="LQG171" s="201"/>
      <c r="LQH171" s="201"/>
      <c r="LQI171" s="201"/>
      <c r="LQJ171" s="201"/>
      <c r="LQK171" s="201"/>
      <c r="LQL171" s="201"/>
      <c r="LQM171" s="201"/>
      <c r="LQN171" s="201"/>
      <c r="LQO171" s="201"/>
      <c r="LQP171" s="201"/>
      <c r="LQQ171" s="201"/>
      <c r="LQR171" s="201"/>
      <c r="LQS171" s="201"/>
      <c r="LQT171" s="201"/>
      <c r="LQU171" s="201"/>
      <c r="LQV171" s="201"/>
      <c r="LQW171" s="201"/>
      <c r="LQX171" s="201"/>
      <c r="LQY171" s="201"/>
      <c r="LQZ171" s="201"/>
      <c r="LRA171" s="201"/>
      <c r="LRB171" s="201"/>
      <c r="LRC171" s="201"/>
      <c r="LRD171" s="201"/>
      <c r="LRE171" s="201"/>
      <c r="LRF171" s="201"/>
      <c r="LRG171" s="201"/>
      <c r="LRH171" s="201"/>
      <c r="LRI171" s="201"/>
      <c r="LRJ171" s="201"/>
      <c r="LRK171" s="201"/>
      <c r="LRL171" s="201"/>
      <c r="LRM171" s="201"/>
      <c r="LRN171" s="201"/>
      <c r="LRO171" s="201"/>
      <c r="LRP171" s="201"/>
      <c r="LRQ171" s="201"/>
      <c r="LRR171" s="201"/>
      <c r="LRS171" s="201"/>
      <c r="LRT171" s="201"/>
      <c r="LRU171" s="201"/>
      <c r="LRV171" s="201"/>
      <c r="LRW171" s="201"/>
      <c r="LRX171" s="201"/>
      <c r="LRY171" s="201"/>
      <c r="LRZ171" s="201"/>
      <c r="LSA171" s="201"/>
      <c r="LSB171" s="201"/>
      <c r="LSC171" s="201"/>
      <c r="LSD171" s="201"/>
      <c r="LSE171" s="201"/>
      <c r="LSF171" s="201"/>
      <c r="LSG171" s="201"/>
      <c r="LSH171" s="201"/>
      <c r="LSI171" s="201"/>
      <c r="LSJ171" s="201"/>
      <c r="LSK171" s="201"/>
      <c r="LSL171" s="201"/>
      <c r="LSM171" s="201"/>
      <c r="LSN171" s="201"/>
      <c r="LSO171" s="201"/>
      <c r="LSP171" s="201"/>
      <c r="LSQ171" s="201"/>
      <c r="LSR171" s="201"/>
      <c r="LSS171" s="201"/>
      <c r="LST171" s="201"/>
      <c r="LSU171" s="201"/>
      <c r="LSV171" s="201"/>
      <c r="LSW171" s="201"/>
      <c r="LSX171" s="201"/>
      <c r="LSY171" s="201"/>
      <c r="LSZ171" s="201"/>
      <c r="LTA171" s="201"/>
      <c r="LTB171" s="201"/>
      <c r="LTC171" s="201"/>
      <c r="LTD171" s="201"/>
      <c r="LTE171" s="201"/>
      <c r="LTF171" s="201"/>
      <c r="LTG171" s="201"/>
      <c r="LTH171" s="201"/>
      <c r="LTI171" s="201"/>
      <c r="LTJ171" s="201"/>
      <c r="LTK171" s="201"/>
      <c r="LTL171" s="201"/>
      <c r="LTM171" s="201"/>
      <c r="LTN171" s="201"/>
      <c r="LTO171" s="201"/>
      <c r="LTP171" s="201"/>
      <c r="LTQ171" s="201"/>
      <c r="LTR171" s="201"/>
      <c r="LTS171" s="201"/>
      <c r="LTT171" s="201"/>
      <c r="LTU171" s="201"/>
      <c r="LTV171" s="201"/>
      <c r="LTW171" s="201"/>
      <c r="LTX171" s="201"/>
      <c r="LTY171" s="201"/>
      <c r="LTZ171" s="201"/>
      <c r="LUA171" s="201"/>
      <c r="LUB171" s="201"/>
      <c r="LUC171" s="201"/>
      <c r="LUD171" s="201"/>
      <c r="LUE171" s="201"/>
      <c r="LUF171" s="201"/>
      <c r="LUG171" s="201"/>
      <c r="LUH171" s="201"/>
      <c r="LUI171" s="201"/>
      <c r="LUJ171" s="201"/>
      <c r="LUK171" s="201"/>
      <c r="LUL171" s="201"/>
      <c r="LUM171" s="201"/>
      <c r="LUN171" s="201"/>
      <c r="LUO171" s="201"/>
      <c r="LUP171" s="201"/>
      <c r="LUQ171" s="201"/>
      <c r="LUR171" s="201"/>
      <c r="LUS171" s="201"/>
      <c r="LUT171" s="201"/>
      <c r="LUU171" s="201"/>
      <c r="LUV171" s="201"/>
      <c r="LUW171" s="201"/>
      <c r="LUX171" s="201"/>
      <c r="LUY171" s="201"/>
      <c r="LUZ171" s="201"/>
      <c r="LVA171" s="201"/>
      <c r="LVB171" s="201"/>
      <c r="LVC171" s="201"/>
      <c r="LVD171" s="201"/>
      <c r="LVE171" s="201"/>
      <c r="LVF171" s="201"/>
      <c r="LVG171" s="201"/>
      <c r="LVH171" s="201"/>
      <c r="LVI171" s="201"/>
      <c r="LVJ171" s="201"/>
      <c r="LVK171" s="201"/>
      <c r="LVL171" s="201"/>
      <c r="LVM171" s="201"/>
      <c r="LVN171" s="201"/>
      <c r="LVO171" s="201"/>
      <c r="LVP171" s="201"/>
      <c r="LVQ171" s="201"/>
      <c r="LVR171" s="201"/>
      <c r="LVS171" s="201"/>
      <c r="LVT171" s="201"/>
      <c r="LVU171" s="201"/>
      <c r="LVV171" s="201"/>
      <c r="LVW171" s="201"/>
      <c r="LVX171" s="201"/>
      <c r="LVY171" s="201"/>
      <c r="LVZ171" s="201"/>
      <c r="LWA171" s="201"/>
      <c r="LWB171" s="201"/>
      <c r="LWC171" s="201"/>
      <c r="LWD171" s="201"/>
      <c r="LWE171" s="201"/>
      <c r="LWF171" s="201"/>
      <c r="LWG171" s="201"/>
      <c r="LWH171" s="201"/>
      <c r="LWI171" s="201"/>
      <c r="LWJ171" s="201"/>
      <c r="LWK171" s="201"/>
      <c r="LWL171" s="201"/>
      <c r="LWM171" s="201"/>
      <c r="LWN171" s="201"/>
      <c r="LWO171" s="201"/>
      <c r="LWP171" s="201"/>
      <c r="LWQ171" s="201"/>
      <c r="LWR171" s="201"/>
      <c r="LWS171" s="201"/>
      <c r="LWT171" s="201"/>
      <c r="LWU171" s="201"/>
      <c r="LWV171" s="201"/>
      <c r="LWW171" s="201"/>
      <c r="LWX171" s="201"/>
      <c r="LWY171" s="201"/>
      <c r="LWZ171" s="201"/>
      <c r="LXA171" s="201"/>
      <c r="LXB171" s="201"/>
      <c r="LXC171" s="201"/>
      <c r="LXD171" s="201"/>
      <c r="LXE171" s="201"/>
      <c r="LXF171" s="201"/>
      <c r="LXG171" s="201"/>
      <c r="LXH171" s="201"/>
      <c r="LXI171" s="201"/>
      <c r="LXJ171" s="201"/>
      <c r="LXK171" s="201"/>
      <c r="LXL171" s="201"/>
      <c r="LXM171" s="201"/>
      <c r="LXN171" s="201"/>
      <c r="LXO171" s="201"/>
      <c r="LXP171" s="201"/>
      <c r="LXQ171" s="201"/>
      <c r="LXR171" s="201"/>
      <c r="LXS171" s="201"/>
      <c r="LXT171" s="201"/>
      <c r="LXU171" s="201"/>
      <c r="LXV171" s="201"/>
      <c r="LXW171" s="201"/>
      <c r="LXX171" s="201"/>
      <c r="LXY171" s="201"/>
      <c r="LXZ171" s="201"/>
      <c r="LYA171" s="201"/>
      <c r="LYB171" s="201"/>
      <c r="LYC171" s="201"/>
      <c r="LYD171" s="201"/>
      <c r="LYE171" s="201"/>
      <c r="LYF171" s="201"/>
      <c r="LYG171" s="201"/>
      <c r="LYH171" s="201"/>
      <c r="LYI171" s="201"/>
      <c r="LYJ171" s="201"/>
      <c r="LYK171" s="201"/>
      <c r="LYL171" s="201"/>
      <c r="LYM171" s="201"/>
      <c r="LYN171" s="201"/>
      <c r="LYO171" s="201"/>
      <c r="LYP171" s="201"/>
      <c r="LYQ171" s="201"/>
      <c r="LYR171" s="201"/>
      <c r="LYS171" s="201"/>
      <c r="LYT171" s="201"/>
      <c r="LYU171" s="201"/>
      <c r="LYV171" s="201"/>
      <c r="LYW171" s="201"/>
      <c r="LYX171" s="201"/>
      <c r="LYY171" s="201"/>
      <c r="LYZ171" s="201"/>
      <c r="LZA171" s="201"/>
      <c r="LZB171" s="201"/>
      <c r="LZC171" s="201"/>
      <c r="LZD171" s="201"/>
      <c r="LZE171" s="201"/>
      <c r="LZF171" s="201"/>
      <c r="LZG171" s="201"/>
      <c r="LZH171" s="201"/>
      <c r="LZI171" s="201"/>
      <c r="LZJ171" s="201"/>
      <c r="LZK171" s="201"/>
      <c r="LZL171" s="201"/>
      <c r="LZM171" s="201"/>
      <c r="LZN171" s="201"/>
      <c r="LZO171" s="201"/>
      <c r="LZP171" s="201"/>
      <c r="LZQ171" s="201"/>
      <c r="LZR171" s="201"/>
      <c r="LZS171" s="201"/>
      <c r="LZT171" s="201"/>
      <c r="LZU171" s="201"/>
      <c r="LZV171" s="201"/>
      <c r="LZW171" s="201"/>
      <c r="LZX171" s="201"/>
      <c r="LZY171" s="201"/>
      <c r="LZZ171" s="201"/>
      <c r="MAA171" s="201"/>
      <c r="MAB171" s="201"/>
      <c r="MAC171" s="201"/>
      <c r="MAD171" s="201"/>
      <c r="MAE171" s="201"/>
      <c r="MAF171" s="201"/>
      <c r="MAG171" s="201"/>
      <c r="MAH171" s="201"/>
      <c r="MAI171" s="201"/>
      <c r="MAJ171" s="201"/>
      <c r="MAK171" s="201"/>
      <c r="MAL171" s="201"/>
      <c r="MAM171" s="201"/>
      <c r="MAN171" s="201"/>
      <c r="MAO171" s="201"/>
      <c r="MAP171" s="201"/>
      <c r="MAQ171" s="201"/>
      <c r="MAR171" s="201"/>
      <c r="MAS171" s="201"/>
      <c r="MAT171" s="201"/>
      <c r="MAU171" s="201"/>
      <c r="MAV171" s="201"/>
      <c r="MAW171" s="201"/>
      <c r="MAX171" s="201"/>
      <c r="MAY171" s="201"/>
      <c r="MAZ171" s="201"/>
      <c r="MBA171" s="201"/>
      <c r="MBB171" s="201"/>
      <c r="MBC171" s="201"/>
      <c r="MBD171" s="201"/>
      <c r="MBE171" s="201"/>
      <c r="MBF171" s="201"/>
      <c r="MBG171" s="201"/>
      <c r="MBH171" s="201"/>
      <c r="MBI171" s="201"/>
      <c r="MBJ171" s="201"/>
      <c r="MBK171" s="201"/>
      <c r="MBL171" s="201"/>
      <c r="MBM171" s="201"/>
      <c r="MBN171" s="201"/>
      <c r="MBO171" s="201"/>
      <c r="MBP171" s="201"/>
      <c r="MBQ171" s="201"/>
      <c r="MBR171" s="201"/>
      <c r="MBS171" s="201"/>
      <c r="MBT171" s="201"/>
      <c r="MBU171" s="201"/>
      <c r="MBV171" s="201"/>
      <c r="MBW171" s="201"/>
      <c r="MBX171" s="201"/>
      <c r="MBY171" s="201"/>
      <c r="MBZ171" s="201"/>
      <c r="MCA171" s="201"/>
      <c r="MCB171" s="201"/>
      <c r="MCC171" s="201"/>
      <c r="MCD171" s="201"/>
      <c r="MCE171" s="201"/>
      <c r="MCF171" s="201"/>
      <c r="MCG171" s="201"/>
      <c r="MCH171" s="201"/>
      <c r="MCI171" s="201"/>
      <c r="MCJ171" s="201"/>
      <c r="MCK171" s="201"/>
      <c r="MCL171" s="201"/>
      <c r="MCM171" s="201"/>
      <c r="MCN171" s="201"/>
      <c r="MCO171" s="201"/>
      <c r="MCP171" s="201"/>
      <c r="MCQ171" s="201"/>
      <c r="MCR171" s="201"/>
      <c r="MCS171" s="201"/>
      <c r="MCT171" s="201"/>
      <c r="MCU171" s="201"/>
      <c r="MCV171" s="201"/>
      <c r="MCW171" s="201"/>
      <c r="MCX171" s="201"/>
      <c r="MCY171" s="201"/>
      <c r="MCZ171" s="201"/>
      <c r="MDA171" s="201"/>
      <c r="MDB171" s="201"/>
      <c r="MDC171" s="201"/>
      <c r="MDD171" s="201"/>
      <c r="MDE171" s="201"/>
      <c r="MDF171" s="201"/>
      <c r="MDG171" s="201"/>
      <c r="MDH171" s="201"/>
      <c r="MDI171" s="201"/>
      <c r="MDJ171" s="201"/>
      <c r="MDK171" s="201"/>
      <c r="MDL171" s="201"/>
      <c r="MDM171" s="201"/>
      <c r="MDN171" s="201"/>
      <c r="MDO171" s="201"/>
      <c r="MDP171" s="201"/>
      <c r="MDQ171" s="201"/>
      <c r="MDR171" s="201"/>
      <c r="MDS171" s="201"/>
      <c r="MDT171" s="201"/>
      <c r="MDU171" s="201"/>
      <c r="MDV171" s="201"/>
      <c r="MDW171" s="201"/>
      <c r="MDX171" s="201"/>
      <c r="MDY171" s="201"/>
      <c r="MDZ171" s="201"/>
      <c r="MEA171" s="201"/>
      <c r="MEB171" s="201"/>
      <c r="MEC171" s="201"/>
      <c r="MED171" s="201"/>
      <c r="MEE171" s="201"/>
      <c r="MEF171" s="201"/>
      <c r="MEG171" s="201"/>
      <c r="MEH171" s="201"/>
      <c r="MEI171" s="201"/>
      <c r="MEJ171" s="201"/>
      <c r="MEK171" s="201"/>
      <c r="MEL171" s="201"/>
      <c r="MEM171" s="201"/>
      <c r="MEN171" s="201"/>
      <c r="MEO171" s="201"/>
      <c r="MEP171" s="201"/>
      <c r="MEQ171" s="201"/>
      <c r="MER171" s="201"/>
      <c r="MES171" s="201"/>
      <c r="MET171" s="201"/>
      <c r="MEU171" s="201"/>
      <c r="MEV171" s="201"/>
      <c r="MEW171" s="201"/>
      <c r="MEX171" s="201"/>
      <c r="MEY171" s="201"/>
      <c r="MEZ171" s="201"/>
      <c r="MFA171" s="201"/>
      <c r="MFB171" s="201"/>
      <c r="MFC171" s="201"/>
      <c r="MFD171" s="201"/>
      <c r="MFE171" s="201"/>
      <c r="MFF171" s="201"/>
      <c r="MFG171" s="201"/>
      <c r="MFH171" s="201"/>
      <c r="MFI171" s="201"/>
      <c r="MFJ171" s="201"/>
      <c r="MFK171" s="201"/>
      <c r="MFL171" s="201"/>
      <c r="MFM171" s="201"/>
      <c r="MFN171" s="201"/>
      <c r="MFO171" s="201"/>
      <c r="MFP171" s="201"/>
      <c r="MFQ171" s="201"/>
      <c r="MFR171" s="201"/>
      <c r="MFS171" s="201"/>
      <c r="MFT171" s="201"/>
      <c r="MFU171" s="201"/>
      <c r="MFV171" s="201"/>
      <c r="MFW171" s="201"/>
      <c r="MFX171" s="201"/>
      <c r="MFY171" s="201"/>
      <c r="MFZ171" s="201"/>
      <c r="MGA171" s="201"/>
      <c r="MGB171" s="201"/>
      <c r="MGC171" s="201"/>
      <c r="MGD171" s="201"/>
      <c r="MGE171" s="201"/>
      <c r="MGF171" s="201"/>
      <c r="MGG171" s="201"/>
      <c r="MGH171" s="201"/>
      <c r="MGI171" s="201"/>
      <c r="MGJ171" s="201"/>
      <c r="MGK171" s="201"/>
      <c r="MGL171" s="201"/>
      <c r="MGM171" s="201"/>
      <c r="MGN171" s="201"/>
      <c r="MGO171" s="201"/>
      <c r="MGP171" s="201"/>
      <c r="MGQ171" s="201"/>
      <c r="MGR171" s="201"/>
      <c r="MGS171" s="201"/>
      <c r="MGT171" s="201"/>
      <c r="MGU171" s="201"/>
      <c r="MGV171" s="201"/>
      <c r="MGW171" s="201"/>
      <c r="MGX171" s="201"/>
      <c r="MGY171" s="201"/>
      <c r="MGZ171" s="201"/>
      <c r="MHA171" s="201"/>
      <c r="MHB171" s="201"/>
      <c r="MHC171" s="201"/>
      <c r="MHD171" s="201"/>
      <c r="MHE171" s="201"/>
      <c r="MHF171" s="201"/>
      <c r="MHG171" s="201"/>
      <c r="MHH171" s="201"/>
      <c r="MHI171" s="201"/>
      <c r="MHJ171" s="201"/>
      <c r="MHK171" s="201"/>
      <c r="MHL171" s="201"/>
      <c r="MHM171" s="201"/>
      <c r="MHN171" s="201"/>
      <c r="MHO171" s="201"/>
      <c r="MHP171" s="201"/>
      <c r="MHQ171" s="201"/>
      <c r="MHR171" s="201"/>
      <c r="MHS171" s="201"/>
      <c r="MHT171" s="201"/>
      <c r="MHU171" s="201"/>
      <c r="MHV171" s="201"/>
      <c r="MHW171" s="201"/>
      <c r="MHX171" s="201"/>
      <c r="MHY171" s="201"/>
      <c r="MHZ171" s="201"/>
      <c r="MIA171" s="201"/>
      <c r="MIB171" s="201"/>
      <c r="MIC171" s="201"/>
      <c r="MID171" s="201"/>
      <c r="MIE171" s="201"/>
      <c r="MIF171" s="201"/>
      <c r="MIG171" s="201"/>
      <c r="MIH171" s="201"/>
      <c r="MII171" s="201"/>
      <c r="MIJ171" s="201"/>
      <c r="MIK171" s="201"/>
      <c r="MIL171" s="201"/>
      <c r="MIM171" s="201"/>
      <c r="MIN171" s="201"/>
      <c r="MIO171" s="201"/>
      <c r="MIP171" s="201"/>
      <c r="MIQ171" s="201"/>
      <c r="MIR171" s="201"/>
      <c r="MIS171" s="201"/>
      <c r="MIT171" s="201"/>
      <c r="MIU171" s="201"/>
      <c r="MIV171" s="201"/>
      <c r="MIW171" s="201"/>
      <c r="MIX171" s="201"/>
      <c r="MIY171" s="201"/>
      <c r="MIZ171" s="201"/>
      <c r="MJA171" s="201"/>
      <c r="MJB171" s="201"/>
      <c r="MJC171" s="201"/>
      <c r="MJD171" s="201"/>
      <c r="MJE171" s="201"/>
      <c r="MJF171" s="201"/>
      <c r="MJG171" s="201"/>
      <c r="MJH171" s="201"/>
      <c r="MJI171" s="201"/>
      <c r="MJJ171" s="201"/>
      <c r="MJK171" s="201"/>
      <c r="MJL171" s="201"/>
      <c r="MJM171" s="201"/>
      <c r="MJN171" s="201"/>
      <c r="MJO171" s="201"/>
      <c r="MJP171" s="201"/>
      <c r="MJQ171" s="201"/>
      <c r="MJR171" s="201"/>
      <c r="MJS171" s="201"/>
      <c r="MJT171" s="201"/>
      <c r="MJU171" s="201"/>
      <c r="MJV171" s="201"/>
      <c r="MJW171" s="201"/>
      <c r="MJX171" s="201"/>
      <c r="MJY171" s="201"/>
      <c r="MJZ171" s="201"/>
      <c r="MKA171" s="201"/>
      <c r="MKB171" s="201"/>
      <c r="MKC171" s="201"/>
      <c r="MKD171" s="201"/>
      <c r="MKE171" s="201"/>
      <c r="MKF171" s="201"/>
      <c r="MKG171" s="201"/>
      <c r="MKH171" s="201"/>
      <c r="MKI171" s="201"/>
      <c r="MKJ171" s="201"/>
      <c r="MKK171" s="201"/>
      <c r="MKL171" s="201"/>
      <c r="MKM171" s="201"/>
      <c r="MKN171" s="201"/>
      <c r="MKO171" s="201"/>
      <c r="MKP171" s="201"/>
      <c r="MKQ171" s="201"/>
      <c r="MKR171" s="201"/>
      <c r="MKS171" s="201"/>
      <c r="MKT171" s="201"/>
      <c r="MKU171" s="201"/>
      <c r="MKV171" s="201"/>
      <c r="MKW171" s="201"/>
      <c r="MKX171" s="201"/>
      <c r="MKY171" s="201"/>
      <c r="MKZ171" s="201"/>
      <c r="MLA171" s="201"/>
      <c r="MLB171" s="201"/>
      <c r="MLC171" s="201"/>
      <c r="MLD171" s="201"/>
      <c r="MLE171" s="201"/>
      <c r="MLF171" s="201"/>
      <c r="MLG171" s="201"/>
      <c r="MLH171" s="201"/>
      <c r="MLI171" s="201"/>
      <c r="MLJ171" s="201"/>
      <c r="MLK171" s="201"/>
      <c r="MLL171" s="201"/>
      <c r="MLM171" s="201"/>
      <c r="MLN171" s="201"/>
      <c r="MLO171" s="201"/>
      <c r="MLP171" s="201"/>
      <c r="MLQ171" s="201"/>
      <c r="MLR171" s="201"/>
      <c r="MLS171" s="201"/>
      <c r="MLT171" s="201"/>
      <c r="MLU171" s="201"/>
      <c r="MLV171" s="201"/>
      <c r="MLW171" s="201"/>
      <c r="MLX171" s="201"/>
      <c r="MLY171" s="201"/>
      <c r="MLZ171" s="201"/>
      <c r="MMA171" s="201"/>
      <c r="MMB171" s="201"/>
      <c r="MMC171" s="201"/>
      <c r="MMD171" s="201"/>
      <c r="MME171" s="201"/>
      <c r="MMF171" s="201"/>
      <c r="MMG171" s="201"/>
      <c r="MMH171" s="201"/>
      <c r="MMI171" s="201"/>
      <c r="MMJ171" s="201"/>
      <c r="MMK171" s="201"/>
      <c r="MML171" s="201"/>
      <c r="MMM171" s="201"/>
      <c r="MMN171" s="201"/>
      <c r="MMO171" s="201"/>
      <c r="MMP171" s="201"/>
      <c r="MMQ171" s="201"/>
      <c r="MMR171" s="201"/>
      <c r="MMS171" s="201"/>
      <c r="MMT171" s="201"/>
      <c r="MMU171" s="201"/>
      <c r="MMV171" s="201"/>
      <c r="MMW171" s="201"/>
      <c r="MMX171" s="201"/>
      <c r="MMY171" s="201"/>
      <c r="MMZ171" s="201"/>
      <c r="MNA171" s="201"/>
      <c r="MNB171" s="201"/>
      <c r="MNC171" s="201"/>
      <c r="MND171" s="201"/>
      <c r="MNE171" s="201"/>
      <c r="MNF171" s="201"/>
      <c r="MNG171" s="201"/>
      <c r="MNH171" s="201"/>
      <c r="MNI171" s="201"/>
      <c r="MNJ171" s="201"/>
      <c r="MNK171" s="201"/>
      <c r="MNL171" s="201"/>
      <c r="MNM171" s="201"/>
      <c r="MNN171" s="201"/>
      <c r="MNO171" s="201"/>
      <c r="MNP171" s="201"/>
      <c r="MNQ171" s="201"/>
      <c r="MNR171" s="201"/>
      <c r="MNS171" s="201"/>
      <c r="MNT171" s="201"/>
      <c r="MNU171" s="201"/>
      <c r="MNV171" s="201"/>
      <c r="MNW171" s="201"/>
      <c r="MNX171" s="201"/>
      <c r="MNY171" s="201"/>
      <c r="MNZ171" s="201"/>
      <c r="MOA171" s="201"/>
      <c r="MOB171" s="201"/>
      <c r="MOC171" s="201"/>
      <c r="MOD171" s="201"/>
      <c r="MOE171" s="201"/>
      <c r="MOF171" s="201"/>
      <c r="MOG171" s="201"/>
      <c r="MOH171" s="201"/>
      <c r="MOI171" s="201"/>
      <c r="MOJ171" s="201"/>
      <c r="MOK171" s="201"/>
      <c r="MOL171" s="201"/>
      <c r="MOM171" s="201"/>
      <c r="MON171" s="201"/>
      <c r="MOO171" s="201"/>
      <c r="MOP171" s="201"/>
      <c r="MOQ171" s="201"/>
      <c r="MOR171" s="201"/>
      <c r="MOS171" s="201"/>
      <c r="MOT171" s="201"/>
      <c r="MOU171" s="201"/>
      <c r="MOV171" s="201"/>
      <c r="MOW171" s="201"/>
      <c r="MOX171" s="201"/>
      <c r="MOY171" s="201"/>
      <c r="MOZ171" s="201"/>
      <c r="MPA171" s="201"/>
      <c r="MPB171" s="201"/>
      <c r="MPC171" s="201"/>
      <c r="MPD171" s="201"/>
      <c r="MPE171" s="201"/>
      <c r="MPF171" s="201"/>
      <c r="MPG171" s="201"/>
      <c r="MPH171" s="201"/>
      <c r="MPI171" s="201"/>
      <c r="MPJ171" s="201"/>
      <c r="MPK171" s="201"/>
      <c r="MPL171" s="201"/>
      <c r="MPM171" s="201"/>
      <c r="MPN171" s="201"/>
      <c r="MPO171" s="201"/>
      <c r="MPP171" s="201"/>
      <c r="MPQ171" s="201"/>
      <c r="MPR171" s="201"/>
      <c r="MPS171" s="201"/>
      <c r="MPT171" s="201"/>
      <c r="MPU171" s="201"/>
      <c r="MPV171" s="201"/>
      <c r="MPW171" s="201"/>
      <c r="MPX171" s="201"/>
      <c r="MPY171" s="201"/>
      <c r="MPZ171" s="201"/>
      <c r="MQA171" s="201"/>
      <c r="MQB171" s="201"/>
      <c r="MQC171" s="201"/>
      <c r="MQD171" s="201"/>
      <c r="MQE171" s="201"/>
      <c r="MQF171" s="201"/>
      <c r="MQG171" s="201"/>
      <c r="MQH171" s="201"/>
      <c r="MQI171" s="201"/>
      <c r="MQJ171" s="201"/>
      <c r="MQK171" s="201"/>
      <c r="MQL171" s="201"/>
      <c r="MQM171" s="201"/>
      <c r="MQN171" s="201"/>
      <c r="MQO171" s="201"/>
      <c r="MQP171" s="201"/>
      <c r="MQQ171" s="201"/>
      <c r="MQR171" s="201"/>
      <c r="MQS171" s="201"/>
      <c r="MQT171" s="201"/>
      <c r="MQU171" s="201"/>
      <c r="MQV171" s="201"/>
      <c r="MQW171" s="201"/>
      <c r="MQX171" s="201"/>
      <c r="MQY171" s="201"/>
      <c r="MQZ171" s="201"/>
      <c r="MRA171" s="201"/>
      <c r="MRB171" s="201"/>
      <c r="MRC171" s="201"/>
      <c r="MRD171" s="201"/>
      <c r="MRE171" s="201"/>
      <c r="MRF171" s="201"/>
      <c r="MRG171" s="201"/>
      <c r="MRH171" s="201"/>
      <c r="MRI171" s="201"/>
      <c r="MRJ171" s="201"/>
      <c r="MRK171" s="201"/>
      <c r="MRL171" s="201"/>
      <c r="MRM171" s="201"/>
      <c r="MRN171" s="201"/>
      <c r="MRO171" s="201"/>
      <c r="MRP171" s="201"/>
      <c r="MRQ171" s="201"/>
      <c r="MRR171" s="201"/>
      <c r="MRS171" s="201"/>
      <c r="MRT171" s="201"/>
      <c r="MRU171" s="201"/>
      <c r="MRV171" s="201"/>
      <c r="MRW171" s="201"/>
      <c r="MRX171" s="201"/>
      <c r="MRY171" s="201"/>
      <c r="MRZ171" s="201"/>
      <c r="MSA171" s="201"/>
      <c r="MSB171" s="201"/>
      <c r="MSC171" s="201"/>
      <c r="MSD171" s="201"/>
      <c r="MSE171" s="201"/>
      <c r="MSF171" s="201"/>
      <c r="MSG171" s="201"/>
      <c r="MSH171" s="201"/>
      <c r="MSI171" s="201"/>
      <c r="MSJ171" s="201"/>
      <c r="MSK171" s="201"/>
      <c r="MSL171" s="201"/>
      <c r="MSM171" s="201"/>
      <c r="MSN171" s="201"/>
      <c r="MSO171" s="201"/>
      <c r="MSP171" s="201"/>
      <c r="MSQ171" s="201"/>
      <c r="MSR171" s="201"/>
      <c r="MSS171" s="201"/>
      <c r="MST171" s="201"/>
      <c r="MSU171" s="201"/>
      <c r="MSV171" s="201"/>
      <c r="MSW171" s="201"/>
      <c r="MSX171" s="201"/>
      <c r="MSY171" s="201"/>
      <c r="MSZ171" s="201"/>
      <c r="MTA171" s="201"/>
      <c r="MTB171" s="201"/>
      <c r="MTC171" s="201"/>
      <c r="MTD171" s="201"/>
      <c r="MTE171" s="201"/>
      <c r="MTF171" s="201"/>
      <c r="MTG171" s="201"/>
      <c r="MTH171" s="201"/>
      <c r="MTI171" s="201"/>
      <c r="MTJ171" s="201"/>
      <c r="MTK171" s="201"/>
      <c r="MTL171" s="201"/>
      <c r="MTM171" s="201"/>
      <c r="MTN171" s="201"/>
      <c r="MTO171" s="201"/>
      <c r="MTP171" s="201"/>
      <c r="MTQ171" s="201"/>
      <c r="MTR171" s="201"/>
      <c r="MTS171" s="201"/>
      <c r="MTT171" s="201"/>
      <c r="MTU171" s="201"/>
      <c r="MTV171" s="201"/>
      <c r="MTW171" s="201"/>
      <c r="MTX171" s="201"/>
      <c r="MTY171" s="201"/>
      <c r="MTZ171" s="201"/>
      <c r="MUA171" s="201"/>
      <c r="MUB171" s="201"/>
      <c r="MUC171" s="201"/>
      <c r="MUD171" s="201"/>
      <c r="MUE171" s="201"/>
      <c r="MUF171" s="201"/>
      <c r="MUG171" s="201"/>
      <c r="MUH171" s="201"/>
      <c r="MUI171" s="201"/>
      <c r="MUJ171" s="201"/>
      <c r="MUK171" s="201"/>
      <c r="MUL171" s="201"/>
      <c r="MUM171" s="201"/>
      <c r="MUN171" s="201"/>
      <c r="MUO171" s="201"/>
      <c r="MUP171" s="201"/>
      <c r="MUQ171" s="201"/>
      <c r="MUR171" s="201"/>
      <c r="MUS171" s="201"/>
      <c r="MUT171" s="201"/>
      <c r="MUU171" s="201"/>
      <c r="MUV171" s="201"/>
      <c r="MUW171" s="201"/>
      <c r="MUX171" s="201"/>
      <c r="MUY171" s="201"/>
      <c r="MUZ171" s="201"/>
      <c r="MVA171" s="201"/>
      <c r="MVB171" s="201"/>
      <c r="MVC171" s="201"/>
      <c r="MVD171" s="201"/>
      <c r="MVE171" s="201"/>
      <c r="MVF171" s="201"/>
      <c r="MVG171" s="201"/>
      <c r="MVH171" s="201"/>
      <c r="MVI171" s="201"/>
      <c r="MVJ171" s="201"/>
      <c r="MVK171" s="201"/>
      <c r="MVL171" s="201"/>
      <c r="MVM171" s="201"/>
      <c r="MVN171" s="201"/>
      <c r="MVO171" s="201"/>
      <c r="MVP171" s="201"/>
      <c r="MVQ171" s="201"/>
      <c r="MVR171" s="201"/>
      <c r="MVS171" s="201"/>
      <c r="MVT171" s="201"/>
      <c r="MVU171" s="201"/>
      <c r="MVV171" s="201"/>
      <c r="MVW171" s="201"/>
      <c r="MVX171" s="201"/>
      <c r="MVY171" s="201"/>
      <c r="MVZ171" s="201"/>
      <c r="MWA171" s="201"/>
      <c r="MWB171" s="201"/>
      <c r="MWC171" s="201"/>
      <c r="MWD171" s="201"/>
      <c r="MWE171" s="201"/>
      <c r="MWF171" s="201"/>
      <c r="MWG171" s="201"/>
      <c r="MWH171" s="201"/>
      <c r="MWI171" s="201"/>
      <c r="MWJ171" s="201"/>
      <c r="MWK171" s="201"/>
      <c r="MWL171" s="201"/>
      <c r="MWM171" s="201"/>
      <c r="MWN171" s="201"/>
      <c r="MWO171" s="201"/>
      <c r="MWP171" s="201"/>
      <c r="MWQ171" s="201"/>
      <c r="MWR171" s="201"/>
      <c r="MWS171" s="201"/>
      <c r="MWT171" s="201"/>
      <c r="MWU171" s="201"/>
      <c r="MWV171" s="201"/>
      <c r="MWW171" s="201"/>
      <c r="MWX171" s="201"/>
      <c r="MWY171" s="201"/>
      <c r="MWZ171" s="201"/>
      <c r="MXA171" s="201"/>
      <c r="MXB171" s="201"/>
      <c r="MXC171" s="201"/>
      <c r="MXD171" s="201"/>
      <c r="MXE171" s="201"/>
      <c r="MXF171" s="201"/>
      <c r="MXG171" s="201"/>
      <c r="MXH171" s="201"/>
      <c r="MXI171" s="201"/>
      <c r="MXJ171" s="201"/>
      <c r="MXK171" s="201"/>
      <c r="MXL171" s="201"/>
      <c r="MXM171" s="201"/>
      <c r="MXN171" s="201"/>
      <c r="MXO171" s="201"/>
      <c r="MXP171" s="201"/>
      <c r="MXQ171" s="201"/>
      <c r="MXR171" s="201"/>
      <c r="MXS171" s="201"/>
      <c r="MXT171" s="201"/>
      <c r="MXU171" s="201"/>
      <c r="MXV171" s="201"/>
      <c r="MXW171" s="201"/>
      <c r="MXX171" s="201"/>
      <c r="MXY171" s="201"/>
      <c r="MXZ171" s="201"/>
      <c r="MYA171" s="201"/>
      <c r="MYB171" s="201"/>
      <c r="MYC171" s="201"/>
      <c r="MYD171" s="201"/>
      <c r="MYE171" s="201"/>
      <c r="MYF171" s="201"/>
      <c r="MYG171" s="201"/>
      <c r="MYH171" s="201"/>
      <c r="MYI171" s="201"/>
      <c r="MYJ171" s="201"/>
      <c r="MYK171" s="201"/>
      <c r="MYL171" s="201"/>
      <c r="MYM171" s="201"/>
      <c r="MYN171" s="201"/>
      <c r="MYO171" s="201"/>
      <c r="MYP171" s="201"/>
      <c r="MYQ171" s="201"/>
      <c r="MYR171" s="201"/>
      <c r="MYS171" s="201"/>
      <c r="MYT171" s="201"/>
      <c r="MYU171" s="201"/>
      <c r="MYV171" s="201"/>
      <c r="MYW171" s="201"/>
      <c r="MYX171" s="201"/>
      <c r="MYY171" s="201"/>
      <c r="MYZ171" s="201"/>
      <c r="MZA171" s="201"/>
      <c r="MZB171" s="201"/>
      <c r="MZC171" s="201"/>
      <c r="MZD171" s="201"/>
      <c r="MZE171" s="201"/>
      <c r="MZF171" s="201"/>
      <c r="MZG171" s="201"/>
      <c r="MZH171" s="201"/>
      <c r="MZI171" s="201"/>
      <c r="MZJ171" s="201"/>
      <c r="MZK171" s="201"/>
      <c r="MZL171" s="201"/>
      <c r="MZM171" s="201"/>
      <c r="MZN171" s="201"/>
      <c r="MZO171" s="201"/>
      <c r="MZP171" s="201"/>
      <c r="MZQ171" s="201"/>
      <c r="MZR171" s="201"/>
      <c r="MZS171" s="201"/>
      <c r="MZT171" s="201"/>
      <c r="MZU171" s="201"/>
      <c r="MZV171" s="201"/>
      <c r="MZW171" s="201"/>
      <c r="MZX171" s="201"/>
      <c r="MZY171" s="201"/>
      <c r="MZZ171" s="201"/>
      <c r="NAA171" s="201"/>
      <c r="NAB171" s="201"/>
      <c r="NAC171" s="201"/>
      <c r="NAD171" s="201"/>
      <c r="NAE171" s="201"/>
      <c r="NAF171" s="201"/>
      <c r="NAG171" s="201"/>
      <c r="NAH171" s="201"/>
      <c r="NAI171" s="201"/>
      <c r="NAJ171" s="201"/>
      <c r="NAK171" s="201"/>
      <c r="NAL171" s="201"/>
      <c r="NAM171" s="201"/>
      <c r="NAN171" s="201"/>
      <c r="NAO171" s="201"/>
      <c r="NAP171" s="201"/>
      <c r="NAQ171" s="201"/>
      <c r="NAR171" s="201"/>
      <c r="NAS171" s="201"/>
      <c r="NAT171" s="201"/>
      <c r="NAU171" s="201"/>
      <c r="NAV171" s="201"/>
      <c r="NAW171" s="201"/>
      <c r="NAX171" s="201"/>
      <c r="NAY171" s="201"/>
      <c r="NAZ171" s="201"/>
      <c r="NBA171" s="201"/>
      <c r="NBB171" s="201"/>
      <c r="NBC171" s="201"/>
      <c r="NBD171" s="201"/>
      <c r="NBE171" s="201"/>
      <c r="NBF171" s="201"/>
      <c r="NBG171" s="201"/>
      <c r="NBH171" s="201"/>
      <c r="NBI171" s="201"/>
      <c r="NBJ171" s="201"/>
      <c r="NBK171" s="201"/>
      <c r="NBL171" s="201"/>
      <c r="NBM171" s="201"/>
      <c r="NBN171" s="201"/>
      <c r="NBO171" s="201"/>
      <c r="NBP171" s="201"/>
      <c r="NBQ171" s="201"/>
      <c r="NBR171" s="201"/>
      <c r="NBS171" s="201"/>
      <c r="NBT171" s="201"/>
      <c r="NBU171" s="201"/>
      <c r="NBV171" s="201"/>
      <c r="NBW171" s="201"/>
      <c r="NBX171" s="201"/>
      <c r="NBY171" s="201"/>
      <c r="NBZ171" s="201"/>
      <c r="NCA171" s="201"/>
      <c r="NCB171" s="201"/>
      <c r="NCC171" s="201"/>
      <c r="NCD171" s="201"/>
      <c r="NCE171" s="201"/>
      <c r="NCF171" s="201"/>
      <c r="NCG171" s="201"/>
      <c r="NCH171" s="201"/>
      <c r="NCI171" s="201"/>
      <c r="NCJ171" s="201"/>
      <c r="NCK171" s="201"/>
      <c r="NCL171" s="201"/>
      <c r="NCM171" s="201"/>
      <c r="NCN171" s="201"/>
      <c r="NCO171" s="201"/>
      <c r="NCP171" s="201"/>
      <c r="NCQ171" s="201"/>
      <c r="NCR171" s="201"/>
      <c r="NCS171" s="201"/>
      <c r="NCT171" s="201"/>
      <c r="NCU171" s="201"/>
      <c r="NCV171" s="201"/>
      <c r="NCW171" s="201"/>
      <c r="NCX171" s="201"/>
      <c r="NCY171" s="201"/>
      <c r="NCZ171" s="201"/>
      <c r="NDA171" s="201"/>
      <c r="NDB171" s="201"/>
      <c r="NDC171" s="201"/>
      <c r="NDD171" s="201"/>
      <c r="NDE171" s="201"/>
      <c r="NDF171" s="201"/>
      <c r="NDG171" s="201"/>
      <c r="NDH171" s="201"/>
      <c r="NDI171" s="201"/>
      <c r="NDJ171" s="201"/>
      <c r="NDK171" s="201"/>
      <c r="NDL171" s="201"/>
      <c r="NDM171" s="201"/>
      <c r="NDN171" s="201"/>
      <c r="NDO171" s="201"/>
      <c r="NDP171" s="201"/>
      <c r="NDQ171" s="201"/>
      <c r="NDR171" s="201"/>
      <c r="NDS171" s="201"/>
      <c r="NDT171" s="201"/>
      <c r="NDU171" s="201"/>
      <c r="NDV171" s="201"/>
      <c r="NDW171" s="201"/>
      <c r="NDX171" s="201"/>
      <c r="NDY171" s="201"/>
      <c r="NDZ171" s="201"/>
      <c r="NEA171" s="201"/>
      <c r="NEB171" s="201"/>
      <c r="NEC171" s="201"/>
      <c r="NED171" s="201"/>
      <c r="NEE171" s="201"/>
      <c r="NEF171" s="201"/>
      <c r="NEG171" s="201"/>
      <c r="NEH171" s="201"/>
      <c r="NEI171" s="201"/>
      <c r="NEJ171" s="201"/>
      <c r="NEK171" s="201"/>
      <c r="NEL171" s="201"/>
      <c r="NEM171" s="201"/>
      <c r="NEN171" s="201"/>
      <c r="NEO171" s="201"/>
      <c r="NEP171" s="201"/>
      <c r="NEQ171" s="201"/>
      <c r="NER171" s="201"/>
      <c r="NES171" s="201"/>
      <c r="NET171" s="201"/>
      <c r="NEU171" s="201"/>
      <c r="NEV171" s="201"/>
      <c r="NEW171" s="201"/>
      <c r="NEX171" s="201"/>
      <c r="NEY171" s="201"/>
      <c r="NEZ171" s="201"/>
      <c r="NFA171" s="201"/>
      <c r="NFB171" s="201"/>
      <c r="NFC171" s="201"/>
      <c r="NFD171" s="201"/>
      <c r="NFE171" s="201"/>
      <c r="NFF171" s="201"/>
      <c r="NFG171" s="201"/>
      <c r="NFH171" s="201"/>
      <c r="NFI171" s="201"/>
      <c r="NFJ171" s="201"/>
      <c r="NFK171" s="201"/>
      <c r="NFL171" s="201"/>
      <c r="NFM171" s="201"/>
      <c r="NFN171" s="201"/>
      <c r="NFO171" s="201"/>
      <c r="NFP171" s="201"/>
      <c r="NFQ171" s="201"/>
      <c r="NFR171" s="201"/>
      <c r="NFS171" s="201"/>
      <c r="NFT171" s="201"/>
      <c r="NFU171" s="201"/>
      <c r="NFV171" s="201"/>
      <c r="NFW171" s="201"/>
      <c r="NFX171" s="201"/>
      <c r="NFY171" s="201"/>
      <c r="NFZ171" s="201"/>
      <c r="NGA171" s="201"/>
      <c r="NGB171" s="201"/>
      <c r="NGC171" s="201"/>
      <c r="NGD171" s="201"/>
      <c r="NGE171" s="201"/>
      <c r="NGF171" s="201"/>
      <c r="NGG171" s="201"/>
      <c r="NGH171" s="201"/>
      <c r="NGI171" s="201"/>
      <c r="NGJ171" s="201"/>
      <c r="NGK171" s="201"/>
      <c r="NGL171" s="201"/>
      <c r="NGM171" s="201"/>
      <c r="NGN171" s="201"/>
      <c r="NGO171" s="201"/>
      <c r="NGP171" s="201"/>
      <c r="NGQ171" s="201"/>
      <c r="NGR171" s="201"/>
      <c r="NGS171" s="201"/>
      <c r="NGT171" s="201"/>
      <c r="NGU171" s="201"/>
      <c r="NGV171" s="201"/>
      <c r="NGW171" s="201"/>
      <c r="NGX171" s="201"/>
      <c r="NGY171" s="201"/>
      <c r="NGZ171" s="201"/>
      <c r="NHA171" s="201"/>
      <c r="NHB171" s="201"/>
      <c r="NHC171" s="201"/>
      <c r="NHD171" s="201"/>
      <c r="NHE171" s="201"/>
      <c r="NHF171" s="201"/>
      <c r="NHG171" s="201"/>
      <c r="NHH171" s="201"/>
      <c r="NHI171" s="201"/>
      <c r="NHJ171" s="201"/>
      <c r="NHK171" s="201"/>
      <c r="NHL171" s="201"/>
      <c r="NHM171" s="201"/>
      <c r="NHN171" s="201"/>
      <c r="NHO171" s="201"/>
      <c r="NHP171" s="201"/>
      <c r="NHQ171" s="201"/>
      <c r="NHR171" s="201"/>
      <c r="NHS171" s="201"/>
      <c r="NHT171" s="201"/>
      <c r="NHU171" s="201"/>
      <c r="NHV171" s="201"/>
      <c r="NHW171" s="201"/>
      <c r="NHX171" s="201"/>
      <c r="NHY171" s="201"/>
      <c r="NHZ171" s="201"/>
      <c r="NIA171" s="201"/>
      <c r="NIB171" s="201"/>
      <c r="NIC171" s="201"/>
      <c r="NID171" s="201"/>
      <c r="NIE171" s="201"/>
      <c r="NIF171" s="201"/>
      <c r="NIG171" s="201"/>
      <c r="NIH171" s="201"/>
      <c r="NII171" s="201"/>
      <c r="NIJ171" s="201"/>
      <c r="NIK171" s="201"/>
      <c r="NIL171" s="201"/>
      <c r="NIM171" s="201"/>
      <c r="NIN171" s="201"/>
      <c r="NIO171" s="201"/>
      <c r="NIP171" s="201"/>
      <c r="NIQ171" s="201"/>
      <c r="NIR171" s="201"/>
      <c r="NIS171" s="201"/>
      <c r="NIT171" s="201"/>
      <c r="NIU171" s="201"/>
      <c r="NIV171" s="201"/>
      <c r="NIW171" s="201"/>
      <c r="NIX171" s="201"/>
      <c r="NIY171" s="201"/>
      <c r="NIZ171" s="201"/>
      <c r="NJA171" s="201"/>
      <c r="NJB171" s="201"/>
      <c r="NJC171" s="201"/>
      <c r="NJD171" s="201"/>
      <c r="NJE171" s="201"/>
      <c r="NJF171" s="201"/>
      <c r="NJG171" s="201"/>
      <c r="NJH171" s="201"/>
      <c r="NJI171" s="201"/>
      <c r="NJJ171" s="201"/>
      <c r="NJK171" s="201"/>
      <c r="NJL171" s="201"/>
      <c r="NJM171" s="201"/>
      <c r="NJN171" s="201"/>
      <c r="NJO171" s="201"/>
      <c r="NJP171" s="201"/>
      <c r="NJQ171" s="201"/>
      <c r="NJR171" s="201"/>
      <c r="NJS171" s="201"/>
      <c r="NJT171" s="201"/>
      <c r="NJU171" s="201"/>
      <c r="NJV171" s="201"/>
      <c r="NJW171" s="201"/>
      <c r="NJX171" s="201"/>
      <c r="NJY171" s="201"/>
      <c r="NJZ171" s="201"/>
      <c r="NKA171" s="201"/>
      <c r="NKB171" s="201"/>
      <c r="NKC171" s="201"/>
      <c r="NKD171" s="201"/>
      <c r="NKE171" s="201"/>
      <c r="NKF171" s="201"/>
      <c r="NKG171" s="201"/>
      <c r="NKH171" s="201"/>
      <c r="NKI171" s="201"/>
      <c r="NKJ171" s="201"/>
      <c r="NKK171" s="201"/>
      <c r="NKL171" s="201"/>
      <c r="NKM171" s="201"/>
      <c r="NKN171" s="201"/>
      <c r="NKO171" s="201"/>
      <c r="NKP171" s="201"/>
      <c r="NKQ171" s="201"/>
      <c r="NKR171" s="201"/>
      <c r="NKS171" s="201"/>
      <c r="NKT171" s="201"/>
      <c r="NKU171" s="201"/>
      <c r="NKV171" s="201"/>
      <c r="NKW171" s="201"/>
      <c r="NKX171" s="201"/>
      <c r="NKY171" s="201"/>
      <c r="NKZ171" s="201"/>
      <c r="NLA171" s="201"/>
      <c r="NLB171" s="201"/>
      <c r="NLC171" s="201"/>
      <c r="NLD171" s="201"/>
      <c r="NLE171" s="201"/>
      <c r="NLF171" s="201"/>
      <c r="NLG171" s="201"/>
      <c r="NLH171" s="201"/>
      <c r="NLI171" s="201"/>
      <c r="NLJ171" s="201"/>
      <c r="NLK171" s="201"/>
      <c r="NLL171" s="201"/>
      <c r="NLM171" s="201"/>
      <c r="NLN171" s="201"/>
      <c r="NLO171" s="201"/>
      <c r="NLP171" s="201"/>
      <c r="NLQ171" s="201"/>
      <c r="NLR171" s="201"/>
      <c r="NLS171" s="201"/>
      <c r="NLT171" s="201"/>
      <c r="NLU171" s="201"/>
      <c r="NLV171" s="201"/>
      <c r="NLW171" s="201"/>
      <c r="NLX171" s="201"/>
      <c r="NLY171" s="201"/>
      <c r="NLZ171" s="201"/>
      <c r="NMA171" s="201"/>
      <c r="NMB171" s="201"/>
      <c r="NMC171" s="201"/>
      <c r="NMD171" s="201"/>
      <c r="NME171" s="201"/>
      <c r="NMF171" s="201"/>
      <c r="NMG171" s="201"/>
      <c r="NMH171" s="201"/>
      <c r="NMI171" s="201"/>
      <c r="NMJ171" s="201"/>
      <c r="NMK171" s="201"/>
      <c r="NML171" s="201"/>
      <c r="NMM171" s="201"/>
      <c r="NMN171" s="201"/>
      <c r="NMO171" s="201"/>
      <c r="NMP171" s="201"/>
      <c r="NMQ171" s="201"/>
      <c r="NMR171" s="201"/>
      <c r="NMS171" s="201"/>
      <c r="NMT171" s="201"/>
      <c r="NMU171" s="201"/>
      <c r="NMV171" s="201"/>
      <c r="NMW171" s="201"/>
      <c r="NMX171" s="201"/>
      <c r="NMY171" s="201"/>
      <c r="NMZ171" s="201"/>
      <c r="NNA171" s="201"/>
      <c r="NNB171" s="201"/>
      <c r="NNC171" s="201"/>
      <c r="NND171" s="201"/>
      <c r="NNE171" s="201"/>
      <c r="NNF171" s="201"/>
      <c r="NNG171" s="201"/>
      <c r="NNH171" s="201"/>
      <c r="NNI171" s="201"/>
      <c r="NNJ171" s="201"/>
      <c r="NNK171" s="201"/>
      <c r="NNL171" s="201"/>
      <c r="NNM171" s="201"/>
      <c r="NNN171" s="201"/>
      <c r="NNO171" s="201"/>
      <c r="NNP171" s="201"/>
      <c r="NNQ171" s="201"/>
      <c r="NNR171" s="201"/>
      <c r="NNS171" s="201"/>
      <c r="NNT171" s="201"/>
      <c r="NNU171" s="201"/>
      <c r="NNV171" s="201"/>
      <c r="NNW171" s="201"/>
      <c r="NNX171" s="201"/>
      <c r="NNY171" s="201"/>
      <c r="NNZ171" s="201"/>
      <c r="NOA171" s="201"/>
      <c r="NOB171" s="201"/>
      <c r="NOC171" s="201"/>
      <c r="NOD171" s="201"/>
      <c r="NOE171" s="201"/>
      <c r="NOF171" s="201"/>
      <c r="NOG171" s="201"/>
      <c r="NOH171" s="201"/>
      <c r="NOI171" s="201"/>
      <c r="NOJ171" s="201"/>
      <c r="NOK171" s="201"/>
      <c r="NOL171" s="201"/>
      <c r="NOM171" s="201"/>
      <c r="NON171" s="201"/>
      <c r="NOO171" s="201"/>
      <c r="NOP171" s="201"/>
      <c r="NOQ171" s="201"/>
      <c r="NOR171" s="201"/>
      <c r="NOS171" s="201"/>
      <c r="NOT171" s="201"/>
      <c r="NOU171" s="201"/>
      <c r="NOV171" s="201"/>
      <c r="NOW171" s="201"/>
      <c r="NOX171" s="201"/>
      <c r="NOY171" s="201"/>
      <c r="NOZ171" s="201"/>
      <c r="NPA171" s="201"/>
      <c r="NPB171" s="201"/>
      <c r="NPC171" s="201"/>
      <c r="NPD171" s="201"/>
      <c r="NPE171" s="201"/>
      <c r="NPF171" s="201"/>
      <c r="NPG171" s="201"/>
      <c r="NPH171" s="201"/>
      <c r="NPI171" s="201"/>
      <c r="NPJ171" s="201"/>
      <c r="NPK171" s="201"/>
      <c r="NPL171" s="201"/>
      <c r="NPM171" s="201"/>
      <c r="NPN171" s="201"/>
      <c r="NPO171" s="201"/>
      <c r="NPP171" s="201"/>
      <c r="NPQ171" s="201"/>
      <c r="NPR171" s="201"/>
      <c r="NPS171" s="201"/>
      <c r="NPT171" s="201"/>
      <c r="NPU171" s="201"/>
      <c r="NPV171" s="201"/>
      <c r="NPW171" s="201"/>
      <c r="NPX171" s="201"/>
      <c r="NPY171" s="201"/>
      <c r="NPZ171" s="201"/>
      <c r="NQA171" s="201"/>
      <c r="NQB171" s="201"/>
      <c r="NQC171" s="201"/>
      <c r="NQD171" s="201"/>
      <c r="NQE171" s="201"/>
      <c r="NQF171" s="201"/>
      <c r="NQG171" s="201"/>
      <c r="NQH171" s="201"/>
      <c r="NQI171" s="201"/>
      <c r="NQJ171" s="201"/>
      <c r="NQK171" s="201"/>
      <c r="NQL171" s="201"/>
      <c r="NQM171" s="201"/>
      <c r="NQN171" s="201"/>
      <c r="NQO171" s="201"/>
      <c r="NQP171" s="201"/>
      <c r="NQQ171" s="201"/>
      <c r="NQR171" s="201"/>
      <c r="NQS171" s="201"/>
      <c r="NQT171" s="201"/>
      <c r="NQU171" s="201"/>
      <c r="NQV171" s="201"/>
      <c r="NQW171" s="201"/>
      <c r="NQX171" s="201"/>
      <c r="NQY171" s="201"/>
      <c r="NQZ171" s="201"/>
      <c r="NRA171" s="201"/>
      <c r="NRB171" s="201"/>
      <c r="NRC171" s="201"/>
      <c r="NRD171" s="201"/>
      <c r="NRE171" s="201"/>
      <c r="NRF171" s="201"/>
      <c r="NRG171" s="201"/>
      <c r="NRH171" s="201"/>
      <c r="NRI171" s="201"/>
      <c r="NRJ171" s="201"/>
      <c r="NRK171" s="201"/>
      <c r="NRL171" s="201"/>
      <c r="NRM171" s="201"/>
      <c r="NRN171" s="201"/>
      <c r="NRO171" s="201"/>
      <c r="NRP171" s="201"/>
      <c r="NRQ171" s="201"/>
      <c r="NRR171" s="201"/>
      <c r="NRS171" s="201"/>
      <c r="NRT171" s="201"/>
      <c r="NRU171" s="201"/>
      <c r="NRV171" s="201"/>
      <c r="NRW171" s="201"/>
      <c r="NRX171" s="201"/>
      <c r="NRY171" s="201"/>
      <c r="NRZ171" s="201"/>
      <c r="NSA171" s="201"/>
      <c r="NSB171" s="201"/>
      <c r="NSC171" s="201"/>
      <c r="NSD171" s="201"/>
      <c r="NSE171" s="201"/>
      <c r="NSF171" s="201"/>
      <c r="NSG171" s="201"/>
      <c r="NSH171" s="201"/>
      <c r="NSI171" s="201"/>
      <c r="NSJ171" s="201"/>
      <c r="NSK171" s="201"/>
      <c r="NSL171" s="201"/>
      <c r="NSM171" s="201"/>
      <c r="NSN171" s="201"/>
      <c r="NSO171" s="201"/>
      <c r="NSP171" s="201"/>
      <c r="NSQ171" s="201"/>
      <c r="NSR171" s="201"/>
      <c r="NSS171" s="201"/>
      <c r="NST171" s="201"/>
      <c r="NSU171" s="201"/>
      <c r="NSV171" s="201"/>
      <c r="NSW171" s="201"/>
      <c r="NSX171" s="201"/>
      <c r="NSY171" s="201"/>
      <c r="NSZ171" s="201"/>
      <c r="NTA171" s="201"/>
      <c r="NTB171" s="201"/>
      <c r="NTC171" s="201"/>
      <c r="NTD171" s="201"/>
      <c r="NTE171" s="201"/>
      <c r="NTF171" s="201"/>
      <c r="NTG171" s="201"/>
      <c r="NTH171" s="201"/>
      <c r="NTI171" s="201"/>
      <c r="NTJ171" s="201"/>
      <c r="NTK171" s="201"/>
      <c r="NTL171" s="201"/>
      <c r="NTM171" s="201"/>
      <c r="NTN171" s="201"/>
      <c r="NTO171" s="201"/>
      <c r="NTP171" s="201"/>
      <c r="NTQ171" s="201"/>
      <c r="NTR171" s="201"/>
      <c r="NTS171" s="201"/>
      <c r="NTT171" s="201"/>
      <c r="NTU171" s="201"/>
      <c r="NTV171" s="201"/>
      <c r="NTW171" s="201"/>
      <c r="NTX171" s="201"/>
      <c r="NTY171" s="201"/>
      <c r="NTZ171" s="201"/>
      <c r="NUA171" s="201"/>
      <c r="NUB171" s="201"/>
      <c r="NUC171" s="201"/>
      <c r="NUD171" s="201"/>
      <c r="NUE171" s="201"/>
      <c r="NUF171" s="201"/>
      <c r="NUG171" s="201"/>
      <c r="NUH171" s="201"/>
      <c r="NUI171" s="201"/>
      <c r="NUJ171" s="201"/>
      <c r="NUK171" s="201"/>
      <c r="NUL171" s="201"/>
      <c r="NUM171" s="201"/>
      <c r="NUN171" s="201"/>
      <c r="NUO171" s="201"/>
      <c r="NUP171" s="201"/>
      <c r="NUQ171" s="201"/>
      <c r="NUR171" s="201"/>
      <c r="NUS171" s="201"/>
      <c r="NUT171" s="201"/>
      <c r="NUU171" s="201"/>
      <c r="NUV171" s="201"/>
      <c r="NUW171" s="201"/>
      <c r="NUX171" s="201"/>
      <c r="NUY171" s="201"/>
      <c r="NUZ171" s="201"/>
      <c r="NVA171" s="201"/>
      <c r="NVB171" s="201"/>
      <c r="NVC171" s="201"/>
      <c r="NVD171" s="201"/>
      <c r="NVE171" s="201"/>
      <c r="NVF171" s="201"/>
      <c r="NVG171" s="201"/>
      <c r="NVH171" s="201"/>
      <c r="NVI171" s="201"/>
      <c r="NVJ171" s="201"/>
      <c r="NVK171" s="201"/>
      <c r="NVL171" s="201"/>
      <c r="NVM171" s="201"/>
      <c r="NVN171" s="201"/>
      <c r="NVO171" s="201"/>
      <c r="NVP171" s="201"/>
      <c r="NVQ171" s="201"/>
      <c r="NVR171" s="201"/>
      <c r="NVS171" s="201"/>
      <c r="NVT171" s="201"/>
      <c r="NVU171" s="201"/>
      <c r="NVV171" s="201"/>
      <c r="NVW171" s="201"/>
      <c r="NVX171" s="201"/>
      <c r="NVY171" s="201"/>
      <c r="NVZ171" s="201"/>
      <c r="NWA171" s="201"/>
      <c r="NWB171" s="201"/>
      <c r="NWC171" s="201"/>
      <c r="NWD171" s="201"/>
      <c r="NWE171" s="201"/>
      <c r="NWF171" s="201"/>
      <c r="NWG171" s="201"/>
      <c r="NWH171" s="201"/>
      <c r="NWI171" s="201"/>
      <c r="NWJ171" s="201"/>
      <c r="NWK171" s="201"/>
      <c r="NWL171" s="201"/>
      <c r="NWM171" s="201"/>
      <c r="NWN171" s="201"/>
      <c r="NWO171" s="201"/>
      <c r="NWP171" s="201"/>
      <c r="NWQ171" s="201"/>
      <c r="NWR171" s="201"/>
      <c r="NWS171" s="201"/>
      <c r="NWT171" s="201"/>
      <c r="NWU171" s="201"/>
      <c r="NWV171" s="201"/>
      <c r="NWW171" s="201"/>
      <c r="NWX171" s="201"/>
      <c r="NWY171" s="201"/>
      <c r="NWZ171" s="201"/>
      <c r="NXA171" s="201"/>
      <c r="NXB171" s="201"/>
      <c r="NXC171" s="201"/>
      <c r="NXD171" s="201"/>
      <c r="NXE171" s="201"/>
      <c r="NXF171" s="201"/>
      <c r="NXG171" s="201"/>
      <c r="NXH171" s="201"/>
      <c r="NXI171" s="201"/>
      <c r="NXJ171" s="201"/>
      <c r="NXK171" s="201"/>
      <c r="NXL171" s="201"/>
      <c r="NXM171" s="201"/>
      <c r="NXN171" s="201"/>
      <c r="NXO171" s="201"/>
      <c r="NXP171" s="201"/>
      <c r="NXQ171" s="201"/>
      <c r="NXR171" s="201"/>
      <c r="NXS171" s="201"/>
      <c r="NXT171" s="201"/>
      <c r="NXU171" s="201"/>
      <c r="NXV171" s="201"/>
      <c r="NXW171" s="201"/>
      <c r="NXX171" s="201"/>
      <c r="NXY171" s="201"/>
      <c r="NXZ171" s="201"/>
      <c r="NYA171" s="201"/>
      <c r="NYB171" s="201"/>
      <c r="NYC171" s="201"/>
      <c r="NYD171" s="201"/>
      <c r="NYE171" s="201"/>
      <c r="NYF171" s="201"/>
      <c r="NYG171" s="201"/>
      <c r="NYH171" s="201"/>
      <c r="NYI171" s="201"/>
      <c r="NYJ171" s="201"/>
      <c r="NYK171" s="201"/>
      <c r="NYL171" s="201"/>
      <c r="NYM171" s="201"/>
      <c r="NYN171" s="201"/>
      <c r="NYO171" s="201"/>
      <c r="NYP171" s="201"/>
      <c r="NYQ171" s="201"/>
      <c r="NYR171" s="201"/>
      <c r="NYS171" s="201"/>
      <c r="NYT171" s="201"/>
      <c r="NYU171" s="201"/>
      <c r="NYV171" s="201"/>
      <c r="NYW171" s="201"/>
      <c r="NYX171" s="201"/>
      <c r="NYY171" s="201"/>
      <c r="NYZ171" s="201"/>
      <c r="NZA171" s="201"/>
      <c r="NZB171" s="201"/>
      <c r="NZC171" s="201"/>
      <c r="NZD171" s="201"/>
      <c r="NZE171" s="201"/>
      <c r="NZF171" s="201"/>
      <c r="NZG171" s="201"/>
      <c r="NZH171" s="201"/>
      <c r="NZI171" s="201"/>
      <c r="NZJ171" s="201"/>
      <c r="NZK171" s="201"/>
      <c r="NZL171" s="201"/>
      <c r="NZM171" s="201"/>
      <c r="NZN171" s="201"/>
      <c r="NZO171" s="201"/>
      <c r="NZP171" s="201"/>
      <c r="NZQ171" s="201"/>
      <c r="NZR171" s="201"/>
      <c r="NZS171" s="201"/>
      <c r="NZT171" s="201"/>
      <c r="NZU171" s="201"/>
      <c r="NZV171" s="201"/>
      <c r="NZW171" s="201"/>
      <c r="NZX171" s="201"/>
      <c r="NZY171" s="201"/>
      <c r="NZZ171" s="201"/>
      <c r="OAA171" s="201"/>
      <c r="OAB171" s="201"/>
      <c r="OAC171" s="201"/>
      <c r="OAD171" s="201"/>
      <c r="OAE171" s="201"/>
      <c r="OAF171" s="201"/>
      <c r="OAG171" s="201"/>
      <c r="OAH171" s="201"/>
      <c r="OAI171" s="201"/>
      <c r="OAJ171" s="201"/>
      <c r="OAK171" s="201"/>
      <c r="OAL171" s="201"/>
      <c r="OAM171" s="201"/>
      <c r="OAN171" s="201"/>
      <c r="OAO171" s="201"/>
      <c r="OAP171" s="201"/>
      <c r="OAQ171" s="201"/>
      <c r="OAR171" s="201"/>
      <c r="OAS171" s="201"/>
      <c r="OAT171" s="201"/>
      <c r="OAU171" s="201"/>
      <c r="OAV171" s="201"/>
      <c r="OAW171" s="201"/>
      <c r="OAX171" s="201"/>
      <c r="OAY171" s="201"/>
      <c r="OAZ171" s="201"/>
      <c r="OBA171" s="201"/>
      <c r="OBB171" s="201"/>
      <c r="OBC171" s="201"/>
      <c r="OBD171" s="201"/>
      <c r="OBE171" s="201"/>
      <c r="OBF171" s="201"/>
      <c r="OBG171" s="201"/>
      <c r="OBH171" s="201"/>
      <c r="OBI171" s="201"/>
      <c r="OBJ171" s="201"/>
      <c r="OBK171" s="201"/>
      <c r="OBL171" s="201"/>
      <c r="OBM171" s="201"/>
      <c r="OBN171" s="201"/>
      <c r="OBO171" s="201"/>
      <c r="OBP171" s="201"/>
      <c r="OBQ171" s="201"/>
      <c r="OBR171" s="201"/>
      <c r="OBS171" s="201"/>
      <c r="OBT171" s="201"/>
      <c r="OBU171" s="201"/>
      <c r="OBV171" s="201"/>
      <c r="OBW171" s="201"/>
      <c r="OBX171" s="201"/>
      <c r="OBY171" s="201"/>
      <c r="OBZ171" s="201"/>
      <c r="OCA171" s="201"/>
      <c r="OCB171" s="201"/>
      <c r="OCC171" s="201"/>
      <c r="OCD171" s="201"/>
      <c r="OCE171" s="201"/>
      <c r="OCF171" s="201"/>
      <c r="OCG171" s="201"/>
      <c r="OCH171" s="201"/>
      <c r="OCI171" s="201"/>
      <c r="OCJ171" s="201"/>
      <c r="OCK171" s="201"/>
      <c r="OCL171" s="201"/>
      <c r="OCM171" s="201"/>
      <c r="OCN171" s="201"/>
      <c r="OCO171" s="201"/>
      <c r="OCP171" s="201"/>
      <c r="OCQ171" s="201"/>
      <c r="OCR171" s="201"/>
      <c r="OCS171" s="201"/>
      <c r="OCT171" s="201"/>
      <c r="OCU171" s="201"/>
      <c r="OCV171" s="201"/>
      <c r="OCW171" s="201"/>
      <c r="OCX171" s="201"/>
      <c r="OCY171" s="201"/>
      <c r="OCZ171" s="201"/>
      <c r="ODA171" s="201"/>
      <c r="ODB171" s="201"/>
      <c r="ODC171" s="201"/>
      <c r="ODD171" s="201"/>
      <c r="ODE171" s="201"/>
      <c r="ODF171" s="201"/>
      <c r="ODG171" s="201"/>
      <c r="ODH171" s="201"/>
      <c r="ODI171" s="201"/>
      <c r="ODJ171" s="201"/>
      <c r="ODK171" s="201"/>
      <c r="ODL171" s="201"/>
      <c r="ODM171" s="201"/>
      <c r="ODN171" s="201"/>
      <c r="ODO171" s="201"/>
      <c r="ODP171" s="201"/>
      <c r="ODQ171" s="201"/>
      <c r="ODR171" s="201"/>
      <c r="ODS171" s="201"/>
      <c r="ODT171" s="201"/>
      <c r="ODU171" s="201"/>
      <c r="ODV171" s="201"/>
      <c r="ODW171" s="201"/>
      <c r="ODX171" s="201"/>
      <c r="ODY171" s="201"/>
      <c r="ODZ171" s="201"/>
      <c r="OEA171" s="201"/>
      <c r="OEB171" s="201"/>
      <c r="OEC171" s="201"/>
      <c r="OED171" s="201"/>
      <c r="OEE171" s="201"/>
      <c r="OEF171" s="201"/>
      <c r="OEG171" s="201"/>
      <c r="OEH171" s="201"/>
      <c r="OEI171" s="201"/>
      <c r="OEJ171" s="201"/>
      <c r="OEK171" s="201"/>
      <c r="OEL171" s="201"/>
      <c r="OEM171" s="201"/>
      <c r="OEN171" s="201"/>
      <c r="OEO171" s="201"/>
      <c r="OEP171" s="201"/>
      <c r="OEQ171" s="201"/>
      <c r="OER171" s="201"/>
      <c r="OES171" s="201"/>
      <c r="OET171" s="201"/>
      <c r="OEU171" s="201"/>
      <c r="OEV171" s="201"/>
      <c r="OEW171" s="201"/>
      <c r="OEX171" s="201"/>
      <c r="OEY171" s="201"/>
      <c r="OEZ171" s="201"/>
      <c r="OFA171" s="201"/>
      <c r="OFB171" s="201"/>
      <c r="OFC171" s="201"/>
      <c r="OFD171" s="201"/>
      <c r="OFE171" s="201"/>
      <c r="OFF171" s="201"/>
      <c r="OFG171" s="201"/>
      <c r="OFH171" s="201"/>
      <c r="OFI171" s="201"/>
      <c r="OFJ171" s="201"/>
      <c r="OFK171" s="201"/>
      <c r="OFL171" s="201"/>
      <c r="OFM171" s="201"/>
      <c r="OFN171" s="201"/>
      <c r="OFO171" s="201"/>
      <c r="OFP171" s="201"/>
      <c r="OFQ171" s="201"/>
      <c r="OFR171" s="201"/>
      <c r="OFS171" s="201"/>
      <c r="OFT171" s="201"/>
      <c r="OFU171" s="201"/>
      <c r="OFV171" s="201"/>
      <c r="OFW171" s="201"/>
      <c r="OFX171" s="201"/>
      <c r="OFY171" s="201"/>
      <c r="OFZ171" s="201"/>
      <c r="OGA171" s="201"/>
      <c r="OGB171" s="201"/>
      <c r="OGC171" s="201"/>
      <c r="OGD171" s="201"/>
      <c r="OGE171" s="201"/>
      <c r="OGF171" s="201"/>
      <c r="OGG171" s="201"/>
      <c r="OGH171" s="201"/>
      <c r="OGI171" s="201"/>
      <c r="OGJ171" s="201"/>
      <c r="OGK171" s="201"/>
      <c r="OGL171" s="201"/>
      <c r="OGM171" s="201"/>
      <c r="OGN171" s="201"/>
      <c r="OGO171" s="201"/>
      <c r="OGP171" s="201"/>
      <c r="OGQ171" s="201"/>
      <c r="OGR171" s="201"/>
      <c r="OGS171" s="201"/>
      <c r="OGT171" s="201"/>
      <c r="OGU171" s="201"/>
      <c r="OGV171" s="201"/>
      <c r="OGW171" s="201"/>
      <c r="OGX171" s="201"/>
      <c r="OGY171" s="201"/>
      <c r="OGZ171" s="201"/>
      <c r="OHA171" s="201"/>
      <c r="OHB171" s="201"/>
      <c r="OHC171" s="201"/>
      <c r="OHD171" s="201"/>
      <c r="OHE171" s="201"/>
      <c r="OHF171" s="201"/>
      <c r="OHG171" s="201"/>
      <c r="OHH171" s="201"/>
      <c r="OHI171" s="201"/>
      <c r="OHJ171" s="201"/>
      <c r="OHK171" s="201"/>
      <c r="OHL171" s="201"/>
      <c r="OHM171" s="201"/>
      <c r="OHN171" s="201"/>
      <c r="OHO171" s="201"/>
      <c r="OHP171" s="201"/>
      <c r="OHQ171" s="201"/>
      <c r="OHR171" s="201"/>
      <c r="OHS171" s="201"/>
      <c r="OHT171" s="201"/>
      <c r="OHU171" s="201"/>
      <c r="OHV171" s="201"/>
      <c r="OHW171" s="201"/>
      <c r="OHX171" s="201"/>
      <c r="OHY171" s="201"/>
      <c r="OHZ171" s="201"/>
      <c r="OIA171" s="201"/>
      <c r="OIB171" s="201"/>
      <c r="OIC171" s="201"/>
      <c r="OID171" s="201"/>
      <c r="OIE171" s="201"/>
      <c r="OIF171" s="201"/>
      <c r="OIG171" s="201"/>
      <c r="OIH171" s="201"/>
      <c r="OII171" s="201"/>
      <c r="OIJ171" s="201"/>
      <c r="OIK171" s="201"/>
      <c r="OIL171" s="201"/>
      <c r="OIM171" s="201"/>
      <c r="OIN171" s="201"/>
      <c r="OIO171" s="201"/>
      <c r="OIP171" s="201"/>
      <c r="OIQ171" s="201"/>
      <c r="OIR171" s="201"/>
      <c r="OIS171" s="201"/>
      <c r="OIT171" s="201"/>
      <c r="OIU171" s="201"/>
      <c r="OIV171" s="201"/>
      <c r="OIW171" s="201"/>
      <c r="OIX171" s="201"/>
      <c r="OIY171" s="201"/>
      <c r="OIZ171" s="201"/>
      <c r="OJA171" s="201"/>
      <c r="OJB171" s="201"/>
      <c r="OJC171" s="201"/>
      <c r="OJD171" s="201"/>
      <c r="OJE171" s="201"/>
      <c r="OJF171" s="201"/>
      <c r="OJG171" s="201"/>
      <c r="OJH171" s="201"/>
      <c r="OJI171" s="201"/>
      <c r="OJJ171" s="201"/>
      <c r="OJK171" s="201"/>
      <c r="OJL171" s="201"/>
      <c r="OJM171" s="201"/>
      <c r="OJN171" s="201"/>
      <c r="OJO171" s="201"/>
      <c r="OJP171" s="201"/>
      <c r="OJQ171" s="201"/>
      <c r="OJR171" s="201"/>
      <c r="OJS171" s="201"/>
      <c r="OJT171" s="201"/>
      <c r="OJU171" s="201"/>
      <c r="OJV171" s="201"/>
      <c r="OJW171" s="201"/>
      <c r="OJX171" s="201"/>
      <c r="OJY171" s="201"/>
      <c r="OJZ171" s="201"/>
      <c r="OKA171" s="201"/>
      <c r="OKB171" s="201"/>
      <c r="OKC171" s="201"/>
      <c r="OKD171" s="201"/>
      <c r="OKE171" s="201"/>
      <c r="OKF171" s="201"/>
      <c r="OKG171" s="201"/>
      <c r="OKH171" s="201"/>
      <c r="OKI171" s="201"/>
      <c r="OKJ171" s="201"/>
      <c r="OKK171" s="201"/>
      <c r="OKL171" s="201"/>
      <c r="OKM171" s="201"/>
      <c r="OKN171" s="201"/>
      <c r="OKO171" s="201"/>
      <c r="OKP171" s="201"/>
      <c r="OKQ171" s="201"/>
      <c r="OKR171" s="201"/>
      <c r="OKS171" s="201"/>
      <c r="OKT171" s="201"/>
      <c r="OKU171" s="201"/>
      <c r="OKV171" s="201"/>
      <c r="OKW171" s="201"/>
      <c r="OKX171" s="201"/>
      <c r="OKY171" s="201"/>
      <c r="OKZ171" s="201"/>
      <c r="OLA171" s="201"/>
      <c r="OLB171" s="201"/>
      <c r="OLC171" s="201"/>
      <c r="OLD171" s="201"/>
      <c r="OLE171" s="201"/>
      <c r="OLF171" s="201"/>
      <c r="OLG171" s="201"/>
      <c r="OLH171" s="201"/>
      <c r="OLI171" s="201"/>
      <c r="OLJ171" s="201"/>
      <c r="OLK171" s="201"/>
      <c r="OLL171" s="201"/>
      <c r="OLM171" s="201"/>
      <c r="OLN171" s="201"/>
      <c r="OLO171" s="201"/>
      <c r="OLP171" s="201"/>
      <c r="OLQ171" s="201"/>
      <c r="OLR171" s="201"/>
      <c r="OLS171" s="201"/>
      <c r="OLT171" s="201"/>
      <c r="OLU171" s="201"/>
      <c r="OLV171" s="201"/>
      <c r="OLW171" s="201"/>
      <c r="OLX171" s="201"/>
      <c r="OLY171" s="201"/>
      <c r="OLZ171" s="201"/>
      <c r="OMA171" s="201"/>
      <c r="OMB171" s="201"/>
      <c r="OMC171" s="201"/>
      <c r="OMD171" s="201"/>
      <c r="OME171" s="201"/>
      <c r="OMF171" s="201"/>
      <c r="OMG171" s="201"/>
      <c r="OMH171" s="201"/>
      <c r="OMI171" s="201"/>
      <c r="OMJ171" s="201"/>
      <c r="OMK171" s="201"/>
      <c r="OML171" s="201"/>
      <c r="OMM171" s="201"/>
      <c r="OMN171" s="201"/>
      <c r="OMO171" s="201"/>
      <c r="OMP171" s="201"/>
      <c r="OMQ171" s="201"/>
      <c r="OMR171" s="201"/>
      <c r="OMS171" s="201"/>
      <c r="OMT171" s="201"/>
      <c r="OMU171" s="201"/>
      <c r="OMV171" s="201"/>
      <c r="OMW171" s="201"/>
      <c r="OMX171" s="201"/>
      <c r="OMY171" s="201"/>
      <c r="OMZ171" s="201"/>
      <c r="ONA171" s="201"/>
      <c r="ONB171" s="201"/>
      <c r="ONC171" s="201"/>
      <c r="OND171" s="201"/>
      <c r="ONE171" s="201"/>
      <c r="ONF171" s="201"/>
      <c r="ONG171" s="201"/>
      <c r="ONH171" s="201"/>
      <c r="ONI171" s="201"/>
      <c r="ONJ171" s="201"/>
      <c r="ONK171" s="201"/>
      <c r="ONL171" s="201"/>
      <c r="ONM171" s="201"/>
      <c r="ONN171" s="201"/>
      <c r="ONO171" s="201"/>
      <c r="ONP171" s="201"/>
      <c r="ONQ171" s="201"/>
      <c r="ONR171" s="201"/>
      <c r="ONS171" s="201"/>
      <c r="ONT171" s="201"/>
      <c r="ONU171" s="201"/>
      <c r="ONV171" s="201"/>
      <c r="ONW171" s="201"/>
      <c r="ONX171" s="201"/>
      <c r="ONY171" s="201"/>
      <c r="ONZ171" s="201"/>
      <c r="OOA171" s="201"/>
      <c r="OOB171" s="201"/>
      <c r="OOC171" s="201"/>
      <c r="OOD171" s="201"/>
      <c r="OOE171" s="201"/>
      <c r="OOF171" s="201"/>
      <c r="OOG171" s="201"/>
      <c r="OOH171" s="201"/>
      <c r="OOI171" s="201"/>
      <c r="OOJ171" s="201"/>
      <c r="OOK171" s="201"/>
      <c r="OOL171" s="201"/>
      <c r="OOM171" s="201"/>
      <c r="OON171" s="201"/>
      <c r="OOO171" s="201"/>
      <c r="OOP171" s="201"/>
      <c r="OOQ171" s="201"/>
      <c r="OOR171" s="201"/>
      <c r="OOS171" s="201"/>
      <c r="OOT171" s="201"/>
      <c r="OOU171" s="201"/>
      <c r="OOV171" s="201"/>
      <c r="OOW171" s="201"/>
      <c r="OOX171" s="201"/>
      <c r="OOY171" s="201"/>
      <c r="OOZ171" s="201"/>
      <c r="OPA171" s="201"/>
      <c r="OPB171" s="201"/>
      <c r="OPC171" s="201"/>
      <c r="OPD171" s="201"/>
      <c r="OPE171" s="201"/>
      <c r="OPF171" s="201"/>
      <c r="OPG171" s="201"/>
      <c r="OPH171" s="201"/>
      <c r="OPI171" s="201"/>
      <c r="OPJ171" s="201"/>
      <c r="OPK171" s="201"/>
      <c r="OPL171" s="201"/>
      <c r="OPM171" s="201"/>
      <c r="OPN171" s="201"/>
      <c r="OPO171" s="201"/>
      <c r="OPP171" s="201"/>
      <c r="OPQ171" s="201"/>
      <c r="OPR171" s="201"/>
      <c r="OPS171" s="201"/>
      <c r="OPT171" s="201"/>
      <c r="OPU171" s="201"/>
      <c r="OPV171" s="201"/>
      <c r="OPW171" s="201"/>
      <c r="OPX171" s="201"/>
      <c r="OPY171" s="201"/>
      <c r="OPZ171" s="201"/>
      <c r="OQA171" s="201"/>
      <c r="OQB171" s="201"/>
      <c r="OQC171" s="201"/>
      <c r="OQD171" s="201"/>
      <c r="OQE171" s="201"/>
      <c r="OQF171" s="201"/>
      <c r="OQG171" s="201"/>
      <c r="OQH171" s="201"/>
      <c r="OQI171" s="201"/>
      <c r="OQJ171" s="201"/>
      <c r="OQK171" s="201"/>
      <c r="OQL171" s="201"/>
      <c r="OQM171" s="201"/>
      <c r="OQN171" s="201"/>
      <c r="OQO171" s="201"/>
      <c r="OQP171" s="201"/>
      <c r="OQQ171" s="201"/>
      <c r="OQR171" s="201"/>
      <c r="OQS171" s="201"/>
      <c r="OQT171" s="201"/>
      <c r="OQU171" s="201"/>
      <c r="OQV171" s="201"/>
      <c r="OQW171" s="201"/>
      <c r="OQX171" s="201"/>
      <c r="OQY171" s="201"/>
      <c r="OQZ171" s="201"/>
      <c r="ORA171" s="201"/>
      <c r="ORB171" s="201"/>
      <c r="ORC171" s="201"/>
      <c r="ORD171" s="201"/>
      <c r="ORE171" s="201"/>
      <c r="ORF171" s="201"/>
      <c r="ORG171" s="201"/>
      <c r="ORH171" s="201"/>
      <c r="ORI171" s="201"/>
      <c r="ORJ171" s="201"/>
      <c r="ORK171" s="201"/>
      <c r="ORL171" s="201"/>
      <c r="ORM171" s="201"/>
      <c r="ORN171" s="201"/>
      <c r="ORO171" s="201"/>
      <c r="ORP171" s="201"/>
      <c r="ORQ171" s="201"/>
      <c r="ORR171" s="201"/>
      <c r="ORS171" s="201"/>
      <c r="ORT171" s="201"/>
      <c r="ORU171" s="201"/>
      <c r="ORV171" s="201"/>
      <c r="ORW171" s="201"/>
      <c r="ORX171" s="201"/>
      <c r="ORY171" s="201"/>
      <c r="ORZ171" s="201"/>
      <c r="OSA171" s="201"/>
      <c r="OSB171" s="201"/>
      <c r="OSC171" s="201"/>
      <c r="OSD171" s="201"/>
      <c r="OSE171" s="201"/>
      <c r="OSF171" s="201"/>
      <c r="OSG171" s="201"/>
      <c r="OSH171" s="201"/>
      <c r="OSI171" s="201"/>
      <c r="OSJ171" s="201"/>
      <c r="OSK171" s="201"/>
      <c r="OSL171" s="201"/>
      <c r="OSM171" s="201"/>
      <c r="OSN171" s="201"/>
      <c r="OSO171" s="201"/>
      <c r="OSP171" s="201"/>
      <c r="OSQ171" s="201"/>
      <c r="OSR171" s="201"/>
      <c r="OSS171" s="201"/>
      <c r="OST171" s="201"/>
      <c r="OSU171" s="201"/>
      <c r="OSV171" s="201"/>
      <c r="OSW171" s="201"/>
      <c r="OSX171" s="201"/>
      <c r="OSY171" s="201"/>
      <c r="OSZ171" s="201"/>
      <c r="OTA171" s="201"/>
      <c r="OTB171" s="201"/>
      <c r="OTC171" s="201"/>
      <c r="OTD171" s="201"/>
      <c r="OTE171" s="201"/>
      <c r="OTF171" s="201"/>
      <c r="OTG171" s="201"/>
      <c r="OTH171" s="201"/>
      <c r="OTI171" s="201"/>
      <c r="OTJ171" s="201"/>
      <c r="OTK171" s="201"/>
      <c r="OTL171" s="201"/>
      <c r="OTM171" s="201"/>
      <c r="OTN171" s="201"/>
      <c r="OTO171" s="201"/>
      <c r="OTP171" s="201"/>
      <c r="OTQ171" s="201"/>
      <c r="OTR171" s="201"/>
      <c r="OTS171" s="201"/>
      <c r="OTT171" s="201"/>
      <c r="OTU171" s="201"/>
      <c r="OTV171" s="201"/>
      <c r="OTW171" s="201"/>
      <c r="OTX171" s="201"/>
      <c r="OTY171" s="201"/>
      <c r="OTZ171" s="201"/>
      <c r="OUA171" s="201"/>
      <c r="OUB171" s="201"/>
      <c r="OUC171" s="201"/>
      <c r="OUD171" s="201"/>
      <c r="OUE171" s="201"/>
      <c r="OUF171" s="201"/>
      <c r="OUG171" s="201"/>
      <c r="OUH171" s="201"/>
      <c r="OUI171" s="201"/>
      <c r="OUJ171" s="201"/>
      <c r="OUK171" s="201"/>
      <c r="OUL171" s="201"/>
      <c r="OUM171" s="201"/>
      <c r="OUN171" s="201"/>
      <c r="OUO171" s="201"/>
      <c r="OUP171" s="201"/>
      <c r="OUQ171" s="201"/>
      <c r="OUR171" s="201"/>
      <c r="OUS171" s="201"/>
      <c r="OUT171" s="201"/>
      <c r="OUU171" s="201"/>
      <c r="OUV171" s="201"/>
      <c r="OUW171" s="201"/>
      <c r="OUX171" s="201"/>
      <c r="OUY171" s="201"/>
      <c r="OUZ171" s="201"/>
      <c r="OVA171" s="201"/>
      <c r="OVB171" s="201"/>
      <c r="OVC171" s="201"/>
      <c r="OVD171" s="201"/>
      <c r="OVE171" s="201"/>
      <c r="OVF171" s="201"/>
      <c r="OVG171" s="201"/>
      <c r="OVH171" s="201"/>
      <c r="OVI171" s="201"/>
      <c r="OVJ171" s="201"/>
      <c r="OVK171" s="201"/>
      <c r="OVL171" s="201"/>
      <c r="OVM171" s="201"/>
      <c r="OVN171" s="201"/>
      <c r="OVO171" s="201"/>
      <c r="OVP171" s="201"/>
      <c r="OVQ171" s="201"/>
      <c r="OVR171" s="201"/>
      <c r="OVS171" s="201"/>
      <c r="OVT171" s="201"/>
      <c r="OVU171" s="201"/>
      <c r="OVV171" s="201"/>
      <c r="OVW171" s="201"/>
      <c r="OVX171" s="201"/>
      <c r="OVY171" s="201"/>
      <c r="OVZ171" s="201"/>
      <c r="OWA171" s="201"/>
      <c r="OWB171" s="201"/>
      <c r="OWC171" s="201"/>
      <c r="OWD171" s="201"/>
      <c r="OWE171" s="201"/>
      <c r="OWF171" s="201"/>
      <c r="OWG171" s="201"/>
      <c r="OWH171" s="201"/>
      <c r="OWI171" s="201"/>
      <c r="OWJ171" s="201"/>
      <c r="OWK171" s="201"/>
      <c r="OWL171" s="201"/>
      <c r="OWM171" s="201"/>
      <c r="OWN171" s="201"/>
      <c r="OWO171" s="201"/>
      <c r="OWP171" s="201"/>
      <c r="OWQ171" s="201"/>
      <c r="OWR171" s="201"/>
      <c r="OWS171" s="201"/>
      <c r="OWT171" s="201"/>
      <c r="OWU171" s="201"/>
      <c r="OWV171" s="201"/>
      <c r="OWW171" s="201"/>
      <c r="OWX171" s="201"/>
      <c r="OWY171" s="201"/>
      <c r="OWZ171" s="201"/>
      <c r="OXA171" s="201"/>
      <c r="OXB171" s="201"/>
      <c r="OXC171" s="201"/>
      <c r="OXD171" s="201"/>
      <c r="OXE171" s="201"/>
      <c r="OXF171" s="201"/>
      <c r="OXG171" s="201"/>
      <c r="OXH171" s="201"/>
      <c r="OXI171" s="201"/>
      <c r="OXJ171" s="201"/>
      <c r="OXK171" s="201"/>
      <c r="OXL171" s="201"/>
      <c r="OXM171" s="201"/>
      <c r="OXN171" s="201"/>
      <c r="OXO171" s="201"/>
      <c r="OXP171" s="201"/>
      <c r="OXQ171" s="201"/>
      <c r="OXR171" s="201"/>
      <c r="OXS171" s="201"/>
      <c r="OXT171" s="201"/>
      <c r="OXU171" s="201"/>
      <c r="OXV171" s="201"/>
      <c r="OXW171" s="201"/>
      <c r="OXX171" s="201"/>
      <c r="OXY171" s="201"/>
      <c r="OXZ171" s="201"/>
      <c r="OYA171" s="201"/>
      <c r="OYB171" s="201"/>
      <c r="OYC171" s="201"/>
      <c r="OYD171" s="201"/>
      <c r="OYE171" s="201"/>
      <c r="OYF171" s="201"/>
      <c r="OYG171" s="201"/>
      <c r="OYH171" s="201"/>
      <c r="OYI171" s="201"/>
      <c r="OYJ171" s="201"/>
      <c r="OYK171" s="201"/>
      <c r="OYL171" s="201"/>
      <c r="OYM171" s="201"/>
      <c r="OYN171" s="201"/>
      <c r="OYO171" s="201"/>
      <c r="OYP171" s="201"/>
      <c r="OYQ171" s="201"/>
      <c r="OYR171" s="201"/>
      <c r="OYS171" s="201"/>
      <c r="OYT171" s="201"/>
      <c r="OYU171" s="201"/>
      <c r="OYV171" s="201"/>
      <c r="OYW171" s="201"/>
      <c r="OYX171" s="201"/>
      <c r="OYY171" s="201"/>
      <c r="OYZ171" s="201"/>
      <c r="OZA171" s="201"/>
      <c r="OZB171" s="201"/>
      <c r="OZC171" s="201"/>
      <c r="OZD171" s="201"/>
      <c r="OZE171" s="201"/>
      <c r="OZF171" s="201"/>
      <c r="OZG171" s="201"/>
      <c r="OZH171" s="201"/>
      <c r="OZI171" s="201"/>
      <c r="OZJ171" s="201"/>
      <c r="OZK171" s="201"/>
      <c r="OZL171" s="201"/>
      <c r="OZM171" s="201"/>
      <c r="OZN171" s="201"/>
      <c r="OZO171" s="201"/>
      <c r="OZP171" s="201"/>
      <c r="OZQ171" s="201"/>
      <c r="OZR171" s="201"/>
      <c r="OZS171" s="201"/>
      <c r="OZT171" s="201"/>
      <c r="OZU171" s="201"/>
      <c r="OZV171" s="201"/>
      <c r="OZW171" s="201"/>
      <c r="OZX171" s="201"/>
      <c r="OZY171" s="201"/>
      <c r="OZZ171" s="201"/>
      <c r="PAA171" s="201"/>
      <c r="PAB171" s="201"/>
      <c r="PAC171" s="201"/>
      <c r="PAD171" s="201"/>
      <c r="PAE171" s="201"/>
      <c r="PAF171" s="201"/>
      <c r="PAG171" s="201"/>
      <c r="PAH171" s="201"/>
      <c r="PAI171" s="201"/>
      <c r="PAJ171" s="201"/>
      <c r="PAK171" s="201"/>
      <c r="PAL171" s="201"/>
      <c r="PAM171" s="201"/>
      <c r="PAN171" s="201"/>
      <c r="PAO171" s="201"/>
      <c r="PAP171" s="201"/>
      <c r="PAQ171" s="201"/>
      <c r="PAR171" s="201"/>
      <c r="PAS171" s="201"/>
      <c r="PAT171" s="201"/>
      <c r="PAU171" s="201"/>
      <c r="PAV171" s="201"/>
      <c r="PAW171" s="201"/>
      <c r="PAX171" s="201"/>
      <c r="PAY171" s="201"/>
      <c r="PAZ171" s="201"/>
      <c r="PBA171" s="201"/>
      <c r="PBB171" s="201"/>
      <c r="PBC171" s="201"/>
      <c r="PBD171" s="201"/>
      <c r="PBE171" s="201"/>
      <c r="PBF171" s="201"/>
      <c r="PBG171" s="201"/>
      <c r="PBH171" s="201"/>
      <c r="PBI171" s="201"/>
      <c r="PBJ171" s="201"/>
      <c r="PBK171" s="201"/>
      <c r="PBL171" s="201"/>
      <c r="PBM171" s="201"/>
      <c r="PBN171" s="201"/>
      <c r="PBO171" s="201"/>
      <c r="PBP171" s="201"/>
      <c r="PBQ171" s="201"/>
      <c r="PBR171" s="201"/>
      <c r="PBS171" s="201"/>
      <c r="PBT171" s="201"/>
      <c r="PBU171" s="201"/>
      <c r="PBV171" s="201"/>
      <c r="PBW171" s="201"/>
      <c r="PBX171" s="201"/>
      <c r="PBY171" s="201"/>
      <c r="PBZ171" s="201"/>
      <c r="PCA171" s="201"/>
      <c r="PCB171" s="201"/>
      <c r="PCC171" s="201"/>
      <c r="PCD171" s="201"/>
      <c r="PCE171" s="201"/>
      <c r="PCF171" s="201"/>
      <c r="PCG171" s="201"/>
      <c r="PCH171" s="201"/>
      <c r="PCI171" s="201"/>
      <c r="PCJ171" s="201"/>
      <c r="PCK171" s="201"/>
      <c r="PCL171" s="201"/>
      <c r="PCM171" s="201"/>
      <c r="PCN171" s="201"/>
      <c r="PCO171" s="201"/>
      <c r="PCP171" s="201"/>
      <c r="PCQ171" s="201"/>
      <c r="PCR171" s="201"/>
      <c r="PCS171" s="201"/>
      <c r="PCT171" s="201"/>
      <c r="PCU171" s="201"/>
      <c r="PCV171" s="201"/>
      <c r="PCW171" s="201"/>
      <c r="PCX171" s="201"/>
      <c r="PCY171" s="201"/>
      <c r="PCZ171" s="201"/>
      <c r="PDA171" s="201"/>
      <c r="PDB171" s="201"/>
      <c r="PDC171" s="201"/>
      <c r="PDD171" s="201"/>
      <c r="PDE171" s="201"/>
      <c r="PDF171" s="201"/>
      <c r="PDG171" s="201"/>
      <c r="PDH171" s="201"/>
      <c r="PDI171" s="201"/>
      <c r="PDJ171" s="201"/>
      <c r="PDK171" s="201"/>
      <c r="PDL171" s="201"/>
      <c r="PDM171" s="201"/>
      <c r="PDN171" s="201"/>
      <c r="PDO171" s="201"/>
      <c r="PDP171" s="201"/>
      <c r="PDQ171" s="201"/>
      <c r="PDR171" s="201"/>
      <c r="PDS171" s="201"/>
      <c r="PDT171" s="201"/>
      <c r="PDU171" s="201"/>
      <c r="PDV171" s="201"/>
      <c r="PDW171" s="201"/>
      <c r="PDX171" s="201"/>
      <c r="PDY171" s="201"/>
      <c r="PDZ171" s="201"/>
      <c r="PEA171" s="201"/>
      <c r="PEB171" s="201"/>
      <c r="PEC171" s="201"/>
      <c r="PED171" s="201"/>
      <c r="PEE171" s="201"/>
      <c r="PEF171" s="201"/>
      <c r="PEG171" s="201"/>
      <c r="PEH171" s="201"/>
      <c r="PEI171" s="201"/>
      <c r="PEJ171" s="201"/>
      <c r="PEK171" s="201"/>
      <c r="PEL171" s="201"/>
      <c r="PEM171" s="201"/>
      <c r="PEN171" s="201"/>
      <c r="PEO171" s="201"/>
      <c r="PEP171" s="201"/>
      <c r="PEQ171" s="201"/>
      <c r="PER171" s="201"/>
      <c r="PES171" s="201"/>
      <c r="PET171" s="201"/>
      <c r="PEU171" s="201"/>
      <c r="PEV171" s="201"/>
      <c r="PEW171" s="201"/>
      <c r="PEX171" s="201"/>
      <c r="PEY171" s="201"/>
      <c r="PEZ171" s="201"/>
      <c r="PFA171" s="201"/>
      <c r="PFB171" s="201"/>
      <c r="PFC171" s="201"/>
      <c r="PFD171" s="201"/>
      <c r="PFE171" s="201"/>
      <c r="PFF171" s="201"/>
      <c r="PFG171" s="201"/>
      <c r="PFH171" s="201"/>
      <c r="PFI171" s="201"/>
      <c r="PFJ171" s="201"/>
      <c r="PFK171" s="201"/>
      <c r="PFL171" s="201"/>
      <c r="PFM171" s="201"/>
      <c r="PFN171" s="201"/>
      <c r="PFO171" s="201"/>
      <c r="PFP171" s="201"/>
      <c r="PFQ171" s="201"/>
      <c r="PFR171" s="201"/>
      <c r="PFS171" s="201"/>
      <c r="PFT171" s="201"/>
      <c r="PFU171" s="201"/>
      <c r="PFV171" s="201"/>
      <c r="PFW171" s="201"/>
      <c r="PFX171" s="201"/>
      <c r="PFY171" s="201"/>
      <c r="PFZ171" s="201"/>
      <c r="PGA171" s="201"/>
      <c r="PGB171" s="201"/>
      <c r="PGC171" s="201"/>
      <c r="PGD171" s="201"/>
      <c r="PGE171" s="201"/>
      <c r="PGF171" s="201"/>
      <c r="PGG171" s="201"/>
      <c r="PGH171" s="201"/>
      <c r="PGI171" s="201"/>
      <c r="PGJ171" s="201"/>
      <c r="PGK171" s="201"/>
      <c r="PGL171" s="201"/>
      <c r="PGM171" s="201"/>
      <c r="PGN171" s="201"/>
      <c r="PGO171" s="201"/>
      <c r="PGP171" s="201"/>
      <c r="PGQ171" s="201"/>
      <c r="PGR171" s="201"/>
      <c r="PGS171" s="201"/>
      <c r="PGT171" s="201"/>
      <c r="PGU171" s="201"/>
      <c r="PGV171" s="201"/>
      <c r="PGW171" s="201"/>
      <c r="PGX171" s="201"/>
      <c r="PGY171" s="201"/>
      <c r="PGZ171" s="201"/>
      <c r="PHA171" s="201"/>
      <c r="PHB171" s="201"/>
      <c r="PHC171" s="201"/>
      <c r="PHD171" s="201"/>
      <c r="PHE171" s="201"/>
      <c r="PHF171" s="201"/>
      <c r="PHG171" s="201"/>
      <c r="PHH171" s="201"/>
      <c r="PHI171" s="201"/>
      <c r="PHJ171" s="201"/>
      <c r="PHK171" s="201"/>
      <c r="PHL171" s="201"/>
      <c r="PHM171" s="201"/>
      <c r="PHN171" s="201"/>
      <c r="PHO171" s="201"/>
      <c r="PHP171" s="201"/>
      <c r="PHQ171" s="201"/>
      <c r="PHR171" s="201"/>
      <c r="PHS171" s="201"/>
      <c r="PHT171" s="201"/>
      <c r="PHU171" s="201"/>
      <c r="PHV171" s="201"/>
      <c r="PHW171" s="201"/>
      <c r="PHX171" s="201"/>
      <c r="PHY171" s="201"/>
      <c r="PHZ171" s="201"/>
      <c r="PIA171" s="201"/>
      <c r="PIB171" s="201"/>
      <c r="PIC171" s="201"/>
      <c r="PID171" s="201"/>
      <c r="PIE171" s="201"/>
      <c r="PIF171" s="201"/>
      <c r="PIG171" s="201"/>
      <c r="PIH171" s="201"/>
      <c r="PII171" s="201"/>
      <c r="PIJ171" s="201"/>
      <c r="PIK171" s="201"/>
      <c r="PIL171" s="201"/>
      <c r="PIM171" s="201"/>
      <c r="PIN171" s="201"/>
      <c r="PIO171" s="201"/>
      <c r="PIP171" s="201"/>
      <c r="PIQ171" s="201"/>
      <c r="PIR171" s="201"/>
      <c r="PIS171" s="201"/>
      <c r="PIT171" s="201"/>
      <c r="PIU171" s="201"/>
      <c r="PIV171" s="201"/>
      <c r="PIW171" s="201"/>
      <c r="PIX171" s="201"/>
      <c r="PIY171" s="201"/>
      <c r="PIZ171" s="201"/>
      <c r="PJA171" s="201"/>
      <c r="PJB171" s="201"/>
      <c r="PJC171" s="201"/>
      <c r="PJD171" s="201"/>
      <c r="PJE171" s="201"/>
      <c r="PJF171" s="201"/>
      <c r="PJG171" s="201"/>
      <c r="PJH171" s="201"/>
      <c r="PJI171" s="201"/>
      <c r="PJJ171" s="201"/>
      <c r="PJK171" s="201"/>
      <c r="PJL171" s="201"/>
      <c r="PJM171" s="201"/>
      <c r="PJN171" s="201"/>
      <c r="PJO171" s="201"/>
      <c r="PJP171" s="201"/>
      <c r="PJQ171" s="201"/>
      <c r="PJR171" s="201"/>
      <c r="PJS171" s="201"/>
      <c r="PJT171" s="201"/>
      <c r="PJU171" s="201"/>
      <c r="PJV171" s="201"/>
      <c r="PJW171" s="201"/>
      <c r="PJX171" s="201"/>
      <c r="PJY171" s="201"/>
      <c r="PJZ171" s="201"/>
      <c r="PKA171" s="201"/>
      <c r="PKB171" s="201"/>
      <c r="PKC171" s="201"/>
      <c r="PKD171" s="201"/>
      <c r="PKE171" s="201"/>
      <c r="PKF171" s="201"/>
      <c r="PKG171" s="201"/>
      <c r="PKH171" s="201"/>
      <c r="PKI171" s="201"/>
      <c r="PKJ171" s="201"/>
      <c r="PKK171" s="201"/>
      <c r="PKL171" s="201"/>
      <c r="PKM171" s="201"/>
      <c r="PKN171" s="201"/>
      <c r="PKO171" s="201"/>
      <c r="PKP171" s="201"/>
      <c r="PKQ171" s="201"/>
      <c r="PKR171" s="201"/>
      <c r="PKS171" s="201"/>
      <c r="PKT171" s="201"/>
      <c r="PKU171" s="201"/>
      <c r="PKV171" s="201"/>
      <c r="PKW171" s="201"/>
      <c r="PKX171" s="201"/>
      <c r="PKY171" s="201"/>
      <c r="PKZ171" s="201"/>
      <c r="PLA171" s="201"/>
      <c r="PLB171" s="201"/>
      <c r="PLC171" s="201"/>
      <c r="PLD171" s="201"/>
      <c r="PLE171" s="201"/>
      <c r="PLF171" s="201"/>
      <c r="PLG171" s="201"/>
      <c r="PLH171" s="201"/>
      <c r="PLI171" s="201"/>
      <c r="PLJ171" s="201"/>
      <c r="PLK171" s="201"/>
      <c r="PLL171" s="201"/>
      <c r="PLM171" s="201"/>
      <c r="PLN171" s="201"/>
      <c r="PLO171" s="201"/>
      <c r="PLP171" s="201"/>
      <c r="PLQ171" s="201"/>
      <c r="PLR171" s="201"/>
      <c r="PLS171" s="201"/>
      <c r="PLT171" s="201"/>
      <c r="PLU171" s="201"/>
      <c r="PLV171" s="201"/>
      <c r="PLW171" s="201"/>
      <c r="PLX171" s="201"/>
      <c r="PLY171" s="201"/>
      <c r="PLZ171" s="201"/>
      <c r="PMA171" s="201"/>
      <c r="PMB171" s="201"/>
      <c r="PMC171" s="201"/>
      <c r="PMD171" s="201"/>
      <c r="PME171" s="201"/>
      <c r="PMF171" s="201"/>
      <c r="PMG171" s="201"/>
      <c r="PMH171" s="201"/>
      <c r="PMI171" s="201"/>
      <c r="PMJ171" s="201"/>
      <c r="PMK171" s="201"/>
      <c r="PML171" s="201"/>
      <c r="PMM171" s="201"/>
      <c r="PMN171" s="201"/>
      <c r="PMO171" s="201"/>
      <c r="PMP171" s="201"/>
      <c r="PMQ171" s="201"/>
      <c r="PMR171" s="201"/>
      <c r="PMS171" s="201"/>
      <c r="PMT171" s="201"/>
      <c r="PMU171" s="201"/>
      <c r="PMV171" s="201"/>
      <c r="PMW171" s="201"/>
      <c r="PMX171" s="201"/>
      <c r="PMY171" s="201"/>
      <c r="PMZ171" s="201"/>
      <c r="PNA171" s="201"/>
      <c r="PNB171" s="201"/>
      <c r="PNC171" s="201"/>
      <c r="PND171" s="201"/>
      <c r="PNE171" s="201"/>
      <c r="PNF171" s="201"/>
      <c r="PNG171" s="201"/>
      <c r="PNH171" s="201"/>
      <c r="PNI171" s="201"/>
      <c r="PNJ171" s="201"/>
      <c r="PNK171" s="201"/>
      <c r="PNL171" s="201"/>
      <c r="PNM171" s="201"/>
      <c r="PNN171" s="201"/>
      <c r="PNO171" s="201"/>
      <c r="PNP171" s="201"/>
      <c r="PNQ171" s="201"/>
      <c r="PNR171" s="201"/>
      <c r="PNS171" s="201"/>
      <c r="PNT171" s="201"/>
      <c r="PNU171" s="201"/>
      <c r="PNV171" s="201"/>
      <c r="PNW171" s="201"/>
      <c r="PNX171" s="201"/>
      <c r="PNY171" s="201"/>
      <c r="PNZ171" s="201"/>
      <c r="POA171" s="201"/>
      <c r="POB171" s="201"/>
      <c r="POC171" s="201"/>
      <c r="POD171" s="201"/>
      <c r="POE171" s="201"/>
      <c r="POF171" s="201"/>
      <c r="POG171" s="201"/>
      <c r="POH171" s="201"/>
      <c r="POI171" s="201"/>
      <c r="POJ171" s="201"/>
      <c r="POK171" s="201"/>
      <c r="POL171" s="201"/>
      <c r="POM171" s="201"/>
      <c r="PON171" s="201"/>
      <c r="POO171" s="201"/>
      <c r="POP171" s="201"/>
      <c r="POQ171" s="201"/>
      <c r="POR171" s="201"/>
      <c r="POS171" s="201"/>
      <c r="POT171" s="201"/>
      <c r="POU171" s="201"/>
      <c r="POV171" s="201"/>
      <c r="POW171" s="201"/>
      <c r="POX171" s="201"/>
      <c r="POY171" s="201"/>
      <c r="POZ171" s="201"/>
      <c r="PPA171" s="201"/>
      <c r="PPB171" s="201"/>
      <c r="PPC171" s="201"/>
      <c r="PPD171" s="201"/>
      <c r="PPE171" s="201"/>
      <c r="PPF171" s="201"/>
      <c r="PPG171" s="201"/>
      <c r="PPH171" s="201"/>
      <c r="PPI171" s="201"/>
      <c r="PPJ171" s="201"/>
      <c r="PPK171" s="201"/>
      <c r="PPL171" s="201"/>
      <c r="PPM171" s="201"/>
      <c r="PPN171" s="201"/>
      <c r="PPO171" s="201"/>
      <c r="PPP171" s="201"/>
      <c r="PPQ171" s="201"/>
      <c r="PPR171" s="201"/>
      <c r="PPS171" s="201"/>
      <c r="PPT171" s="201"/>
      <c r="PPU171" s="201"/>
      <c r="PPV171" s="201"/>
      <c r="PPW171" s="201"/>
      <c r="PPX171" s="201"/>
      <c r="PPY171" s="201"/>
      <c r="PPZ171" s="201"/>
      <c r="PQA171" s="201"/>
      <c r="PQB171" s="201"/>
      <c r="PQC171" s="201"/>
      <c r="PQD171" s="201"/>
      <c r="PQE171" s="201"/>
      <c r="PQF171" s="201"/>
      <c r="PQG171" s="201"/>
      <c r="PQH171" s="201"/>
      <c r="PQI171" s="201"/>
      <c r="PQJ171" s="201"/>
      <c r="PQK171" s="201"/>
      <c r="PQL171" s="201"/>
      <c r="PQM171" s="201"/>
      <c r="PQN171" s="201"/>
      <c r="PQO171" s="201"/>
      <c r="PQP171" s="201"/>
      <c r="PQQ171" s="201"/>
      <c r="PQR171" s="201"/>
      <c r="PQS171" s="201"/>
      <c r="PQT171" s="201"/>
      <c r="PQU171" s="201"/>
      <c r="PQV171" s="201"/>
      <c r="PQW171" s="201"/>
      <c r="PQX171" s="201"/>
      <c r="PQY171" s="201"/>
      <c r="PQZ171" s="201"/>
      <c r="PRA171" s="201"/>
      <c r="PRB171" s="201"/>
      <c r="PRC171" s="201"/>
      <c r="PRD171" s="201"/>
      <c r="PRE171" s="201"/>
      <c r="PRF171" s="201"/>
      <c r="PRG171" s="201"/>
      <c r="PRH171" s="201"/>
      <c r="PRI171" s="201"/>
      <c r="PRJ171" s="201"/>
      <c r="PRK171" s="201"/>
      <c r="PRL171" s="201"/>
      <c r="PRM171" s="201"/>
      <c r="PRN171" s="201"/>
      <c r="PRO171" s="201"/>
      <c r="PRP171" s="201"/>
      <c r="PRQ171" s="201"/>
      <c r="PRR171" s="201"/>
      <c r="PRS171" s="201"/>
      <c r="PRT171" s="201"/>
      <c r="PRU171" s="201"/>
      <c r="PRV171" s="201"/>
      <c r="PRW171" s="201"/>
      <c r="PRX171" s="201"/>
      <c r="PRY171" s="201"/>
      <c r="PRZ171" s="201"/>
      <c r="PSA171" s="201"/>
      <c r="PSB171" s="201"/>
      <c r="PSC171" s="201"/>
      <c r="PSD171" s="201"/>
      <c r="PSE171" s="201"/>
      <c r="PSF171" s="201"/>
      <c r="PSG171" s="201"/>
      <c r="PSH171" s="201"/>
      <c r="PSI171" s="201"/>
      <c r="PSJ171" s="201"/>
      <c r="PSK171" s="201"/>
      <c r="PSL171" s="201"/>
      <c r="PSM171" s="201"/>
      <c r="PSN171" s="201"/>
      <c r="PSO171" s="201"/>
      <c r="PSP171" s="201"/>
      <c r="PSQ171" s="201"/>
      <c r="PSR171" s="201"/>
      <c r="PSS171" s="201"/>
      <c r="PST171" s="201"/>
      <c r="PSU171" s="201"/>
      <c r="PSV171" s="201"/>
      <c r="PSW171" s="201"/>
      <c r="PSX171" s="201"/>
      <c r="PSY171" s="201"/>
      <c r="PSZ171" s="201"/>
      <c r="PTA171" s="201"/>
      <c r="PTB171" s="201"/>
      <c r="PTC171" s="201"/>
      <c r="PTD171" s="201"/>
      <c r="PTE171" s="201"/>
      <c r="PTF171" s="201"/>
      <c r="PTG171" s="201"/>
      <c r="PTH171" s="201"/>
      <c r="PTI171" s="201"/>
      <c r="PTJ171" s="201"/>
      <c r="PTK171" s="201"/>
      <c r="PTL171" s="201"/>
      <c r="PTM171" s="201"/>
      <c r="PTN171" s="201"/>
      <c r="PTO171" s="201"/>
      <c r="PTP171" s="201"/>
      <c r="PTQ171" s="201"/>
      <c r="PTR171" s="201"/>
      <c r="PTS171" s="201"/>
      <c r="PTT171" s="201"/>
      <c r="PTU171" s="201"/>
      <c r="PTV171" s="201"/>
      <c r="PTW171" s="201"/>
      <c r="PTX171" s="201"/>
      <c r="PTY171" s="201"/>
      <c r="PTZ171" s="201"/>
      <c r="PUA171" s="201"/>
      <c r="PUB171" s="201"/>
      <c r="PUC171" s="201"/>
      <c r="PUD171" s="201"/>
      <c r="PUE171" s="201"/>
      <c r="PUF171" s="201"/>
      <c r="PUG171" s="201"/>
      <c r="PUH171" s="201"/>
      <c r="PUI171" s="201"/>
      <c r="PUJ171" s="201"/>
      <c r="PUK171" s="201"/>
      <c r="PUL171" s="201"/>
      <c r="PUM171" s="201"/>
      <c r="PUN171" s="201"/>
      <c r="PUO171" s="201"/>
      <c r="PUP171" s="201"/>
      <c r="PUQ171" s="201"/>
      <c r="PUR171" s="201"/>
      <c r="PUS171" s="201"/>
      <c r="PUT171" s="201"/>
      <c r="PUU171" s="201"/>
      <c r="PUV171" s="201"/>
      <c r="PUW171" s="201"/>
      <c r="PUX171" s="201"/>
      <c r="PUY171" s="201"/>
      <c r="PUZ171" s="201"/>
      <c r="PVA171" s="201"/>
      <c r="PVB171" s="201"/>
      <c r="PVC171" s="201"/>
      <c r="PVD171" s="201"/>
      <c r="PVE171" s="201"/>
      <c r="PVF171" s="201"/>
      <c r="PVG171" s="201"/>
      <c r="PVH171" s="201"/>
      <c r="PVI171" s="201"/>
      <c r="PVJ171" s="201"/>
      <c r="PVK171" s="201"/>
      <c r="PVL171" s="201"/>
      <c r="PVM171" s="201"/>
      <c r="PVN171" s="201"/>
      <c r="PVO171" s="201"/>
      <c r="PVP171" s="201"/>
      <c r="PVQ171" s="201"/>
      <c r="PVR171" s="201"/>
      <c r="PVS171" s="201"/>
      <c r="PVT171" s="201"/>
      <c r="PVU171" s="201"/>
      <c r="PVV171" s="201"/>
      <c r="PVW171" s="201"/>
      <c r="PVX171" s="201"/>
      <c r="PVY171" s="201"/>
      <c r="PVZ171" s="201"/>
      <c r="PWA171" s="201"/>
      <c r="PWB171" s="201"/>
      <c r="PWC171" s="201"/>
      <c r="PWD171" s="201"/>
      <c r="PWE171" s="201"/>
      <c r="PWF171" s="201"/>
      <c r="PWG171" s="201"/>
      <c r="PWH171" s="201"/>
      <c r="PWI171" s="201"/>
      <c r="PWJ171" s="201"/>
      <c r="PWK171" s="201"/>
      <c r="PWL171" s="201"/>
      <c r="PWM171" s="201"/>
      <c r="PWN171" s="201"/>
      <c r="PWO171" s="201"/>
      <c r="PWP171" s="201"/>
      <c r="PWQ171" s="201"/>
      <c r="PWR171" s="201"/>
      <c r="PWS171" s="201"/>
      <c r="PWT171" s="201"/>
      <c r="PWU171" s="201"/>
      <c r="PWV171" s="201"/>
      <c r="PWW171" s="201"/>
      <c r="PWX171" s="201"/>
      <c r="PWY171" s="201"/>
      <c r="PWZ171" s="201"/>
      <c r="PXA171" s="201"/>
      <c r="PXB171" s="201"/>
      <c r="PXC171" s="201"/>
      <c r="PXD171" s="201"/>
      <c r="PXE171" s="201"/>
      <c r="PXF171" s="201"/>
      <c r="PXG171" s="201"/>
      <c r="PXH171" s="201"/>
      <c r="PXI171" s="201"/>
      <c r="PXJ171" s="201"/>
      <c r="PXK171" s="201"/>
      <c r="PXL171" s="201"/>
      <c r="PXM171" s="201"/>
      <c r="PXN171" s="201"/>
      <c r="PXO171" s="201"/>
      <c r="PXP171" s="201"/>
      <c r="PXQ171" s="201"/>
      <c r="PXR171" s="201"/>
      <c r="PXS171" s="201"/>
      <c r="PXT171" s="201"/>
      <c r="PXU171" s="201"/>
      <c r="PXV171" s="201"/>
      <c r="PXW171" s="201"/>
      <c r="PXX171" s="201"/>
      <c r="PXY171" s="201"/>
      <c r="PXZ171" s="201"/>
      <c r="PYA171" s="201"/>
      <c r="PYB171" s="201"/>
      <c r="PYC171" s="201"/>
      <c r="PYD171" s="201"/>
      <c r="PYE171" s="201"/>
      <c r="PYF171" s="201"/>
      <c r="PYG171" s="201"/>
      <c r="PYH171" s="201"/>
      <c r="PYI171" s="201"/>
      <c r="PYJ171" s="201"/>
      <c r="PYK171" s="201"/>
      <c r="PYL171" s="201"/>
      <c r="PYM171" s="201"/>
      <c r="PYN171" s="201"/>
      <c r="PYO171" s="201"/>
      <c r="PYP171" s="201"/>
      <c r="PYQ171" s="201"/>
      <c r="PYR171" s="201"/>
      <c r="PYS171" s="201"/>
      <c r="PYT171" s="201"/>
      <c r="PYU171" s="201"/>
      <c r="PYV171" s="201"/>
      <c r="PYW171" s="201"/>
      <c r="PYX171" s="201"/>
      <c r="PYY171" s="201"/>
      <c r="PYZ171" s="201"/>
      <c r="PZA171" s="201"/>
      <c r="PZB171" s="201"/>
      <c r="PZC171" s="201"/>
      <c r="PZD171" s="201"/>
      <c r="PZE171" s="201"/>
      <c r="PZF171" s="201"/>
      <c r="PZG171" s="201"/>
      <c r="PZH171" s="201"/>
      <c r="PZI171" s="201"/>
      <c r="PZJ171" s="201"/>
      <c r="PZK171" s="201"/>
      <c r="PZL171" s="201"/>
      <c r="PZM171" s="201"/>
      <c r="PZN171" s="201"/>
      <c r="PZO171" s="201"/>
      <c r="PZP171" s="201"/>
      <c r="PZQ171" s="201"/>
      <c r="PZR171" s="201"/>
      <c r="PZS171" s="201"/>
      <c r="PZT171" s="201"/>
      <c r="PZU171" s="201"/>
      <c r="PZV171" s="201"/>
      <c r="PZW171" s="201"/>
      <c r="PZX171" s="201"/>
      <c r="PZY171" s="201"/>
      <c r="PZZ171" s="201"/>
      <c r="QAA171" s="201"/>
      <c r="QAB171" s="201"/>
      <c r="QAC171" s="201"/>
      <c r="QAD171" s="201"/>
      <c r="QAE171" s="201"/>
      <c r="QAF171" s="201"/>
      <c r="QAG171" s="201"/>
      <c r="QAH171" s="201"/>
      <c r="QAI171" s="201"/>
      <c r="QAJ171" s="201"/>
      <c r="QAK171" s="201"/>
      <c r="QAL171" s="201"/>
      <c r="QAM171" s="201"/>
      <c r="QAN171" s="201"/>
      <c r="QAO171" s="201"/>
      <c r="QAP171" s="201"/>
      <c r="QAQ171" s="201"/>
      <c r="QAR171" s="201"/>
      <c r="QAS171" s="201"/>
      <c r="QAT171" s="201"/>
      <c r="QAU171" s="201"/>
      <c r="QAV171" s="201"/>
      <c r="QAW171" s="201"/>
      <c r="QAX171" s="201"/>
      <c r="QAY171" s="201"/>
      <c r="QAZ171" s="201"/>
      <c r="QBA171" s="201"/>
      <c r="QBB171" s="201"/>
      <c r="QBC171" s="201"/>
      <c r="QBD171" s="201"/>
      <c r="QBE171" s="201"/>
      <c r="QBF171" s="201"/>
      <c r="QBG171" s="201"/>
      <c r="QBH171" s="201"/>
      <c r="QBI171" s="201"/>
      <c r="QBJ171" s="201"/>
      <c r="QBK171" s="201"/>
      <c r="QBL171" s="201"/>
      <c r="QBM171" s="201"/>
      <c r="QBN171" s="201"/>
      <c r="QBO171" s="201"/>
      <c r="QBP171" s="201"/>
      <c r="QBQ171" s="201"/>
      <c r="QBR171" s="201"/>
      <c r="QBS171" s="201"/>
      <c r="QBT171" s="201"/>
      <c r="QBU171" s="201"/>
      <c r="QBV171" s="201"/>
      <c r="QBW171" s="201"/>
      <c r="QBX171" s="201"/>
      <c r="QBY171" s="201"/>
      <c r="QBZ171" s="201"/>
      <c r="QCA171" s="201"/>
      <c r="QCB171" s="201"/>
      <c r="QCC171" s="201"/>
      <c r="QCD171" s="201"/>
      <c r="QCE171" s="201"/>
      <c r="QCF171" s="201"/>
      <c r="QCG171" s="201"/>
      <c r="QCH171" s="201"/>
      <c r="QCI171" s="201"/>
      <c r="QCJ171" s="201"/>
      <c r="QCK171" s="201"/>
      <c r="QCL171" s="201"/>
      <c r="QCM171" s="201"/>
      <c r="QCN171" s="201"/>
      <c r="QCO171" s="201"/>
      <c r="QCP171" s="201"/>
      <c r="QCQ171" s="201"/>
      <c r="QCR171" s="201"/>
      <c r="QCS171" s="201"/>
      <c r="QCT171" s="201"/>
      <c r="QCU171" s="201"/>
      <c r="QCV171" s="201"/>
      <c r="QCW171" s="201"/>
      <c r="QCX171" s="201"/>
      <c r="QCY171" s="201"/>
      <c r="QCZ171" s="201"/>
      <c r="QDA171" s="201"/>
      <c r="QDB171" s="201"/>
      <c r="QDC171" s="201"/>
      <c r="QDD171" s="201"/>
      <c r="QDE171" s="201"/>
      <c r="QDF171" s="201"/>
      <c r="QDG171" s="201"/>
      <c r="QDH171" s="201"/>
      <c r="QDI171" s="201"/>
      <c r="QDJ171" s="201"/>
      <c r="QDK171" s="201"/>
      <c r="QDL171" s="201"/>
      <c r="QDM171" s="201"/>
      <c r="QDN171" s="201"/>
      <c r="QDO171" s="201"/>
      <c r="QDP171" s="201"/>
      <c r="QDQ171" s="201"/>
      <c r="QDR171" s="201"/>
      <c r="QDS171" s="201"/>
      <c r="QDT171" s="201"/>
      <c r="QDU171" s="201"/>
      <c r="QDV171" s="201"/>
      <c r="QDW171" s="201"/>
      <c r="QDX171" s="201"/>
      <c r="QDY171" s="201"/>
      <c r="QDZ171" s="201"/>
      <c r="QEA171" s="201"/>
      <c r="QEB171" s="201"/>
      <c r="QEC171" s="201"/>
      <c r="QED171" s="201"/>
      <c r="QEE171" s="201"/>
      <c r="QEF171" s="201"/>
      <c r="QEG171" s="201"/>
      <c r="QEH171" s="201"/>
      <c r="QEI171" s="201"/>
      <c r="QEJ171" s="201"/>
      <c r="QEK171" s="201"/>
      <c r="QEL171" s="201"/>
      <c r="QEM171" s="201"/>
      <c r="QEN171" s="201"/>
      <c r="QEO171" s="201"/>
      <c r="QEP171" s="201"/>
      <c r="QEQ171" s="201"/>
      <c r="QER171" s="201"/>
      <c r="QES171" s="201"/>
      <c r="QET171" s="201"/>
      <c r="QEU171" s="201"/>
      <c r="QEV171" s="201"/>
      <c r="QEW171" s="201"/>
      <c r="QEX171" s="201"/>
      <c r="QEY171" s="201"/>
      <c r="QEZ171" s="201"/>
      <c r="QFA171" s="201"/>
      <c r="QFB171" s="201"/>
      <c r="QFC171" s="201"/>
      <c r="QFD171" s="201"/>
      <c r="QFE171" s="201"/>
      <c r="QFF171" s="201"/>
      <c r="QFG171" s="201"/>
      <c r="QFH171" s="201"/>
      <c r="QFI171" s="201"/>
      <c r="QFJ171" s="201"/>
      <c r="QFK171" s="201"/>
      <c r="QFL171" s="201"/>
      <c r="QFM171" s="201"/>
      <c r="QFN171" s="201"/>
      <c r="QFO171" s="201"/>
      <c r="QFP171" s="201"/>
      <c r="QFQ171" s="201"/>
      <c r="QFR171" s="201"/>
      <c r="QFS171" s="201"/>
      <c r="QFT171" s="201"/>
      <c r="QFU171" s="201"/>
      <c r="QFV171" s="201"/>
      <c r="QFW171" s="201"/>
      <c r="QFX171" s="201"/>
      <c r="QFY171" s="201"/>
      <c r="QFZ171" s="201"/>
      <c r="QGA171" s="201"/>
      <c r="QGB171" s="201"/>
      <c r="QGC171" s="201"/>
      <c r="QGD171" s="201"/>
      <c r="QGE171" s="201"/>
      <c r="QGF171" s="201"/>
      <c r="QGG171" s="201"/>
      <c r="QGH171" s="201"/>
      <c r="QGI171" s="201"/>
      <c r="QGJ171" s="201"/>
      <c r="QGK171" s="201"/>
      <c r="QGL171" s="201"/>
      <c r="QGM171" s="201"/>
      <c r="QGN171" s="201"/>
      <c r="QGO171" s="201"/>
      <c r="QGP171" s="201"/>
      <c r="QGQ171" s="201"/>
      <c r="QGR171" s="201"/>
      <c r="QGS171" s="201"/>
      <c r="QGT171" s="201"/>
      <c r="QGU171" s="201"/>
      <c r="QGV171" s="201"/>
      <c r="QGW171" s="201"/>
      <c r="QGX171" s="201"/>
      <c r="QGY171" s="201"/>
      <c r="QGZ171" s="201"/>
      <c r="QHA171" s="201"/>
      <c r="QHB171" s="201"/>
      <c r="QHC171" s="201"/>
      <c r="QHD171" s="201"/>
      <c r="QHE171" s="201"/>
      <c r="QHF171" s="201"/>
      <c r="QHG171" s="201"/>
      <c r="QHH171" s="201"/>
      <c r="QHI171" s="201"/>
      <c r="QHJ171" s="201"/>
      <c r="QHK171" s="201"/>
      <c r="QHL171" s="201"/>
      <c r="QHM171" s="201"/>
      <c r="QHN171" s="201"/>
      <c r="QHO171" s="201"/>
      <c r="QHP171" s="201"/>
      <c r="QHQ171" s="201"/>
      <c r="QHR171" s="201"/>
      <c r="QHS171" s="201"/>
      <c r="QHT171" s="201"/>
      <c r="QHU171" s="201"/>
      <c r="QHV171" s="201"/>
      <c r="QHW171" s="201"/>
      <c r="QHX171" s="201"/>
      <c r="QHY171" s="201"/>
      <c r="QHZ171" s="201"/>
      <c r="QIA171" s="201"/>
      <c r="QIB171" s="201"/>
      <c r="QIC171" s="201"/>
      <c r="QID171" s="201"/>
      <c r="QIE171" s="201"/>
      <c r="QIF171" s="201"/>
      <c r="QIG171" s="201"/>
      <c r="QIH171" s="201"/>
      <c r="QII171" s="201"/>
      <c r="QIJ171" s="201"/>
      <c r="QIK171" s="201"/>
      <c r="QIL171" s="201"/>
      <c r="QIM171" s="201"/>
      <c r="QIN171" s="201"/>
      <c r="QIO171" s="201"/>
      <c r="QIP171" s="201"/>
      <c r="QIQ171" s="201"/>
      <c r="QIR171" s="201"/>
      <c r="QIS171" s="201"/>
      <c r="QIT171" s="201"/>
      <c r="QIU171" s="201"/>
      <c r="QIV171" s="201"/>
      <c r="QIW171" s="201"/>
      <c r="QIX171" s="201"/>
      <c r="QIY171" s="201"/>
      <c r="QIZ171" s="201"/>
      <c r="QJA171" s="201"/>
      <c r="QJB171" s="201"/>
      <c r="QJC171" s="201"/>
      <c r="QJD171" s="201"/>
      <c r="QJE171" s="201"/>
      <c r="QJF171" s="201"/>
      <c r="QJG171" s="201"/>
      <c r="QJH171" s="201"/>
      <c r="QJI171" s="201"/>
      <c r="QJJ171" s="201"/>
      <c r="QJK171" s="201"/>
      <c r="QJL171" s="201"/>
      <c r="QJM171" s="201"/>
      <c r="QJN171" s="201"/>
      <c r="QJO171" s="201"/>
      <c r="QJP171" s="201"/>
      <c r="QJQ171" s="201"/>
      <c r="QJR171" s="201"/>
      <c r="QJS171" s="201"/>
      <c r="QJT171" s="201"/>
      <c r="QJU171" s="201"/>
      <c r="QJV171" s="201"/>
      <c r="QJW171" s="201"/>
      <c r="QJX171" s="201"/>
      <c r="QJY171" s="201"/>
      <c r="QJZ171" s="201"/>
      <c r="QKA171" s="201"/>
      <c r="QKB171" s="201"/>
      <c r="QKC171" s="201"/>
      <c r="QKD171" s="201"/>
      <c r="QKE171" s="201"/>
      <c r="QKF171" s="201"/>
      <c r="QKG171" s="201"/>
      <c r="QKH171" s="201"/>
      <c r="QKI171" s="201"/>
      <c r="QKJ171" s="201"/>
      <c r="QKK171" s="201"/>
      <c r="QKL171" s="201"/>
      <c r="QKM171" s="201"/>
      <c r="QKN171" s="201"/>
      <c r="QKO171" s="201"/>
      <c r="QKP171" s="201"/>
      <c r="QKQ171" s="201"/>
      <c r="QKR171" s="201"/>
      <c r="QKS171" s="201"/>
      <c r="QKT171" s="201"/>
      <c r="QKU171" s="201"/>
      <c r="QKV171" s="201"/>
      <c r="QKW171" s="201"/>
      <c r="QKX171" s="201"/>
      <c r="QKY171" s="201"/>
      <c r="QKZ171" s="201"/>
      <c r="QLA171" s="201"/>
      <c r="QLB171" s="201"/>
      <c r="QLC171" s="201"/>
      <c r="QLD171" s="201"/>
      <c r="QLE171" s="201"/>
      <c r="QLF171" s="201"/>
      <c r="QLG171" s="201"/>
      <c r="QLH171" s="201"/>
      <c r="QLI171" s="201"/>
      <c r="QLJ171" s="201"/>
      <c r="QLK171" s="201"/>
      <c r="QLL171" s="201"/>
      <c r="QLM171" s="201"/>
      <c r="QLN171" s="201"/>
      <c r="QLO171" s="201"/>
      <c r="QLP171" s="201"/>
      <c r="QLQ171" s="201"/>
      <c r="QLR171" s="201"/>
      <c r="QLS171" s="201"/>
      <c r="QLT171" s="201"/>
      <c r="QLU171" s="201"/>
      <c r="QLV171" s="201"/>
      <c r="QLW171" s="201"/>
      <c r="QLX171" s="201"/>
      <c r="QLY171" s="201"/>
      <c r="QLZ171" s="201"/>
      <c r="QMA171" s="201"/>
      <c r="QMB171" s="201"/>
      <c r="QMC171" s="201"/>
      <c r="QMD171" s="201"/>
      <c r="QME171" s="201"/>
      <c r="QMF171" s="201"/>
      <c r="QMG171" s="201"/>
      <c r="QMH171" s="201"/>
      <c r="QMI171" s="201"/>
      <c r="QMJ171" s="201"/>
      <c r="QMK171" s="201"/>
      <c r="QML171" s="201"/>
      <c r="QMM171" s="201"/>
      <c r="QMN171" s="201"/>
      <c r="QMO171" s="201"/>
      <c r="QMP171" s="201"/>
      <c r="QMQ171" s="201"/>
      <c r="QMR171" s="201"/>
      <c r="QMS171" s="201"/>
      <c r="QMT171" s="201"/>
      <c r="QMU171" s="201"/>
      <c r="QMV171" s="201"/>
      <c r="QMW171" s="201"/>
      <c r="QMX171" s="201"/>
      <c r="QMY171" s="201"/>
      <c r="QMZ171" s="201"/>
      <c r="QNA171" s="201"/>
      <c r="QNB171" s="201"/>
      <c r="QNC171" s="201"/>
      <c r="QND171" s="201"/>
      <c r="QNE171" s="201"/>
      <c r="QNF171" s="201"/>
      <c r="QNG171" s="201"/>
      <c r="QNH171" s="201"/>
      <c r="QNI171" s="201"/>
      <c r="QNJ171" s="201"/>
      <c r="QNK171" s="201"/>
      <c r="QNL171" s="201"/>
      <c r="QNM171" s="201"/>
      <c r="QNN171" s="201"/>
      <c r="QNO171" s="201"/>
      <c r="QNP171" s="201"/>
      <c r="QNQ171" s="201"/>
      <c r="QNR171" s="201"/>
      <c r="QNS171" s="201"/>
      <c r="QNT171" s="201"/>
      <c r="QNU171" s="201"/>
      <c r="QNV171" s="201"/>
      <c r="QNW171" s="201"/>
      <c r="QNX171" s="201"/>
      <c r="QNY171" s="201"/>
      <c r="QNZ171" s="201"/>
      <c r="QOA171" s="201"/>
      <c r="QOB171" s="201"/>
      <c r="QOC171" s="201"/>
      <c r="QOD171" s="201"/>
      <c r="QOE171" s="201"/>
      <c r="QOF171" s="201"/>
      <c r="QOG171" s="201"/>
      <c r="QOH171" s="201"/>
      <c r="QOI171" s="201"/>
      <c r="QOJ171" s="201"/>
      <c r="QOK171" s="201"/>
      <c r="QOL171" s="201"/>
      <c r="QOM171" s="201"/>
      <c r="QON171" s="201"/>
      <c r="QOO171" s="201"/>
      <c r="QOP171" s="201"/>
      <c r="QOQ171" s="201"/>
      <c r="QOR171" s="201"/>
      <c r="QOS171" s="201"/>
      <c r="QOT171" s="201"/>
      <c r="QOU171" s="201"/>
      <c r="QOV171" s="201"/>
      <c r="QOW171" s="201"/>
      <c r="QOX171" s="201"/>
      <c r="QOY171" s="201"/>
      <c r="QOZ171" s="201"/>
      <c r="QPA171" s="201"/>
      <c r="QPB171" s="201"/>
      <c r="QPC171" s="201"/>
      <c r="QPD171" s="201"/>
      <c r="QPE171" s="201"/>
      <c r="QPF171" s="201"/>
      <c r="QPG171" s="201"/>
      <c r="QPH171" s="201"/>
      <c r="QPI171" s="201"/>
      <c r="QPJ171" s="201"/>
      <c r="QPK171" s="201"/>
      <c r="QPL171" s="201"/>
      <c r="QPM171" s="201"/>
      <c r="QPN171" s="201"/>
      <c r="QPO171" s="201"/>
      <c r="QPP171" s="201"/>
      <c r="QPQ171" s="201"/>
      <c r="QPR171" s="201"/>
      <c r="QPS171" s="201"/>
      <c r="QPT171" s="201"/>
      <c r="QPU171" s="201"/>
      <c r="QPV171" s="201"/>
      <c r="QPW171" s="201"/>
      <c r="QPX171" s="201"/>
      <c r="QPY171" s="201"/>
      <c r="QPZ171" s="201"/>
      <c r="QQA171" s="201"/>
      <c r="QQB171" s="201"/>
      <c r="QQC171" s="201"/>
      <c r="QQD171" s="201"/>
      <c r="QQE171" s="201"/>
      <c r="QQF171" s="201"/>
      <c r="QQG171" s="201"/>
      <c r="QQH171" s="201"/>
      <c r="QQI171" s="201"/>
      <c r="QQJ171" s="201"/>
      <c r="QQK171" s="201"/>
      <c r="QQL171" s="201"/>
      <c r="QQM171" s="201"/>
      <c r="QQN171" s="201"/>
      <c r="QQO171" s="201"/>
      <c r="QQP171" s="201"/>
      <c r="QQQ171" s="201"/>
      <c r="QQR171" s="201"/>
      <c r="QQS171" s="201"/>
      <c r="QQT171" s="201"/>
      <c r="QQU171" s="201"/>
      <c r="QQV171" s="201"/>
      <c r="QQW171" s="201"/>
      <c r="QQX171" s="201"/>
      <c r="QQY171" s="201"/>
      <c r="QQZ171" s="201"/>
      <c r="QRA171" s="201"/>
      <c r="QRB171" s="201"/>
      <c r="QRC171" s="201"/>
      <c r="QRD171" s="201"/>
      <c r="QRE171" s="201"/>
      <c r="QRF171" s="201"/>
      <c r="QRG171" s="201"/>
      <c r="QRH171" s="201"/>
      <c r="QRI171" s="201"/>
      <c r="QRJ171" s="201"/>
      <c r="QRK171" s="201"/>
      <c r="QRL171" s="201"/>
      <c r="QRM171" s="201"/>
      <c r="QRN171" s="201"/>
      <c r="QRO171" s="201"/>
      <c r="QRP171" s="201"/>
      <c r="QRQ171" s="201"/>
      <c r="QRR171" s="201"/>
      <c r="QRS171" s="201"/>
      <c r="QRT171" s="201"/>
      <c r="QRU171" s="201"/>
      <c r="QRV171" s="201"/>
      <c r="QRW171" s="201"/>
      <c r="QRX171" s="201"/>
      <c r="QRY171" s="201"/>
      <c r="QRZ171" s="201"/>
      <c r="QSA171" s="201"/>
      <c r="QSB171" s="201"/>
      <c r="QSC171" s="201"/>
      <c r="QSD171" s="201"/>
      <c r="QSE171" s="201"/>
      <c r="QSF171" s="201"/>
      <c r="QSG171" s="201"/>
      <c r="QSH171" s="201"/>
      <c r="QSI171" s="201"/>
      <c r="QSJ171" s="201"/>
      <c r="QSK171" s="201"/>
      <c r="QSL171" s="201"/>
      <c r="QSM171" s="201"/>
      <c r="QSN171" s="201"/>
      <c r="QSO171" s="201"/>
      <c r="QSP171" s="201"/>
      <c r="QSQ171" s="201"/>
      <c r="QSR171" s="201"/>
      <c r="QSS171" s="201"/>
      <c r="QST171" s="201"/>
      <c r="QSU171" s="201"/>
      <c r="QSV171" s="201"/>
      <c r="QSW171" s="201"/>
      <c r="QSX171" s="201"/>
      <c r="QSY171" s="201"/>
      <c r="QSZ171" s="201"/>
      <c r="QTA171" s="201"/>
      <c r="QTB171" s="201"/>
      <c r="QTC171" s="201"/>
      <c r="QTD171" s="201"/>
      <c r="QTE171" s="201"/>
      <c r="QTF171" s="201"/>
      <c r="QTG171" s="201"/>
      <c r="QTH171" s="201"/>
      <c r="QTI171" s="201"/>
      <c r="QTJ171" s="201"/>
      <c r="QTK171" s="201"/>
      <c r="QTL171" s="201"/>
      <c r="QTM171" s="201"/>
      <c r="QTN171" s="201"/>
      <c r="QTO171" s="201"/>
      <c r="QTP171" s="201"/>
      <c r="QTQ171" s="201"/>
      <c r="QTR171" s="201"/>
      <c r="QTS171" s="201"/>
      <c r="QTT171" s="201"/>
      <c r="QTU171" s="201"/>
      <c r="QTV171" s="201"/>
      <c r="QTW171" s="201"/>
      <c r="QTX171" s="201"/>
      <c r="QTY171" s="201"/>
      <c r="QTZ171" s="201"/>
      <c r="QUA171" s="201"/>
      <c r="QUB171" s="201"/>
      <c r="QUC171" s="201"/>
      <c r="QUD171" s="201"/>
      <c r="QUE171" s="201"/>
      <c r="QUF171" s="201"/>
      <c r="QUG171" s="201"/>
      <c r="QUH171" s="201"/>
      <c r="QUI171" s="201"/>
      <c r="QUJ171" s="201"/>
      <c r="QUK171" s="201"/>
      <c r="QUL171" s="201"/>
      <c r="QUM171" s="201"/>
      <c r="QUN171" s="201"/>
      <c r="QUO171" s="201"/>
      <c r="QUP171" s="201"/>
      <c r="QUQ171" s="201"/>
      <c r="QUR171" s="201"/>
      <c r="QUS171" s="201"/>
      <c r="QUT171" s="201"/>
      <c r="QUU171" s="201"/>
      <c r="QUV171" s="201"/>
      <c r="QUW171" s="201"/>
      <c r="QUX171" s="201"/>
      <c r="QUY171" s="201"/>
      <c r="QUZ171" s="201"/>
      <c r="QVA171" s="201"/>
      <c r="QVB171" s="201"/>
      <c r="QVC171" s="201"/>
      <c r="QVD171" s="201"/>
      <c r="QVE171" s="201"/>
      <c r="QVF171" s="201"/>
      <c r="QVG171" s="201"/>
      <c r="QVH171" s="201"/>
      <c r="QVI171" s="201"/>
      <c r="QVJ171" s="201"/>
      <c r="QVK171" s="201"/>
      <c r="QVL171" s="201"/>
      <c r="QVM171" s="201"/>
      <c r="QVN171" s="201"/>
      <c r="QVO171" s="201"/>
      <c r="QVP171" s="201"/>
      <c r="QVQ171" s="201"/>
      <c r="QVR171" s="201"/>
      <c r="QVS171" s="201"/>
      <c r="QVT171" s="201"/>
      <c r="QVU171" s="201"/>
      <c r="QVV171" s="201"/>
      <c r="QVW171" s="201"/>
      <c r="QVX171" s="201"/>
      <c r="QVY171" s="201"/>
      <c r="QVZ171" s="201"/>
      <c r="QWA171" s="201"/>
      <c r="QWB171" s="201"/>
      <c r="QWC171" s="201"/>
      <c r="QWD171" s="201"/>
      <c r="QWE171" s="201"/>
      <c r="QWF171" s="201"/>
      <c r="QWG171" s="201"/>
      <c r="QWH171" s="201"/>
      <c r="QWI171" s="201"/>
      <c r="QWJ171" s="201"/>
      <c r="QWK171" s="201"/>
      <c r="QWL171" s="201"/>
      <c r="QWM171" s="201"/>
      <c r="QWN171" s="201"/>
      <c r="QWO171" s="201"/>
      <c r="QWP171" s="201"/>
      <c r="QWQ171" s="201"/>
      <c r="QWR171" s="201"/>
      <c r="QWS171" s="201"/>
      <c r="QWT171" s="201"/>
      <c r="QWU171" s="201"/>
      <c r="QWV171" s="201"/>
      <c r="QWW171" s="201"/>
      <c r="QWX171" s="201"/>
      <c r="QWY171" s="201"/>
      <c r="QWZ171" s="201"/>
      <c r="QXA171" s="201"/>
      <c r="QXB171" s="201"/>
      <c r="QXC171" s="201"/>
      <c r="QXD171" s="201"/>
      <c r="QXE171" s="201"/>
      <c r="QXF171" s="201"/>
      <c r="QXG171" s="201"/>
      <c r="QXH171" s="201"/>
      <c r="QXI171" s="201"/>
      <c r="QXJ171" s="201"/>
      <c r="QXK171" s="201"/>
      <c r="QXL171" s="201"/>
      <c r="QXM171" s="201"/>
      <c r="QXN171" s="201"/>
      <c r="QXO171" s="201"/>
      <c r="QXP171" s="201"/>
      <c r="QXQ171" s="201"/>
      <c r="QXR171" s="201"/>
      <c r="QXS171" s="201"/>
      <c r="QXT171" s="201"/>
      <c r="QXU171" s="201"/>
      <c r="QXV171" s="201"/>
      <c r="QXW171" s="201"/>
      <c r="QXX171" s="201"/>
      <c r="QXY171" s="201"/>
      <c r="QXZ171" s="201"/>
      <c r="QYA171" s="201"/>
      <c r="QYB171" s="201"/>
      <c r="QYC171" s="201"/>
      <c r="QYD171" s="201"/>
      <c r="QYE171" s="201"/>
      <c r="QYF171" s="201"/>
      <c r="QYG171" s="201"/>
      <c r="QYH171" s="201"/>
      <c r="QYI171" s="201"/>
      <c r="QYJ171" s="201"/>
      <c r="QYK171" s="201"/>
      <c r="QYL171" s="201"/>
      <c r="QYM171" s="201"/>
      <c r="QYN171" s="201"/>
      <c r="QYO171" s="201"/>
      <c r="QYP171" s="201"/>
      <c r="QYQ171" s="201"/>
      <c r="QYR171" s="201"/>
      <c r="QYS171" s="201"/>
      <c r="QYT171" s="201"/>
      <c r="QYU171" s="201"/>
      <c r="QYV171" s="201"/>
      <c r="QYW171" s="201"/>
      <c r="QYX171" s="201"/>
      <c r="QYY171" s="201"/>
      <c r="QYZ171" s="201"/>
      <c r="QZA171" s="201"/>
      <c r="QZB171" s="201"/>
      <c r="QZC171" s="201"/>
      <c r="QZD171" s="201"/>
      <c r="QZE171" s="201"/>
      <c r="QZF171" s="201"/>
      <c r="QZG171" s="201"/>
      <c r="QZH171" s="201"/>
      <c r="QZI171" s="201"/>
      <c r="QZJ171" s="201"/>
      <c r="QZK171" s="201"/>
      <c r="QZL171" s="201"/>
      <c r="QZM171" s="201"/>
      <c r="QZN171" s="201"/>
      <c r="QZO171" s="201"/>
      <c r="QZP171" s="201"/>
      <c r="QZQ171" s="201"/>
      <c r="QZR171" s="201"/>
      <c r="QZS171" s="201"/>
      <c r="QZT171" s="201"/>
      <c r="QZU171" s="201"/>
      <c r="QZV171" s="201"/>
      <c r="QZW171" s="201"/>
      <c r="QZX171" s="201"/>
      <c r="QZY171" s="201"/>
      <c r="QZZ171" s="201"/>
      <c r="RAA171" s="201"/>
      <c r="RAB171" s="201"/>
      <c r="RAC171" s="201"/>
      <c r="RAD171" s="201"/>
      <c r="RAE171" s="201"/>
      <c r="RAF171" s="201"/>
      <c r="RAG171" s="201"/>
      <c r="RAH171" s="201"/>
      <c r="RAI171" s="201"/>
      <c r="RAJ171" s="201"/>
      <c r="RAK171" s="201"/>
      <c r="RAL171" s="201"/>
      <c r="RAM171" s="201"/>
      <c r="RAN171" s="201"/>
      <c r="RAO171" s="201"/>
      <c r="RAP171" s="201"/>
      <c r="RAQ171" s="201"/>
      <c r="RAR171" s="201"/>
      <c r="RAS171" s="201"/>
      <c r="RAT171" s="201"/>
      <c r="RAU171" s="201"/>
      <c r="RAV171" s="201"/>
      <c r="RAW171" s="201"/>
      <c r="RAX171" s="201"/>
      <c r="RAY171" s="201"/>
      <c r="RAZ171" s="201"/>
      <c r="RBA171" s="201"/>
      <c r="RBB171" s="201"/>
      <c r="RBC171" s="201"/>
      <c r="RBD171" s="201"/>
      <c r="RBE171" s="201"/>
      <c r="RBF171" s="201"/>
      <c r="RBG171" s="201"/>
      <c r="RBH171" s="201"/>
      <c r="RBI171" s="201"/>
      <c r="RBJ171" s="201"/>
      <c r="RBK171" s="201"/>
      <c r="RBL171" s="201"/>
      <c r="RBM171" s="201"/>
      <c r="RBN171" s="201"/>
      <c r="RBO171" s="201"/>
      <c r="RBP171" s="201"/>
      <c r="RBQ171" s="201"/>
      <c r="RBR171" s="201"/>
      <c r="RBS171" s="201"/>
      <c r="RBT171" s="201"/>
      <c r="RBU171" s="201"/>
      <c r="RBV171" s="201"/>
      <c r="RBW171" s="201"/>
      <c r="RBX171" s="201"/>
      <c r="RBY171" s="201"/>
      <c r="RBZ171" s="201"/>
      <c r="RCA171" s="201"/>
      <c r="RCB171" s="201"/>
      <c r="RCC171" s="201"/>
      <c r="RCD171" s="201"/>
      <c r="RCE171" s="201"/>
      <c r="RCF171" s="201"/>
      <c r="RCG171" s="201"/>
      <c r="RCH171" s="201"/>
      <c r="RCI171" s="201"/>
      <c r="RCJ171" s="201"/>
      <c r="RCK171" s="201"/>
      <c r="RCL171" s="201"/>
      <c r="RCM171" s="201"/>
      <c r="RCN171" s="201"/>
      <c r="RCO171" s="201"/>
      <c r="RCP171" s="201"/>
      <c r="RCQ171" s="201"/>
      <c r="RCR171" s="201"/>
      <c r="RCS171" s="201"/>
      <c r="RCT171" s="201"/>
      <c r="RCU171" s="201"/>
      <c r="RCV171" s="201"/>
      <c r="RCW171" s="201"/>
      <c r="RCX171" s="201"/>
      <c r="RCY171" s="201"/>
      <c r="RCZ171" s="201"/>
      <c r="RDA171" s="201"/>
      <c r="RDB171" s="201"/>
      <c r="RDC171" s="201"/>
      <c r="RDD171" s="201"/>
      <c r="RDE171" s="201"/>
      <c r="RDF171" s="201"/>
      <c r="RDG171" s="201"/>
      <c r="RDH171" s="201"/>
      <c r="RDI171" s="201"/>
      <c r="RDJ171" s="201"/>
      <c r="RDK171" s="201"/>
      <c r="RDL171" s="201"/>
      <c r="RDM171" s="201"/>
      <c r="RDN171" s="201"/>
      <c r="RDO171" s="201"/>
      <c r="RDP171" s="201"/>
      <c r="RDQ171" s="201"/>
      <c r="RDR171" s="201"/>
      <c r="RDS171" s="201"/>
      <c r="RDT171" s="201"/>
      <c r="RDU171" s="201"/>
      <c r="RDV171" s="201"/>
      <c r="RDW171" s="201"/>
      <c r="RDX171" s="201"/>
      <c r="RDY171" s="201"/>
      <c r="RDZ171" s="201"/>
      <c r="REA171" s="201"/>
      <c r="REB171" s="201"/>
      <c r="REC171" s="201"/>
      <c r="RED171" s="201"/>
      <c r="REE171" s="201"/>
      <c r="REF171" s="201"/>
      <c r="REG171" s="201"/>
      <c r="REH171" s="201"/>
      <c r="REI171" s="201"/>
      <c r="REJ171" s="201"/>
      <c r="REK171" s="201"/>
      <c r="REL171" s="201"/>
      <c r="REM171" s="201"/>
      <c r="REN171" s="201"/>
      <c r="REO171" s="201"/>
      <c r="REP171" s="201"/>
      <c r="REQ171" s="201"/>
      <c r="RER171" s="201"/>
      <c r="RES171" s="201"/>
      <c r="RET171" s="201"/>
      <c r="REU171" s="201"/>
      <c r="REV171" s="201"/>
      <c r="REW171" s="201"/>
      <c r="REX171" s="201"/>
      <c r="REY171" s="201"/>
      <c r="REZ171" s="201"/>
      <c r="RFA171" s="201"/>
      <c r="RFB171" s="201"/>
      <c r="RFC171" s="201"/>
      <c r="RFD171" s="201"/>
      <c r="RFE171" s="201"/>
      <c r="RFF171" s="201"/>
      <c r="RFG171" s="201"/>
      <c r="RFH171" s="201"/>
      <c r="RFI171" s="201"/>
      <c r="RFJ171" s="201"/>
      <c r="RFK171" s="201"/>
      <c r="RFL171" s="201"/>
      <c r="RFM171" s="201"/>
      <c r="RFN171" s="201"/>
      <c r="RFO171" s="201"/>
      <c r="RFP171" s="201"/>
      <c r="RFQ171" s="201"/>
      <c r="RFR171" s="201"/>
      <c r="RFS171" s="201"/>
      <c r="RFT171" s="201"/>
      <c r="RFU171" s="201"/>
      <c r="RFV171" s="201"/>
      <c r="RFW171" s="201"/>
      <c r="RFX171" s="201"/>
      <c r="RFY171" s="201"/>
      <c r="RFZ171" s="201"/>
      <c r="RGA171" s="201"/>
      <c r="RGB171" s="201"/>
      <c r="RGC171" s="201"/>
      <c r="RGD171" s="201"/>
      <c r="RGE171" s="201"/>
      <c r="RGF171" s="201"/>
      <c r="RGG171" s="201"/>
      <c r="RGH171" s="201"/>
      <c r="RGI171" s="201"/>
      <c r="RGJ171" s="201"/>
      <c r="RGK171" s="201"/>
      <c r="RGL171" s="201"/>
      <c r="RGM171" s="201"/>
      <c r="RGN171" s="201"/>
      <c r="RGO171" s="201"/>
      <c r="RGP171" s="201"/>
      <c r="RGQ171" s="201"/>
      <c r="RGR171" s="201"/>
      <c r="RGS171" s="201"/>
      <c r="RGT171" s="201"/>
      <c r="RGU171" s="201"/>
      <c r="RGV171" s="201"/>
      <c r="RGW171" s="201"/>
      <c r="RGX171" s="201"/>
      <c r="RGY171" s="201"/>
      <c r="RGZ171" s="201"/>
      <c r="RHA171" s="201"/>
      <c r="RHB171" s="201"/>
      <c r="RHC171" s="201"/>
      <c r="RHD171" s="201"/>
      <c r="RHE171" s="201"/>
      <c r="RHF171" s="201"/>
      <c r="RHG171" s="201"/>
      <c r="RHH171" s="201"/>
      <c r="RHI171" s="201"/>
      <c r="RHJ171" s="201"/>
      <c r="RHK171" s="201"/>
      <c r="RHL171" s="201"/>
      <c r="RHM171" s="201"/>
      <c r="RHN171" s="201"/>
      <c r="RHO171" s="201"/>
      <c r="RHP171" s="201"/>
      <c r="RHQ171" s="201"/>
      <c r="RHR171" s="201"/>
      <c r="RHS171" s="201"/>
      <c r="RHT171" s="201"/>
      <c r="RHU171" s="201"/>
      <c r="RHV171" s="201"/>
      <c r="RHW171" s="201"/>
      <c r="RHX171" s="201"/>
      <c r="RHY171" s="201"/>
      <c r="RHZ171" s="201"/>
      <c r="RIA171" s="201"/>
      <c r="RIB171" s="201"/>
      <c r="RIC171" s="201"/>
      <c r="RID171" s="201"/>
      <c r="RIE171" s="201"/>
      <c r="RIF171" s="201"/>
      <c r="RIG171" s="201"/>
      <c r="RIH171" s="201"/>
      <c r="RII171" s="201"/>
      <c r="RIJ171" s="201"/>
      <c r="RIK171" s="201"/>
      <c r="RIL171" s="201"/>
      <c r="RIM171" s="201"/>
      <c r="RIN171" s="201"/>
      <c r="RIO171" s="201"/>
      <c r="RIP171" s="201"/>
      <c r="RIQ171" s="201"/>
      <c r="RIR171" s="201"/>
      <c r="RIS171" s="201"/>
      <c r="RIT171" s="201"/>
      <c r="RIU171" s="201"/>
      <c r="RIV171" s="201"/>
      <c r="RIW171" s="201"/>
      <c r="RIX171" s="201"/>
      <c r="RIY171" s="201"/>
      <c r="RIZ171" s="201"/>
      <c r="RJA171" s="201"/>
      <c r="RJB171" s="201"/>
      <c r="RJC171" s="201"/>
      <c r="RJD171" s="201"/>
      <c r="RJE171" s="201"/>
      <c r="RJF171" s="201"/>
      <c r="RJG171" s="201"/>
      <c r="RJH171" s="201"/>
      <c r="RJI171" s="201"/>
      <c r="RJJ171" s="201"/>
      <c r="RJK171" s="201"/>
      <c r="RJL171" s="201"/>
      <c r="RJM171" s="201"/>
      <c r="RJN171" s="201"/>
      <c r="RJO171" s="201"/>
      <c r="RJP171" s="201"/>
      <c r="RJQ171" s="201"/>
      <c r="RJR171" s="201"/>
      <c r="RJS171" s="201"/>
      <c r="RJT171" s="201"/>
      <c r="RJU171" s="201"/>
      <c r="RJV171" s="201"/>
      <c r="RJW171" s="201"/>
      <c r="RJX171" s="201"/>
      <c r="RJY171" s="201"/>
      <c r="RJZ171" s="201"/>
      <c r="RKA171" s="201"/>
      <c r="RKB171" s="201"/>
      <c r="RKC171" s="201"/>
      <c r="RKD171" s="201"/>
      <c r="RKE171" s="201"/>
      <c r="RKF171" s="201"/>
      <c r="RKG171" s="201"/>
      <c r="RKH171" s="201"/>
      <c r="RKI171" s="201"/>
      <c r="RKJ171" s="201"/>
      <c r="RKK171" s="201"/>
      <c r="RKL171" s="201"/>
      <c r="RKM171" s="201"/>
      <c r="RKN171" s="201"/>
      <c r="RKO171" s="201"/>
      <c r="RKP171" s="201"/>
      <c r="RKQ171" s="201"/>
      <c r="RKR171" s="201"/>
      <c r="RKS171" s="201"/>
      <c r="RKT171" s="201"/>
      <c r="RKU171" s="201"/>
      <c r="RKV171" s="201"/>
      <c r="RKW171" s="201"/>
      <c r="RKX171" s="201"/>
      <c r="RKY171" s="201"/>
      <c r="RKZ171" s="201"/>
      <c r="RLA171" s="201"/>
      <c r="RLB171" s="201"/>
      <c r="RLC171" s="201"/>
      <c r="RLD171" s="201"/>
      <c r="RLE171" s="201"/>
      <c r="RLF171" s="201"/>
      <c r="RLG171" s="201"/>
      <c r="RLH171" s="201"/>
      <c r="RLI171" s="201"/>
      <c r="RLJ171" s="201"/>
      <c r="RLK171" s="201"/>
      <c r="RLL171" s="201"/>
      <c r="RLM171" s="201"/>
      <c r="RLN171" s="201"/>
      <c r="RLO171" s="201"/>
      <c r="RLP171" s="201"/>
      <c r="RLQ171" s="201"/>
      <c r="RLR171" s="201"/>
      <c r="RLS171" s="201"/>
      <c r="RLT171" s="201"/>
      <c r="RLU171" s="201"/>
      <c r="RLV171" s="201"/>
      <c r="RLW171" s="201"/>
      <c r="RLX171" s="201"/>
      <c r="RLY171" s="201"/>
      <c r="RLZ171" s="201"/>
      <c r="RMA171" s="201"/>
      <c r="RMB171" s="201"/>
      <c r="RMC171" s="201"/>
      <c r="RMD171" s="201"/>
      <c r="RME171" s="201"/>
      <c r="RMF171" s="201"/>
      <c r="RMG171" s="201"/>
      <c r="RMH171" s="201"/>
      <c r="RMI171" s="201"/>
      <c r="RMJ171" s="201"/>
      <c r="RMK171" s="201"/>
      <c r="RML171" s="201"/>
      <c r="RMM171" s="201"/>
      <c r="RMN171" s="201"/>
      <c r="RMO171" s="201"/>
      <c r="RMP171" s="201"/>
      <c r="RMQ171" s="201"/>
      <c r="RMR171" s="201"/>
      <c r="RMS171" s="201"/>
      <c r="RMT171" s="201"/>
      <c r="RMU171" s="201"/>
      <c r="RMV171" s="201"/>
      <c r="RMW171" s="201"/>
      <c r="RMX171" s="201"/>
      <c r="RMY171" s="201"/>
      <c r="RMZ171" s="201"/>
      <c r="RNA171" s="201"/>
      <c r="RNB171" s="201"/>
      <c r="RNC171" s="201"/>
      <c r="RND171" s="201"/>
      <c r="RNE171" s="201"/>
      <c r="RNF171" s="201"/>
      <c r="RNG171" s="201"/>
      <c r="RNH171" s="201"/>
      <c r="RNI171" s="201"/>
      <c r="RNJ171" s="201"/>
      <c r="RNK171" s="201"/>
      <c r="RNL171" s="201"/>
      <c r="RNM171" s="201"/>
      <c r="RNN171" s="201"/>
      <c r="RNO171" s="201"/>
      <c r="RNP171" s="201"/>
      <c r="RNQ171" s="201"/>
      <c r="RNR171" s="201"/>
      <c r="RNS171" s="201"/>
      <c r="RNT171" s="201"/>
      <c r="RNU171" s="201"/>
      <c r="RNV171" s="201"/>
      <c r="RNW171" s="201"/>
      <c r="RNX171" s="201"/>
      <c r="RNY171" s="201"/>
      <c r="RNZ171" s="201"/>
      <c r="ROA171" s="201"/>
      <c r="ROB171" s="201"/>
      <c r="ROC171" s="201"/>
      <c r="ROD171" s="201"/>
      <c r="ROE171" s="201"/>
      <c r="ROF171" s="201"/>
      <c r="ROG171" s="201"/>
      <c r="ROH171" s="201"/>
      <c r="ROI171" s="201"/>
      <c r="ROJ171" s="201"/>
      <c r="ROK171" s="201"/>
      <c r="ROL171" s="201"/>
      <c r="ROM171" s="201"/>
      <c r="RON171" s="201"/>
      <c r="ROO171" s="201"/>
      <c r="ROP171" s="201"/>
      <c r="ROQ171" s="201"/>
      <c r="ROR171" s="201"/>
      <c r="ROS171" s="201"/>
      <c r="ROT171" s="201"/>
      <c r="ROU171" s="201"/>
      <c r="ROV171" s="201"/>
      <c r="ROW171" s="201"/>
      <c r="ROX171" s="201"/>
      <c r="ROY171" s="201"/>
      <c r="ROZ171" s="201"/>
      <c r="RPA171" s="201"/>
      <c r="RPB171" s="201"/>
      <c r="RPC171" s="201"/>
      <c r="RPD171" s="201"/>
      <c r="RPE171" s="201"/>
      <c r="RPF171" s="201"/>
      <c r="RPG171" s="201"/>
      <c r="RPH171" s="201"/>
      <c r="RPI171" s="201"/>
      <c r="RPJ171" s="201"/>
      <c r="RPK171" s="201"/>
      <c r="RPL171" s="201"/>
      <c r="RPM171" s="201"/>
      <c r="RPN171" s="201"/>
      <c r="RPO171" s="201"/>
      <c r="RPP171" s="201"/>
      <c r="RPQ171" s="201"/>
      <c r="RPR171" s="201"/>
      <c r="RPS171" s="201"/>
      <c r="RPT171" s="201"/>
      <c r="RPU171" s="201"/>
      <c r="RPV171" s="201"/>
      <c r="RPW171" s="201"/>
      <c r="RPX171" s="201"/>
      <c r="RPY171" s="201"/>
      <c r="RPZ171" s="201"/>
      <c r="RQA171" s="201"/>
      <c r="RQB171" s="201"/>
      <c r="RQC171" s="201"/>
      <c r="RQD171" s="201"/>
      <c r="RQE171" s="201"/>
      <c r="RQF171" s="201"/>
      <c r="RQG171" s="201"/>
      <c r="RQH171" s="201"/>
      <c r="RQI171" s="201"/>
      <c r="RQJ171" s="201"/>
      <c r="RQK171" s="201"/>
      <c r="RQL171" s="201"/>
      <c r="RQM171" s="201"/>
      <c r="RQN171" s="201"/>
      <c r="RQO171" s="201"/>
      <c r="RQP171" s="201"/>
      <c r="RQQ171" s="201"/>
      <c r="RQR171" s="201"/>
      <c r="RQS171" s="201"/>
      <c r="RQT171" s="201"/>
      <c r="RQU171" s="201"/>
      <c r="RQV171" s="201"/>
      <c r="RQW171" s="201"/>
      <c r="RQX171" s="201"/>
      <c r="RQY171" s="201"/>
      <c r="RQZ171" s="201"/>
      <c r="RRA171" s="201"/>
      <c r="RRB171" s="201"/>
      <c r="RRC171" s="201"/>
      <c r="RRD171" s="201"/>
      <c r="RRE171" s="201"/>
      <c r="RRF171" s="201"/>
      <c r="RRG171" s="201"/>
      <c r="RRH171" s="201"/>
      <c r="RRI171" s="201"/>
      <c r="RRJ171" s="201"/>
      <c r="RRK171" s="201"/>
      <c r="RRL171" s="201"/>
      <c r="RRM171" s="201"/>
      <c r="RRN171" s="201"/>
      <c r="RRO171" s="201"/>
      <c r="RRP171" s="201"/>
      <c r="RRQ171" s="201"/>
      <c r="RRR171" s="201"/>
      <c r="RRS171" s="201"/>
      <c r="RRT171" s="201"/>
      <c r="RRU171" s="201"/>
      <c r="RRV171" s="201"/>
      <c r="RRW171" s="201"/>
      <c r="RRX171" s="201"/>
      <c r="RRY171" s="201"/>
      <c r="RRZ171" s="201"/>
      <c r="RSA171" s="201"/>
      <c r="RSB171" s="201"/>
      <c r="RSC171" s="201"/>
      <c r="RSD171" s="201"/>
      <c r="RSE171" s="201"/>
      <c r="RSF171" s="201"/>
      <c r="RSG171" s="201"/>
      <c r="RSH171" s="201"/>
      <c r="RSI171" s="201"/>
      <c r="RSJ171" s="201"/>
      <c r="RSK171" s="201"/>
      <c r="RSL171" s="201"/>
      <c r="RSM171" s="201"/>
      <c r="RSN171" s="201"/>
      <c r="RSO171" s="201"/>
      <c r="RSP171" s="201"/>
      <c r="RSQ171" s="201"/>
      <c r="RSR171" s="201"/>
      <c r="RSS171" s="201"/>
      <c r="RST171" s="201"/>
      <c r="RSU171" s="201"/>
      <c r="RSV171" s="201"/>
      <c r="RSW171" s="201"/>
      <c r="RSX171" s="201"/>
      <c r="RSY171" s="201"/>
      <c r="RSZ171" s="201"/>
      <c r="RTA171" s="201"/>
      <c r="RTB171" s="201"/>
      <c r="RTC171" s="201"/>
      <c r="RTD171" s="201"/>
      <c r="RTE171" s="201"/>
      <c r="RTF171" s="201"/>
      <c r="RTG171" s="201"/>
      <c r="RTH171" s="201"/>
      <c r="RTI171" s="201"/>
      <c r="RTJ171" s="201"/>
      <c r="RTK171" s="201"/>
      <c r="RTL171" s="201"/>
      <c r="RTM171" s="201"/>
      <c r="RTN171" s="201"/>
      <c r="RTO171" s="201"/>
      <c r="RTP171" s="201"/>
      <c r="RTQ171" s="201"/>
      <c r="RTR171" s="201"/>
      <c r="RTS171" s="201"/>
      <c r="RTT171" s="201"/>
      <c r="RTU171" s="201"/>
      <c r="RTV171" s="201"/>
      <c r="RTW171" s="201"/>
      <c r="RTX171" s="201"/>
      <c r="RTY171" s="201"/>
      <c r="RTZ171" s="201"/>
      <c r="RUA171" s="201"/>
      <c r="RUB171" s="201"/>
      <c r="RUC171" s="201"/>
      <c r="RUD171" s="201"/>
      <c r="RUE171" s="201"/>
      <c r="RUF171" s="201"/>
      <c r="RUG171" s="201"/>
      <c r="RUH171" s="201"/>
      <c r="RUI171" s="201"/>
      <c r="RUJ171" s="201"/>
      <c r="RUK171" s="201"/>
      <c r="RUL171" s="201"/>
      <c r="RUM171" s="201"/>
      <c r="RUN171" s="201"/>
      <c r="RUO171" s="201"/>
      <c r="RUP171" s="201"/>
      <c r="RUQ171" s="201"/>
      <c r="RUR171" s="201"/>
      <c r="RUS171" s="201"/>
      <c r="RUT171" s="201"/>
      <c r="RUU171" s="201"/>
      <c r="RUV171" s="201"/>
      <c r="RUW171" s="201"/>
      <c r="RUX171" s="201"/>
      <c r="RUY171" s="201"/>
      <c r="RUZ171" s="201"/>
      <c r="RVA171" s="201"/>
      <c r="RVB171" s="201"/>
      <c r="RVC171" s="201"/>
      <c r="RVD171" s="201"/>
      <c r="RVE171" s="201"/>
      <c r="RVF171" s="201"/>
      <c r="RVG171" s="201"/>
      <c r="RVH171" s="201"/>
      <c r="RVI171" s="201"/>
      <c r="RVJ171" s="201"/>
      <c r="RVK171" s="201"/>
      <c r="RVL171" s="201"/>
      <c r="RVM171" s="201"/>
      <c r="RVN171" s="201"/>
      <c r="RVO171" s="201"/>
      <c r="RVP171" s="201"/>
      <c r="RVQ171" s="201"/>
      <c r="RVR171" s="201"/>
      <c r="RVS171" s="201"/>
      <c r="RVT171" s="201"/>
      <c r="RVU171" s="201"/>
      <c r="RVV171" s="201"/>
      <c r="RVW171" s="201"/>
      <c r="RVX171" s="201"/>
      <c r="RVY171" s="201"/>
      <c r="RVZ171" s="201"/>
      <c r="RWA171" s="201"/>
      <c r="RWB171" s="201"/>
      <c r="RWC171" s="201"/>
      <c r="RWD171" s="201"/>
      <c r="RWE171" s="201"/>
      <c r="RWF171" s="201"/>
      <c r="RWG171" s="201"/>
      <c r="RWH171" s="201"/>
      <c r="RWI171" s="201"/>
      <c r="RWJ171" s="201"/>
      <c r="RWK171" s="201"/>
      <c r="RWL171" s="201"/>
      <c r="RWM171" s="201"/>
      <c r="RWN171" s="201"/>
      <c r="RWO171" s="201"/>
      <c r="RWP171" s="201"/>
      <c r="RWQ171" s="201"/>
      <c r="RWR171" s="201"/>
      <c r="RWS171" s="201"/>
      <c r="RWT171" s="201"/>
      <c r="RWU171" s="201"/>
      <c r="RWV171" s="201"/>
      <c r="RWW171" s="201"/>
      <c r="RWX171" s="201"/>
      <c r="RWY171" s="201"/>
      <c r="RWZ171" s="201"/>
      <c r="RXA171" s="201"/>
      <c r="RXB171" s="201"/>
      <c r="RXC171" s="201"/>
      <c r="RXD171" s="201"/>
      <c r="RXE171" s="201"/>
      <c r="RXF171" s="201"/>
      <c r="RXG171" s="201"/>
      <c r="RXH171" s="201"/>
      <c r="RXI171" s="201"/>
      <c r="RXJ171" s="201"/>
      <c r="RXK171" s="201"/>
      <c r="RXL171" s="201"/>
      <c r="RXM171" s="201"/>
      <c r="RXN171" s="201"/>
      <c r="RXO171" s="201"/>
      <c r="RXP171" s="201"/>
      <c r="RXQ171" s="201"/>
      <c r="RXR171" s="201"/>
      <c r="RXS171" s="201"/>
      <c r="RXT171" s="201"/>
      <c r="RXU171" s="201"/>
      <c r="RXV171" s="201"/>
      <c r="RXW171" s="201"/>
      <c r="RXX171" s="201"/>
      <c r="RXY171" s="201"/>
      <c r="RXZ171" s="201"/>
      <c r="RYA171" s="201"/>
      <c r="RYB171" s="201"/>
      <c r="RYC171" s="201"/>
      <c r="RYD171" s="201"/>
      <c r="RYE171" s="201"/>
      <c r="RYF171" s="201"/>
      <c r="RYG171" s="201"/>
      <c r="RYH171" s="201"/>
      <c r="RYI171" s="201"/>
      <c r="RYJ171" s="201"/>
      <c r="RYK171" s="201"/>
      <c r="RYL171" s="201"/>
      <c r="RYM171" s="201"/>
      <c r="RYN171" s="201"/>
      <c r="RYO171" s="201"/>
      <c r="RYP171" s="201"/>
      <c r="RYQ171" s="201"/>
      <c r="RYR171" s="201"/>
      <c r="RYS171" s="201"/>
      <c r="RYT171" s="201"/>
      <c r="RYU171" s="201"/>
      <c r="RYV171" s="201"/>
      <c r="RYW171" s="201"/>
      <c r="RYX171" s="201"/>
      <c r="RYY171" s="201"/>
      <c r="RYZ171" s="201"/>
      <c r="RZA171" s="201"/>
      <c r="RZB171" s="201"/>
      <c r="RZC171" s="201"/>
      <c r="RZD171" s="201"/>
      <c r="RZE171" s="201"/>
      <c r="RZF171" s="201"/>
      <c r="RZG171" s="201"/>
      <c r="RZH171" s="201"/>
      <c r="RZI171" s="201"/>
      <c r="RZJ171" s="201"/>
      <c r="RZK171" s="201"/>
      <c r="RZL171" s="201"/>
      <c r="RZM171" s="201"/>
      <c r="RZN171" s="201"/>
      <c r="RZO171" s="201"/>
      <c r="RZP171" s="201"/>
      <c r="RZQ171" s="201"/>
      <c r="RZR171" s="201"/>
      <c r="RZS171" s="201"/>
      <c r="RZT171" s="201"/>
      <c r="RZU171" s="201"/>
      <c r="RZV171" s="201"/>
      <c r="RZW171" s="201"/>
      <c r="RZX171" s="201"/>
      <c r="RZY171" s="201"/>
      <c r="RZZ171" s="201"/>
      <c r="SAA171" s="201"/>
      <c r="SAB171" s="201"/>
      <c r="SAC171" s="201"/>
      <c r="SAD171" s="201"/>
      <c r="SAE171" s="201"/>
      <c r="SAF171" s="201"/>
      <c r="SAG171" s="201"/>
      <c r="SAH171" s="201"/>
      <c r="SAI171" s="201"/>
      <c r="SAJ171" s="201"/>
      <c r="SAK171" s="201"/>
      <c r="SAL171" s="201"/>
      <c r="SAM171" s="201"/>
      <c r="SAN171" s="201"/>
      <c r="SAO171" s="201"/>
      <c r="SAP171" s="201"/>
      <c r="SAQ171" s="201"/>
      <c r="SAR171" s="201"/>
      <c r="SAS171" s="201"/>
      <c r="SAT171" s="201"/>
      <c r="SAU171" s="201"/>
      <c r="SAV171" s="201"/>
      <c r="SAW171" s="201"/>
      <c r="SAX171" s="201"/>
      <c r="SAY171" s="201"/>
      <c r="SAZ171" s="201"/>
      <c r="SBA171" s="201"/>
      <c r="SBB171" s="201"/>
      <c r="SBC171" s="201"/>
      <c r="SBD171" s="201"/>
      <c r="SBE171" s="201"/>
      <c r="SBF171" s="201"/>
      <c r="SBG171" s="201"/>
      <c r="SBH171" s="201"/>
      <c r="SBI171" s="201"/>
      <c r="SBJ171" s="201"/>
      <c r="SBK171" s="201"/>
      <c r="SBL171" s="201"/>
      <c r="SBM171" s="201"/>
      <c r="SBN171" s="201"/>
      <c r="SBO171" s="201"/>
      <c r="SBP171" s="201"/>
      <c r="SBQ171" s="201"/>
      <c r="SBR171" s="201"/>
      <c r="SBS171" s="201"/>
      <c r="SBT171" s="201"/>
      <c r="SBU171" s="201"/>
      <c r="SBV171" s="201"/>
      <c r="SBW171" s="201"/>
      <c r="SBX171" s="201"/>
      <c r="SBY171" s="201"/>
      <c r="SBZ171" s="201"/>
      <c r="SCA171" s="201"/>
      <c r="SCB171" s="201"/>
      <c r="SCC171" s="201"/>
      <c r="SCD171" s="201"/>
      <c r="SCE171" s="201"/>
      <c r="SCF171" s="201"/>
      <c r="SCG171" s="201"/>
      <c r="SCH171" s="201"/>
      <c r="SCI171" s="201"/>
      <c r="SCJ171" s="201"/>
      <c r="SCK171" s="201"/>
      <c r="SCL171" s="201"/>
      <c r="SCM171" s="201"/>
      <c r="SCN171" s="201"/>
      <c r="SCO171" s="201"/>
      <c r="SCP171" s="201"/>
      <c r="SCQ171" s="201"/>
      <c r="SCR171" s="201"/>
      <c r="SCS171" s="201"/>
      <c r="SCT171" s="201"/>
      <c r="SCU171" s="201"/>
      <c r="SCV171" s="201"/>
      <c r="SCW171" s="201"/>
      <c r="SCX171" s="201"/>
      <c r="SCY171" s="201"/>
      <c r="SCZ171" s="201"/>
      <c r="SDA171" s="201"/>
      <c r="SDB171" s="201"/>
      <c r="SDC171" s="201"/>
      <c r="SDD171" s="201"/>
      <c r="SDE171" s="201"/>
      <c r="SDF171" s="201"/>
      <c r="SDG171" s="201"/>
      <c r="SDH171" s="201"/>
      <c r="SDI171" s="201"/>
      <c r="SDJ171" s="201"/>
      <c r="SDK171" s="201"/>
      <c r="SDL171" s="201"/>
      <c r="SDM171" s="201"/>
      <c r="SDN171" s="201"/>
      <c r="SDO171" s="201"/>
      <c r="SDP171" s="201"/>
      <c r="SDQ171" s="201"/>
      <c r="SDR171" s="201"/>
      <c r="SDS171" s="201"/>
      <c r="SDT171" s="201"/>
      <c r="SDU171" s="201"/>
      <c r="SDV171" s="201"/>
      <c r="SDW171" s="201"/>
      <c r="SDX171" s="201"/>
      <c r="SDY171" s="201"/>
      <c r="SDZ171" s="201"/>
      <c r="SEA171" s="201"/>
      <c r="SEB171" s="201"/>
      <c r="SEC171" s="201"/>
      <c r="SED171" s="201"/>
      <c r="SEE171" s="201"/>
      <c r="SEF171" s="201"/>
      <c r="SEG171" s="201"/>
      <c r="SEH171" s="201"/>
      <c r="SEI171" s="201"/>
      <c r="SEJ171" s="201"/>
      <c r="SEK171" s="201"/>
      <c r="SEL171" s="201"/>
      <c r="SEM171" s="201"/>
      <c r="SEN171" s="201"/>
      <c r="SEO171" s="201"/>
      <c r="SEP171" s="201"/>
      <c r="SEQ171" s="201"/>
      <c r="SER171" s="201"/>
      <c r="SES171" s="201"/>
      <c r="SET171" s="201"/>
      <c r="SEU171" s="201"/>
      <c r="SEV171" s="201"/>
      <c r="SEW171" s="201"/>
      <c r="SEX171" s="201"/>
      <c r="SEY171" s="201"/>
      <c r="SEZ171" s="201"/>
      <c r="SFA171" s="201"/>
      <c r="SFB171" s="201"/>
      <c r="SFC171" s="201"/>
      <c r="SFD171" s="201"/>
      <c r="SFE171" s="201"/>
      <c r="SFF171" s="201"/>
      <c r="SFG171" s="201"/>
      <c r="SFH171" s="201"/>
      <c r="SFI171" s="201"/>
      <c r="SFJ171" s="201"/>
      <c r="SFK171" s="201"/>
      <c r="SFL171" s="201"/>
      <c r="SFM171" s="201"/>
      <c r="SFN171" s="201"/>
      <c r="SFO171" s="201"/>
      <c r="SFP171" s="201"/>
      <c r="SFQ171" s="201"/>
      <c r="SFR171" s="201"/>
      <c r="SFS171" s="201"/>
      <c r="SFT171" s="201"/>
      <c r="SFU171" s="201"/>
      <c r="SFV171" s="201"/>
      <c r="SFW171" s="201"/>
      <c r="SFX171" s="201"/>
      <c r="SFY171" s="201"/>
      <c r="SFZ171" s="201"/>
      <c r="SGA171" s="201"/>
      <c r="SGB171" s="201"/>
      <c r="SGC171" s="201"/>
      <c r="SGD171" s="201"/>
      <c r="SGE171" s="201"/>
      <c r="SGF171" s="201"/>
      <c r="SGG171" s="201"/>
      <c r="SGH171" s="201"/>
      <c r="SGI171" s="201"/>
      <c r="SGJ171" s="201"/>
      <c r="SGK171" s="201"/>
      <c r="SGL171" s="201"/>
      <c r="SGM171" s="201"/>
      <c r="SGN171" s="201"/>
      <c r="SGO171" s="201"/>
      <c r="SGP171" s="201"/>
      <c r="SGQ171" s="201"/>
      <c r="SGR171" s="201"/>
      <c r="SGS171" s="201"/>
      <c r="SGT171" s="201"/>
      <c r="SGU171" s="201"/>
      <c r="SGV171" s="201"/>
      <c r="SGW171" s="201"/>
      <c r="SGX171" s="201"/>
      <c r="SGY171" s="201"/>
      <c r="SGZ171" s="201"/>
      <c r="SHA171" s="201"/>
      <c r="SHB171" s="201"/>
      <c r="SHC171" s="201"/>
      <c r="SHD171" s="201"/>
      <c r="SHE171" s="201"/>
      <c r="SHF171" s="201"/>
      <c r="SHG171" s="201"/>
      <c r="SHH171" s="201"/>
      <c r="SHI171" s="201"/>
      <c r="SHJ171" s="201"/>
      <c r="SHK171" s="201"/>
      <c r="SHL171" s="201"/>
      <c r="SHM171" s="201"/>
      <c r="SHN171" s="201"/>
      <c r="SHO171" s="201"/>
      <c r="SHP171" s="201"/>
      <c r="SHQ171" s="201"/>
      <c r="SHR171" s="201"/>
      <c r="SHS171" s="201"/>
      <c r="SHT171" s="201"/>
      <c r="SHU171" s="201"/>
      <c r="SHV171" s="201"/>
      <c r="SHW171" s="201"/>
      <c r="SHX171" s="201"/>
      <c r="SHY171" s="201"/>
      <c r="SHZ171" s="201"/>
      <c r="SIA171" s="201"/>
      <c r="SIB171" s="201"/>
      <c r="SIC171" s="201"/>
      <c r="SID171" s="201"/>
      <c r="SIE171" s="201"/>
      <c r="SIF171" s="201"/>
      <c r="SIG171" s="201"/>
      <c r="SIH171" s="201"/>
      <c r="SII171" s="201"/>
      <c r="SIJ171" s="201"/>
      <c r="SIK171" s="201"/>
      <c r="SIL171" s="201"/>
      <c r="SIM171" s="201"/>
      <c r="SIN171" s="201"/>
      <c r="SIO171" s="201"/>
      <c r="SIP171" s="201"/>
      <c r="SIQ171" s="201"/>
      <c r="SIR171" s="201"/>
      <c r="SIS171" s="201"/>
      <c r="SIT171" s="201"/>
      <c r="SIU171" s="201"/>
      <c r="SIV171" s="201"/>
      <c r="SIW171" s="201"/>
      <c r="SIX171" s="201"/>
      <c r="SIY171" s="201"/>
      <c r="SIZ171" s="201"/>
      <c r="SJA171" s="201"/>
      <c r="SJB171" s="201"/>
      <c r="SJC171" s="201"/>
      <c r="SJD171" s="201"/>
      <c r="SJE171" s="201"/>
      <c r="SJF171" s="201"/>
      <c r="SJG171" s="201"/>
      <c r="SJH171" s="201"/>
      <c r="SJI171" s="201"/>
      <c r="SJJ171" s="201"/>
      <c r="SJK171" s="201"/>
      <c r="SJL171" s="201"/>
      <c r="SJM171" s="201"/>
      <c r="SJN171" s="201"/>
      <c r="SJO171" s="201"/>
      <c r="SJP171" s="201"/>
      <c r="SJQ171" s="201"/>
      <c r="SJR171" s="201"/>
      <c r="SJS171" s="201"/>
      <c r="SJT171" s="201"/>
      <c r="SJU171" s="201"/>
      <c r="SJV171" s="201"/>
      <c r="SJW171" s="201"/>
      <c r="SJX171" s="201"/>
      <c r="SJY171" s="201"/>
      <c r="SJZ171" s="201"/>
      <c r="SKA171" s="201"/>
      <c r="SKB171" s="201"/>
      <c r="SKC171" s="201"/>
      <c r="SKD171" s="201"/>
      <c r="SKE171" s="201"/>
      <c r="SKF171" s="201"/>
      <c r="SKG171" s="201"/>
      <c r="SKH171" s="201"/>
      <c r="SKI171" s="201"/>
      <c r="SKJ171" s="201"/>
      <c r="SKK171" s="201"/>
      <c r="SKL171" s="201"/>
      <c r="SKM171" s="201"/>
      <c r="SKN171" s="201"/>
      <c r="SKO171" s="201"/>
      <c r="SKP171" s="201"/>
      <c r="SKQ171" s="201"/>
      <c r="SKR171" s="201"/>
      <c r="SKS171" s="201"/>
      <c r="SKT171" s="201"/>
      <c r="SKU171" s="201"/>
      <c r="SKV171" s="201"/>
      <c r="SKW171" s="201"/>
      <c r="SKX171" s="201"/>
      <c r="SKY171" s="201"/>
      <c r="SKZ171" s="201"/>
      <c r="SLA171" s="201"/>
      <c r="SLB171" s="201"/>
      <c r="SLC171" s="201"/>
      <c r="SLD171" s="201"/>
      <c r="SLE171" s="201"/>
      <c r="SLF171" s="201"/>
      <c r="SLG171" s="201"/>
      <c r="SLH171" s="201"/>
      <c r="SLI171" s="201"/>
      <c r="SLJ171" s="201"/>
      <c r="SLK171" s="201"/>
      <c r="SLL171" s="201"/>
      <c r="SLM171" s="201"/>
      <c r="SLN171" s="201"/>
      <c r="SLO171" s="201"/>
      <c r="SLP171" s="201"/>
      <c r="SLQ171" s="201"/>
      <c r="SLR171" s="201"/>
      <c r="SLS171" s="201"/>
      <c r="SLT171" s="201"/>
      <c r="SLU171" s="201"/>
      <c r="SLV171" s="201"/>
      <c r="SLW171" s="201"/>
      <c r="SLX171" s="201"/>
      <c r="SLY171" s="201"/>
      <c r="SLZ171" s="201"/>
      <c r="SMA171" s="201"/>
      <c r="SMB171" s="201"/>
      <c r="SMC171" s="201"/>
      <c r="SMD171" s="201"/>
      <c r="SME171" s="201"/>
      <c r="SMF171" s="201"/>
      <c r="SMG171" s="201"/>
      <c r="SMH171" s="201"/>
      <c r="SMI171" s="201"/>
      <c r="SMJ171" s="201"/>
      <c r="SMK171" s="201"/>
      <c r="SML171" s="201"/>
      <c r="SMM171" s="201"/>
      <c r="SMN171" s="201"/>
      <c r="SMO171" s="201"/>
      <c r="SMP171" s="201"/>
      <c r="SMQ171" s="201"/>
      <c r="SMR171" s="201"/>
      <c r="SMS171" s="201"/>
      <c r="SMT171" s="201"/>
      <c r="SMU171" s="201"/>
      <c r="SMV171" s="201"/>
      <c r="SMW171" s="201"/>
      <c r="SMX171" s="201"/>
      <c r="SMY171" s="201"/>
      <c r="SMZ171" s="201"/>
      <c r="SNA171" s="201"/>
      <c r="SNB171" s="201"/>
      <c r="SNC171" s="201"/>
      <c r="SND171" s="201"/>
      <c r="SNE171" s="201"/>
      <c r="SNF171" s="201"/>
      <c r="SNG171" s="201"/>
      <c r="SNH171" s="201"/>
      <c r="SNI171" s="201"/>
      <c r="SNJ171" s="201"/>
      <c r="SNK171" s="201"/>
      <c r="SNL171" s="201"/>
      <c r="SNM171" s="201"/>
      <c r="SNN171" s="201"/>
      <c r="SNO171" s="201"/>
      <c r="SNP171" s="201"/>
      <c r="SNQ171" s="201"/>
      <c r="SNR171" s="201"/>
      <c r="SNS171" s="201"/>
      <c r="SNT171" s="201"/>
      <c r="SNU171" s="201"/>
      <c r="SNV171" s="201"/>
      <c r="SNW171" s="201"/>
      <c r="SNX171" s="201"/>
      <c r="SNY171" s="201"/>
      <c r="SNZ171" s="201"/>
      <c r="SOA171" s="201"/>
      <c r="SOB171" s="201"/>
      <c r="SOC171" s="201"/>
      <c r="SOD171" s="201"/>
      <c r="SOE171" s="201"/>
      <c r="SOF171" s="201"/>
      <c r="SOG171" s="201"/>
      <c r="SOH171" s="201"/>
      <c r="SOI171" s="201"/>
      <c r="SOJ171" s="201"/>
      <c r="SOK171" s="201"/>
      <c r="SOL171" s="201"/>
      <c r="SOM171" s="201"/>
      <c r="SON171" s="201"/>
      <c r="SOO171" s="201"/>
      <c r="SOP171" s="201"/>
      <c r="SOQ171" s="201"/>
      <c r="SOR171" s="201"/>
      <c r="SOS171" s="201"/>
      <c r="SOT171" s="201"/>
      <c r="SOU171" s="201"/>
      <c r="SOV171" s="201"/>
      <c r="SOW171" s="201"/>
      <c r="SOX171" s="201"/>
      <c r="SOY171" s="201"/>
      <c r="SOZ171" s="201"/>
      <c r="SPA171" s="201"/>
      <c r="SPB171" s="201"/>
      <c r="SPC171" s="201"/>
      <c r="SPD171" s="201"/>
      <c r="SPE171" s="201"/>
      <c r="SPF171" s="201"/>
      <c r="SPG171" s="201"/>
      <c r="SPH171" s="201"/>
      <c r="SPI171" s="201"/>
      <c r="SPJ171" s="201"/>
      <c r="SPK171" s="201"/>
      <c r="SPL171" s="201"/>
      <c r="SPM171" s="201"/>
      <c r="SPN171" s="201"/>
      <c r="SPO171" s="201"/>
      <c r="SPP171" s="201"/>
      <c r="SPQ171" s="201"/>
      <c r="SPR171" s="201"/>
      <c r="SPS171" s="201"/>
      <c r="SPT171" s="201"/>
      <c r="SPU171" s="201"/>
      <c r="SPV171" s="201"/>
      <c r="SPW171" s="201"/>
      <c r="SPX171" s="201"/>
      <c r="SPY171" s="201"/>
      <c r="SPZ171" s="201"/>
      <c r="SQA171" s="201"/>
      <c r="SQB171" s="201"/>
      <c r="SQC171" s="201"/>
      <c r="SQD171" s="201"/>
      <c r="SQE171" s="201"/>
      <c r="SQF171" s="201"/>
      <c r="SQG171" s="201"/>
      <c r="SQH171" s="201"/>
      <c r="SQI171" s="201"/>
      <c r="SQJ171" s="201"/>
      <c r="SQK171" s="201"/>
      <c r="SQL171" s="201"/>
      <c r="SQM171" s="201"/>
      <c r="SQN171" s="201"/>
      <c r="SQO171" s="201"/>
      <c r="SQP171" s="201"/>
      <c r="SQQ171" s="201"/>
      <c r="SQR171" s="201"/>
      <c r="SQS171" s="201"/>
      <c r="SQT171" s="201"/>
      <c r="SQU171" s="201"/>
      <c r="SQV171" s="201"/>
      <c r="SQW171" s="201"/>
      <c r="SQX171" s="201"/>
      <c r="SQY171" s="201"/>
      <c r="SQZ171" s="201"/>
      <c r="SRA171" s="201"/>
      <c r="SRB171" s="201"/>
      <c r="SRC171" s="201"/>
      <c r="SRD171" s="201"/>
      <c r="SRE171" s="201"/>
      <c r="SRF171" s="201"/>
      <c r="SRG171" s="201"/>
      <c r="SRH171" s="201"/>
      <c r="SRI171" s="201"/>
      <c r="SRJ171" s="201"/>
      <c r="SRK171" s="201"/>
      <c r="SRL171" s="201"/>
      <c r="SRM171" s="201"/>
      <c r="SRN171" s="201"/>
      <c r="SRO171" s="201"/>
      <c r="SRP171" s="201"/>
      <c r="SRQ171" s="201"/>
      <c r="SRR171" s="201"/>
      <c r="SRS171" s="201"/>
      <c r="SRT171" s="201"/>
      <c r="SRU171" s="201"/>
      <c r="SRV171" s="201"/>
      <c r="SRW171" s="201"/>
      <c r="SRX171" s="201"/>
      <c r="SRY171" s="201"/>
      <c r="SRZ171" s="201"/>
      <c r="SSA171" s="201"/>
      <c r="SSB171" s="201"/>
      <c r="SSC171" s="201"/>
      <c r="SSD171" s="201"/>
      <c r="SSE171" s="201"/>
      <c r="SSF171" s="201"/>
      <c r="SSG171" s="201"/>
      <c r="SSH171" s="201"/>
      <c r="SSI171" s="201"/>
      <c r="SSJ171" s="201"/>
      <c r="SSK171" s="201"/>
      <c r="SSL171" s="201"/>
      <c r="SSM171" s="201"/>
      <c r="SSN171" s="201"/>
      <c r="SSO171" s="201"/>
      <c r="SSP171" s="201"/>
      <c r="SSQ171" s="201"/>
      <c r="SSR171" s="201"/>
      <c r="SSS171" s="201"/>
      <c r="SST171" s="201"/>
      <c r="SSU171" s="201"/>
      <c r="SSV171" s="201"/>
      <c r="SSW171" s="201"/>
      <c r="SSX171" s="201"/>
      <c r="SSY171" s="201"/>
      <c r="SSZ171" s="201"/>
      <c r="STA171" s="201"/>
      <c r="STB171" s="201"/>
      <c r="STC171" s="201"/>
      <c r="STD171" s="201"/>
      <c r="STE171" s="201"/>
      <c r="STF171" s="201"/>
      <c r="STG171" s="201"/>
      <c r="STH171" s="201"/>
      <c r="STI171" s="201"/>
      <c r="STJ171" s="201"/>
      <c r="STK171" s="201"/>
      <c r="STL171" s="201"/>
      <c r="STM171" s="201"/>
      <c r="STN171" s="201"/>
      <c r="STO171" s="201"/>
      <c r="STP171" s="201"/>
      <c r="STQ171" s="201"/>
      <c r="STR171" s="201"/>
      <c r="STS171" s="201"/>
      <c r="STT171" s="201"/>
      <c r="STU171" s="201"/>
      <c r="STV171" s="201"/>
      <c r="STW171" s="201"/>
      <c r="STX171" s="201"/>
      <c r="STY171" s="201"/>
      <c r="STZ171" s="201"/>
      <c r="SUA171" s="201"/>
      <c r="SUB171" s="201"/>
      <c r="SUC171" s="201"/>
      <c r="SUD171" s="201"/>
      <c r="SUE171" s="201"/>
      <c r="SUF171" s="201"/>
      <c r="SUG171" s="201"/>
      <c r="SUH171" s="201"/>
      <c r="SUI171" s="201"/>
      <c r="SUJ171" s="201"/>
      <c r="SUK171" s="201"/>
      <c r="SUL171" s="201"/>
      <c r="SUM171" s="201"/>
      <c r="SUN171" s="201"/>
      <c r="SUO171" s="201"/>
      <c r="SUP171" s="201"/>
      <c r="SUQ171" s="201"/>
      <c r="SUR171" s="201"/>
      <c r="SUS171" s="201"/>
      <c r="SUT171" s="201"/>
      <c r="SUU171" s="201"/>
      <c r="SUV171" s="201"/>
      <c r="SUW171" s="201"/>
      <c r="SUX171" s="201"/>
      <c r="SUY171" s="201"/>
      <c r="SUZ171" s="201"/>
      <c r="SVA171" s="201"/>
      <c r="SVB171" s="201"/>
      <c r="SVC171" s="201"/>
      <c r="SVD171" s="201"/>
      <c r="SVE171" s="201"/>
      <c r="SVF171" s="201"/>
      <c r="SVG171" s="201"/>
      <c r="SVH171" s="201"/>
      <c r="SVI171" s="201"/>
      <c r="SVJ171" s="201"/>
      <c r="SVK171" s="201"/>
      <c r="SVL171" s="201"/>
      <c r="SVM171" s="201"/>
      <c r="SVN171" s="201"/>
      <c r="SVO171" s="201"/>
      <c r="SVP171" s="201"/>
      <c r="SVQ171" s="201"/>
      <c r="SVR171" s="201"/>
      <c r="SVS171" s="201"/>
      <c r="SVT171" s="201"/>
      <c r="SVU171" s="201"/>
      <c r="SVV171" s="201"/>
      <c r="SVW171" s="201"/>
      <c r="SVX171" s="201"/>
      <c r="SVY171" s="201"/>
      <c r="SVZ171" s="201"/>
      <c r="SWA171" s="201"/>
      <c r="SWB171" s="201"/>
      <c r="SWC171" s="201"/>
      <c r="SWD171" s="201"/>
      <c r="SWE171" s="201"/>
      <c r="SWF171" s="201"/>
      <c r="SWG171" s="201"/>
      <c r="SWH171" s="201"/>
      <c r="SWI171" s="201"/>
      <c r="SWJ171" s="201"/>
      <c r="SWK171" s="201"/>
      <c r="SWL171" s="201"/>
      <c r="SWM171" s="201"/>
      <c r="SWN171" s="201"/>
      <c r="SWO171" s="201"/>
      <c r="SWP171" s="201"/>
      <c r="SWQ171" s="201"/>
      <c r="SWR171" s="201"/>
      <c r="SWS171" s="201"/>
      <c r="SWT171" s="201"/>
      <c r="SWU171" s="201"/>
      <c r="SWV171" s="201"/>
      <c r="SWW171" s="201"/>
      <c r="SWX171" s="201"/>
      <c r="SWY171" s="201"/>
      <c r="SWZ171" s="201"/>
      <c r="SXA171" s="201"/>
      <c r="SXB171" s="201"/>
      <c r="SXC171" s="201"/>
      <c r="SXD171" s="201"/>
      <c r="SXE171" s="201"/>
      <c r="SXF171" s="201"/>
      <c r="SXG171" s="201"/>
      <c r="SXH171" s="201"/>
      <c r="SXI171" s="201"/>
      <c r="SXJ171" s="201"/>
      <c r="SXK171" s="201"/>
      <c r="SXL171" s="201"/>
      <c r="SXM171" s="201"/>
      <c r="SXN171" s="201"/>
      <c r="SXO171" s="201"/>
      <c r="SXP171" s="201"/>
      <c r="SXQ171" s="201"/>
      <c r="SXR171" s="201"/>
      <c r="SXS171" s="201"/>
      <c r="SXT171" s="201"/>
      <c r="SXU171" s="201"/>
      <c r="SXV171" s="201"/>
      <c r="SXW171" s="201"/>
      <c r="SXX171" s="201"/>
      <c r="SXY171" s="201"/>
      <c r="SXZ171" s="201"/>
      <c r="SYA171" s="201"/>
      <c r="SYB171" s="201"/>
      <c r="SYC171" s="201"/>
      <c r="SYD171" s="201"/>
      <c r="SYE171" s="201"/>
      <c r="SYF171" s="201"/>
      <c r="SYG171" s="201"/>
      <c r="SYH171" s="201"/>
      <c r="SYI171" s="201"/>
      <c r="SYJ171" s="201"/>
      <c r="SYK171" s="201"/>
      <c r="SYL171" s="201"/>
      <c r="SYM171" s="201"/>
      <c r="SYN171" s="201"/>
      <c r="SYO171" s="201"/>
      <c r="SYP171" s="201"/>
      <c r="SYQ171" s="201"/>
      <c r="SYR171" s="201"/>
      <c r="SYS171" s="201"/>
      <c r="SYT171" s="201"/>
      <c r="SYU171" s="201"/>
      <c r="SYV171" s="201"/>
      <c r="SYW171" s="201"/>
      <c r="SYX171" s="201"/>
      <c r="SYY171" s="201"/>
      <c r="SYZ171" s="201"/>
      <c r="SZA171" s="201"/>
      <c r="SZB171" s="201"/>
      <c r="SZC171" s="201"/>
      <c r="SZD171" s="201"/>
      <c r="SZE171" s="201"/>
      <c r="SZF171" s="201"/>
      <c r="SZG171" s="201"/>
      <c r="SZH171" s="201"/>
      <c r="SZI171" s="201"/>
      <c r="SZJ171" s="201"/>
      <c r="SZK171" s="201"/>
      <c r="SZL171" s="201"/>
      <c r="SZM171" s="201"/>
      <c r="SZN171" s="201"/>
      <c r="SZO171" s="201"/>
      <c r="SZP171" s="201"/>
      <c r="SZQ171" s="201"/>
      <c r="SZR171" s="201"/>
      <c r="SZS171" s="201"/>
      <c r="SZT171" s="201"/>
      <c r="SZU171" s="201"/>
      <c r="SZV171" s="201"/>
      <c r="SZW171" s="201"/>
      <c r="SZX171" s="201"/>
      <c r="SZY171" s="201"/>
      <c r="SZZ171" s="201"/>
      <c r="TAA171" s="201"/>
      <c r="TAB171" s="201"/>
      <c r="TAC171" s="201"/>
      <c r="TAD171" s="201"/>
      <c r="TAE171" s="201"/>
      <c r="TAF171" s="201"/>
      <c r="TAG171" s="201"/>
      <c r="TAH171" s="201"/>
      <c r="TAI171" s="201"/>
      <c r="TAJ171" s="201"/>
      <c r="TAK171" s="201"/>
      <c r="TAL171" s="201"/>
      <c r="TAM171" s="201"/>
      <c r="TAN171" s="201"/>
      <c r="TAO171" s="201"/>
      <c r="TAP171" s="201"/>
      <c r="TAQ171" s="201"/>
      <c r="TAR171" s="201"/>
      <c r="TAS171" s="201"/>
      <c r="TAT171" s="201"/>
      <c r="TAU171" s="201"/>
      <c r="TAV171" s="201"/>
      <c r="TAW171" s="201"/>
      <c r="TAX171" s="201"/>
      <c r="TAY171" s="201"/>
      <c r="TAZ171" s="201"/>
      <c r="TBA171" s="201"/>
      <c r="TBB171" s="201"/>
      <c r="TBC171" s="201"/>
      <c r="TBD171" s="201"/>
      <c r="TBE171" s="201"/>
      <c r="TBF171" s="201"/>
      <c r="TBG171" s="201"/>
      <c r="TBH171" s="201"/>
      <c r="TBI171" s="201"/>
      <c r="TBJ171" s="201"/>
      <c r="TBK171" s="201"/>
      <c r="TBL171" s="201"/>
      <c r="TBM171" s="201"/>
      <c r="TBN171" s="201"/>
      <c r="TBO171" s="201"/>
      <c r="TBP171" s="201"/>
      <c r="TBQ171" s="201"/>
      <c r="TBR171" s="201"/>
      <c r="TBS171" s="201"/>
      <c r="TBT171" s="201"/>
      <c r="TBU171" s="201"/>
      <c r="TBV171" s="201"/>
      <c r="TBW171" s="201"/>
      <c r="TBX171" s="201"/>
      <c r="TBY171" s="201"/>
      <c r="TBZ171" s="201"/>
      <c r="TCA171" s="201"/>
      <c r="TCB171" s="201"/>
      <c r="TCC171" s="201"/>
      <c r="TCD171" s="201"/>
      <c r="TCE171" s="201"/>
      <c r="TCF171" s="201"/>
      <c r="TCG171" s="201"/>
      <c r="TCH171" s="201"/>
      <c r="TCI171" s="201"/>
      <c r="TCJ171" s="201"/>
      <c r="TCK171" s="201"/>
      <c r="TCL171" s="201"/>
      <c r="TCM171" s="201"/>
      <c r="TCN171" s="201"/>
      <c r="TCO171" s="201"/>
      <c r="TCP171" s="201"/>
      <c r="TCQ171" s="201"/>
      <c r="TCR171" s="201"/>
      <c r="TCS171" s="201"/>
      <c r="TCT171" s="201"/>
      <c r="TCU171" s="201"/>
      <c r="TCV171" s="201"/>
      <c r="TCW171" s="201"/>
      <c r="TCX171" s="201"/>
      <c r="TCY171" s="201"/>
      <c r="TCZ171" s="201"/>
      <c r="TDA171" s="201"/>
      <c r="TDB171" s="201"/>
      <c r="TDC171" s="201"/>
      <c r="TDD171" s="201"/>
      <c r="TDE171" s="201"/>
      <c r="TDF171" s="201"/>
      <c r="TDG171" s="201"/>
      <c r="TDH171" s="201"/>
      <c r="TDI171" s="201"/>
      <c r="TDJ171" s="201"/>
      <c r="TDK171" s="201"/>
      <c r="TDL171" s="201"/>
      <c r="TDM171" s="201"/>
      <c r="TDN171" s="201"/>
      <c r="TDO171" s="201"/>
      <c r="TDP171" s="201"/>
      <c r="TDQ171" s="201"/>
      <c r="TDR171" s="201"/>
      <c r="TDS171" s="201"/>
      <c r="TDT171" s="201"/>
      <c r="TDU171" s="201"/>
      <c r="TDV171" s="201"/>
      <c r="TDW171" s="201"/>
      <c r="TDX171" s="201"/>
      <c r="TDY171" s="201"/>
      <c r="TDZ171" s="201"/>
      <c r="TEA171" s="201"/>
      <c r="TEB171" s="201"/>
      <c r="TEC171" s="201"/>
      <c r="TED171" s="201"/>
      <c r="TEE171" s="201"/>
      <c r="TEF171" s="201"/>
      <c r="TEG171" s="201"/>
      <c r="TEH171" s="201"/>
      <c r="TEI171" s="201"/>
      <c r="TEJ171" s="201"/>
      <c r="TEK171" s="201"/>
      <c r="TEL171" s="201"/>
      <c r="TEM171" s="201"/>
      <c r="TEN171" s="201"/>
      <c r="TEO171" s="201"/>
      <c r="TEP171" s="201"/>
      <c r="TEQ171" s="201"/>
      <c r="TER171" s="201"/>
      <c r="TES171" s="201"/>
      <c r="TET171" s="201"/>
      <c r="TEU171" s="201"/>
      <c r="TEV171" s="201"/>
      <c r="TEW171" s="201"/>
      <c r="TEX171" s="201"/>
      <c r="TEY171" s="201"/>
      <c r="TEZ171" s="201"/>
      <c r="TFA171" s="201"/>
      <c r="TFB171" s="201"/>
      <c r="TFC171" s="201"/>
      <c r="TFD171" s="201"/>
      <c r="TFE171" s="201"/>
      <c r="TFF171" s="201"/>
      <c r="TFG171" s="201"/>
      <c r="TFH171" s="201"/>
      <c r="TFI171" s="201"/>
      <c r="TFJ171" s="201"/>
      <c r="TFK171" s="201"/>
      <c r="TFL171" s="201"/>
      <c r="TFM171" s="201"/>
      <c r="TFN171" s="201"/>
      <c r="TFO171" s="201"/>
      <c r="TFP171" s="201"/>
      <c r="TFQ171" s="201"/>
      <c r="TFR171" s="201"/>
      <c r="TFS171" s="201"/>
      <c r="TFT171" s="201"/>
      <c r="TFU171" s="201"/>
      <c r="TFV171" s="201"/>
      <c r="TFW171" s="201"/>
      <c r="TFX171" s="201"/>
      <c r="TFY171" s="201"/>
      <c r="TFZ171" s="201"/>
      <c r="TGA171" s="201"/>
      <c r="TGB171" s="201"/>
      <c r="TGC171" s="201"/>
      <c r="TGD171" s="201"/>
      <c r="TGE171" s="201"/>
      <c r="TGF171" s="201"/>
      <c r="TGG171" s="201"/>
      <c r="TGH171" s="201"/>
      <c r="TGI171" s="201"/>
      <c r="TGJ171" s="201"/>
      <c r="TGK171" s="201"/>
      <c r="TGL171" s="201"/>
      <c r="TGM171" s="201"/>
      <c r="TGN171" s="201"/>
      <c r="TGO171" s="201"/>
      <c r="TGP171" s="201"/>
      <c r="TGQ171" s="201"/>
      <c r="TGR171" s="201"/>
      <c r="TGS171" s="201"/>
      <c r="TGT171" s="201"/>
      <c r="TGU171" s="201"/>
      <c r="TGV171" s="201"/>
      <c r="TGW171" s="201"/>
      <c r="TGX171" s="201"/>
      <c r="TGY171" s="201"/>
      <c r="TGZ171" s="201"/>
      <c r="THA171" s="201"/>
      <c r="THB171" s="201"/>
      <c r="THC171" s="201"/>
      <c r="THD171" s="201"/>
      <c r="THE171" s="201"/>
      <c r="THF171" s="201"/>
      <c r="THG171" s="201"/>
      <c r="THH171" s="201"/>
      <c r="THI171" s="201"/>
      <c r="THJ171" s="201"/>
      <c r="THK171" s="201"/>
      <c r="THL171" s="201"/>
      <c r="THM171" s="201"/>
      <c r="THN171" s="201"/>
      <c r="THO171" s="201"/>
      <c r="THP171" s="201"/>
      <c r="THQ171" s="201"/>
      <c r="THR171" s="201"/>
      <c r="THS171" s="201"/>
      <c r="THT171" s="201"/>
      <c r="THU171" s="201"/>
      <c r="THV171" s="201"/>
      <c r="THW171" s="201"/>
      <c r="THX171" s="201"/>
      <c r="THY171" s="201"/>
      <c r="THZ171" s="201"/>
      <c r="TIA171" s="201"/>
      <c r="TIB171" s="201"/>
      <c r="TIC171" s="201"/>
      <c r="TID171" s="201"/>
      <c r="TIE171" s="201"/>
      <c r="TIF171" s="201"/>
      <c r="TIG171" s="201"/>
      <c r="TIH171" s="201"/>
      <c r="TII171" s="201"/>
      <c r="TIJ171" s="201"/>
      <c r="TIK171" s="201"/>
      <c r="TIL171" s="201"/>
      <c r="TIM171" s="201"/>
      <c r="TIN171" s="201"/>
      <c r="TIO171" s="201"/>
      <c r="TIP171" s="201"/>
      <c r="TIQ171" s="201"/>
      <c r="TIR171" s="201"/>
      <c r="TIS171" s="201"/>
      <c r="TIT171" s="201"/>
      <c r="TIU171" s="201"/>
      <c r="TIV171" s="201"/>
      <c r="TIW171" s="201"/>
      <c r="TIX171" s="201"/>
      <c r="TIY171" s="201"/>
      <c r="TIZ171" s="201"/>
      <c r="TJA171" s="201"/>
      <c r="TJB171" s="201"/>
      <c r="TJC171" s="201"/>
      <c r="TJD171" s="201"/>
      <c r="TJE171" s="201"/>
      <c r="TJF171" s="201"/>
      <c r="TJG171" s="201"/>
      <c r="TJH171" s="201"/>
      <c r="TJI171" s="201"/>
      <c r="TJJ171" s="201"/>
      <c r="TJK171" s="201"/>
      <c r="TJL171" s="201"/>
      <c r="TJM171" s="201"/>
      <c r="TJN171" s="201"/>
      <c r="TJO171" s="201"/>
      <c r="TJP171" s="201"/>
      <c r="TJQ171" s="201"/>
      <c r="TJR171" s="201"/>
      <c r="TJS171" s="201"/>
      <c r="TJT171" s="201"/>
      <c r="TJU171" s="201"/>
      <c r="TJV171" s="201"/>
      <c r="TJW171" s="201"/>
      <c r="TJX171" s="201"/>
      <c r="TJY171" s="201"/>
      <c r="TJZ171" s="201"/>
      <c r="TKA171" s="201"/>
      <c r="TKB171" s="201"/>
      <c r="TKC171" s="201"/>
      <c r="TKD171" s="201"/>
      <c r="TKE171" s="201"/>
      <c r="TKF171" s="201"/>
      <c r="TKG171" s="201"/>
      <c r="TKH171" s="201"/>
      <c r="TKI171" s="201"/>
      <c r="TKJ171" s="201"/>
      <c r="TKK171" s="201"/>
      <c r="TKL171" s="201"/>
      <c r="TKM171" s="201"/>
      <c r="TKN171" s="201"/>
      <c r="TKO171" s="201"/>
      <c r="TKP171" s="201"/>
      <c r="TKQ171" s="201"/>
      <c r="TKR171" s="201"/>
      <c r="TKS171" s="201"/>
      <c r="TKT171" s="201"/>
      <c r="TKU171" s="201"/>
      <c r="TKV171" s="201"/>
      <c r="TKW171" s="201"/>
      <c r="TKX171" s="201"/>
      <c r="TKY171" s="201"/>
      <c r="TKZ171" s="201"/>
      <c r="TLA171" s="201"/>
      <c r="TLB171" s="201"/>
      <c r="TLC171" s="201"/>
      <c r="TLD171" s="201"/>
      <c r="TLE171" s="201"/>
      <c r="TLF171" s="201"/>
      <c r="TLG171" s="201"/>
      <c r="TLH171" s="201"/>
      <c r="TLI171" s="201"/>
      <c r="TLJ171" s="201"/>
      <c r="TLK171" s="201"/>
      <c r="TLL171" s="201"/>
      <c r="TLM171" s="201"/>
      <c r="TLN171" s="201"/>
      <c r="TLO171" s="201"/>
      <c r="TLP171" s="201"/>
      <c r="TLQ171" s="201"/>
      <c r="TLR171" s="201"/>
      <c r="TLS171" s="201"/>
      <c r="TLT171" s="201"/>
      <c r="TLU171" s="201"/>
      <c r="TLV171" s="201"/>
      <c r="TLW171" s="201"/>
      <c r="TLX171" s="201"/>
      <c r="TLY171" s="201"/>
      <c r="TLZ171" s="201"/>
      <c r="TMA171" s="201"/>
      <c r="TMB171" s="201"/>
      <c r="TMC171" s="201"/>
      <c r="TMD171" s="201"/>
      <c r="TME171" s="201"/>
      <c r="TMF171" s="201"/>
      <c r="TMG171" s="201"/>
      <c r="TMH171" s="201"/>
      <c r="TMI171" s="201"/>
      <c r="TMJ171" s="201"/>
      <c r="TMK171" s="201"/>
      <c r="TML171" s="201"/>
      <c r="TMM171" s="201"/>
      <c r="TMN171" s="201"/>
      <c r="TMO171" s="201"/>
      <c r="TMP171" s="201"/>
      <c r="TMQ171" s="201"/>
      <c r="TMR171" s="201"/>
      <c r="TMS171" s="201"/>
      <c r="TMT171" s="201"/>
      <c r="TMU171" s="201"/>
      <c r="TMV171" s="201"/>
      <c r="TMW171" s="201"/>
      <c r="TMX171" s="201"/>
      <c r="TMY171" s="201"/>
      <c r="TMZ171" s="201"/>
      <c r="TNA171" s="201"/>
      <c r="TNB171" s="201"/>
      <c r="TNC171" s="201"/>
      <c r="TND171" s="201"/>
      <c r="TNE171" s="201"/>
      <c r="TNF171" s="201"/>
      <c r="TNG171" s="201"/>
      <c r="TNH171" s="201"/>
      <c r="TNI171" s="201"/>
      <c r="TNJ171" s="201"/>
      <c r="TNK171" s="201"/>
      <c r="TNL171" s="201"/>
      <c r="TNM171" s="201"/>
      <c r="TNN171" s="201"/>
      <c r="TNO171" s="201"/>
      <c r="TNP171" s="201"/>
      <c r="TNQ171" s="201"/>
      <c r="TNR171" s="201"/>
      <c r="TNS171" s="201"/>
      <c r="TNT171" s="201"/>
      <c r="TNU171" s="201"/>
      <c r="TNV171" s="201"/>
      <c r="TNW171" s="201"/>
      <c r="TNX171" s="201"/>
      <c r="TNY171" s="201"/>
      <c r="TNZ171" s="201"/>
      <c r="TOA171" s="201"/>
      <c r="TOB171" s="201"/>
      <c r="TOC171" s="201"/>
      <c r="TOD171" s="201"/>
      <c r="TOE171" s="201"/>
      <c r="TOF171" s="201"/>
      <c r="TOG171" s="201"/>
      <c r="TOH171" s="201"/>
      <c r="TOI171" s="201"/>
      <c r="TOJ171" s="201"/>
      <c r="TOK171" s="201"/>
      <c r="TOL171" s="201"/>
      <c r="TOM171" s="201"/>
      <c r="TON171" s="201"/>
      <c r="TOO171" s="201"/>
      <c r="TOP171" s="201"/>
      <c r="TOQ171" s="201"/>
      <c r="TOR171" s="201"/>
      <c r="TOS171" s="201"/>
      <c r="TOT171" s="201"/>
      <c r="TOU171" s="201"/>
      <c r="TOV171" s="201"/>
      <c r="TOW171" s="201"/>
      <c r="TOX171" s="201"/>
      <c r="TOY171" s="201"/>
      <c r="TOZ171" s="201"/>
      <c r="TPA171" s="201"/>
      <c r="TPB171" s="201"/>
      <c r="TPC171" s="201"/>
      <c r="TPD171" s="201"/>
      <c r="TPE171" s="201"/>
      <c r="TPF171" s="201"/>
      <c r="TPG171" s="201"/>
      <c r="TPH171" s="201"/>
      <c r="TPI171" s="201"/>
      <c r="TPJ171" s="201"/>
      <c r="TPK171" s="201"/>
      <c r="TPL171" s="201"/>
      <c r="TPM171" s="201"/>
      <c r="TPN171" s="201"/>
      <c r="TPO171" s="201"/>
      <c r="TPP171" s="201"/>
      <c r="TPQ171" s="201"/>
      <c r="TPR171" s="201"/>
      <c r="TPS171" s="201"/>
      <c r="TPT171" s="201"/>
      <c r="TPU171" s="201"/>
      <c r="TPV171" s="201"/>
      <c r="TPW171" s="201"/>
      <c r="TPX171" s="201"/>
      <c r="TPY171" s="201"/>
      <c r="TPZ171" s="201"/>
      <c r="TQA171" s="201"/>
      <c r="TQB171" s="201"/>
      <c r="TQC171" s="201"/>
      <c r="TQD171" s="201"/>
      <c r="TQE171" s="201"/>
      <c r="TQF171" s="201"/>
      <c r="TQG171" s="201"/>
      <c r="TQH171" s="201"/>
      <c r="TQI171" s="201"/>
      <c r="TQJ171" s="201"/>
      <c r="TQK171" s="201"/>
      <c r="TQL171" s="201"/>
      <c r="TQM171" s="201"/>
      <c r="TQN171" s="201"/>
      <c r="TQO171" s="201"/>
      <c r="TQP171" s="201"/>
      <c r="TQQ171" s="201"/>
      <c r="TQR171" s="201"/>
      <c r="TQS171" s="201"/>
      <c r="TQT171" s="201"/>
      <c r="TQU171" s="201"/>
      <c r="TQV171" s="201"/>
      <c r="TQW171" s="201"/>
      <c r="TQX171" s="201"/>
      <c r="TQY171" s="201"/>
      <c r="TQZ171" s="201"/>
      <c r="TRA171" s="201"/>
      <c r="TRB171" s="201"/>
      <c r="TRC171" s="201"/>
      <c r="TRD171" s="201"/>
      <c r="TRE171" s="201"/>
      <c r="TRF171" s="201"/>
      <c r="TRG171" s="201"/>
      <c r="TRH171" s="201"/>
      <c r="TRI171" s="201"/>
      <c r="TRJ171" s="201"/>
      <c r="TRK171" s="201"/>
      <c r="TRL171" s="201"/>
      <c r="TRM171" s="201"/>
      <c r="TRN171" s="201"/>
      <c r="TRO171" s="201"/>
      <c r="TRP171" s="201"/>
      <c r="TRQ171" s="201"/>
      <c r="TRR171" s="201"/>
      <c r="TRS171" s="201"/>
      <c r="TRT171" s="201"/>
      <c r="TRU171" s="201"/>
      <c r="TRV171" s="201"/>
      <c r="TRW171" s="201"/>
      <c r="TRX171" s="201"/>
      <c r="TRY171" s="201"/>
      <c r="TRZ171" s="201"/>
      <c r="TSA171" s="201"/>
      <c r="TSB171" s="201"/>
      <c r="TSC171" s="201"/>
      <c r="TSD171" s="201"/>
      <c r="TSE171" s="201"/>
      <c r="TSF171" s="201"/>
      <c r="TSG171" s="201"/>
      <c r="TSH171" s="201"/>
      <c r="TSI171" s="201"/>
      <c r="TSJ171" s="201"/>
      <c r="TSK171" s="201"/>
      <c r="TSL171" s="201"/>
      <c r="TSM171" s="201"/>
      <c r="TSN171" s="201"/>
      <c r="TSO171" s="201"/>
      <c r="TSP171" s="201"/>
      <c r="TSQ171" s="201"/>
      <c r="TSR171" s="201"/>
      <c r="TSS171" s="201"/>
      <c r="TST171" s="201"/>
      <c r="TSU171" s="201"/>
      <c r="TSV171" s="201"/>
      <c r="TSW171" s="201"/>
      <c r="TSX171" s="201"/>
      <c r="TSY171" s="201"/>
      <c r="TSZ171" s="201"/>
      <c r="TTA171" s="201"/>
      <c r="TTB171" s="201"/>
      <c r="TTC171" s="201"/>
      <c r="TTD171" s="201"/>
      <c r="TTE171" s="201"/>
      <c r="TTF171" s="201"/>
      <c r="TTG171" s="201"/>
      <c r="TTH171" s="201"/>
      <c r="TTI171" s="201"/>
      <c r="TTJ171" s="201"/>
      <c r="TTK171" s="201"/>
      <c r="TTL171" s="201"/>
      <c r="TTM171" s="201"/>
      <c r="TTN171" s="201"/>
      <c r="TTO171" s="201"/>
      <c r="TTP171" s="201"/>
      <c r="TTQ171" s="201"/>
      <c r="TTR171" s="201"/>
      <c r="TTS171" s="201"/>
      <c r="TTT171" s="201"/>
      <c r="TTU171" s="201"/>
      <c r="TTV171" s="201"/>
      <c r="TTW171" s="201"/>
      <c r="TTX171" s="201"/>
      <c r="TTY171" s="201"/>
      <c r="TTZ171" s="201"/>
      <c r="TUA171" s="201"/>
      <c r="TUB171" s="201"/>
      <c r="TUC171" s="201"/>
      <c r="TUD171" s="201"/>
      <c r="TUE171" s="201"/>
      <c r="TUF171" s="201"/>
      <c r="TUG171" s="201"/>
      <c r="TUH171" s="201"/>
      <c r="TUI171" s="201"/>
      <c r="TUJ171" s="201"/>
      <c r="TUK171" s="201"/>
      <c r="TUL171" s="201"/>
      <c r="TUM171" s="201"/>
      <c r="TUN171" s="201"/>
      <c r="TUO171" s="201"/>
      <c r="TUP171" s="201"/>
      <c r="TUQ171" s="201"/>
      <c r="TUR171" s="201"/>
      <c r="TUS171" s="201"/>
      <c r="TUT171" s="201"/>
      <c r="TUU171" s="201"/>
      <c r="TUV171" s="201"/>
      <c r="TUW171" s="201"/>
      <c r="TUX171" s="201"/>
      <c r="TUY171" s="201"/>
      <c r="TUZ171" s="201"/>
      <c r="TVA171" s="201"/>
      <c r="TVB171" s="201"/>
      <c r="TVC171" s="201"/>
      <c r="TVD171" s="201"/>
      <c r="TVE171" s="201"/>
      <c r="TVF171" s="201"/>
      <c r="TVG171" s="201"/>
      <c r="TVH171" s="201"/>
      <c r="TVI171" s="201"/>
      <c r="TVJ171" s="201"/>
      <c r="TVK171" s="201"/>
      <c r="TVL171" s="201"/>
      <c r="TVM171" s="201"/>
      <c r="TVN171" s="201"/>
      <c r="TVO171" s="201"/>
      <c r="TVP171" s="201"/>
      <c r="TVQ171" s="201"/>
      <c r="TVR171" s="201"/>
      <c r="TVS171" s="201"/>
      <c r="TVT171" s="201"/>
      <c r="TVU171" s="201"/>
      <c r="TVV171" s="201"/>
      <c r="TVW171" s="201"/>
      <c r="TVX171" s="201"/>
      <c r="TVY171" s="201"/>
      <c r="TVZ171" s="201"/>
      <c r="TWA171" s="201"/>
      <c r="TWB171" s="201"/>
      <c r="TWC171" s="201"/>
      <c r="TWD171" s="201"/>
      <c r="TWE171" s="201"/>
      <c r="TWF171" s="201"/>
      <c r="TWG171" s="201"/>
      <c r="TWH171" s="201"/>
      <c r="TWI171" s="201"/>
      <c r="TWJ171" s="201"/>
      <c r="TWK171" s="201"/>
      <c r="TWL171" s="201"/>
      <c r="TWM171" s="201"/>
      <c r="TWN171" s="201"/>
      <c r="TWO171" s="201"/>
      <c r="TWP171" s="201"/>
      <c r="TWQ171" s="201"/>
      <c r="TWR171" s="201"/>
      <c r="TWS171" s="201"/>
      <c r="TWT171" s="201"/>
      <c r="TWU171" s="201"/>
      <c r="TWV171" s="201"/>
      <c r="TWW171" s="201"/>
      <c r="TWX171" s="201"/>
      <c r="TWY171" s="201"/>
      <c r="TWZ171" s="201"/>
      <c r="TXA171" s="201"/>
      <c r="TXB171" s="201"/>
      <c r="TXC171" s="201"/>
      <c r="TXD171" s="201"/>
      <c r="TXE171" s="201"/>
      <c r="TXF171" s="201"/>
      <c r="TXG171" s="201"/>
      <c r="TXH171" s="201"/>
      <c r="TXI171" s="201"/>
      <c r="TXJ171" s="201"/>
      <c r="TXK171" s="201"/>
      <c r="TXL171" s="201"/>
      <c r="TXM171" s="201"/>
      <c r="TXN171" s="201"/>
      <c r="TXO171" s="201"/>
      <c r="TXP171" s="201"/>
      <c r="TXQ171" s="201"/>
      <c r="TXR171" s="201"/>
      <c r="TXS171" s="201"/>
      <c r="TXT171" s="201"/>
      <c r="TXU171" s="201"/>
      <c r="TXV171" s="201"/>
      <c r="TXW171" s="201"/>
      <c r="TXX171" s="201"/>
      <c r="TXY171" s="201"/>
      <c r="TXZ171" s="201"/>
      <c r="TYA171" s="201"/>
      <c r="TYB171" s="201"/>
      <c r="TYC171" s="201"/>
      <c r="TYD171" s="201"/>
      <c r="TYE171" s="201"/>
      <c r="TYF171" s="201"/>
      <c r="TYG171" s="201"/>
      <c r="TYH171" s="201"/>
      <c r="TYI171" s="201"/>
      <c r="TYJ171" s="201"/>
      <c r="TYK171" s="201"/>
      <c r="TYL171" s="201"/>
      <c r="TYM171" s="201"/>
      <c r="TYN171" s="201"/>
      <c r="TYO171" s="201"/>
      <c r="TYP171" s="201"/>
      <c r="TYQ171" s="201"/>
      <c r="TYR171" s="201"/>
      <c r="TYS171" s="201"/>
      <c r="TYT171" s="201"/>
      <c r="TYU171" s="201"/>
      <c r="TYV171" s="201"/>
      <c r="TYW171" s="201"/>
      <c r="TYX171" s="201"/>
      <c r="TYY171" s="201"/>
      <c r="TYZ171" s="201"/>
      <c r="TZA171" s="201"/>
      <c r="TZB171" s="201"/>
      <c r="TZC171" s="201"/>
      <c r="TZD171" s="201"/>
      <c r="TZE171" s="201"/>
      <c r="TZF171" s="201"/>
      <c r="TZG171" s="201"/>
      <c r="TZH171" s="201"/>
      <c r="TZI171" s="201"/>
      <c r="TZJ171" s="201"/>
      <c r="TZK171" s="201"/>
      <c r="TZL171" s="201"/>
      <c r="TZM171" s="201"/>
      <c r="TZN171" s="201"/>
      <c r="TZO171" s="201"/>
      <c r="TZP171" s="201"/>
      <c r="TZQ171" s="201"/>
      <c r="TZR171" s="201"/>
      <c r="TZS171" s="201"/>
      <c r="TZT171" s="201"/>
      <c r="TZU171" s="201"/>
      <c r="TZV171" s="201"/>
      <c r="TZW171" s="201"/>
      <c r="TZX171" s="201"/>
      <c r="TZY171" s="201"/>
      <c r="TZZ171" s="201"/>
      <c r="UAA171" s="201"/>
      <c r="UAB171" s="201"/>
      <c r="UAC171" s="201"/>
      <c r="UAD171" s="201"/>
      <c r="UAE171" s="201"/>
      <c r="UAF171" s="201"/>
      <c r="UAG171" s="201"/>
      <c r="UAH171" s="201"/>
      <c r="UAI171" s="201"/>
      <c r="UAJ171" s="201"/>
      <c r="UAK171" s="201"/>
      <c r="UAL171" s="201"/>
      <c r="UAM171" s="201"/>
      <c r="UAN171" s="201"/>
      <c r="UAO171" s="201"/>
      <c r="UAP171" s="201"/>
      <c r="UAQ171" s="201"/>
      <c r="UAR171" s="201"/>
      <c r="UAS171" s="201"/>
      <c r="UAT171" s="201"/>
      <c r="UAU171" s="201"/>
      <c r="UAV171" s="201"/>
      <c r="UAW171" s="201"/>
      <c r="UAX171" s="201"/>
      <c r="UAY171" s="201"/>
      <c r="UAZ171" s="201"/>
      <c r="UBA171" s="201"/>
      <c r="UBB171" s="201"/>
      <c r="UBC171" s="201"/>
      <c r="UBD171" s="201"/>
      <c r="UBE171" s="201"/>
      <c r="UBF171" s="201"/>
      <c r="UBG171" s="201"/>
      <c r="UBH171" s="201"/>
      <c r="UBI171" s="201"/>
      <c r="UBJ171" s="201"/>
      <c r="UBK171" s="201"/>
      <c r="UBL171" s="201"/>
      <c r="UBM171" s="201"/>
      <c r="UBN171" s="201"/>
      <c r="UBO171" s="201"/>
      <c r="UBP171" s="201"/>
      <c r="UBQ171" s="201"/>
      <c r="UBR171" s="201"/>
      <c r="UBS171" s="201"/>
      <c r="UBT171" s="201"/>
      <c r="UBU171" s="201"/>
      <c r="UBV171" s="201"/>
      <c r="UBW171" s="201"/>
      <c r="UBX171" s="201"/>
      <c r="UBY171" s="201"/>
      <c r="UBZ171" s="201"/>
      <c r="UCA171" s="201"/>
      <c r="UCB171" s="201"/>
      <c r="UCC171" s="201"/>
      <c r="UCD171" s="201"/>
      <c r="UCE171" s="201"/>
      <c r="UCF171" s="201"/>
      <c r="UCG171" s="201"/>
      <c r="UCH171" s="201"/>
      <c r="UCI171" s="201"/>
      <c r="UCJ171" s="201"/>
      <c r="UCK171" s="201"/>
      <c r="UCL171" s="201"/>
      <c r="UCM171" s="201"/>
      <c r="UCN171" s="201"/>
      <c r="UCO171" s="201"/>
      <c r="UCP171" s="201"/>
      <c r="UCQ171" s="201"/>
      <c r="UCR171" s="201"/>
      <c r="UCS171" s="201"/>
      <c r="UCT171" s="201"/>
      <c r="UCU171" s="201"/>
      <c r="UCV171" s="201"/>
      <c r="UCW171" s="201"/>
      <c r="UCX171" s="201"/>
      <c r="UCY171" s="201"/>
      <c r="UCZ171" s="201"/>
      <c r="UDA171" s="201"/>
      <c r="UDB171" s="201"/>
      <c r="UDC171" s="201"/>
      <c r="UDD171" s="201"/>
      <c r="UDE171" s="201"/>
      <c r="UDF171" s="201"/>
      <c r="UDG171" s="201"/>
      <c r="UDH171" s="201"/>
      <c r="UDI171" s="201"/>
      <c r="UDJ171" s="201"/>
      <c r="UDK171" s="201"/>
      <c r="UDL171" s="201"/>
      <c r="UDM171" s="201"/>
      <c r="UDN171" s="201"/>
      <c r="UDO171" s="201"/>
      <c r="UDP171" s="201"/>
      <c r="UDQ171" s="201"/>
      <c r="UDR171" s="201"/>
      <c r="UDS171" s="201"/>
      <c r="UDT171" s="201"/>
      <c r="UDU171" s="201"/>
      <c r="UDV171" s="201"/>
      <c r="UDW171" s="201"/>
      <c r="UDX171" s="201"/>
      <c r="UDY171" s="201"/>
      <c r="UDZ171" s="201"/>
      <c r="UEA171" s="201"/>
      <c r="UEB171" s="201"/>
      <c r="UEC171" s="201"/>
      <c r="UED171" s="201"/>
      <c r="UEE171" s="201"/>
      <c r="UEF171" s="201"/>
      <c r="UEG171" s="201"/>
      <c r="UEH171" s="201"/>
      <c r="UEI171" s="201"/>
      <c r="UEJ171" s="201"/>
      <c r="UEK171" s="201"/>
      <c r="UEL171" s="201"/>
      <c r="UEM171" s="201"/>
      <c r="UEN171" s="201"/>
      <c r="UEO171" s="201"/>
      <c r="UEP171" s="201"/>
      <c r="UEQ171" s="201"/>
      <c r="UER171" s="201"/>
      <c r="UES171" s="201"/>
      <c r="UET171" s="201"/>
      <c r="UEU171" s="201"/>
      <c r="UEV171" s="201"/>
      <c r="UEW171" s="201"/>
      <c r="UEX171" s="201"/>
      <c r="UEY171" s="201"/>
      <c r="UEZ171" s="201"/>
      <c r="UFA171" s="201"/>
      <c r="UFB171" s="201"/>
      <c r="UFC171" s="201"/>
      <c r="UFD171" s="201"/>
      <c r="UFE171" s="201"/>
      <c r="UFF171" s="201"/>
      <c r="UFG171" s="201"/>
      <c r="UFH171" s="201"/>
      <c r="UFI171" s="201"/>
      <c r="UFJ171" s="201"/>
      <c r="UFK171" s="201"/>
      <c r="UFL171" s="201"/>
      <c r="UFM171" s="201"/>
      <c r="UFN171" s="201"/>
      <c r="UFO171" s="201"/>
      <c r="UFP171" s="201"/>
      <c r="UFQ171" s="201"/>
      <c r="UFR171" s="201"/>
      <c r="UFS171" s="201"/>
      <c r="UFT171" s="201"/>
      <c r="UFU171" s="201"/>
      <c r="UFV171" s="201"/>
      <c r="UFW171" s="201"/>
      <c r="UFX171" s="201"/>
      <c r="UFY171" s="201"/>
      <c r="UFZ171" s="201"/>
      <c r="UGA171" s="201"/>
      <c r="UGB171" s="201"/>
      <c r="UGC171" s="201"/>
      <c r="UGD171" s="201"/>
      <c r="UGE171" s="201"/>
      <c r="UGF171" s="201"/>
      <c r="UGG171" s="201"/>
      <c r="UGH171" s="201"/>
      <c r="UGI171" s="201"/>
      <c r="UGJ171" s="201"/>
      <c r="UGK171" s="201"/>
      <c r="UGL171" s="201"/>
      <c r="UGM171" s="201"/>
      <c r="UGN171" s="201"/>
      <c r="UGO171" s="201"/>
      <c r="UGP171" s="201"/>
      <c r="UGQ171" s="201"/>
      <c r="UGR171" s="201"/>
      <c r="UGS171" s="201"/>
      <c r="UGT171" s="201"/>
      <c r="UGU171" s="201"/>
      <c r="UGV171" s="201"/>
      <c r="UGW171" s="201"/>
      <c r="UGX171" s="201"/>
      <c r="UGY171" s="201"/>
      <c r="UGZ171" s="201"/>
      <c r="UHA171" s="201"/>
      <c r="UHB171" s="201"/>
      <c r="UHC171" s="201"/>
      <c r="UHD171" s="201"/>
      <c r="UHE171" s="201"/>
      <c r="UHF171" s="201"/>
      <c r="UHG171" s="201"/>
      <c r="UHH171" s="201"/>
      <c r="UHI171" s="201"/>
      <c r="UHJ171" s="201"/>
      <c r="UHK171" s="201"/>
      <c r="UHL171" s="201"/>
      <c r="UHM171" s="201"/>
      <c r="UHN171" s="201"/>
      <c r="UHO171" s="201"/>
      <c r="UHP171" s="201"/>
      <c r="UHQ171" s="201"/>
      <c r="UHR171" s="201"/>
      <c r="UHS171" s="201"/>
      <c r="UHT171" s="201"/>
      <c r="UHU171" s="201"/>
      <c r="UHV171" s="201"/>
      <c r="UHW171" s="201"/>
      <c r="UHX171" s="201"/>
      <c r="UHY171" s="201"/>
      <c r="UHZ171" s="201"/>
      <c r="UIA171" s="201"/>
      <c r="UIB171" s="201"/>
      <c r="UIC171" s="201"/>
      <c r="UID171" s="201"/>
      <c r="UIE171" s="201"/>
      <c r="UIF171" s="201"/>
      <c r="UIG171" s="201"/>
      <c r="UIH171" s="201"/>
      <c r="UII171" s="201"/>
      <c r="UIJ171" s="201"/>
      <c r="UIK171" s="201"/>
      <c r="UIL171" s="201"/>
      <c r="UIM171" s="201"/>
      <c r="UIN171" s="201"/>
      <c r="UIO171" s="201"/>
      <c r="UIP171" s="201"/>
      <c r="UIQ171" s="201"/>
      <c r="UIR171" s="201"/>
      <c r="UIS171" s="201"/>
      <c r="UIT171" s="201"/>
      <c r="UIU171" s="201"/>
      <c r="UIV171" s="201"/>
      <c r="UIW171" s="201"/>
      <c r="UIX171" s="201"/>
      <c r="UIY171" s="201"/>
      <c r="UIZ171" s="201"/>
      <c r="UJA171" s="201"/>
      <c r="UJB171" s="201"/>
      <c r="UJC171" s="201"/>
      <c r="UJD171" s="201"/>
      <c r="UJE171" s="201"/>
      <c r="UJF171" s="201"/>
      <c r="UJG171" s="201"/>
      <c r="UJH171" s="201"/>
      <c r="UJI171" s="201"/>
      <c r="UJJ171" s="201"/>
      <c r="UJK171" s="201"/>
      <c r="UJL171" s="201"/>
      <c r="UJM171" s="201"/>
      <c r="UJN171" s="201"/>
      <c r="UJO171" s="201"/>
      <c r="UJP171" s="201"/>
      <c r="UJQ171" s="201"/>
      <c r="UJR171" s="201"/>
      <c r="UJS171" s="201"/>
      <c r="UJT171" s="201"/>
      <c r="UJU171" s="201"/>
      <c r="UJV171" s="201"/>
      <c r="UJW171" s="201"/>
      <c r="UJX171" s="201"/>
      <c r="UJY171" s="201"/>
      <c r="UJZ171" s="201"/>
      <c r="UKA171" s="201"/>
      <c r="UKB171" s="201"/>
      <c r="UKC171" s="201"/>
      <c r="UKD171" s="201"/>
      <c r="UKE171" s="201"/>
      <c r="UKF171" s="201"/>
      <c r="UKG171" s="201"/>
      <c r="UKH171" s="201"/>
      <c r="UKI171" s="201"/>
      <c r="UKJ171" s="201"/>
      <c r="UKK171" s="201"/>
      <c r="UKL171" s="201"/>
      <c r="UKM171" s="201"/>
      <c r="UKN171" s="201"/>
      <c r="UKO171" s="201"/>
      <c r="UKP171" s="201"/>
      <c r="UKQ171" s="201"/>
      <c r="UKR171" s="201"/>
      <c r="UKS171" s="201"/>
      <c r="UKT171" s="201"/>
      <c r="UKU171" s="201"/>
      <c r="UKV171" s="201"/>
      <c r="UKW171" s="201"/>
      <c r="UKX171" s="201"/>
      <c r="UKY171" s="201"/>
      <c r="UKZ171" s="201"/>
      <c r="ULA171" s="201"/>
      <c r="ULB171" s="201"/>
      <c r="ULC171" s="201"/>
      <c r="ULD171" s="201"/>
      <c r="ULE171" s="201"/>
      <c r="ULF171" s="201"/>
      <c r="ULG171" s="201"/>
      <c r="ULH171" s="201"/>
      <c r="ULI171" s="201"/>
      <c r="ULJ171" s="201"/>
      <c r="ULK171" s="201"/>
      <c r="ULL171" s="201"/>
      <c r="ULM171" s="201"/>
      <c r="ULN171" s="201"/>
      <c r="ULO171" s="201"/>
      <c r="ULP171" s="201"/>
      <c r="ULQ171" s="201"/>
      <c r="ULR171" s="201"/>
      <c r="ULS171" s="201"/>
      <c r="ULT171" s="201"/>
      <c r="ULU171" s="201"/>
      <c r="ULV171" s="201"/>
      <c r="ULW171" s="201"/>
      <c r="ULX171" s="201"/>
      <c r="ULY171" s="201"/>
      <c r="ULZ171" s="201"/>
      <c r="UMA171" s="201"/>
      <c r="UMB171" s="201"/>
      <c r="UMC171" s="201"/>
      <c r="UMD171" s="201"/>
      <c r="UME171" s="201"/>
      <c r="UMF171" s="201"/>
      <c r="UMG171" s="201"/>
      <c r="UMH171" s="201"/>
      <c r="UMI171" s="201"/>
      <c r="UMJ171" s="201"/>
      <c r="UMK171" s="201"/>
      <c r="UML171" s="201"/>
      <c r="UMM171" s="201"/>
      <c r="UMN171" s="201"/>
      <c r="UMO171" s="201"/>
      <c r="UMP171" s="201"/>
      <c r="UMQ171" s="201"/>
      <c r="UMR171" s="201"/>
      <c r="UMS171" s="201"/>
      <c r="UMT171" s="201"/>
      <c r="UMU171" s="201"/>
      <c r="UMV171" s="201"/>
      <c r="UMW171" s="201"/>
      <c r="UMX171" s="201"/>
      <c r="UMY171" s="201"/>
      <c r="UMZ171" s="201"/>
      <c r="UNA171" s="201"/>
      <c r="UNB171" s="201"/>
      <c r="UNC171" s="201"/>
      <c r="UND171" s="201"/>
      <c r="UNE171" s="201"/>
      <c r="UNF171" s="201"/>
      <c r="UNG171" s="201"/>
      <c r="UNH171" s="201"/>
      <c r="UNI171" s="201"/>
      <c r="UNJ171" s="201"/>
      <c r="UNK171" s="201"/>
      <c r="UNL171" s="201"/>
      <c r="UNM171" s="201"/>
      <c r="UNN171" s="201"/>
      <c r="UNO171" s="201"/>
      <c r="UNP171" s="201"/>
      <c r="UNQ171" s="201"/>
      <c r="UNR171" s="201"/>
      <c r="UNS171" s="201"/>
      <c r="UNT171" s="201"/>
      <c r="UNU171" s="201"/>
      <c r="UNV171" s="201"/>
      <c r="UNW171" s="201"/>
      <c r="UNX171" s="201"/>
      <c r="UNY171" s="201"/>
      <c r="UNZ171" s="201"/>
      <c r="UOA171" s="201"/>
      <c r="UOB171" s="201"/>
      <c r="UOC171" s="201"/>
      <c r="UOD171" s="201"/>
      <c r="UOE171" s="201"/>
      <c r="UOF171" s="201"/>
      <c r="UOG171" s="201"/>
      <c r="UOH171" s="201"/>
      <c r="UOI171" s="201"/>
      <c r="UOJ171" s="201"/>
      <c r="UOK171" s="201"/>
      <c r="UOL171" s="201"/>
      <c r="UOM171" s="201"/>
      <c r="UON171" s="201"/>
      <c r="UOO171" s="201"/>
      <c r="UOP171" s="201"/>
      <c r="UOQ171" s="201"/>
      <c r="UOR171" s="201"/>
      <c r="UOS171" s="201"/>
      <c r="UOT171" s="201"/>
      <c r="UOU171" s="201"/>
      <c r="UOV171" s="201"/>
      <c r="UOW171" s="201"/>
      <c r="UOX171" s="201"/>
      <c r="UOY171" s="201"/>
      <c r="UOZ171" s="201"/>
      <c r="UPA171" s="201"/>
      <c r="UPB171" s="201"/>
      <c r="UPC171" s="201"/>
      <c r="UPD171" s="201"/>
      <c r="UPE171" s="201"/>
      <c r="UPF171" s="201"/>
      <c r="UPG171" s="201"/>
      <c r="UPH171" s="201"/>
      <c r="UPI171" s="201"/>
      <c r="UPJ171" s="201"/>
      <c r="UPK171" s="201"/>
      <c r="UPL171" s="201"/>
      <c r="UPM171" s="201"/>
      <c r="UPN171" s="201"/>
      <c r="UPO171" s="201"/>
      <c r="UPP171" s="201"/>
      <c r="UPQ171" s="201"/>
      <c r="UPR171" s="201"/>
      <c r="UPS171" s="201"/>
      <c r="UPT171" s="201"/>
      <c r="UPU171" s="201"/>
      <c r="UPV171" s="201"/>
      <c r="UPW171" s="201"/>
      <c r="UPX171" s="201"/>
      <c r="UPY171" s="201"/>
      <c r="UPZ171" s="201"/>
      <c r="UQA171" s="201"/>
      <c r="UQB171" s="201"/>
      <c r="UQC171" s="201"/>
      <c r="UQD171" s="201"/>
      <c r="UQE171" s="201"/>
      <c r="UQF171" s="201"/>
      <c r="UQG171" s="201"/>
      <c r="UQH171" s="201"/>
      <c r="UQI171" s="201"/>
      <c r="UQJ171" s="201"/>
      <c r="UQK171" s="201"/>
      <c r="UQL171" s="201"/>
      <c r="UQM171" s="201"/>
      <c r="UQN171" s="201"/>
      <c r="UQO171" s="201"/>
      <c r="UQP171" s="201"/>
      <c r="UQQ171" s="201"/>
      <c r="UQR171" s="201"/>
      <c r="UQS171" s="201"/>
      <c r="UQT171" s="201"/>
      <c r="UQU171" s="201"/>
      <c r="UQV171" s="201"/>
      <c r="UQW171" s="201"/>
      <c r="UQX171" s="201"/>
      <c r="UQY171" s="201"/>
      <c r="UQZ171" s="201"/>
      <c r="URA171" s="201"/>
      <c r="URB171" s="201"/>
      <c r="URC171" s="201"/>
      <c r="URD171" s="201"/>
      <c r="URE171" s="201"/>
      <c r="URF171" s="201"/>
      <c r="URG171" s="201"/>
      <c r="URH171" s="201"/>
      <c r="URI171" s="201"/>
      <c r="URJ171" s="201"/>
      <c r="URK171" s="201"/>
      <c r="URL171" s="201"/>
      <c r="URM171" s="201"/>
      <c r="URN171" s="201"/>
      <c r="URO171" s="201"/>
      <c r="URP171" s="201"/>
      <c r="URQ171" s="201"/>
      <c r="URR171" s="201"/>
      <c r="URS171" s="201"/>
      <c r="URT171" s="201"/>
      <c r="URU171" s="201"/>
      <c r="URV171" s="201"/>
      <c r="URW171" s="201"/>
      <c r="URX171" s="201"/>
      <c r="URY171" s="201"/>
      <c r="URZ171" s="201"/>
      <c r="USA171" s="201"/>
      <c r="USB171" s="201"/>
      <c r="USC171" s="201"/>
      <c r="USD171" s="201"/>
      <c r="USE171" s="201"/>
      <c r="USF171" s="201"/>
      <c r="USG171" s="201"/>
      <c r="USH171" s="201"/>
      <c r="USI171" s="201"/>
      <c r="USJ171" s="201"/>
      <c r="USK171" s="201"/>
      <c r="USL171" s="201"/>
      <c r="USM171" s="201"/>
      <c r="USN171" s="201"/>
      <c r="USO171" s="201"/>
      <c r="USP171" s="201"/>
      <c r="USQ171" s="201"/>
      <c r="USR171" s="201"/>
      <c r="USS171" s="201"/>
      <c r="UST171" s="201"/>
      <c r="USU171" s="201"/>
      <c r="USV171" s="201"/>
      <c r="USW171" s="201"/>
      <c r="USX171" s="201"/>
      <c r="USY171" s="201"/>
      <c r="USZ171" s="201"/>
      <c r="UTA171" s="201"/>
      <c r="UTB171" s="201"/>
      <c r="UTC171" s="201"/>
      <c r="UTD171" s="201"/>
      <c r="UTE171" s="201"/>
      <c r="UTF171" s="201"/>
      <c r="UTG171" s="201"/>
      <c r="UTH171" s="201"/>
      <c r="UTI171" s="201"/>
      <c r="UTJ171" s="201"/>
      <c r="UTK171" s="201"/>
      <c r="UTL171" s="201"/>
      <c r="UTM171" s="201"/>
      <c r="UTN171" s="201"/>
      <c r="UTO171" s="201"/>
      <c r="UTP171" s="201"/>
      <c r="UTQ171" s="201"/>
      <c r="UTR171" s="201"/>
      <c r="UTS171" s="201"/>
      <c r="UTT171" s="201"/>
      <c r="UTU171" s="201"/>
      <c r="UTV171" s="201"/>
      <c r="UTW171" s="201"/>
      <c r="UTX171" s="201"/>
      <c r="UTY171" s="201"/>
      <c r="UTZ171" s="201"/>
      <c r="UUA171" s="201"/>
      <c r="UUB171" s="201"/>
      <c r="UUC171" s="201"/>
      <c r="UUD171" s="201"/>
      <c r="UUE171" s="201"/>
      <c r="UUF171" s="201"/>
      <c r="UUG171" s="201"/>
      <c r="UUH171" s="201"/>
      <c r="UUI171" s="201"/>
      <c r="UUJ171" s="201"/>
      <c r="UUK171" s="201"/>
      <c r="UUL171" s="201"/>
      <c r="UUM171" s="201"/>
      <c r="UUN171" s="201"/>
      <c r="UUO171" s="201"/>
      <c r="UUP171" s="201"/>
      <c r="UUQ171" s="201"/>
      <c r="UUR171" s="201"/>
      <c r="UUS171" s="201"/>
      <c r="UUT171" s="201"/>
      <c r="UUU171" s="201"/>
      <c r="UUV171" s="201"/>
      <c r="UUW171" s="201"/>
      <c r="UUX171" s="201"/>
      <c r="UUY171" s="201"/>
      <c r="UUZ171" s="201"/>
      <c r="UVA171" s="201"/>
      <c r="UVB171" s="201"/>
      <c r="UVC171" s="201"/>
      <c r="UVD171" s="201"/>
      <c r="UVE171" s="201"/>
      <c r="UVF171" s="201"/>
      <c r="UVG171" s="201"/>
      <c r="UVH171" s="201"/>
      <c r="UVI171" s="201"/>
      <c r="UVJ171" s="201"/>
      <c r="UVK171" s="201"/>
      <c r="UVL171" s="201"/>
      <c r="UVM171" s="201"/>
      <c r="UVN171" s="201"/>
      <c r="UVO171" s="201"/>
      <c r="UVP171" s="201"/>
      <c r="UVQ171" s="201"/>
      <c r="UVR171" s="201"/>
      <c r="UVS171" s="201"/>
      <c r="UVT171" s="201"/>
      <c r="UVU171" s="201"/>
      <c r="UVV171" s="201"/>
      <c r="UVW171" s="201"/>
      <c r="UVX171" s="201"/>
      <c r="UVY171" s="201"/>
      <c r="UVZ171" s="201"/>
      <c r="UWA171" s="201"/>
      <c r="UWB171" s="201"/>
      <c r="UWC171" s="201"/>
      <c r="UWD171" s="201"/>
      <c r="UWE171" s="201"/>
      <c r="UWF171" s="201"/>
      <c r="UWG171" s="201"/>
      <c r="UWH171" s="201"/>
      <c r="UWI171" s="201"/>
      <c r="UWJ171" s="201"/>
      <c r="UWK171" s="201"/>
      <c r="UWL171" s="201"/>
      <c r="UWM171" s="201"/>
      <c r="UWN171" s="201"/>
      <c r="UWO171" s="201"/>
      <c r="UWP171" s="201"/>
      <c r="UWQ171" s="201"/>
      <c r="UWR171" s="201"/>
      <c r="UWS171" s="201"/>
      <c r="UWT171" s="201"/>
      <c r="UWU171" s="201"/>
      <c r="UWV171" s="201"/>
      <c r="UWW171" s="201"/>
      <c r="UWX171" s="201"/>
      <c r="UWY171" s="201"/>
      <c r="UWZ171" s="201"/>
      <c r="UXA171" s="201"/>
      <c r="UXB171" s="201"/>
      <c r="UXC171" s="201"/>
      <c r="UXD171" s="201"/>
      <c r="UXE171" s="201"/>
      <c r="UXF171" s="201"/>
      <c r="UXG171" s="201"/>
      <c r="UXH171" s="201"/>
      <c r="UXI171" s="201"/>
      <c r="UXJ171" s="201"/>
      <c r="UXK171" s="201"/>
      <c r="UXL171" s="201"/>
      <c r="UXM171" s="201"/>
      <c r="UXN171" s="201"/>
      <c r="UXO171" s="201"/>
      <c r="UXP171" s="201"/>
      <c r="UXQ171" s="201"/>
      <c r="UXR171" s="201"/>
      <c r="UXS171" s="201"/>
      <c r="UXT171" s="201"/>
      <c r="UXU171" s="201"/>
      <c r="UXV171" s="201"/>
      <c r="UXW171" s="201"/>
      <c r="UXX171" s="201"/>
      <c r="UXY171" s="201"/>
      <c r="UXZ171" s="201"/>
      <c r="UYA171" s="201"/>
      <c r="UYB171" s="201"/>
      <c r="UYC171" s="201"/>
      <c r="UYD171" s="201"/>
      <c r="UYE171" s="201"/>
      <c r="UYF171" s="201"/>
      <c r="UYG171" s="201"/>
      <c r="UYH171" s="201"/>
      <c r="UYI171" s="201"/>
      <c r="UYJ171" s="201"/>
      <c r="UYK171" s="201"/>
      <c r="UYL171" s="201"/>
      <c r="UYM171" s="201"/>
      <c r="UYN171" s="201"/>
      <c r="UYO171" s="201"/>
      <c r="UYP171" s="201"/>
      <c r="UYQ171" s="201"/>
      <c r="UYR171" s="201"/>
      <c r="UYS171" s="201"/>
      <c r="UYT171" s="201"/>
      <c r="UYU171" s="201"/>
      <c r="UYV171" s="201"/>
      <c r="UYW171" s="201"/>
      <c r="UYX171" s="201"/>
      <c r="UYY171" s="201"/>
      <c r="UYZ171" s="201"/>
      <c r="UZA171" s="201"/>
      <c r="UZB171" s="201"/>
      <c r="UZC171" s="201"/>
      <c r="UZD171" s="201"/>
      <c r="UZE171" s="201"/>
      <c r="UZF171" s="201"/>
      <c r="UZG171" s="201"/>
      <c r="UZH171" s="201"/>
      <c r="UZI171" s="201"/>
      <c r="UZJ171" s="201"/>
      <c r="UZK171" s="201"/>
      <c r="UZL171" s="201"/>
      <c r="UZM171" s="201"/>
      <c r="UZN171" s="201"/>
      <c r="UZO171" s="201"/>
      <c r="UZP171" s="201"/>
      <c r="UZQ171" s="201"/>
      <c r="UZR171" s="201"/>
      <c r="UZS171" s="201"/>
      <c r="UZT171" s="201"/>
      <c r="UZU171" s="201"/>
      <c r="UZV171" s="201"/>
      <c r="UZW171" s="201"/>
      <c r="UZX171" s="201"/>
      <c r="UZY171" s="201"/>
      <c r="UZZ171" s="201"/>
      <c r="VAA171" s="201"/>
      <c r="VAB171" s="201"/>
      <c r="VAC171" s="201"/>
      <c r="VAD171" s="201"/>
      <c r="VAE171" s="201"/>
      <c r="VAF171" s="201"/>
      <c r="VAG171" s="201"/>
      <c r="VAH171" s="201"/>
      <c r="VAI171" s="201"/>
      <c r="VAJ171" s="201"/>
      <c r="VAK171" s="201"/>
      <c r="VAL171" s="201"/>
      <c r="VAM171" s="201"/>
      <c r="VAN171" s="201"/>
      <c r="VAO171" s="201"/>
      <c r="VAP171" s="201"/>
      <c r="VAQ171" s="201"/>
      <c r="VAR171" s="201"/>
      <c r="VAS171" s="201"/>
      <c r="VAT171" s="201"/>
      <c r="VAU171" s="201"/>
      <c r="VAV171" s="201"/>
      <c r="VAW171" s="201"/>
      <c r="VAX171" s="201"/>
      <c r="VAY171" s="201"/>
      <c r="VAZ171" s="201"/>
      <c r="VBA171" s="201"/>
      <c r="VBB171" s="201"/>
      <c r="VBC171" s="201"/>
      <c r="VBD171" s="201"/>
      <c r="VBE171" s="201"/>
      <c r="VBF171" s="201"/>
      <c r="VBG171" s="201"/>
      <c r="VBH171" s="201"/>
      <c r="VBI171" s="201"/>
      <c r="VBJ171" s="201"/>
      <c r="VBK171" s="201"/>
      <c r="VBL171" s="201"/>
      <c r="VBM171" s="201"/>
      <c r="VBN171" s="201"/>
      <c r="VBO171" s="201"/>
      <c r="VBP171" s="201"/>
      <c r="VBQ171" s="201"/>
      <c r="VBR171" s="201"/>
      <c r="VBS171" s="201"/>
      <c r="VBT171" s="201"/>
      <c r="VBU171" s="201"/>
      <c r="VBV171" s="201"/>
      <c r="VBW171" s="201"/>
      <c r="VBX171" s="201"/>
      <c r="VBY171" s="201"/>
      <c r="VBZ171" s="201"/>
      <c r="VCA171" s="201"/>
      <c r="VCB171" s="201"/>
      <c r="VCC171" s="201"/>
      <c r="VCD171" s="201"/>
      <c r="VCE171" s="201"/>
      <c r="VCF171" s="201"/>
      <c r="VCG171" s="201"/>
      <c r="VCH171" s="201"/>
      <c r="VCI171" s="201"/>
      <c r="VCJ171" s="201"/>
      <c r="VCK171" s="201"/>
      <c r="VCL171" s="201"/>
      <c r="VCM171" s="201"/>
      <c r="VCN171" s="201"/>
      <c r="VCO171" s="201"/>
      <c r="VCP171" s="201"/>
      <c r="VCQ171" s="201"/>
      <c r="VCR171" s="201"/>
      <c r="VCS171" s="201"/>
      <c r="VCT171" s="201"/>
      <c r="VCU171" s="201"/>
      <c r="VCV171" s="201"/>
      <c r="VCW171" s="201"/>
      <c r="VCX171" s="201"/>
      <c r="VCY171" s="201"/>
      <c r="VCZ171" s="201"/>
      <c r="VDA171" s="201"/>
      <c r="VDB171" s="201"/>
      <c r="VDC171" s="201"/>
      <c r="VDD171" s="201"/>
      <c r="VDE171" s="201"/>
      <c r="VDF171" s="201"/>
      <c r="VDG171" s="201"/>
      <c r="VDH171" s="201"/>
      <c r="VDI171" s="201"/>
      <c r="VDJ171" s="201"/>
      <c r="VDK171" s="201"/>
      <c r="VDL171" s="201"/>
      <c r="VDM171" s="201"/>
      <c r="VDN171" s="201"/>
      <c r="VDO171" s="201"/>
      <c r="VDP171" s="201"/>
      <c r="VDQ171" s="201"/>
      <c r="VDR171" s="201"/>
      <c r="VDS171" s="201"/>
      <c r="VDT171" s="201"/>
      <c r="VDU171" s="201"/>
      <c r="VDV171" s="201"/>
      <c r="VDW171" s="201"/>
      <c r="VDX171" s="201"/>
      <c r="VDY171" s="201"/>
      <c r="VDZ171" s="201"/>
      <c r="VEA171" s="201"/>
      <c r="VEB171" s="201"/>
      <c r="VEC171" s="201"/>
      <c r="VED171" s="201"/>
      <c r="VEE171" s="201"/>
      <c r="VEF171" s="201"/>
      <c r="VEG171" s="201"/>
      <c r="VEH171" s="201"/>
      <c r="VEI171" s="201"/>
      <c r="VEJ171" s="201"/>
      <c r="VEK171" s="201"/>
      <c r="VEL171" s="201"/>
      <c r="VEM171" s="201"/>
      <c r="VEN171" s="201"/>
      <c r="VEO171" s="201"/>
      <c r="VEP171" s="201"/>
      <c r="VEQ171" s="201"/>
      <c r="VER171" s="201"/>
      <c r="VES171" s="201"/>
      <c r="VET171" s="201"/>
      <c r="VEU171" s="201"/>
      <c r="VEV171" s="201"/>
      <c r="VEW171" s="201"/>
      <c r="VEX171" s="201"/>
      <c r="VEY171" s="201"/>
      <c r="VEZ171" s="201"/>
      <c r="VFA171" s="201"/>
      <c r="VFB171" s="201"/>
      <c r="VFC171" s="201"/>
      <c r="VFD171" s="201"/>
      <c r="VFE171" s="201"/>
      <c r="VFF171" s="201"/>
      <c r="VFG171" s="201"/>
      <c r="VFH171" s="201"/>
      <c r="VFI171" s="201"/>
      <c r="VFJ171" s="201"/>
      <c r="VFK171" s="201"/>
      <c r="VFL171" s="201"/>
      <c r="VFM171" s="201"/>
      <c r="VFN171" s="201"/>
      <c r="VFO171" s="201"/>
      <c r="VFP171" s="201"/>
      <c r="VFQ171" s="201"/>
      <c r="VFR171" s="201"/>
      <c r="VFS171" s="201"/>
      <c r="VFT171" s="201"/>
      <c r="VFU171" s="201"/>
      <c r="VFV171" s="201"/>
      <c r="VFW171" s="201"/>
      <c r="VFX171" s="201"/>
      <c r="VFY171" s="201"/>
      <c r="VFZ171" s="201"/>
      <c r="VGA171" s="201"/>
      <c r="VGB171" s="201"/>
      <c r="VGC171" s="201"/>
      <c r="VGD171" s="201"/>
      <c r="VGE171" s="201"/>
      <c r="VGF171" s="201"/>
      <c r="VGG171" s="201"/>
      <c r="VGH171" s="201"/>
      <c r="VGI171" s="201"/>
      <c r="VGJ171" s="201"/>
      <c r="VGK171" s="201"/>
      <c r="VGL171" s="201"/>
      <c r="VGM171" s="201"/>
      <c r="VGN171" s="201"/>
      <c r="VGO171" s="201"/>
      <c r="VGP171" s="201"/>
      <c r="VGQ171" s="201"/>
      <c r="VGR171" s="201"/>
      <c r="VGS171" s="201"/>
      <c r="VGT171" s="201"/>
      <c r="VGU171" s="201"/>
      <c r="VGV171" s="201"/>
      <c r="VGW171" s="201"/>
      <c r="VGX171" s="201"/>
      <c r="VGY171" s="201"/>
      <c r="VGZ171" s="201"/>
      <c r="VHA171" s="201"/>
      <c r="VHB171" s="201"/>
      <c r="VHC171" s="201"/>
      <c r="VHD171" s="201"/>
      <c r="VHE171" s="201"/>
      <c r="VHF171" s="201"/>
      <c r="VHG171" s="201"/>
      <c r="VHH171" s="201"/>
      <c r="VHI171" s="201"/>
      <c r="VHJ171" s="201"/>
      <c r="VHK171" s="201"/>
      <c r="VHL171" s="201"/>
      <c r="VHM171" s="201"/>
      <c r="VHN171" s="201"/>
      <c r="VHO171" s="201"/>
      <c r="VHP171" s="201"/>
      <c r="VHQ171" s="201"/>
      <c r="VHR171" s="201"/>
      <c r="VHS171" s="201"/>
      <c r="VHT171" s="201"/>
      <c r="VHU171" s="201"/>
      <c r="VHV171" s="201"/>
      <c r="VHW171" s="201"/>
      <c r="VHX171" s="201"/>
      <c r="VHY171" s="201"/>
      <c r="VHZ171" s="201"/>
      <c r="VIA171" s="201"/>
      <c r="VIB171" s="201"/>
      <c r="VIC171" s="201"/>
      <c r="VID171" s="201"/>
      <c r="VIE171" s="201"/>
      <c r="VIF171" s="201"/>
      <c r="VIG171" s="201"/>
      <c r="VIH171" s="201"/>
      <c r="VII171" s="201"/>
      <c r="VIJ171" s="201"/>
      <c r="VIK171" s="201"/>
      <c r="VIL171" s="201"/>
      <c r="VIM171" s="201"/>
      <c r="VIN171" s="201"/>
      <c r="VIO171" s="201"/>
      <c r="VIP171" s="201"/>
      <c r="VIQ171" s="201"/>
      <c r="VIR171" s="201"/>
      <c r="VIS171" s="201"/>
      <c r="VIT171" s="201"/>
      <c r="VIU171" s="201"/>
      <c r="VIV171" s="201"/>
      <c r="VIW171" s="201"/>
      <c r="VIX171" s="201"/>
      <c r="VIY171" s="201"/>
      <c r="VIZ171" s="201"/>
      <c r="VJA171" s="201"/>
      <c r="VJB171" s="201"/>
      <c r="VJC171" s="201"/>
      <c r="VJD171" s="201"/>
      <c r="VJE171" s="201"/>
      <c r="VJF171" s="201"/>
      <c r="VJG171" s="201"/>
      <c r="VJH171" s="201"/>
      <c r="VJI171" s="201"/>
      <c r="VJJ171" s="201"/>
      <c r="VJK171" s="201"/>
      <c r="VJL171" s="201"/>
      <c r="VJM171" s="201"/>
      <c r="VJN171" s="201"/>
      <c r="VJO171" s="201"/>
      <c r="VJP171" s="201"/>
      <c r="VJQ171" s="201"/>
      <c r="VJR171" s="201"/>
      <c r="VJS171" s="201"/>
      <c r="VJT171" s="201"/>
      <c r="VJU171" s="201"/>
      <c r="VJV171" s="201"/>
      <c r="VJW171" s="201"/>
      <c r="VJX171" s="201"/>
      <c r="VJY171" s="201"/>
      <c r="VJZ171" s="201"/>
      <c r="VKA171" s="201"/>
      <c r="VKB171" s="201"/>
      <c r="VKC171" s="201"/>
      <c r="VKD171" s="201"/>
      <c r="VKE171" s="201"/>
      <c r="VKF171" s="201"/>
      <c r="VKG171" s="201"/>
      <c r="VKH171" s="201"/>
      <c r="VKI171" s="201"/>
      <c r="VKJ171" s="201"/>
      <c r="VKK171" s="201"/>
      <c r="VKL171" s="201"/>
      <c r="VKM171" s="201"/>
      <c r="VKN171" s="201"/>
      <c r="VKO171" s="201"/>
      <c r="VKP171" s="201"/>
      <c r="VKQ171" s="201"/>
      <c r="VKR171" s="201"/>
      <c r="VKS171" s="201"/>
      <c r="VKT171" s="201"/>
      <c r="VKU171" s="201"/>
      <c r="VKV171" s="201"/>
      <c r="VKW171" s="201"/>
      <c r="VKX171" s="201"/>
      <c r="VKY171" s="201"/>
      <c r="VKZ171" s="201"/>
      <c r="VLA171" s="201"/>
      <c r="VLB171" s="201"/>
      <c r="VLC171" s="201"/>
      <c r="VLD171" s="201"/>
      <c r="VLE171" s="201"/>
      <c r="VLF171" s="201"/>
      <c r="VLG171" s="201"/>
      <c r="VLH171" s="201"/>
      <c r="VLI171" s="201"/>
      <c r="VLJ171" s="201"/>
      <c r="VLK171" s="201"/>
      <c r="VLL171" s="201"/>
      <c r="VLM171" s="201"/>
      <c r="VLN171" s="201"/>
      <c r="VLO171" s="201"/>
      <c r="VLP171" s="201"/>
      <c r="VLQ171" s="201"/>
      <c r="VLR171" s="201"/>
      <c r="VLS171" s="201"/>
      <c r="VLT171" s="201"/>
      <c r="VLU171" s="201"/>
      <c r="VLV171" s="201"/>
      <c r="VLW171" s="201"/>
      <c r="VLX171" s="201"/>
      <c r="VLY171" s="201"/>
      <c r="VLZ171" s="201"/>
      <c r="VMA171" s="201"/>
      <c r="VMB171" s="201"/>
      <c r="VMC171" s="201"/>
      <c r="VMD171" s="201"/>
      <c r="VME171" s="201"/>
      <c r="VMF171" s="201"/>
      <c r="VMG171" s="201"/>
      <c r="VMH171" s="201"/>
      <c r="VMI171" s="201"/>
      <c r="VMJ171" s="201"/>
      <c r="VMK171" s="201"/>
      <c r="VML171" s="201"/>
      <c r="VMM171" s="201"/>
      <c r="VMN171" s="201"/>
      <c r="VMO171" s="201"/>
      <c r="VMP171" s="201"/>
      <c r="VMQ171" s="201"/>
      <c r="VMR171" s="201"/>
      <c r="VMS171" s="201"/>
      <c r="VMT171" s="201"/>
      <c r="VMU171" s="201"/>
      <c r="VMV171" s="201"/>
      <c r="VMW171" s="201"/>
      <c r="VMX171" s="201"/>
      <c r="VMY171" s="201"/>
      <c r="VMZ171" s="201"/>
      <c r="VNA171" s="201"/>
      <c r="VNB171" s="201"/>
      <c r="VNC171" s="201"/>
      <c r="VND171" s="201"/>
      <c r="VNE171" s="201"/>
      <c r="VNF171" s="201"/>
      <c r="VNG171" s="201"/>
      <c r="VNH171" s="201"/>
      <c r="VNI171" s="201"/>
      <c r="VNJ171" s="201"/>
      <c r="VNK171" s="201"/>
      <c r="VNL171" s="201"/>
      <c r="VNM171" s="201"/>
      <c r="VNN171" s="201"/>
      <c r="VNO171" s="201"/>
      <c r="VNP171" s="201"/>
      <c r="VNQ171" s="201"/>
      <c r="VNR171" s="201"/>
      <c r="VNS171" s="201"/>
      <c r="VNT171" s="201"/>
      <c r="VNU171" s="201"/>
      <c r="VNV171" s="201"/>
      <c r="VNW171" s="201"/>
      <c r="VNX171" s="201"/>
      <c r="VNY171" s="201"/>
      <c r="VNZ171" s="201"/>
      <c r="VOA171" s="201"/>
      <c r="VOB171" s="201"/>
      <c r="VOC171" s="201"/>
      <c r="VOD171" s="201"/>
      <c r="VOE171" s="201"/>
      <c r="VOF171" s="201"/>
      <c r="VOG171" s="201"/>
      <c r="VOH171" s="201"/>
      <c r="VOI171" s="201"/>
      <c r="VOJ171" s="201"/>
      <c r="VOK171" s="201"/>
      <c r="VOL171" s="201"/>
      <c r="VOM171" s="201"/>
      <c r="VON171" s="201"/>
      <c r="VOO171" s="201"/>
      <c r="VOP171" s="201"/>
      <c r="VOQ171" s="201"/>
      <c r="VOR171" s="201"/>
      <c r="VOS171" s="201"/>
      <c r="VOT171" s="201"/>
      <c r="VOU171" s="201"/>
      <c r="VOV171" s="201"/>
      <c r="VOW171" s="201"/>
      <c r="VOX171" s="201"/>
      <c r="VOY171" s="201"/>
      <c r="VOZ171" s="201"/>
      <c r="VPA171" s="201"/>
      <c r="VPB171" s="201"/>
      <c r="VPC171" s="201"/>
      <c r="VPD171" s="201"/>
      <c r="VPE171" s="201"/>
      <c r="VPF171" s="201"/>
      <c r="VPG171" s="201"/>
      <c r="VPH171" s="201"/>
      <c r="VPI171" s="201"/>
      <c r="VPJ171" s="201"/>
      <c r="VPK171" s="201"/>
      <c r="VPL171" s="201"/>
      <c r="VPM171" s="201"/>
      <c r="VPN171" s="201"/>
      <c r="VPO171" s="201"/>
      <c r="VPP171" s="201"/>
      <c r="VPQ171" s="201"/>
      <c r="VPR171" s="201"/>
      <c r="VPS171" s="201"/>
      <c r="VPT171" s="201"/>
      <c r="VPU171" s="201"/>
      <c r="VPV171" s="201"/>
      <c r="VPW171" s="201"/>
      <c r="VPX171" s="201"/>
      <c r="VPY171" s="201"/>
      <c r="VPZ171" s="201"/>
      <c r="VQA171" s="201"/>
      <c r="VQB171" s="201"/>
      <c r="VQC171" s="201"/>
      <c r="VQD171" s="201"/>
      <c r="VQE171" s="201"/>
      <c r="VQF171" s="201"/>
      <c r="VQG171" s="201"/>
      <c r="VQH171" s="201"/>
      <c r="VQI171" s="201"/>
      <c r="VQJ171" s="201"/>
      <c r="VQK171" s="201"/>
      <c r="VQL171" s="201"/>
      <c r="VQM171" s="201"/>
      <c r="VQN171" s="201"/>
      <c r="VQO171" s="201"/>
      <c r="VQP171" s="201"/>
      <c r="VQQ171" s="201"/>
      <c r="VQR171" s="201"/>
      <c r="VQS171" s="201"/>
      <c r="VQT171" s="201"/>
      <c r="VQU171" s="201"/>
      <c r="VQV171" s="201"/>
      <c r="VQW171" s="201"/>
      <c r="VQX171" s="201"/>
      <c r="VQY171" s="201"/>
      <c r="VQZ171" s="201"/>
      <c r="VRA171" s="201"/>
      <c r="VRB171" s="201"/>
      <c r="VRC171" s="201"/>
      <c r="VRD171" s="201"/>
      <c r="VRE171" s="201"/>
      <c r="VRF171" s="201"/>
      <c r="VRG171" s="201"/>
      <c r="VRH171" s="201"/>
      <c r="VRI171" s="201"/>
      <c r="VRJ171" s="201"/>
      <c r="VRK171" s="201"/>
      <c r="VRL171" s="201"/>
      <c r="VRM171" s="201"/>
      <c r="VRN171" s="201"/>
      <c r="VRO171" s="201"/>
      <c r="VRP171" s="201"/>
      <c r="VRQ171" s="201"/>
      <c r="VRR171" s="201"/>
      <c r="VRS171" s="201"/>
      <c r="VRT171" s="201"/>
      <c r="VRU171" s="201"/>
      <c r="VRV171" s="201"/>
      <c r="VRW171" s="201"/>
      <c r="VRX171" s="201"/>
      <c r="VRY171" s="201"/>
      <c r="VRZ171" s="201"/>
      <c r="VSA171" s="201"/>
      <c r="VSB171" s="201"/>
      <c r="VSC171" s="201"/>
      <c r="VSD171" s="201"/>
      <c r="VSE171" s="201"/>
      <c r="VSF171" s="201"/>
      <c r="VSG171" s="201"/>
      <c r="VSH171" s="201"/>
      <c r="VSI171" s="201"/>
      <c r="VSJ171" s="201"/>
      <c r="VSK171" s="201"/>
      <c r="VSL171" s="201"/>
      <c r="VSM171" s="201"/>
      <c r="VSN171" s="201"/>
      <c r="VSO171" s="201"/>
      <c r="VSP171" s="201"/>
      <c r="VSQ171" s="201"/>
      <c r="VSR171" s="201"/>
      <c r="VSS171" s="201"/>
      <c r="VST171" s="201"/>
      <c r="VSU171" s="201"/>
      <c r="VSV171" s="201"/>
      <c r="VSW171" s="201"/>
      <c r="VSX171" s="201"/>
      <c r="VSY171" s="201"/>
      <c r="VSZ171" s="201"/>
      <c r="VTA171" s="201"/>
      <c r="VTB171" s="201"/>
      <c r="VTC171" s="201"/>
      <c r="VTD171" s="201"/>
      <c r="VTE171" s="201"/>
      <c r="VTF171" s="201"/>
      <c r="VTG171" s="201"/>
      <c r="VTH171" s="201"/>
      <c r="VTI171" s="201"/>
      <c r="VTJ171" s="201"/>
      <c r="VTK171" s="201"/>
      <c r="VTL171" s="201"/>
      <c r="VTM171" s="201"/>
      <c r="VTN171" s="201"/>
      <c r="VTO171" s="201"/>
      <c r="VTP171" s="201"/>
      <c r="VTQ171" s="201"/>
      <c r="VTR171" s="201"/>
      <c r="VTS171" s="201"/>
      <c r="VTT171" s="201"/>
      <c r="VTU171" s="201"/>
      <c r="VTV171" s="201"/>
      <c r="VTW171" s="201"/>
      <c r="VTX171" s="201"/>
      <c r="VTY171" s="201"/>
      <c r="VTZ171" s="201"/>
      <c r="VUA171" s="201"/>
      <c r="VUB171" s="201"/>
      <c r="VUC171" s="201"/>
      <c r="VUD171" s="201"/>
      <c r="VUE171" s="201"/>
      <c r="VUF171" s="201"/>
      <c r="VUG171" s="201"/>
      <c r="VUH171" s="201"/>
      <c r="VUI171" s="201"/>
      <c r="VUJ171" s="201"/>
      <c r="VUK171" s="201"/>
      <c r="VUL171" s="201"/>
      <c r="VUM171" s="201"/>
      <c r="VUN171" s="201"/>
      <c r="VUO171" s="201"/>
      <c r="VUP171" s="201"/>
      <c r="VUQ171" s="201"/>
      <c r="VUR171" s="201"/>
      <c r="VUS171" s="201"/>
      <c r="VUT171" s="201"/>
      <c r="VUU171" s="201"/>
      <c r="VUV171" s="201"/>
      <c r="VUW171" s="201"/>
      <c r="VUX171" s="201"/>
      <c r="VUY171" s="201"/>
      <c r="VUZ171" s="201"/>
      <c r="VVA171" s="201"/>
      <c r="VVB171" s="201"/>
      <c r="VVC171" s="201"/>
      <c r="VVD171" s="201"/>
      <c r="VVE171" s="201"/>
      <c r="VVF171" s="201"/>
      <c r="VVG171" s="201"/>
      <c r="VVH171" s="201"/>
      <c r="VVI171" s="201"/>
      <c r="VVJ171" s="201"/>
      <c r="VVK171" s="201"/>
      <c r="VVL171" s="201"/>
      <c r="VVM171" s="201"/>
      <c r="VVN171" s="201"/>
      <c r="VVO171" s="201"/>
      <c r="VVP171" s="201"/>
      <c r="VVQ171" s="201"/>
      <c r="VVR171" s="201"/>
      <c r="VVS171" s="201"/>
      <c r="VVT171" s="201"/>
      <c r="VVU171" s="201"/>
      <c r="VVV171" s="201"/>
      <c r="VVW171" s="201"/>
      <c r="VVX171" s="201"/>
      <c r="VVY171" s="201"/>
      <c r="VVZ171" s="201"/>
      <c r="VWA171" s="201"/>
      <c r="VWB171" s="201"/>
      <c r="VWC171" s="201"/>
      <c r="VWD171" s="201"/>
      <c r="VWE171" s="201"/>
      <c r="VWF171" s="201"/>
      <c r="VWG171" s="201"/>
      <c r="VWH171" s="201"/>
      <c r="VWI171" s="201"/>
      <c r="VWJ171" s="201"/>
      <c r="VWK171" s="201"/>
      <c r="VWL171" s="201"/>
      <c r="VWM171" s="201"/>
      <c r="VWN171" s="201"/>
      <c r="VWO171" s="201"/>
      <c r="VWP171" s="201"/>
      <c r="VWQ171" s="201"/>
      <c r="VWR171" s="201"/>
      <c r="VWS171" s="201"/>
      <c r="VWT171" s="201"/>
      <c r="VWU171" s="201"/>
      <c r="VWV171" s="201"/>
      <c r="VWW171" s="201"/>
      <c r="VWX171" s="201"/>
      <c r="VWY171" s="201"/>
      <c r="VWZ171" s="201"/>
      <c r="VXA171" s="201"/>
      <c r="VXB171" s="201"/>
      <c r="VXC171" s="201"/>
      <c r="VXD171" s="201"/>
      <c r="VXE171" s="201"/>
      <c r="VXF171" s="201"/>
      <c r="VXG171" s="201"/>
      <c r="VXH171" s="201"/>
      <c r="VXI171" s="201"/>
      <c r="VXJ171" s="201"/>
      <c r="VXK171" s="201"/>
      <c r="VXL171" s="201"/>
      <c r="VXM171" s="201"/>
      <c r="VXN171" s="201"/>
      <c r="VXO171" s="201"/>
      <c r="VXP171" s="201"/>
      <c r="VXQ171" s="201"/>
      <c r="VXR171" s="201"/>
      <c r="VXS171" s="201"/>
      <c r="VXT171" s="201"/>
      <c r="VXU171" s="201"/>
      <c r="VXV171" s="201"/>
      <c r="VXW171" s="201"/>
      <c r="VXX171" s="201"/>
      <c r="VXY171" s="201"/>
      <c r="VXZ171" s="201"/>
      <c r="VYA171" s="201"/>
      <c r="VYB171" s="201"/>
      <c r="VYC171" s="201"/>
      <c r="VYD171" s="201"/>
      <c r="VYE171" s="201"/>
      <c r="VYF171" s="201"/>
      <c r="VYG171" s="201"/>
      <c r="VYH171" s="201"/>
      <c r="VYI171" s="201"/>
      <c r="VYJ171" s="201"/>
      <c r="VYK171" s="201"/>
      <c r="VYL171" s="201"/>
      <c r="VYM171" s="201"/>
      <c r="VYN171" s="201"/>
      <c r="VYO171" s="201"/>
      <c r="VYP171" s="201"/>
      <c r="VYQ171" s="201"/>
      <c r="VYR171" s="201"/>
      <c r="VYS171" s="201"/>
      <c r="VYT171" s="201"/>
      <c r="VYU171" s="201"/>
      <c r="VYV171" s="201"/>
      <c r="VYW171" s="201"/>
      <c r="VYX171" s="201"/>
      <c r="VYY171" s="201"/>
      <c r="VYZ171" s="201"/>
      <c r="VZA171" s="201"/>
      <c r="VZB171" s="201"/>
      <c r="VZC171" s="201"/>
      <c r="VZD171" s="201"/>
      <c r="VZE171" s="201"/>
      <c r="VZF171" s="201"/>
      <c r="VZG171" s="201"/>
      <c r="VZH171" s="201"/>
      <c r="VZI171" s="201"/>
      <c r="VZJ171" s="201"/>
      <c r="VZK171" s="201"/>
      <c r="VZL171" s="201"/>
      <c r="VZM171" s="201"/>
      <c r="VZN171" s="201"/>
      <c r="VZO171" s="201"/>
      <c r="VZP171" s="201"/>
      <c r="VZQ171" s="201"/>
      <c r="VZR171" s="201"/>
      <c r="VZS171" s="201"/>
      <c r="VZT171" s="201"/>
      <c r="VZU171" s="201"/>
      <c r="VZV171" s="201"/>
      <c r="VZW171" s="201"/>
      <c r="VZX171" s="201"/>
      <c r="VZY171" s="201"/>
      <c r="VZZ171" s="201"/>
      <c r="WAA171" s="201"/>
      <c r="WAB171" s="201"/>
      <c r="WAC171" s="201"/>
      <c r="WAD171" s="201"/>
      <c r="WAE171" s="201"/>
      <c r="WAF171" s="201"/>
      <c r="WAG171" s="201"/>
      <c r="WAH171" s="201"/>
      <c r="WAI171" s="201"/>
      <c r="WAJ171" s="201"/>
      <c r="WAK171" s="201"/>
      <c r="WAL171" s="201"/>
      <c r="WAM171" s="201"/>
      <c r="WAN171" s="201"/>
      <c r="WAO171" s="201"/>
      <c r="WAP171" s="201"/>
      <c r="WAQ171" s="201"/>
      <c r="WAR171" s="201"/>
      <c r="WAS171" s="201"/>
      <c r="WAT171" s="201"/>
      <c r="WAU171" s="201"/>
      <c r="WAV171" s="201"/>
      <c r="WAW171" s="201"/>
      <c r="WAX171" s="201"/>
      <c r="WAY171" s="201"/>
      <c r="WAZ171" s="201"/>
      <c r="WBA171" s="201"/>
      <c r="WBB171" s="201"/>
      <c r="WBC171" s="201"/>
      <c r="WBD171" s="201"/>
      <c r="WBE171" s="201"/>
      <c r="WBF171" s="201"/>
      <c r="WBG171" s="201"/>
      <c r="WBH171" s="201"/>
      <c r="WBI171" s="201"/>
      <c r="WBJ171" s="201"/>
      <c r="WBK171" s="201"/>
      <c r="WBL171" s="201"/>
      <c r="WBM171" s="201"/>
      <c r="WBN171" s="201"/>
      <c r="WBO171" s="201"/>
      <c r="WBP171" s="201"/>
      <c r="WBQ171" s="201"/>
      <c r="WBR171" s="201"/>
      <c r="WBS171" s="201"/>
      <c r="WBT171" s="201"/>
      <c r="WBU171" s="201"/>
      <c r="WBV171" s="201"/>
      <c r="WBW171" s="201"/>
      <c r="WBX171" s="201"/>
      <c r="WBY171" s="201"/>
      <c r="WBZ171" s="201"/>
      <c r="WCA171" s="201"/>
      <c r="WCB171" s="201"/>
      <c r="WCC171" s="201"/>
      <c r="WCD171" s="201"/>
      <c r="WCE171" s="201"/>
      <c r="WCF171" s="201"/>
      <c r="WCG171" s="201"/>
      <c r="WCH171" s="201"/>
      <c r="WCI171" s="201"/>
      <c r="WCJ171" s="201"/>
      <c r="WCK171" s="201"/>
      <c r="WCL171" s="201"/>
      <c r="WCM171" s="201"/>
      <c r="WCN171" s="201"/>
      <c r="WCO171" s="201"/>
      <c r="WCP171" s="201"/>
      <c r="WCQ171" s="201"/>
      <c r="WCR171" s="201"/>
      <c r="WCS171" s="201"/>
      <c r="WCT171" s="201"/>
      <c r="WCU171" s="201"/>
      <c r="WCV171" s="201"/>
      <c r="WCW171" s="201"/>
      <c r="WCX171" s="201"/>
      <c r="WCY171" s="201"/>
      <c r="WCZ171" s="201"/>
      <c r="WDA171" s="201"/>
      <c r="WDB171" s="201"/>
      <c r="WDC171" s="201"/>
      <c r="WDD171" s="201"/>
      <c r="WDE171" s="201"/>
      <c r="WDF171" s="201"/>
      <c r="WDG171" s="201"/>
      <c r="WDH171" s="201"/>
      <c r="WDI171" s="201"/>
      <c r="WDJ171" s="201"/>
      <c r="WDK171" s="201"/>
      <c r="WDL171" s="201"/>
      <c r="WDM171" s="201"/>
      <c r="WDN171" s="201"/>
      <c r="WDO171" s="201"/>
      <c r="WDP171" s="201"/>
      <c r="WDQ171" s="201"/>
      <c r="WDR171" s="201"/>
      <c r="WDS171" s="201"/>
      <c r="WDT171" s="201"/>
      <c r="WDU171" s="201"/>
      <c r="WDV171" s="201"/>
      <c r="WDW171" s="201"/>
      <c r="WDX171" s="201"/>
      <c r="WDY171" s="201"/>
      <c r="WDZ171" s="201"/>
      <c r="WEA171" s="201"/>
      <c r="WEB171" s="201"/>
      <c r="WEC171" s="201"/>
      <c r="WED171" s="201"/>
      <c r="WEE171" s="201"/>
      <c r="WEF171" s="201"/>
      <c r="WEG171" s="201"/>
      <c r="WEH171" s="201"/>
      <c r="WEI171" s="201"/>
      <c r="WEJ171" s="201"/>
      <c r="WEK171" s="201"/>
      <c r="WEL171" s="201"/>
      <c r="WEM171" s="201"/>
      <c r="WEN171" s="201"/>
      <c r="WEO171" s="201"/>
      <c r="WEP171" s="201"/>
      <c r="WEQ171" s="201"/>
      <c r="WER171" s="201"/>
      <c r="WES171" s="201"/>
      <c r="WET171" s="201"/>
      <c r="WEU171" s="201"/>
      <c r="WEV171" s="201"/>
      <c r="WEW171" s="201"/>
      <c r="WEX171" s="201"/>
      <c r="WEY171" s="201"/>
      <c r="WEZ171" s="201"/>
      <c r="WFA171" s="201"/>
      <c r="WFB171" s="201"/>
      <c r="WFC171" s="201"/>
      <c r="WFD171" s="201"/>
      <c r="WFE171" s="201"/>
      <c r="WFF171" s="201"/>
      <c r="WFG171" s="201"/>
      <c r="WFH171" s="201"/>
      <c r="WFI171" s="201"/>
      <c r="WFJ171" s="201"/>
      <c r="WFK171" s="201"/>
      <c r="WFL171" s="201"/>
      <c r="WFM171" s="201"/>
      <c r="WFN171" s="201"/>
      <c r="WFO171" s="201"/>
      <c r="WFP171" s="201"/>
      <c r="WFQ171" s="201"/>
      <c r="WFR171" s="201"/>
      <c r="WFS171" s="201"/>
      <c r="WFT171" s="201"/>
      <c r="WFU171" s="201"/>
      <c r="WFV171" s="201"/>
      <c r="WFW171" s="201"/>
      <c r="WFX171" s="201"/>
      <c r="WFY171" s="201"/>
      <c r="WFZ171" s="201"/>
      <c r="WGA171" s="201"/>
      <c r="WGB171" s="201"/>
      <c r="WGC171" s="201"/>
      <c r="WGD171" s="201"/>
      <c r="WGE171" s="201"/>
      <c r="WGF171" s="201"/>
      <c r="WGG171" s="201"/>
      <c r="WGH171" s="201"/>
      <c r="WGI171" s="201"/>
      <c r="WGJ171" s="201"/>
      <c r="WGK171" s="201"/>
      <c r="WGL171" s="201"/>
      <c r="WGM171" s="201"/>
      <c r="WGN171" s="201"/>
      <c r="WGO171" s="201"/>
      <c r="WGP171" s="201"/>
      <c r="WGQ171" s="201"/>
      <c r="WGR171" s="201"/>
      <c r="WGS171" s="201"/>
      <c r="WGT171" s="201"/>
      <c r="WGU171" s="201"/>
      <c r="WGV171" s="201"/>
      <c r="WGW171" s="201"/>
      <c r="WGX171" s="201"/>
      <c r="WGY171" s="201"/>
      <c r="WGZ171" s="201"/>
      <c r="WHA171" s="201"/>
      <c r="WHB171" s="201"/>
      <c r="WHC171" s="201"/>
      <c r="WHD171" s="201"/>
      <c r="WHE171" s="201"/>
      <c r="WHF171" s="201"/>
      <c r="WHG171" s="201"/>
      <c r="WHH171" s="201"/>
      <c r="WHI171" s="201"/>
      <c r="WHJ171" s="201"/>
      <c r="WHK171" s="201"/>
      <c r="WHL171" s="201"/>
      <c r="WHM171" s="201"/>
      <c r="WHN171" s="201"/>
      <c r="WHO171" s="201"/>
      <c r="WHP171" s="201"/>
      <c r="WHQ171" s="201"/>
      <c r="WHR171" s="201"/>
      <c r="WHS171" s="201"/>
      <c r="WHT171" s="201"/>
      <c r="WHU171" s="201"/>
      <c r="WHV171" s="201"/>
      <c r="WHW171" s="201"/>
      <c r="WHX171" s="201"/>
      <c r="WHY171" s="201"/>
      <c r="WHZ171" s="201"/>
      <c r="WIA171" s="201"/>
      <c r="WIB171" s="201"/>
      <c r="WIC171" s="201"/>
      <c r="WID171" s="201"/>
      <c r="WIE171" s="201"/>
      <c r="WIF171" s="201"/>
      <c r="WIG171" s="201"/>
      <c r="WIH171" s="201"/>
      <c r="WII171" s="201"/>
      <c r="WIJ171" s="201"/>
      <c r="WIK171" s="201"/>
      <c r="WIL171" s="201"/>
      <c r="WIM171" s="201"/>
      <c r="WIN171" s="201"/>
      <c r="WIO171" s="201"/>
      <c r="WIP171" s="201"/>
      <c r="WIQ171" s="201"/>
      <c r="WIR171" s="201"/>
      <c r="WIS171" s="201"/>
      <c r="WIT171" s="201"/>
      <c r="WIU171" s="201"/>
      <c r="WIV171" s="201"/>
      <c r="WIW171" s="201"/>
      <c r="WIX171" s="201"/>
      <c r="WIY171" s="201"/>
      <c r="WIZ171" s="201"/>
      <c r="WJA171" s="201"/>
      <c r="WJB171" s="201"/>
      <c r="WJC171" s="201"/>
      <c r="WJD171" s="201"/>
      <c r="WJE171" s="201"/>
      <c r="WJF171" s="201"/>
      <c r="WJG171" s="201"/>
      <c r="WJH171" s="201"/>
      <c r="WJI171" s="201"/>
      <c r="WJJ171" s="201"/>
      <c r="WJK171" s="201"/>
      <c r="WJL171" s="201"/>
      <c r="WJM171" s="201"/>
      <c r="WJN171" s="201"/>
      <c r="WJO171" s="201"/>
      <c r="WJP171" s="201"/>
      <c r="WJQ171" s="201"/>
      <c r="WJR171" s="201"/>
      <c r="WJS171" s="201"/>
      <c r="WJT171" s="201"/>
      <c r="WJU171" s="201"/>
      <c r="WJV171" s="201"/>
      <c r="WJW171" s="201"/>
      <c r="WJX171" s="201"/>
      <c r="WJY171" s="201"/>
      <c r="WJZ171" s="201"/>
      <c r="WKA171" s="201"/>
      <c r="WKB171" s="201"/>
      <c r="WKC171" s="201"/>
      <c r="WKD171" s="201"/>
      <c r="WKE171" s="201"/>
      <c r="WKF171" s="201"/>
      <c r="WKG171" s="201"/>
      <c r="WKH171" s="201"/>
      <c r="WKI171" s="201"/>
      <c r="WKJ171" s="201"/>
      <c r="WKK171" s="201"/>
      <c r="WKL171" s="201"/>
      <c r="WKM171" s="201"/>
      <c r="WKN171" s="201"/>
      <c r="WKO171" s="201"/>
      <c r="WKP171" s="201"/>
      <c r="WKQ171" s="201"/>
      <c r="WKR171" s="201"/>
      <c r="WKS171" s="201"/>
      <c r="WKT171" s="201"/>
      <c r="WKU171" s="201"/>
      <c r="WKV171" s="201"/>
      <c r="WKW171" s="201"/>
      <c r="WKX171" s="201"/>
      <c r="WKY171" s="201"/>
      <c r="WKZ171" s="201"/>
      <c r="WLA171" s="201"/>
      <c r="WLB171" s="201"/>
      <c r="WLC171" s="201"/>
      <c r="WLD171" s="201"/>
      <c r="WLE171" s="201"/>
      <c r="WLF171" s="201"/>
      <c r="WLG171" s="201"/>
      <c r="WLH171" s="201"/>
      <c r="WLI171" s="201"/>
      <c r="WLJ171" s="201"/>
      <c r="WLK171" s="201"/>
      <c r="WLL171" s="201"/>
      <c r="WLM171" s="201"/>
      <c r="WLN171" s="201"/>
      <c r="WLO171" s="201"/>
      <c r="WLP171" s="201"/>
      <c r="WLQ171" s="201"/>
      <c r="WLR171" s="201"/>
      <c r="WLS171" s="201"/>
      <c r="WLT171" s="201"/>
      <c r="WLU171" s="201"/>
      <c r="WLV171" s="201"/>
      <c r="WLW171" s="201"/>
      <c r="WLX171" s="201"/>
      <c r="WLY171" s="201"/>
      <c r="WLZ171" s="201"/>
      <c r="WMA171" s="201"/>
      <c r="WMB171" s="201"/>
      <c r="WMC171" s="201"/>
      <c r="WMD171" s="201"/>
      <c r="WME171" s="201"/>
      <c r="WMF171" s="201"/>
      <c r="WMG171" s="201"/>
      <c r="WMH171" s="201"/>
      <c r="WMI171" s="201"/>
      <c r="WMJ171" s="201"/>
      <c r="WMK171" s="201"/>
      <c r="WML171" s="201"/>
      <c r="WMM171" s="201"/>
      <c r="WMN171" s="201"/>
      <c r="WMO171" s="201"/>
      <c r="WMP171" s="201"/>
      <c r="WMQ171" s="201"/>
      <c r="WMR171" s="201"/>
      <c r="WMS171" s="201"/>
      <c r="WMT171" s="201"/>
      <c r="WMU171" s="201"/>
      <c r="WMV171" s="201"/>
      <c r="WMW171" s="201"/>
      <c r="WMX171" s="201"/>
      <c r="WMY171" s="201"/>
      <c r="WMZ171" s="201"/>
      <c r="WNA171" s="201"/>
      <c r="WNB171" s="201"/>
      <c r="WNC171" s="201"/>
      <c r="WND171" s="201"/>
      <c r="WNE171" s="201"/>
      <c r="WNF171" s="201"/>
      <c r="WNG171" s="201"/>
      <c r="WNH171" s="201"/>
      <c r="WNI171" s="201"/>
      <c r="WNJ171" s="201"/>
      <c r="WNK171" s="201"/>
      <c r="WNL171" s="201"/>
      <c r="WNM171" s="201"/>
      <c r="WNN171" s="201"/>
      <c r="WNO171" s="201"/>
      <c r="WNP171" s="201"/>
      <c r="WNQ171" s="201"/>
      <c r="WNR171" s="201"/>
      <c r="WNS171" s="201"/>
      <c r="WNT171" s="201"/>
      <c r="WNU171" s="201"/>
      <c r="WNV171" s="201"/>
      <c r="WNW171" s="201"/>
      <c r="WNX171" s="201"/>
      <c r="WNY171" s="201"/>
      <c r="WNZ171" s="201"/>
      <c r="WOA171" s="201"/>
      <c r="WOB171" s="201"/>
      <c r="WOC171" s="201"/>
      <c r="WOD171" s="201"/>
      <c r="WOE171" s="201"/>
      <c r="WOF171" s="201"/>
      <c r="WOG171" s="201"/>
      <c r="WOH171" s="201"/>
      <c r="WOI171" s="201"/>
      <c r="WOJ171" s="201"/>
      <c r="WOK171" s="201"/>
      <c r="WOL171" s="201"/>
      <c r="WOM171" s="201"/>
      <c r="WON171" s="201"/>
      <c r="WOO171" s="201"/>
      <c r="WOP171" s="201"/>
      <c r="WOQ171" s="201"/>
      <c r="WOR171" s="201"/>
      <c r="WOS171" s="201"/>
      <c r="WOT171" s="201"/>
      <c r="WOU171" s="201"/>
      <c r="WOV171" s="201"/>
      <c r="WOW171" s="201"/>
      <c r="WOX171" s="201"/>
      <c r="WOY171" s="201"/>
      <c r="WOZ171" s="201"/>
      <c r="WPA171" s="201"/>
      <c r="WPB171" s="201"/>
      <c r="WPC171" s="201"/>
      <c r="WPD171" s="201"/>
      <c r="WPE171" s="201"/>
      <c r="WPF171" s="201"/>
      <c r="WPG171" s="201"/>
      <c r="WPH171" s="201"/>
      <c r="WPI171" s="201"/>
      <c r="WPJ171" s="201"/>
      <c r="WPK171" s="201"/>
      <c r="WPL171" s="201"/>
      <c r="WPM171" s="201"/>
      <c r="WPN171" s="201"/>
      <c r="WPO171" s="201"/>
      <c r="WPP171" s="201"/>
      <c r="WPQ171" s="201"/>
      <c r="WPR171" s="201"/>
      <c r="WPS171" s="201"/>
      <c r="WPT171" s="201"/>
      <c r="WPU171" s="201"/>
      <c r="WPV171" s="201"/>
      <c r="WPW171" s="201"/>
      <c r="WPX171" s="201"/>
      <c r="WPY171" s="201"/>
      <c r="WPZ171" s="201"/>
      <c r="WQA171" s="201"/>
      <c r="WQB171" s="201"/>
      <c r="WQC171" s="201"/>
      <c r="WQD171" s="201"/>
      <c r="WQE171" s="201"/>
      <c r="WQF171" s="201"/>
      <c r="WQG171" s="201"/>
      <c r="WQH171" s="201"/>
      <c r="WQI171" s="201"/>
      <c r="WQJ171" s="201"/>
      <c r="WQK171" s="201"/>
      <c r="WQL171" s="201"/>
      <c r="WQM171" s="201"/>
      <c r="WQN171" s="201"/>
      <c r="WQO171" s="201"/>
      <c r="WQP171" s="201"/>
      <c r="WQQ171" s="201"/>
      <c r="WQR171" s="201"/>
      <c r="WQS171" s="201"/>
      <c r="WQT171" s="201"/>
      <c r="WQU171" s="201"/>
      <c r="WQV171" s="201"/>
      <c r="WQW171" s="201"/>
      <c r="WQX171" s="201"/>
      <c r="WQY171" s="201"/>
      <c r="WQZ171" s="201"/>
      <c r="WRA171" s="201"/>
      <c r="WRB171" s="201"/>
      <c r="WRC171" s="201"/>
      <c r="WRD171" s="201"/>
      <c r="WRE171" s="201"/>
      <c r="WRF171" s="201"/>
      <c r="WRG171" s="201"/>
      <c r="WRH171" s="201"/>
      <c r="WRI171" s="201"/>
      <c r="WRJ171" s="201"/>
      <c r="WRK171" s="201"/>
      <c r="WRL171" s="201"/>
      <c r="WRM171" s="201"/>
      <c r="WRN171" s="201"/>
      <c r="WRO171" s="201"/>
      <c r="WRP171" s="201"/>
      <c r="WRQ171" s="201"/>
      <c r="WRR171" s="201"/>
      <c r="WRS171" s="201"/>
      <c r="WRT171" s="201"/>
      <c r="WRU171" s="201"/>
      <c r="WRV171" s="201"/>
      <c r="WRW171" s="201"/>
      <c r="WRX171" s="201"/>
      <c r="WRY171" s="201"/>
      <c r="WRZ171" s="201"/>
      <c r="WSA171" s="201"/>
      <c r="WSB171" s="201"/>
      <c r="WSC171" s="201"/>
      <c r="WSD171" s="201"/>
      <c r="WSE171" s="201"/>
      <c r="WSF171" s="201"/>
      <c r="WSG171" s="201"/>
      <c r="WSH171" s="201"/>
      <c r="WSI171" s="201"/>
      <c r="WSJ171" s="201"/>
      <c r="WSK171" s="201"/>
      <c r="WSL171" s="201"/>
      <c r="WSM171" s="201"/>
      <c r="WSN171" s="201"/>
      <c r="WSO171" s="201"/>
      <c r="WSP171" s="201"/>
      <c r="WSQ171" s="201"/>
      <c r="WSR171" s="201"/>
      <c r="WSS171" s="201"/>
      <c r="WST171" s="201"/>
      <c r="WSU171" s="201"/>
      <c r="WSV171" s="201"/>
      <c r="WSW171" s="201"/>
      <c r="WSX171" s="201"/>
      <c r="WSY171" s="201"/>
      <c r="WSZ171" s="201"/>
      <c r="WTA171" s="201"/>
      <c r="WTB171" s="201"/>
      <c r="WTC171" s="201"/>
      <c r="WTD171" s="201"/>
      <c r="WTE171" s="201"/>
      <c r="WTF171" s="201"/>
      <c r="WTG171" s="201"/>
      <c r="WTH171" s="201"/>
      <c r="WTI171" s="201"/>
      <c r="WTJ171" s="201"/>
      <c r="WTK171" s="201"/>
      <c r="WTL171" s="201"/>
      <c r="WTM171" s="201"/>
      <c r="WTN171" s="201"/>
      <c r="WTO171" s="201"/>
      <c r="WTP171" s="201"/>
      <c r="WTQ171" s="201"/>
      <c r="WTR171" s="201"/>
      <c r="WTS171" s="201"/>
      <c r="WTT171" s="201"/>
      <c r="WTU171" s="201"/>
      <c r="WTV171" s="201"/>
      <c r="WTW171" s="201"/>
      <c r="WTX171" s="201"/>
      <c r="WTY171" s="201"/>
      <c r="WTZ171" s="201"/>
      <c r="WUA171" s="201"/>
      <c r="WUB171" s="201"/>
      <c r="WUC171" s="201"/>
      <c r="WUD171" s="201"/>
      <c r="WUE171" s="201"/>
      <c r="WUF171" s="201"/>
      <c r="WUG171" s="201"/>
      <c r="WUH171" s="201"/>
      <c r="WUI171" s="201"/>
      <c r="WUJ171" s="201"/>
      <c r="WUK171" s="201"/>
      <c r="WUL171" s="201"/>
      <c r="WUM171" s="201"/>
      <c r="WUN171" s="201"/>
      <c r="WUO171" s="201"/>
      <c r="WUP171" s="201"/>
      <c r="WUQ171" s="201"/>
      <c r="WUR171" s="201"/>
      <c r="WUS171" s="201"/>
      <c r="WUT171" s="201"/>
      <c r="WUU171" s="201"/>
      <c r="WUV171" s="201"/>
      <c r="WUW171" s="201"/>
      <c r="WUX171" s="201"/>
      <c r="WUY171" s="201"/>
      <c r="WUZ171" s="201"/>
      <c r="WVA171" s="201"/>
      <c r="WVB171" s="201"/>
      <c r="WVC171" s="201"/>
      <c r="WVD171" s="201"/>
      <c r="WVE171" s="201"/>
      <c r="WVF171" s="201"/>
      <c r="WVG171" s="201"/>
      <c r="WVH171" s="201"/>
      <c r="WVI171" s="201"/>
      <c r="WVJ171" s="201"/>
      <c r="WVK171" s="201"/>
      <c r="WVL171" s="201"/>
      <c r="WVM171" s="201"/>
      <c r="WVN171" s="201"/>
      <c r="WVO171" s="201"/>
      <c r="WVP171" s="201"/>
      <c r="WVQ171" s="201"/>
      <c r="WVR171" s="201"/>
      <c r="WVS171" s="201"/>
      <c r="WVT171" s="201"/>
      <c r="WVU171" s="201"/>
      <c r="WVV171" s="201"/>
      <c r="WVW171" s="201"/>
      <c r="WVX171" s="201"/>
      <c r="WVY171" s="201"/>
      <c r="WVZ171" s="201"/>
      <c r="WWA171" s="201"/>
      <c r="WWB171" s="201"/>
      <c r="WWC171" s="201"/>
      <c r="WWD171" s="201"/>
      <c r="WWE171" s="201"/>
      <c r="WWF171" s="201"/>
      <c r="WWG171" s="201"/>
      <c r="WWH171" s="201"/>
      <c r="WWI171" s="201"/>
      <c r="WWJ171" s="201"/>
      <c r="WWK171" s="201"/>
      <c r="WWL171" s="201"/>
      <c r="WWM171" s="201"/>
      <c r="WWN171" s="201"/>
      <c r="WWO171" s="201"/>
      <c r="WWP171" s="201"/>
      <c r="WWQ171" s="201"/>
      <c r="WWR171" s="201"/>
      <c r="WWS171" s="201"/>
      <c r="WWT171" s="201"/>
      <c r="WWU171" s="201"/>
      <c r="WWV171" s="201"/>
      <c r="WWW171" s="201"/>
      <c r="WWX171" s="201"/>
      <c r="WWY171" s="201"/>
      <c r="WWZ171" s="201"/>
      <c r="WXA171" s="201"/>
      <c r="WXB171" s="201"/>
      <c r="WXC171" s="201"/>
      <c r="WXD171" s="201"/>
      <c r="WXE171" s="201"/>
      <c r="WXF171" s="201"/>
      <c r="WXG171" s="201"/>
      <c r="WXH171" s="201"/>
      <c r="WXI171" s="201"/>
      <c r="WXJ171" s="201"/>
      <c r="WXK171" s="201"/>
      <c r="WXL171" s="201"/>
      <c r="WXM171" s="201"/>
      <c r="WXN171" s="201"/>
      <c r="WXO171" s="201"/>
      <c r="WXP171" s="201"/>
      <c r="WXQ171" s="201"/>
      <c r="WXR171" s="201"/>
      <c r="WXS171" s="201"/>
      <c r="WXT171" s="201"/>
      <c r="WXU171" s="201"/>
      <c r="WXV171" s="201"/>
      <c r="WXW171" s="201"/>
      <c r="WXX171" s="201"/>
      <c r="WXY171" s="201"/>
      <c r="WXZ171" s="201"/>
      <c r="WYA171" s="201"/>
      <c r="WYB171" s="201"/>
      <c r="WYC171" s="201"/>
      <c r="WYD171" s="201"/>
      <c r="WYE171" s="201"/>
      <c r="WYF171" s="201"/>
      <c r="WYG171" s="201"/>
      <c r="WYH171" s="201"/>
      <c r="WYI171" s="201"/>
      <c r="WYJ171" s="201"/>
      <c r="WYK171" s="201"/>
      <c r="WYL171" s="201"/>
      <c r="WYM171" s="201"/>
      <c r="WYN171" s="201"/>
      <c r="WYO171" s="201"/>
      <c r="WYP171" s="201"/>
      <c r="WYQ171" s="201"/>
      <c r="WYR171" s="201"/>
      <c r="WYS171" s="201"/>
      <c r="WYT171" s="201"/>
      <c r="WYU171" s="201"/>
      <c r="WYV171" s="201"/>
      <c r="WYW171" s="201"/>
      <c r="WYX171" s="201"/>
      <c r="WYY171" s="201"/>
      <c r="WYZ171" s="201"/>
      <c r="WZA171" s="201"/>
      <c r="WZB171" s="201"/>
      <c r="WZC171" s="201"/>
      <c r="WZD171" s="201"/>
      <c r="WZE171" s="201"/>
      <c r="WZF171" s="201"/>
      <c r="WZG171" s="201"/>
      <c r="WZH171" s="201"/>
      <c r="WZI171" s="201"/>
      <c r="WZJ171" s="201"/>
      <c r="WZK171" s="201"/>
      <c r="WZL171" s="201"/>
      <c r="WZM171" s="201"/>
      <c r="WZN171" s="201"/>
      <c r="WZO171" s="201"/>
      <c r="WZP171" s="201"/>
      <c r="WZQ171" s="201"/>
      <c r="WZR171" s="201"/>
      <c r="WZS171" s="201"/>
      <c r="WZT171" s="201"/>
      <c r="WZU171" s="201"/>
      <c r="WZV171" s="201"/>
      <c r="WZW171" s="201"/>
      <c r="WZX171" s="201"/>
      <c r="WZY171" s="201"/>
      <c r="WZZ171" s="201"/>
      <c r="XAA171" s="201"/>
      <c r="XAB171" s="201"/>
      <c r="XAC171" s="201"/>
      <c r="XAD171" s="201"/>
      <c r="XAE171" s="201"/>
      <c r="XAF171" s="201"/>
      <c r="XAG171" s="201"/>
      <c r="XAH171" s="201"/>
      <c r="XAI171" s="201"/>
      <c r="XAJ171" s="201"/>
      <c r="XAK171" s="201"/>
      <c r="XAL171" s="201"/>
      <c r="XAM171" s="201"/>
      <c r="XAN171" s="201"/>
      <c r="XAO171" s="201"/>
      <c r="XAP171" s="201"/>
      <c r="XAQ171" s="201"/>
      <c r="XAR171" s="201"/>
      <c r="XAS171" s="201"/>
      <c r="XAT171" s="201"/>
      <c r="XAU171" s="201"/>
      <c r="XAV171" s="201"/>
      <c r="XAW171" s="201"/>
      <c r="XAX171" s="201"/>
      <c r="XAY171" s="201"/>
      <c r="XAZ171" s="201"/>
      <c r="XBA171" s="201"/>
      <c r="XBB171" s="201"/>
      <c r="XBC171" s="201"/>
      <c r="XBD171" s="201"/>
      <c r="XBE171" s="201"/>
      <c r="XBF171" s="201"/>
      <c r="XBG171" s="201"/>
      <c r="XBH171" s="201"/>
      <c r="XBI171" s="201"/>
      <c r="XBJ171" s="201"/>
      <c r="XBK171" s="201"/>
      <c r="XBL171" s="201"/>
      <c r="XBM171" s="201"/>
      <c r="XBN171" s="201"/>
      <c r="XBO171" s="201"/>
      <c r="XBP171" s="201"/>
      <c r="XBQ171" s="201"/>
      <c r="XBR171" s="201"/>
      <c r="XBS171" s="201"/>
      <c r="XBT171" s="201"/>
      <c r="XBU171" s="201"/>
      <c r="XBV171" s="201"/>
      <c r="XBW171" s="201"/>
      <c r="XBX171" s="201"/>
      <c r="XBY171" s="201"/>
      <c r="XBZ171" s="201"/>
      <c r="XCA171" s="201"/>
      <c r="XCB171" s="201"/>
      <c r="XCC171" s="201"/>
      <c r="XCD171" s="201"/>
      <c r="XCE171" s="201"/>
      <c r="XCF171" s="201"/>
      <c r="XCG171" s="201"/>
      <c r="XCH171" s="201"/>
      <c r="XCI171" s="201"/>
      <c r="XCJ171" s="201"/>
      <c r="XCK171" s="201"/>
      <c r="XCL171" s="201"/>
      <c r="XCM171" s="201"/>
      <c r="XCN171" s="201"/>
      <c r="XCO171" s="201"/>
      <c r="XCP171" s="201"/>
      <c r="XCQ171" s="201"/>
      <c r="XCR171" s="201"/>
      <c r="XCS171" s="201"/>
      <c r="XCT171" s="201"/>
      <c r="XCU171" s="201"/>
      <c r="XCV171" s="201"/>
      <c r="XCW171" s="201"/>
      <c r="XCX171" s="201"/>
      <c r="XCY171" s="201"/>
      <c r="XCZ171" s="201"/>
      <c r="XDA171" s="201"/>
      <c r="XDB171" s="201"/>
      <c r="XDC171" s="201"/>
      <c r="XDD171" s="201"/>
      <c r="XDE171" s="201"/>
      <c r="XDF171" s="201"/>
      <c r="XDG171" s="201"/>
      <c r="XDH171" s="201"/>
      <c r="XDI171" s="201"/>
      <c r="XDJ171" s="201"/>
      <c r="XDK171" s="201"/>
      <c r="XDL171" s="201"/>
      <c r="XDM171" s="201"/>
      <c r="XDN171" s="201"/>
      <c r="XDO171" s="201"/>
      <c r="XDP171" s="201"/>
      <c r="XDQ171" s="201"/>
      <c r="XDR171" s="201"/>
      <c r="XDS171" s="201"/>
      <c r="XDT171" s="201"/>
      <c r="XDU171" s="201"/>
      <c r="XDV171" s="201"/>
      <c r="XDW171" s="201"/>
      <c r="XDX171" s="201"/>
      <c r="XDY171" s="201"/>
      <c r="XDZ171" s="201"/>
      <c r="XEA171" s="201"/>
      <c r="XEB171" s="201"/>
      <c r="XEC171" s="201"/>
      <c r="XED171" s="201"/>
      <c r="XEE171" s="201"/>
      <c r="XEF171" s="201"/>
      <c r="XEG171" s="201"/>
      <c r="XEH171" s="201"/>
      <c r="XEI171" s="201"/>
      <c r="XEJ171" s="201"/>
      <c r="XEK171" s="201"/>
      <c r="XEL171" s="201"/>
      <c r="XEM171" s="201"/>
      <c r="XEN171" s="201"/>
      <c r="XEO171" s="201"/>
      <c r="XEP171" s="201"/>
      <c r="XEQ171" s="201"/>
      <c r="XER171" s="201"/>
      <c r="XES171" s="201"/>
      <c r="XET171" s="201"/>
      <c r="XEU171" s="201"/>
      <c r="XEV171" s="201"/>
      <c r="XEW171" s="201"/>
      <c r="XEX171" s="201"/>
      <c r="XEY171" s="201"/>
      <c r="XEZ171" s="201"/>
      <c r="XFA171" s="201"/>
      <c r="XFB171" s="201"/>
      <c r="XFC171" s="201"/>
      <c r="XFD171" s="201"/>
    </row>
    <row r="172" spans="1:16384" ht="25.5" outlineLevel="1" x14ac:dyDescent="0.3">
      <c r="A172" s="215" t="s">
        <v>13</v>
      </c>
      <c r="B172" s="215"/>
      <c r="C172" s="215"/>
      <c r="D172" s="215"/>
      <c r="E172" s="215"/>
      <c r="F172" s="215"/>
      <c r="G172" s="215"/>
      <c r="H172" s="215"/>
      <c r="I172" s="215"/>
      <c r="J172" s="201"/>
      <c r="K172" s="201"/>
      <c r="L172" s="201"/>
      <c r="M172" s="201"/>
      <c r="N172" s="201"/>
      <c r="O172" s="201"/>
      <c r="P172" s="201"/>
      <c r="Q172" s="201"/>
      <c r="R172" s="201"/>
      <c r="S172" s="201"/>
      <c r="T172" s="201"/>
      <c r="U172" s="201"/>
      <c r="V172" s="201"/>
      <c r="W172" s="201"/>
      <c r="X172" s="201"/>
      <c r="Y172" s="201"/>
      <c r="Z172" s="201"/>
      <c r="AA172" s="201"/>
      <c r="AB172" s="201"/>
      <c r="AC172" s="201"/>
      <c r="AD172" s="201"/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  <c r="BY172" s="201"/>
      <c r="BZ172" s="201"/>
      <c r="CA172" s="201"/>
      <c r="CB172" s="201"/>
      <c r="CC172" s="201"/>
      <c r="CD172" s="201"/>
      <c r="CE172" s="201"/>
      <c r="CF172" s="201"/>
      <c r="CG172" s="201"/>
      <c r="CH172" s="201"/>
      <c r="CI172" s="201"/>
      <c r="CJ172" s="201"/>
      <c r="CK172" s="201"/>
      <c r="CL172" s="201"/>
      <c r="CM172" s="201"/>
      <c r="CN172" s="201"/>
      <c r="CO172" s="201"/>
      <c r="CP172" s="201"/>
      <c r="CQ172" s="201"/>
      <c r="CR172" s="201"/>
      <c r="CS172" s="201"/>
      <c r="CT172" s="201"/>
      <c r="CU172" s="201"/>
      <c r="CV172" s="201"/>
      <c r="CW172" s="201"/>
      <c r="CX172" s="201"/>
      <c r="CY172" s="201"/>
      <c r="CZ172" s="201"/>
      <c r="DA172" s="201"/>
      <c r="DB172" s="201"/>
      <c r="DC172" s="201"/>
      <c r="DD172" s="201"/>
      <c r="DE172" s="201"/>
      <c r="DF172" s="201"/>
      <c r="DG172" s="201"/>
      <c r="DH172" s="201"/>
      <c r="DI172" s="201"/>
      <c r="DJ172" s="201"/>
      <c r="DK172" s="201"/>
      <c r="DL172" s="201"/>
      <c r="DM172" s="201"/>
      <c r="DN172" s="201"/>
      <c r="DO172" s="201"/>
      <c r="DP172" s="201"/>
      <c r="DQ172" s="201"/>
      <c r="DR172" s="201"/>
      <c r="DS172" s="201"/>
      <c r="DT172" s="201"/>
      <c r="DU172" s="201"/>
      <c r="DV172" s="201"/>
      <c r="DW172" s="201"/>
      <c r="DX172" s="201"/>
      <c r="DY172" s="201"/>
      <c r="DZ172" s="201"/>
      <c r="EA172" s="201"/>
      <c r="EB172" s="201"/>
      <c r="EC172" s="201"/>
      <c r="ED172" s="201"/>
      <c r="EE172" s="201"/>
      <c r="EF172" s="201"/>
      <c r="EG172" s="201"/>
      <c r="EH172" s="201"/>
      <c r="EI172" s="201"/>
      <c r="EJ172" s="201"/>
      <c r="EK172" s="201"/>
      <c r="EL172" s="201"/>
      <c r="EM172" s="201"/>
      <c r="EN172" s="201"/>
      <c r="EO172" s="201"/>
      <c r="EP172" s="201"/>
      <c r="EQ172" s="201"/>
      <c r="ER172" s="201"/>
      <c r="ES172" s="201"/>
      <c r="ET172" s="201"/>
      <c r="EU172" s="201"/>
      <c r="EV172" s="201"/>
      <c r="EW172" s="201"/>
      <c r="EX172" s="201"/>
      <c r="EY172" s="201"/>
      <c r="EZ172" s="201"/>
      <c r="FA172" s="201"/>
      <c r="FB172" s="201"/>
      <c r="FC172" s="201"/>
      <c r="FD172" s="201"/>
      <c r="FE172" s="201"/>
      <c r="FF172" s="201"/>
      <c r="FG172" s="201"/>
      <c r="FH172" s="201"/>
      <c r="FI172" s="201"/>
      <c r="FJ172" s="201"/>
      <c r="FK172" s="201"/>
      <c r="FL172" s="201"/>
      <c r="FM172" s="201"/>
      <c r="FN172" s="201"/>
      <c r="FO172" s="201"/>
      <c r="FP172" s="201"/>
      <c r="FQ172" s="201"/>
      <c r="FR172" s="201"/>
      <c r="FS172" s="201"/>
      <c r="FT172" s="201"/>
      <c r="FU172" s="201"/>
      <c r="FV172" s="201"/>
      <c r="FW172" s="201"/>
      <c r="FX172" s="201"/>
      <c r="FY172" s="201"/>
      <c r="FZ172" s="201"/>
      <c r="GA172" s="201"/>
      <c r="GB172" s="201"/>
      <c r="GC172" s="201"/>
      <c r="GD172" s="201"/>
      <c r="GE172" s="201"/>
      <c r="GF172" s="201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201"/>
      <c r="GR172" s="201"/>
      <c r="GS172" s="201"/>
      <c r="GT172" s="201"/>
      <c r="GU172" s="201"/>
      <c r="GV172" s="201"/>
      <c r="GW172" s="201"/>
      <c r="GX172" s="201"/>
      <c r="GY172" s="201"/>
      <c r="GZ172" s="201"/>
      <c r="HA172" s="201"/>
      <c r="HB172" s="201"/>
      <c r="HC172" s="201"/>
      <c r="HD172" s="201"/>
      <c r="HE172" s="201"/>
      <c r="HF172" s="201"/>
      <c r="HG172" s="201"/>
      <c r="HH172" s="201"/>
      <c r="HI172" s="201"/>
      <c r="HJ172" s="201"/>
      <c r="HK172" s="201"/>
      <c r="HL172" s="201"/>
      <c r="HM172" s="201"/>
      <c r="HN172" s="201"/>
      <c r="HO172" s="201"/>
      <c r="HP172" s="201"/>
      <c r="HQ172" s="201"/>
      <c r="HR172" s="201"/>
      <c r="HS172" s="201"/>
      <c r="HT172" s="201"/>
      <c r="HU172" s="201"/>
      <c r="HV172" s="201"/>
      <c r="HW172" s="201"/>
      <c r="HX172" s="201"/>
      <c r="HY172" s="201"/>
      <c r="HZ172" s="201"/>
      <c r="IA172" s="201"/>
      <c r="IB172" s="201"/>
      <c r="IC172" s="201"/>
      <c r="ID172" s="201"/>
      <c r="IE172" s="201"/>
      <c r="IF172" s="201"/>
      <c r="IG172" s="201"/>
      <c r="IH172" s="201"/>
      <c r="II172" s="201"/>
      <c r="IJ172" s="201"/>
      <c r="IK172" s="201"/>
      <c r="IL172" s="201"/>
      <c r="IM172" s="201"/>
      <c r="IN172" s="201"/>
      <c r="IO172" s="201"/>
      <c r="IP172" s="201"/>
      <c r="IQ172" s="201"/>
      <c r="IR172" s="201"/>
      <c r="IS172" s="201"/>
      <c r="IT172" s="201"/>
      <c r="IU172" s="201"/>
      <c r="IV172" s="201"/>
      <c r="IW172" s="201"/>
      <c r="IX172" s="201"/>
      <c r="IY172" s="201"/>
      <c r="IZ172" s="201"/>
      <c r="JA172" s="201"/>
      <c r="JB172" s="201"/>
      <c r="JC172" s="201"/>
      <c r="JD172" s="201"/>
      <c r="JE172" s="201"/>
      <c r="JF172" s="201"/>
      <c r="JG172" s="201"/>
      <c r="JH172" s="201"/>
      <c r="JI172" s="201"/>
      <c r="JJ172" s="201"/>
      <c r="JK172" s="201"/>
      <c r="JL172" s="201"/>
      <c r="JM172" s="201"/>
      <c r="JN172" s="201"/>
      <c r="JO172" s="201"/>
      <c r="JP172" s="201"/>
      <c r="JQ172" s="201"/>
      <c r="JR172" s="201"/>
      <c r="JS172" s="201"/>
      <c r="JT172" s="201"/>
      <c r="JU172" s="201"/>
      <c r="JV172" s="201"/>
      <c r="JW172" s="201"/>
      <c r="JX172" s="201"/>
      <c r="JY172" s="201"/>
      <c r="JZ172" s="201"/>
      <c r="KA172" s="201"/>
      <c r="KB172" s="201"/>
      <c r="KC172" s="201"/>
      <c r="KD172" s="201"/>
      <c r="KE172" s="201"/>
      <c r="KF172" s="201"/>
      <c r="KG172" s="201"/>
      <c r="KH172" s="201"/>
      <c r="KI172" s="201"/>
      <c r="KJ172" s="201"/>
      <c r="KK172" s="201"/>
      <c r="KL172" s="201"/>
      <c r="KM172" s="201"/>
      <c r="KN172" s="201"/>
      <c r="KO172" s="201"/>
      <c r="KP172" s="201"/>
      <c r="KQ172" s="201"/>
      <c r="KR172" s="201"/>
      <c r="KS172" s="201"/>
      <c r="KT172" s="201"/>
      <c r="KU172" s="201"/>
      <c r="KV172" s="201"/>
      <c r="KW172" s="201"/>
      <c r="KX172" s="201"/>
      <c r="KY172" s="201"/>
      <c r="KZ172" s="201"/>
      <c r="LA172" s="201"/>
      <c r="LB172" s="201"/>
      <c r="LC172" s="201"/>
      <c r="LD172" s="201"/>
      <c r="LE172" s="201"/>
      <c r="LF172" s="201"/>
      <c r="LG172" s="201"/>
      <c r="LH172" s="201"/>
      <c r="LI172" s="201"/>
      <c r="LJ172" s="201"/>
      <c r="LK172" s="201"/>
      <c r="LL172" s="201"/>
      <c r="LM172" s="201"/>
      <c r="LN172" s="201"/>
      <c r="LO172" s="201"/>
      <c r="LP172" s="201"/>
      <c r="LQ172" s="201"/>
      <c r="LR172" s="201"/>
      <c r="LS172" s="201"/>
      <c r="LT172" s="201"/>
      <c r="LU172" s="201"/>
      <c r="LV172" s="201"/>
      <c r="LW172" s="201"/>
      <c r="LX172" s="201"/>
      <c r="LY172" s="201"/>
      <c r="LZ172" s="201"/>
      <c r="MA172" s="201"/>
      <c r="MB172" s="201"/>
      <c r="MC172" s="201"/>
      <c r="MD172" s="201"/>
      <c r="ME172" s="201"/>
      <c r="MF172" s="201"/>
      <c r="MG172" s="201"/>
      <c r="MH172" s="201"/>
      <c r="MI172" s="201"/>
      <c r="MJ172" s="201"/>
      <c r="MK172" s="201"/>
      <c r="ML172" s="201"/>
      <c r="MM172" s="201"/>
      <c r="MN172" s="201"/>
      <c r="MO172" s="201"/>
      <c r="MP172" s="201"/>
      <c r="MQ172" s="201"/>
      <c r="MR172" s="201"/>
      <c r="MS172" s="201"/>
      <c r="MT172" s="201"/>
      <c r="MU172" s="201"/>
      <c r="MV172" s="201"/>
      <c r="MW172" s="201"/>
      <c r="MX172" s="201"/>
      <c r="MY172" s="201"/>
      <c r="MZ172" s="201"/>
      <c r="NA172" s="201"/>
      <c r="NB172" s="201"/>
      <c r="NC172" s="201"/>
      <c r="ND172" s="201"/>
      <c r="NE172" s="201"/>
      <c r="NF172" s="201"/>
      <c r="NG172" s="201"/>
      <c r="NH172" s="201"/>
      <c r="NI172" s="201"/>
      <c r="NJ172" s="201"/>
      <c r="NK172" s="201"/>
      <c r="NL172" s="201"/>
      <c r="NM172" s="201"/>
      <c r="NN172" s="201"/>
      <c r="NO172" s="201"/>
      <c r="NP172" s="201"/>
      <c r="NQ172" s="201"/>
      <c r="NR172" s="201"/>
      <c r="NS172" s="201"/>
      <c r="NT172" s="201"/>
      <c r="NU172" s="201"/>
      <c r="NV172" s="201"/>
      <c r="NW172" s="201"/>
      <c r="NX172" s="201"/>
      <c r="NY172" s="201"/>
      <c r="NZ172" s="201"/>
      <c r="OA172" s="201"/>
      <c r="OB172" s="201"/>
      <c r="OC172" s="201"/>
      <c r="OD172" s="201"/>
      <c r="OE172" s="201"/>
      <c r="OF172" s="201"/>
      <c r="OG172" s="201"/>
      <c r="OH172" s="201"/>
      <c r="OI172" s="201"/>
      <c r="OJ172" s="201"/>
      <c r="OK172" s="201"/>
      <c r="OL172" s="201"/>
      <c r="OM172" s="201"/>
      <c r="ON172" s="201"/>
      <c r="OO172" s="201"/>
      <c r="OP172" s="201"/>
      <c r="OQ172" s="201"/>
      <c r="OR172" s="201"/>
      <c r="OS172" s="201"/>
      <c r="OT172" s="201"/>
      <c r="OU172" s="201"/>
      <c r="OV172" s="201"/>
      <c r="OW172" s="201"/>
      <c r="OX172" s="201"/>
      <c r="OY172" s="201"/>
      <c r="OZ172" s="201"/>
      <c r="PA172" s="201"/>
      <c r="PB172" s="201"/>
      <c r="PC172" s="201"/>
      <c r="PD172" s="201"/>
      <c r="PE172" s="201"/>
      <c r="PF172" s="201"/>
      <c r="PG172" s="201"/>
      <c r="PH172" s="201"/>
      <c r="PI172" s="201"/>
      <c r="PJ172" s="201"/>
      <c r="PK172" s="201"/>
      <c r="PL172" s="201"/>
      <c r="PM172" s="201"/>
      <c r="PN172" s="201"/>
      <c r="PO172" s="201"/>
      <c r="PP172" s="201"/>
      <c r="PQ172" s="201"/>
      <c r="PR172" s="201"/>
      <c r="PS172" s="201"/>
      <c r="PT172" s="201"/>
      <c r="PU172" s="201"/>
      <c r="PV172" s="201"/>
      <c r="PW172" s="201"/>
      <c r="PX172" s="201"/>
      <c r="PY172" s="201"/>
      <c r="PZ172" s="201"/>
      <c r="QA172" s="201"/>
      <c r="QB172" s="201"/>
      <c r="QC172" s="201"/>
      <c r="QD172" s="201"/>
      <c r="QE172" s="201"/>
      <c r="QF172" s="201"/>
      <c r="QG172" s="201"/>
      <c r="QH172" s="201"/>
      <c r="QI172" s="201"/>
      <c r="QJ172" s="201"/>
      <c r="QK172" s="201"/>
      <c r="QL172" s="201"/>
      <c r="QM172" s="201"/>
      <c r="QN172" s="201"/>
      <c r="QO172" s="201"/>
      <c r="QP172" s="201"/>
      <c r="QQ172" s="201"/>
      <c r="QR172" s="201"/>
      <c r="QS172" s="201"/>
      <c r="QT172" s="201"/>
      <c r="QU172" s="201"/>
      <c r="QV172" s="201"/>
      <c r="QW172" s="201"/>
      <c r="QX172" s="201"/>
      <c r="QY172" s="201"/>
      <c r="QZ172" s="201"/>
      <c r="RA172" s="201"/>
      <c r="RB172" s="201"/>
      <c r="RC172" s="201"/>
      <c r="RD172" s="201"/>
      <c r="RE172" s="201"/>
      <c r="RF172" s="201"/>
      <c r="RG172" s="201"/>
      <c r="RH172" s="201"/>
      <c r="RI172" s="201"/>
      <c r="RJ172" s="201"/>
      <c r="RK172" s="201"/>
      <c r="RL172" s="201"/>
      <c r="RM172" s="201"/>
      <c r="RN172" s="201"/>
      <c r="RO172" s="201"/>
      <c r="RP172" s="201"/>
      <c r="RQ172" s="201"/>
      <c r="RR172" s="201"/>
      <c r="RS172" s="201"/>
      <c r="RT172" s="201"/>
      <c r="RU172" s="201"/>
      <c r="RV172" s="201"/>
      <c r="RW172" s="201"/>
      <c r="RX172" s="201"/>
      <c r="RY172" s="201"/>
      <c r="RZ172" s="201"/>
      <c r="SA172" s="201"/>
      <c r="SB172" s="201"/>
      <c r="SC172" s="201"/>
      <c r="SD172" s="201"/>
      <c r="SE172" s="201"/>
      <c r="SF172" s="201"/>
      <c r="SG172" s="201"/>
      <c r="SH172" s="201"/>
      <c r="SI172" s="201"/>
      <c r="SJ172" s="201"/>
      <c r="SK172" s="201"/>
      <c r="SL172" s="201"/>
      <c r="SM172" s="201"/>
      <c r="SN172" s="201"/>
      <c r="SO172" s="201"/>
      <c r="SP172" s="201"/>
      <c r="SQ172" s="201"/>
      <c r="SR172" s="201"/>
      <c r="SS172" s="201"/>
      <c r="ST172" s="201"/>
      <c r="SU172" s="201"/>
      <c r="SV172" s="201"/>
      <c r="SW172" s="201"/>
      <c r="SX172" s="201"/>
      <c r="SY172" s="201"/>
      <c r="SZ172" s="201"/>
      <c r="TA172" s="201"/>
      <c r="TB172" s="201"/>
      <c r="TC172" s="201"/>
      <c r="TD172" s="201"/>
      <c r="TE172" s="201"/>
      <c r="TF172" s="201"/>
      <c r="TG172" s="201"/>
      <c r="TH172" s="201"/>
      <c r="TI172" s="201"/>
      <c r="TJ172" s="201"/>
      <c r="TK172" s="201"/>
      <c r="TL172" s="201"/>
      <c r="TM172" s="201"/>
      <c r="TN172" s="201"/>
      <c r="TO172" s="201"/>
      <c r="TP172" s="201"/>
      <c r="TQ172" s="201"/>
      <c r="TR172" s="201"/>
      <c r="TS172" s="201"/>
      <c r="TT172" s="201"/>
      <c r="TU172" s="201"/>
      <c r="TV172" s="201"/>
      <c r="TW172" s="201"/>
      <c r="TX172" s="201"/>
      <c r="TY172" s="201"/>
      <c r="TZ172" s="201"/>
      <c r="UA172" s="201"/>
      <c r="UB172" s="201"/>
      <c r="UC172" s="201"/>
      <c r="UD172" s="201"/>
      <c r="UE172" s="201"/>
      <c r="UF172" s="201"/>
      <c r="UG172" s="201"/>
      <c r="UH172" s="201"/>
      <c r="UI172" s="201"/>
      <c r="UJ172" s="201"/>
      <c r="UK172" s="201"/>
      <c r="UL172" s="201"/>
      <c r="UM172" s="201"/>
      <c r="UN172" s="201"/>
      <c r="UO172" s="201"/>
      <c r="UP172" s="201"/>
      <c r="UQ172" s="201"/>
      <c r="UR172" s="201"/>
      <c r="US172" s="201"/>
      <c r="UT172" s="201"/>
      <c r="UU172" s="201"/>
      <c r="UV172" s="201"/>
      <c r="UW172" s="201"/>
      <c r="UX172" s="201"/>
      <c r="UY172" s="201"/>
      <c r="UZ172" s="201"/>
      <c r="VA172" s="201"/>
      <c r="VB172" s="201"/>
      <c r="VC172" s="201"/>
      <c r="VD172" s="201"/>
      <c r="VE172" s="201"/>
      <c r="VF172" s="201"/>
      <c r="VG172" s="201"/>
      <c r="VH172" s="201"/>
      <c r="VI172" s="201"/>
      <c r="VJ172" s="201"/>
      <c r="VK172" s="201"/>
      <c r="VL172" s="201"/>
      <c r="VM172" s="201"/>
      <c r="VN172" s="201"/>
      <c r="VO172" s="201"/>
      <c r="VP172" s="201"/>
      <c r="VQ172" s="201"/>
      <c r="VR172" s="201"/>
      <c r="VS172" s="201"/>
      <c r="VT172" s="201"/>
      <c r="VU172" s="201"/>
      <c r="VV172" s="201"/>
      <c r="VW172" s="201"/>
      <c r="VX172" s="201"/>
      <c r="VY172" s="201"/>
      <c r="VZ172" s="201"/>
      <c r="WA172" s="201"/>
      <c r="WB172" s="201"/>
      <c r="WC172" s="201"/>
      <c r="WD172" s="201"/>
      <c r="WE172" s="201"/>
      <c r="WF172" s="201"/>
      <c r="WG172" s="201"/>
      <c r="WH172" s="201"/>
      <c r="WI172" s="201"/>
      <c r="WJ172" s="201"/>
      <c r="WK172" s="201"/>
      <c r="WL172" s="201"/>
      <c r="WM172" s="201"/>
      <c r="WN172" s="201"/>
      <c r="WO172" s="201"/>
      <c r="WP172" s="201"/>
      <c r="WQ172" s="201"/>
      <c r="WR172" s="201"/>
      <c r="WS172" s="201"/>
      <c r="WT172" s="201"/>
      <c r="WU172" s="201"/>
      <c r="WV172" s="201"/>
      <c r="WW172" s="201"/>
      <c r="WX172" s="201"/>
      <c r="WY172" s="201"/>
      <c r="WZ172" s="201"/>
      <c r="XA172" s="201"/>
      <c r="XB172" s="201"/>
      <c r="XC172" s="201"/>
      <c r="XD172" s="201"/>
      <c r="XE172" s="201"/>
      <c r="XF172" s="201"/>
      <c r="XG172" s="201"/>
      <c r="XH172" s="201"/>
      <c r="XI172" s="201"/>
      <c r="XJ172" s="201"/>
      <c r="XK172" s="201"/>
      <c r="XL172" s="201"/>
      <c r="XM172" s="201"/>
      <c r="XN172" s="201"/>
      <c r="XO172" s="201"/>
      <c r="XP172" s="201"/>
      <c r="XQ172" s="201"/>
      <c r="XR172" s="201"/>
      <c r="XS172" s="201"/>
      <c r="XT172" s="201"/>
      <c r="XU172" s="201"/>
      <c r="XV172" s="201"/>
      <c r="XW172" s="201"/>
      <c r="XX172" s="201"/>
      <c r="XY172" s="201"/>
      <c r="XZ172" s="201"/>
      <c r="YA172" s="201"/>
      <c r="YB172" s="201"/>
      <c r="YC172" s="201"/>
      <c r="YD172" s="201"/>
      <c r="YE172" s="201"/>
      <c r="YF172" s="201"/>
      <c r="YG172" s="201"/>
      <c r="YH172" s="201"/>
      <c r="YI172" s="201"/>
      <c r="YJ172" s="201"/>
      <c r="YK172" s="201"/>
      <c r="YL172" s="201"/>
      <c r="YM172" s="201"/>
      <c r="YN172" s="201"/>
      <c r="YO172" s="201"/>
      <c r="YP172" s="201"/>
      <c r="YQ172" s="201"/>
      <c r="YR172" s="201"/>
      <c r="YS172" s="201"/>
      <c r="YT172" s="201"/>
      <c r="YU172" s="201"/>
      <c r="YV172" s="201"/>
      <c r="YW172" s="201"/>
      <c r="YX172" s="201"/>
      <c r="YY172" s="201"/>
      <c r="YZ172" s="201"/>
      <c r="ZA172" s="201"/>
      <c r="ZB172" s="201"/>
      <c r="ZC172" s="201"/>
      <c r="ZD172" s="201"/>
      <c r="ZE172" s="201"/>
      <c r="ZF172" s="201"/>
      <c r="ZG172" s="201"/>
      <c r="ZH172" s="201"/>
      <c r="ZI172" s="201"/>
      <c r="ZJ172" s="201"/>
      <c r="ZK172" s="201"/>
      <c r="ZL172" s="201"/>
      <c r="ZM172" s="201"/>
      <c r="ZN172" s="201"/>
      <c r="ZO172" s="201"/>
      <c r="ZP172" s="201"/>
      <c r="ZQ172" s="201"/>
      <c r="ZR172" s="201"/>
      <c r="ZS172" s="201"/>
      <c r="ZT172" s="201"/>
      <c r="ZU172" s="201"/>
      <c r="ZV172" s="201"/>
      <c r="ZW172" s="201"/>
      <c r="ZX172" s="201"/>
      <c r="ZY172" s="201"/>
      <c r="ZZ172" s="201"/>
      <c r="AAA172" s="201"/>
      <c r="AAB172" s="201"/>
      <c r="AAC172" s="201"/>
      <c r="AAD172" s="201"/>
      <c r="AAE172" s="201"/>
      <c r="AAF172" s="201"/>
      <c r="AAG172" s="201"/>
      <c r="AAH172" s="201"/>
      <c r="AAI172" s="201"/>
      <c r="AAJ172" s="201"/>
      <c r="AAK172" s="201"/>
      <c r="AAL172" s="201"/>
      <c r="AAM172" s="201"/>
      <c r="AAN172" s="201"/>
      <c r="AAO172" s="201"/>
      <c r="AAP172" s="201"/>
      <c r="AAQ172" s="201"/>
      <c r="AAR172" s="201"/>
      <c r="AAS172" s="201"/>
      <c r="AAT172" s="201"/>
      <c r="AAU172" s="201"/>
      <c r="AAV172" s="201"/>
      <c r="AAW172" s="201"/>
      <c r="AAX172" s="201"/>
      <c r="AAY172" s="201"/>
      <c r="AAZ172" s="201"/>
      <c r="ABA172" s="201"/>
      <c r="ABB172" s="201"/>
      <c r="ABC172" s="201"/>
      <c r="ABD172" s="201"/>
      <c r="ABE172" s="201"/>
      <c r="ABF172" s="201"/>
      <c r="ABG172" s="201"/>
      <c r="ABH172" s="201"/>
      <c r="ABI172" s="201"/>
      <c r="ABJ172" s="201"/>
      <c r="ABK172" s="201"/>
      <c r="ABL172" s="201"/>
      <c r="ABM172" s="201"/>
      <c r="ABN172" s="201"/>
      <c r="ABO172" s="201"/>
      <c r="ABP172" s="201"/>
      <c r="ABQ172" s="201"/>
      <c r="ABR172" s="201"/>
      <c r="ABS172" s="201"/>
      <c r="ABT172" s="201"/>
      <c r="ABU172" s="201"/>
      <c r="ABV172" s="201"/>
      <c r="ABW172" s="201"/>
      <c r="ABX172" s="201"/>
      <c r="ABY172" s="201"/>
      <c r="ABZ172" s="201"/>
      <c r="ACA172" s="201"/>
      <c r="ACB172" s="201"/>
      <c r="ACC172" s="201"/>
      <c r="ACD172" s="201"/>
      <c r="ACE172" s="201"/>
      <c r="ACF172" s="201"/>
      <c r="ACG172" s="201"/>
      <c r="ACH172" s="201"/>
      <c r="ACI172" s="201"/>
      <c r="ACJ172" s="201"/>
      <c r="ACK172" s="201"/>
      <c r="ACL172" s="201"/>
      <c r="ACM172" s="201"/>
      <c r="ACN172" s="201"/>
      <c r="ACO172" s="201"/>
      <c r="ACP172" s="201"/>
      <c r="ACQ172" s="201"/>
      <c r="ACR172" s="201"/>
      <c r="ACS172" s="201"/>
      <c r="ACT172" s="201"/>
      <c r="ACU172" s="201"/>
      <c r="ACV172" s="201"/>
      <c r="ACW172" s="201"/>
      <c r="ACX172" s="201"/>
      <c r="ACY172" s="201"/>
      <c r="ACZ172" s="201"/>
      <c r="ADA172" s="201"/>
      <c r="ADB172" s="201"/>
      <c r="ADC172" s="201"/>
      <c r="ADD172" s="201"/>
      <c r="ADE172" s="201"/>
      <c r="ADF172" s="201"/>
      <c r="ADG172" s="201"/>
      <c r="ADH172" s="201"/>
      <c r="ADI172" s="201"/>
      <c r="ADJ172" s="201"/>
      <c r="ADK172" s="201"/>
      <c r="ADL172" s="201"/>
      <c r="ADM172" s="201"/>
      <c r="ADN172" s="201"/>
      <c r="ADO172" s="201"/>
      <c r="ADP172" s="201"/>
      <c r="ADQ172" s="201"/>
      <c r="ADR172" s="201"/>
      <c r="ADS172" s="201"/>
      <c r="ADT172" s="201"/>
      <c r="ADU172" s="201"/>
      <c r="ADV172" s="201"/>
      <c r="ADW172" s="201"/>
      <c r="ADX172" s="201"/>
      <c r="ADY172" s="201"/>
      <c r="ADZ172" s="201"/>
      <c r="AEA172" s="201"/>
      <c r="AEB172" s="201"/>
      <c r="AEC172" s="201"/>
      <c r="AED172" s="201"/>
      <c r="AEE172" s="201"/>
      <c r="AEF172" s="201"/>
      <c r="AEG172" s="201"/>
      <c r="AEH172" s="201"/>
      <c r="AEI172" s="201"/>
      <c r="AEJ172" s="201"/>
      <c r="AEK172" s="201"/>
      <c r="AEL172" s="201"/>
      <c r="AEM172" s="201"/>
      <c r="AEN172" s="201"/>
      <c r="AEO172" s="201"/>
      <c r="AEP172" s="201"/>
      <c r="AEQ172" s="201"/>
      <c r="AER172" s="201"/>
      <c r="AES172" s="201"/>
      <c r="AET172" s="201"/>
      <c r="AEU172" s="201"/>
      <c r="AEV172" s="201"/>
      <c r="AEW172" s="201"/>
      <c r="AEX172" s="201"/>
      <c r="AEY172" s="201"/>
      <c r="AEZ172" s="201"/>
      <c r="AFA172" s="201"/>
      <c r="AFB172" s="201"/>
      <c r="AFC172" s="201"/>
      <c r="AFD172" s="201"/>
      <c r="AFE172" s="201"/>
      <c r="AFF172" s="201"/>
      <c r="AFG172" s="201"/>
      <c r="AFH172" s="201"/>
      <c r="AFI172" s="201"/>
      <c r="AFJ172" s="201"/>
      <c r="AFK172" s="201"/>
      <c r="AFL172" s="201"/>
      <c r="AFM172" s="201"/>
      <c r="AFN172" s="201"/>
      <c r="AFO172" s="201"/>
      <c r="AFP172" s="201"/>
      <c r="AFQ172" s="201"/>
      <c r="AFR172" s="201"/>
      <c r="AFS172" s="201"/>
      <c r="AFT172" s="201"/>
      <c r="AFU172" s="201"/>
      <c r="AFV172" s="201"/>
      <c r="AFW172" s="201"/>
      <c r="AFX172" s="201"/>
      <c r="AFY172" s="201"/>
      <c r="AFZ172" s="201"/>
      <c r="AGA172" s="201"/>
      <c r="AGB172" s="201"/>
      <c r="AGC172" s="201"/>
      <c r="AGD172" s="201"/>
      <c r="AGE172" s="201"/>
      <c r="AGF172" s="201"/>
      <c r="AGG172" s="201"/>
      <c r="AGH172" s="201"/>
      <c r="AGI172" s="201"/>
      <c r="AGJ172" s="201"/>
      <c r="AGK172" s="201"/>
      <c r="AGL172" s="201"/>
      <c r="AGM172" s="201"/>
      <c r="AGN172" s="201"/>
      <c r="AGO172" s="201"/>
      <c r="AGP172" s="201"/>
      <c r="AGQ172" s="201"/>
      <c r="AGR172" s="201"/>
      <c r="AGS172" s="201"/>
      <c r="AGT172" s="201"/>
      <c r="AGU172" s="201"/>
      <c r="AGV172" s="201"/>
      <c r="AGW172" s="201"/>
      <c r="AGX172" s="201"/>
      <c r="AGY172" s="201"/>
      <c r="AGZ172" s="201"/>
      <c r="AHA172" s="201"/>
      <c r="AHB172" s="201"/>
      <c r="AHC172" s="201"/>
      <c r="AHD172" s="201"/>
      <c r="AHE172" s="201"/>
      <c r="AHF172" s="201"/>
      <c r="AHG172" s="201"/>
      <c r="AHH172" s="201"/>
      <c r="AHI172" s="201"/>
      <c r="AHJ172" s="201"/>
      <c r="AHK172" s="201"/>
      <c r="AHL172" s="201"/>
      <c r="AHM172" s="201"/>
      <c r="AHN172" s="201"/>
      <c r="AHO172" s="201"/>
      <c r="AHP172" s="201"/>
      <c r="AHQ172" s="201"/>
      <c r="AHR172" s="201"/>
      <c r="AHS172" s="201"/>
      <c r="AHT172" s="201"/>
      <c r="AHU172" s="201"/>
      <c r="AHV172" s="201"/>
      <c r="AHW172" s="201"/>
      <c r="AHX172" s="201"/>
      <c r="AHY172" s="201"/>
      <c r="AHZ172" s="201"/>
      <c r="AIA172" s="201"/>
      <c r="AIB172" s="201"/>
      <c r="AIC172" s="201"/>
      <c r="AID172" s="201"/>
      <c r="AIE172" s="201"/>
      <c r="AIF172" s="201"/>
      <c r="AIG172" s="201"/>
      <c r="AIH172" s="201"/>
      <c r="AII172" s="201"/>
      <c r="AIJ172" s="201"/>
      <c r="AIK172" s="201"/>
      <c r="AIL172" s="201"/>
      <c r="AIM172" s="201"/>
      <c r="AIN172" s="201"/>
      <c r="AIO172" s="201"/>
      <c r="AIP172" s="201"/>
      <c r="AIQ172" s="201"/>
      <c r="AIR172" s="201"/>
      <c r="AIS172" s="201"/>
      <c r="AIT172" s="201"/>
      <c r="AIU172" s="201"/>
      <c r="AIV172" s="201"/>
      <c r="AIW172" s="201"/>
      <c r="AIX172" s="201"/>
      <c r="AIY172" s="201"/>
      <c r="AIZ172" s="201"/>
      <c r="AJA172" s="201"/>
      <c r="AJB172" s="201"/>
      <c r="AJC172" s="201"/>
      <c r="AJD172" s="201"/>
      <c r="AJE172" s="201"/>
      <c r="AJF172" s="201"/>
      <c r="AJG172" s="201"/>
      <c r="AJH172" s="201"/>
      <c r="AJI172" s="201"/>
      <c r="AJJ172" s="201"/>
      <c r="AJK172" s="201"/>
      <c r="AJL172" s="201"/>
      <c r="AJM172" s="201"/>
      <c r="AJN172" s="201"/>
      <c r="AJO172" s="201"/>
      <c r="AJP172" s="201"/>
      <c r="AJQ172" s="201"/>
      <c r="AJR172" s="201"/>
      <c r="AJS172" s="201"/>
      <c r="AJT172" s="201"/>
      <c r="AJU172" s="201"/>
      <c r="AJV172" s="201"/>
      <c r="AJW172" s="201"/>
      <c r="AJX172" s="201"/>
      <c r="AJY172" s="201"/>
      <c r="AJZ172" s="201"/>
      <c r="AKA172" s="201"/>
      <c r="AKB172" s="201"/>
      <c r="AKC172" s="201"/>
      <c r="AKD172" s="201"/>
      <c r="AKE172" s="201"/>
      <c r="AKF172" s="201"/>
      <c r="AKG172" s="201"/>
      <c r="AKH172" s="201"/>
      <c r="AKI172" s="201"/>
      <c r="AKJ172" s="201"/>
      <c r="AKK172" s="201"/>
      <c r="AKL172" s="201"/>
      <c r="AKM172" s="201"/>
      <c r="AKN172" s="201"/>
      <c r="AKO172" s="201"/>
      <c r="AKP172" s="201"/>
      <c r="AKQ172" s="201"/>
      <c r="AKR172" s="201"/>
      <c r="AKS172" s="201"/>
      <c r="AKT172" s="201"/>
      <c r="AKU172" s="201"/>
      <c r="AKV172" s="201"/>
      <c r="AKW172" s="201"/>
      <c r="AKX172" s="201"/>
      <c r="AKY172" s="201"/>
      <c r="AKZ172" s="201"/>
      <c r="ALA172" s="201"/>
      <c r="ALB172" s="201"/>
      <c r="ALC172" s="201"/>
      <c r="ALD172" s="201"/>
      <c r="ALE172" s="201"/>
      <c r="ALF172" s="201"/>
      <c r="ALG172" s="201"/>
      <c r="ALH172" s="201"/>
      <c r="ALI172" s="201"/>
      <c r="ALJ172" s="201"/>
      <c r="ALK172" s="201"/>
      <c r="ALL172" s="201"/>
      <c r="ALM172" s="201"/>
      <c r="ALN172" s="201"/>
      <c r="ALO172" s="201"/>
      <c r="ALP172" s="201"/>
      <c r="ALQ172" s="201"/>
      <c r="ALR172" s="201"/>
      <c r="ALS172" s="201"/>
      <c r="ALT172" s="201"/>
      <c r="ALU172" s="201"/>
      <c r="ALV172" s="201"/>
      <c r="ALW172" s="201"/>
      <c r="ALX172" s="201"/>
      <c r="ALY172" s="201"/>
      <c r="ALZ172" s="201"/>
      <c r="AMA172" s="201"/>
      <c r="AMB172" s="201"/>
      <c r="AMC172" s="201"/>
      <c r="AMD172" s="201"/>
      <c r="AME172" s="201"/>
      <c r="AMF172" s="201"/>
      <c r="AMG172" s="201"/>
      <c r="AMH172" s="201"/>
      <c r="AMI172" s="201"/>
      <c r="AMJ172" s="201"/>
      <c r="AMK172" s="201"/>
      <c r="AML172" s="201"/>
      <c r="AMM172" s="201"/>
      <c r="AMN172" s="201"/>
      <c r="AMO172" s="201"/>
      <c r="AMP172" s="201"/>
      <c r="AMQ172" s="201"/>
      <c r="AMR172" s="201"/>
      <c r="AMS172" s="201"/>
      <c r="AMT172" s="201"/>
      <c r="AMU172" s="201"/>
      <c r="AMV172" s="201"/>
      <c r="AMW172" s="201"/>
      <c r="AMX172" s="201"/>
      <c r="AMY172" s="201"/>
      <c r="AMZ172" s="201"/>
      <c r="ANA172" s="201"/>
      <c r="ANB172" s="201"/>
      <c r="ANC172" s="201"/>
      <c r="AND172" s="201"/>
      <c r="ANE172" s="201"/>
      <c r="ANF172" s="201"/>
      <c r="ANG172" s="201"/>
      <c r="ANH172" s="201"/>
      <c r="ANI172" s="201"/>
      <c r="ANJ172" s="201"/>
      <c r="ANK172" s="201"/>
      <c r="ANL172" s="201"/>
      <c r="ANM172" s="201"/>
      <c r="ANN172" s="201"/>
      <c r="ANO172" s="201"/>
      <c r="ANP172" s="201"/>
      <c r="ANQ172" s="201"/>
      <c r="ANR172" s="201"/>
      <c r="ANS172" s="201"/>
      <c r="ANT172" s="201"/>
      <c r="ANU172" s="201"/>
      <c r="ANV172" s="201"/>
      <c r="ANW172" s="201"/>
      <c r="ANX172" s="201"/>
      <c r="ANY172" s="201"/>
      <c r="ANZ172" s="201"/>
      <c r="AOA172" s="201"/>
      <c r="AOB172" s="201"/>
      <c r="AOC172" s="201"/>
      <c r="AOD172" s="201"/>
      <c r="AOE172" s="201"/>
      <c r="AOF172" s="201"/>
      <c r="AOG172" s="201"/>
      <c r="AOH172" s="201"/>
      <c r="AOI172" s="201"/>
      <c r="AOJ172" s="201"/>
      <c r="AOK172" s="201"/>
      <c r="AOL172" s="201"/>
      <c r="AOM172" s="201"/>
      <c r="AON172" s="201"/>
      <c r="AOO172" s="201"/>
      <c r="AOP172" s="201"/>
      <c r="AOQ172" s="201"/>
      <c r="AOR172" s="201"/>
      <c r="AOS172" s="201"/>
      <c r="AOT172" s="201"/>
      <c r="AOU172" s="201"/>
      <c r="AOV172" s="201"/>
      <c r="AOW172" s="201"/>
      <c r="AOX172" s="201"/>
      <c r="AOY172" s="201"/>
      <c r="AOZ172" s="201"/>
      <c r="APA172" s="201"/>
      <c r="APB172" s="201"/>
      <c r="APC172" s="201"/>
      <c r="APD172" s="201"/>
      <c r="APE172" s="201"/>
      <c r="APF172" s="201"/>
      <c r="APG172" s="201"/>
      <c r="APH172" s="201"/>
      <c r="API172" s="201"/>
      <c r="APJ172" s="201"/>
      <c r="APK172" s="201"/>
      <c r="APL172" s="201"/>
      <c r="APM172" s="201"/>
      <c r="APN172" s="201"/>
      <c r="APO172" s="201"/>
      <c r="APP172" s="201"/>
      <c r="APQ172" s="201"/>
      <c r="APR172" s="201"/>
      <c r="APS172" s="201"/>
      <c r="APT172" s="201"/>
      <c r="APU172" s="201"/>
      <c r="APV172" s="201"/>
      <c r="APW172" s="201"/>
      <c r="APX172" s="201"/>
      <c r="APY172" s="201"/>
      <c r="APZ172" s="201"/>
      <c r="AQA172" s="201"/>
      <c r="AQB172" s="201"/>
      <c r="AQC172" s="201"/>
      <c r="AQD172" s="201"/>
      <c r="AQE172" s="201"/>
      <c r="AQF172" s="201"/>
      <c r="AQG172" s="201"/>
      <c r="AQH172" s="201"/>
      <c r="AQI172" s="201"/>
      <c r="AQJ172" s="201"/>
      <c r="AQK172" s="201"/>
      <c r="AQL172" s="201"/>
      <c r="AQM172" s="201"/>
      <c r="AQN172" s="201"/>
      <c r="AQO172" s="201"/>
      <c r="AQP172" s="201"/>
      <c r="AQQ172" s="201"/>
      <c r="AQR172" s="201"/>
      <c r="AQS172" s="201"/>
      <c r="AQT172" s="201"/>
      <c r="AQU172" s="201"/>
      <c r="AQV172" s="201"/>
      <c r="AQW172" s="201"/>
      <c r="AQX172" s="201"/>
      <c r="AQY172" s="201"/>
      <c r="AQZ172" s="201"/>
      <c r="ARA172" s="201"/>
      <c r="ARB172" s="201"/>
      <c r="ARC172" s="201"/>
      <c r="ARD172" s="201"/>
      <c r="ARE172" s="201"/>
      <c r="ARF172" s="201"/>
      <c r="ARG172" s="201"/>
      <c r="ARH172" s="201"/>
      <c r="ARI172" s="201"/>
      <c r="ARJ172" s="201"/>
      <c r="ARK172" s="201"/>
      <c r="ARL172" s="201"/>
      <c r="ARM172" s="201"/>
      <c r="ARN172" s="201"/>
      <c r="ARO172" s="201"/>
      <c r="ARP172" s="201"/>
      <c r="ARQ172" s="201"/>
      <c r="ARR172" s="201"/>
      <c r="ARS172" s="201"/>
      <c r="ART172" s="201"/>
      <c r="ARU172" s="201"/>
      <c r="ARV172" s="201"/>
      <c r="ARW172" s="201"/>
      <c r="ARX172" s="201"/>
      <c r="ARY172" s="201"/>
      <c r="ARZ172" s="201"/>
      <c r="ASA172" s="201"/>
      <c r="ASB172" s="201"/>
      <c r="ASC172" s="201"/>
      <c r="ASD172" s="201"/>
      <c r="ASE172" s="201"/>
      <c r="ASF172" s="201"/>
      <c r="ASG172" s="201"/>
      <c r="ASH172" s="201"/>
      <c r="ASI172" s="201"/>
      <c r="ASJ172" s="201"/>
      <c r="ASK172" s="201"/>
      <c r="ASL172" s="201"/>
      <c r="ASM172" s="201"/>
      <c r="ASN172" s="201"/>
      <c r="ASO172" s="201"/>
      <c r="ASP172" s="201"/>
      <c r="ASQ172" s="201"/>
      <c r="ASR172" s="201"/>
      <c r="ASS172" s="201"/>
      <c r="AST172" s="201"/>
      <c r="ASU172" s="201"/>
      <c r="ASV172" s="201"/>
      <c r="ASW172" s="201"/>
      <c r="ASX172" s="201"/>
      <c r="ASY172" s="201"/>
      <c r="ASZ172" s="201"/>
      <c r="ATA172" s="201"/>
      <c r="ATB172" s="201"/>
      <c r="ATC172" s="201"/>
      <c r="ATD172" s="201"/>
      <c r="ATE172" s="201"/>
      <c r="ATF172" s="201"/>
      <c r="ATG172" s="201"/>
      <c r="ATH172" s="201"/>
      <c r="ATI172" s="201"/>
      <c r="ATJ172" s="201"/>
      <c r="ATK172" s="201"/>
      <c r="ATL172" s="201"/>
      <c r="ATM172" s="201"/>
      <c r="ATN172" s="201"/>
      <c r="ATO172" s="201"/>
      <c r="ATP172" s="201"/>
      <c r="ATQ172" s="201"/>
      <c r="ATR172" s="201"/>
      <c r="ATS172" s="201"/>
      <c r="ATT172" s="201"/>
      <c r="ATU172" s="201"/>
      <c r="ATV172" s="201"/>
      <c r="ATW172" s="201"/>
      <c r="ATX172" s="201"/>
      <c r="ATY172" s="201"/>
      <c r="ATZ172" s="201"/>
      <c r="AUA172" s="201"/>
      <c r="AUB172" s="201"/>
      <c r="AUC172" s="201"/>
      <c r="AUD172" s="201"/>
      <c r="AUE172" s="201"/>
      <c r="AUF172" s="201"/>
      <c r="AUG172" s="201"/>
      <c r="AUH172" s="201"/>
      <c r="AUI172" s="201"/>
      <c r="AUJ172" s="201"/>
      <c r="AUK172" s="201"/>
      <c r="AUL172" s="201"/>
      <c r="AUM172" s="201"/>
      <c r="AUN172" s="201"/>
      <c r="AUO172" s="201"/>
      <c r="AUP172" s="201"/>
      <c r="AUQ172" s="201"/>
      <c r="AUR172" s="201"/>
      <c r="AUS172" s="201"/>
      <c r="AUT172" s="201"/>
      <c r="AUU172" s="201"/>
      <c r="AUV172" s="201"/>
      <c r="AUW172" s="201"/>
      <c r="AUX172" s="201"/>
      <c r="AUY172" s="201"/>
      <c r="AUZ172" s="201"/>
      <c r="AVA172" s="201"/>
      <c r="AVB172" s="201"/>
      <c r="AVC172" s="201"/>
      <c r="AVD172" s="201"/>
      <c r="AVE172" s="201"/>
      <c r="AVF172" s="201"/>
      <c r="AVG172" s="201"/>
      <c r="AVH172" s="201"/>
      <c r="AVI172" s="201"/>
      <c r="AVJ172" s="201"/>
      <c r="AVK172" s="201"/>
      <c r="AVL172" s="201"/>
      <c r="AVM172" s="201"/>
      <c r="AVN172" s="201"/>
      <c r="AVO172" s="201"/>
      <c r="AVP172" s="201"/>
      <c r="AVQ172" s="201"/>
      <c r="AVR172" s="201"/>
      <c r="AVS172" s="201"/>
      <c r="AVT172" s="201"/>
      <c r="AVU172" s="201"/>
      <c r="AVV172" s="201"/>
      <c r="AVW172" s="201"/>
      <c r="AVX172" s="201"/>
      <c r="AVY172" s="201"/>
      <c r="AVZ172" s="201"/>
      <c r="AWA172" s="201"/>
      <c r="AWB172" s="201"/>
      <c r="AWC172" s="201"/>
      <c r="AWD172" s="201"/>
      <c r="AWE172" s="201"/>
      <c r="AWF172" s="201"/>
      <c r="AWG172" s="201"/>
      <c r="AWH172" s="201"/>
      <c r="AWI172" s="201"/>
      <c r="AWJ172" s="201"/>
      <c r="AWK172" s="201"/>
      <c r="AWL172" s="201"/>
      <c r="AWM172" s="201"/>
      <c r="AWN172" s="201"/>
      <c r="AWO172" s="201"/>
      <c r="AWP172" s="201"/>
      <c r="AWQ172" s="201"/>
      <c r="AWR172" s="201"/>
      <c r="AWS172" s="201"/>
      <c r="AWT172" s="201"/>
      <c r="AWU172" s="201"/>
      <c r="AWV172" s="201"/>
      <c r="AWW172" s="201"/>
      <c r="AWX172" s="201"/>
      <c r="AWY172" s="201"/>
      <c r="AWZ172" s="201"/>
      <c r="AXA172" s="201"/>
      <c r="AXB172" s="201"/>
      <c r="AXC172" s="201"/>
      <c r="AXD172" s="201"/>
      <c r="AXE172" s="201"/>
      <c r="AXF172" s="201"/>
      <c r="AXG172" s="201"/>
      <c r="AXH172" s="201"/>
      <c r="AXI172" s="201"/>
      <c r="AXJ172" s="201"/>
      <c r="AXK172" s="201"/>
      <c r="AXL172" s="201"/>
      <c r="AXM172" s="201"/>
      <c r="AXN172" s="201"/>
      <c r="AXO172" s="201"/>
      <c r="AXP172" s="201"/>
      <c r="AXQ172" s="201"/>
      <c r="AXR172" s="201"/>
      <c r="AXS172" s="201"/>
      <c r="AXT172" s="201"/>
      <c r="AXU172" s="201"/>
      <c r="AXV172" s="201"/>
      <c r="AXW172" s="201"/>
      <c r="AXX172" s="201"/>
      <c r="AXY172" s="201"/>
      <c r="AXZ172" s="201"/>
      <c r="AYA172" s="201"/>
      <c r="AYB172" s="201"/>
      <c r="AYC172" s="201"/>
      <c r="AYD172" s="201"/>
      <c r="AYE172" s="201"/>
      <c r="AYF172" s="201"/>
      <c r="AYG172" s="201"/>
      <c r="AYH172" s="201"/>
      <c r="AYI172" s="201"/>
      <c r="AYJ172" s="201"/>
      <c r="AYK172" s="201"/>
      <c r="AYL172" s="201"/>
      <c r="AYM172" s="201"/>
      <c r="AYN172" s="201"/>
      <c r="AYO172" s="201"/>
      <c r="AYP172" s="201"/>
      <c r="AYQ172" s="201"/>
      <c r="AYR172" s="201"/>
      <c r="AYS172" s="201"/>
      <c r="AYT172" s="201"/>
      <c r="AYU172" s="201"/>
      <c r="AYV172" s="201"/>
      <c r="AYW172" s="201"/>
      <c r="AYX172" s="201"/>
      <c r="AYY172" s="201"/>
      <c r="AYZ172" s="201"/>
      <c r="AZA172" s="201"/>
      <c r="AZB172" s="201"/>
      <c r="AZC172" s="201"/>
      <c r="AZD172" s="201"/>
      <c r="AZE172" s="201"/>
      <c r="AZF172" s="201"/>
      <c r="AZG172" s="201"/>
      <c r="AZH172" s="201"/>
      <c r="AZI172" s="201"/>
      <c r="AZJ172" s="201"/>
      <c r="AZK172" s="201"/>
      <c r="AZL172" s="201"/>
      <c r="AZM172" s="201"/>
      <c r="AZN172" s="201"/>
      <c r="AZO172" s="201"/>
      <c r="AZP172" s="201"/>
      <c r="AZQ172" s="201"/>
      <c r="AZR172" s="201"/>
      <c r="AZS172" s="201"/>
      <c r="AZT172" s="201"/>
      <c r="AZU172" s="201"/>
      <c r="AZV172" s="201"/>
      <c r="AZW172" s="201"/>
      <c r="AZX172" s="201"/>
      <c r="AZY172" s="201"/>
      <c r="AZZ172" s="201"/>
      <c r="BAA172" s="201"/>
      <c r="BAB172" s="201"/>
      <c r="BAC172" s="201"/>
      <c r="BAD172" s="201"/>
      <c r="BAE172" s="201"/>
      <c r="BAF172" s="201"/>
      <c r="BAG172" s="201"/>
      <c r="BAH172" s="201"/>
      <c r="BAI172" s="201"/>
      <c r="BAJ172" s="201"/>
      <c r="BAK172" s="201"/>
      <c r="BAL172" s="201"/>
      <c r="BAM172" s="201"/>
      <c r="BAN172" s="201"/>
      <c r="BAO172" s="201"/>
      <c r="BAP172" s="201"/>
      <c r="BAQ172" s="201"/>
      <c r="BAR172" s="201"/>
      <c r="BAS172" s="201"/>
      <c r="BAT172" s="201"/>
      <c r="BAU172" s="201"/>
      <c r="BAV172" s="201"/>
      <c r="BAW172" s="201"/>
      <c r="BAX172" s="201"/>
      <c r="BAY172" s="201"/>
      <c r="BAZ172" s="201"/>
      <c r="BBA172" s="201"/>
      <c r="BBB172" s="201"/>
      <c r="BBC172" s="201"/>
      <c r="BBD172" s="201"/>
      <c r="BBE172" s="201"/>
      <c r="BBF172" s="201"/>
      <c r="BBG172" s="201"/>
      <c r="BBH172" s="201"/>
      <c r="BBI172" s="201"/>
      <c r="BBJ172" s="201"/>
      <c r="BBK172" s="201"/>
      <c r="BBL172" s="201"/>
      <c r="BBM172" s="201"/>
      <c r="BBN172" s="201"/>
      <c r="BBO172" s="201"/>
      <c r="BBP172" s="201"/>
      <c r="BBQ172" s="201"/>
      <c r="BBR172" s="201"/>
      <c r="BBS172" s="201"/>
      <c r="BBT172" s="201"/>
      <c r="BBU172" s="201"/>
      <c r="BBV172" s="201"/>
      <c r="BBW172" s="201"/>
      <c r="BBX172" s="201"/>
      <c r="BBY172" s="201"/>
      <c r="BBZ172" s="201"/>
      <c r="BCA172" s="201"/>
      <c r="BCB172" s="201"/>
      <c r="BCC172" s="201"/>
      <c r="BCD172" s="201"/>
      <c r="BCE172" s="201"/>
      <c r="BCF172" s="201"/>
      <c r="BCG172" s="201"/>
      <c r="BCH172" s="201"/>
      <c r="BCI172" s="201"/>
      <c r="BCJ172" s="201"/>
      <c r="BCK172" s="201"/>
      <c r="BCL172" s="201"/>
      <c r="BCM172" s="201"/>
      <c r="BCN172" s="201"/>
      <c r="BCO172" s="201"/>
      <c r="BCP172" s="201"/>
      <c r="BCQ172" s="201"/>
      <c r="BCR172" s="201"/>
      <c r="BCS172" s="201"/>
      <c r="BCT172" s="201"/>
      <c r="BCU172" s="201"/>
      <c r="BCV172" s="201"/>
      <c r="BCW172" s="201"/>
      <c r="BCX172" s="201"/>
      <c r="BCY172" s="201"/>
      <c r="BCZ172" s="201"/>
      <c r="BDA172" s="201"/>
      <c r="BDB172" s="201"/>
      <c r="BDC172" s="201"/>
      <c r="BDD172" s="201"/>
      <c r="BDE172" s="201"/>
      <c r="BDF172" s="201"/>
      <c r="BDG172" s="201"/>
      <c r="BDH172" s="201"/>
      <c r="BDI172" s="201"/>
      <c r="BDJ172" s="201"/>
      <c r="BDK172" s="201"/>
      <c r="BDL172" s="201"/>
      <c r="BDM172" s="201"/>
      <c r="BDN172" s="201"/>
      <c r="BDO172" s="201"/>
      <c r="BDP172" s="201"/>
      <c r="BDQ172" s="201"/>
      <c r="BDR172" s="201"/>
      <c r="BDS172" s="201"/>
      <c r="BDT172" s="201"/>
      <c r="BDU172" s="201"/>
      <c r="BDV172" s="201"/>
      <c r="BDW172" s="201"/>
      <c r="BDX172" s="201"/>
      <c r="BDY172" s="201"/>
      <c r="BDZ172" s="201"/>
      <c r="BEA172" s="201"/>
      <c r="BEB172" s="201"/>
      <c r="BEC172" s="201"/>
      <c r="BED172" s="201"/>
      <c r="BEE172" s="201"/>
      <c r="BEF172" s="201"/>
      <c r="BEG172" s="201"/>
      <c r="BEH172" s="201"/>
      <c r="BEI172" s="201"/>
      <c r="BEJ172" s="201"/>
      <c r="BEK172" s="201"/>
      <c r="BEL172" s="201"/>
      <c r="BEM172" s="201"/>
      <c r="BEN172" s="201"/>
      <c r="BEO172" s="201"/>
      <c r="BEP172" s="201"/>
      <c r="BEQ172" s="201"/>
      <c r="BER172" s="201"/>
      <c r="BES172" s="201"/>
      <c r="BET172" s="201"/>
      <c r="BEU172" s="201"/>
      <c r="BEV172" s="201"/>
      <c r="BEW172" s="201"/>
      <c r="BEX172" s="201"/>
      <c r="BEY172" s="201"/>
      <c r="BEZ172" s="201"/>
      <c r="BFA172" s="201"/>
      <c r="BFB172" s="201"/>
      <c r="BFC172" s="201"/>
      <c r="BFD172" s="201"/>
      <c r="BFE172" s="201"/>
      <c r="BFF172" s="201"/>
      <c r="BFG172" s="201"/>
      <c r="BFH172" s="201"/>
      <c r="BFI172" s="201"/>
      <c r="BFJ172" s="201"/>
      <c r="BFK172" s="201"/>
      <c r="BFL172" s="201"/>
      <c r="BFM172" s="201"/>
      <c r="BFN172" s="201"/>
      <c r="BFO172" s="201"/>
      <c r="BFP172" s="201"/>
      <c r="BFQ172" s="201"/>
      <c r="BFR172" s="201"/>
      <c r="BFS172" s="201"/>
      <c r="BFT172" s="201"/>
      <c r="BFU172" s="201"/>
      <c r="BFV172" s="201"/>
      <c r="BFW172" s="201"/>
      <c r="BFX172" s="201"/>
      <c r="BFY172" s="201"/>
      <c r="BFZ172" s="201"/>
      <c r="BGA172" s="201"/>
      <c r="BGB172" s="201"/>
      <c r="BGC172" s="201"/>
      <c r="BGD172" s="201"/>
      <c r="BGE172" s="201"/>
      <c r="BGF172" s="201"/>
      <c r="BGG172" s="201"/>
      <c r="BGH172" s="201"/>
      <c r="BGI172" s="201"/>
      <c r="BGJ172" s="201"/>
      <c r="BGK172" s="201"/>
      <c r="BGL172" s="201"/>
      <c r="BGM172" s="201"/>
      <c r="BGN172" s="201"/>
      <c r="BGO172" s="201"/>
      <c r="BGP172" s="201"/>
      <c r="BGQ172" s="201"/>
      <c r="BGR172" s="201"/>
      <c r="BGS172" s="201"/>
      <c r="BGT172" s="201"/>
      <c r="BGU172" s="201"/>
      <c r="BGV172" s="201"/>
      <c r="BGW172" s="201"/>
      <c r="BGX172" s="201"/>
      <c r="BGY172" s="201"/>
      <c r="BGZ172" s="201"/>
      <c r="BHA172" s="201"/>
      <c r="BHB172" s="201"/>
      <c r="BHC172" s="201"/>
      <c r="BHD172" s="201"/>
      <c r="BHE172" s="201"/>
      <c r="BHF172" s="201"/>
      <c r="BHG172" s="201"/>
      <c r="BHH172" s="201"/>
      <c r="BHI172" s="201"/>
      <c r="BHJ172" s="201"/>
      <c r="BHK172" s="201"/>
      <c r="BHL172" s="201"/>
      <c r="BHM172" s="201"/>
      <c r="BHN172" s="201"/>
      <c r="BHO172" s="201"/>
      <c r="BHP172" s="201"/>
      <c r="BHQ172" s="201"/>
      <c r="BHR172" s="201"/>
      <c r="BHS172" s="201"/>
      <c r="BHT172" s="201"/>
      <c r="BHU172" s="201"/>
      <c r="BHV172" s="201"/>
      <c r="BHW172" s="201"/>
      <c r="BHX172" s="201"/>
      <c r="BHY172" s="201"/>
      <c r="BHZ172" s="201"/>
      <c r="BIA172" s="201"/>
      <c r="BIB172" s="201"/>
      <c r="BIC172" s="201"/>
      <c r="BID172" s="201"/>
      <c r="BIE172" s="201"/>
      <c r="BIF172" s="201"/>
      <c r="BIG172" s="201"/>
      <c r="BIH172" s="201"/>
      <c r="BII172" s="201"/>
      <c r="BIJ172" s="201"/>
      <c r="BIK172" s="201"/>
      <c r="BIL172" s="201"/>
      <c r="BIM172" s="201"/>
      <c r="BIN172" s="201"/>
      <c r="BIO172" s="201"/>
      <c r="BIP172" s="201"/>
      <c r="BIQ172" s="201"/>
      <c r="BIR172" s="201"/>
      <c r="BIS172" s="201"/>
      <c r="BIT172" s="201"/>
      <c r="BIU172" s="201"/>
      <c r="BIV172" s="201"/>
      <c r="BIW172" s="201"/>
      <c r="BIX172" s="201"/>
      <c r="BIY172" s="201"/>
      <c r="BIZ172" s="201"/>
      <c r="BJA172" s="201"/>
      <c r="BJB172" s="201"/>
      <c r="BJC172" s="201"/>
      <c r="BJD172" s="201"/>
      <c r="BJE172" s="201"/>
      <c r="BJF172" s="201"/>
      <c r="BJG172" s="201"/>
      <c r="BJH172" s="201"/>
      <c r="BJI172" s="201"/>
      <c r="BJJ172" s="201"/>
      <c r="BJK172" s="201"/>
      <c r="BJL172" s="201"/>
      <c r="BJM172" s="201"/>
      <c r="BJN172" s="201"/>
      <c r="BJO172" s="201"/>
      <c r="BJP172" s="201"/>
      <c r="BJQ172" s="201"/>
      <c r="BJR172" s="201"/>
      <c r="BJS172" s="201"/>
      <c r="BJT172" s="201"/>
      <c r="BJU172" s="201"/>
      <c r="BJV172" s="201"/>
      <c r="BJW172" s="201"/>
      <c r="BJX172" s="201"/>
      <c r="BJY172" s="201"/>
      <c r="BJZ172" s="201"/>
      <c r="BKA172" s="201"/>
      <c r="BKB172" s="201"/>
      <c r="BKC172" s="201"/>
      <c r="BKD172" s="201"/>
      <c r="BKE172" s="201"/>
      <c r="BKF172" s="201"/>
      <c r="BKG172" s="201"/>
      <c r="BKH172" s="201"/>
      <c r="BKI172" s="201"/>
      <c r="BKJ172" s="201"/>
      <c r="BKK172" s="201"/>
      <c r="BKL172" s="201"/>
      <c r="BKM172" s="201"/>
      <c r="BKN172" s="201"/>
      <c r="BKO172" s="201"/>
      <c r="BKP172" s="201"/>
      <c r="BKQ172" s="201"/>
      <c r="BKR172" s="201"/>
      <c r="BKS172" s="201"/>
      <c r="BKT172" s="201"/>
      <c r="BKU172" s="201"/>
      <c r="BKV172" s="201"/>
      <c r="BKW172" s="201"/>
      <c r="BKX172" s="201"/>
      <c r="BKY172" s="201"/>
      <c r="BKZ172" s="201"/>
      <c r="BLA172" s="201"/>
      <c r="BLB172" s="201"/>
      <c r="BLC172" s="201"/>
      <c r="BLD172" s="201"/>
      <c r="BLE172" s="201"/>
      <c r="BLF172" s="201"/>
      <c r="BLG172" s="201"/>
      <c r="BLH172" s="201"/>
      <c r="BLI172" s="201"/>
      <c r="BLJ172" s="201"/>
      <c r="BLK172" s="201"/>
      <c r="BLL172" s="201"/>
      <c r="BLM172" s="201"/>
      <c r="BLN172" s="201"/>
      <c r="BLO172" s="201"/>
      <c r="BLP172" s="201"/>
      <c r="BLQ172" s="201"/>
      <c r="BLR172" s="201"/>
      <c r="BLS172" s="201"/>
      <c r="BLT172" s="201"/>
      <c r="BLU172" s="201"/>
      <c r="BLV172" s="201"/>
      <c r="BLW172" s="201"/>
      <c r="BLX172" s="201"/>
      <c r="BLY172" s="201"/>
      <c r="BLZ172" s="201"/>
      <c r="BMA172" s="201"/>
      <c r="BMB172" s="201"/>
      <c r="BMC172" s="201"/>
      <c r="BMD172" s="201"/>
      <c r="BME172" s="201"/>
      <c r="BMF172" s="201"/>
      <c r="BMG172" s="201"/>
      <c r="BMH172" s="201"/>
      <c r="BMI172" s="201"/>
      <c r="BMJ172" s="201"/>
      <c r="BMK172" s="201"/>
      <c r="BML172" s="201"/>
      <c r="BMM172" s="201"/>
      <c r="BMN172" s="201"/>
      <c r="BMO172" s="201"/>
      <c r="BMP172" s="201"/>
      <c r="BMQ172" s="201"/>
      <c r="BMR172" s="201"/>
      <c r="BMS172" s="201"/>
      <c r="BMT172" s="201"/>
      <c r="BMU172" s="201"/>
      <c r="BMV172" s="201"/>
      <c r="BMW172" s="201"/>
      <c r="BMX172" s="201"/>
      <c r="BMY172" s="201"/>
      <c r="BMZ172" s="201"/>
      <c r="BNA172" s="201"/>
      <c r="BNB172" s="201"/>
      <c r="BNC172" s="201"/>
      <c r="BND172" s="201"/>
      <c r="BNE172" s="201"/>
      <c r="BNF172" s="201"/>
      <c r="BNG172" s="201"/>
      <c r="BNH172" s="201"/>
      <c r="BNI172" s="201"/>
      <c r="BNJ172" s="201"/>
      <c r="BNK172" s="201"/>
      <c r="BNL172" s="201"/>
      <c r="BNM172" s="201"/>
      <c r="BNN172" s="201"/>
      <c r="BNO172" s="201"/>
      <c r="BNP172" s="201"/>
      <c r="BNQ172" s="201"/>
      <c r="BNR172" s="201"/>
      <c r="BNS172" s="201"/>
      <c r="BNT172" s="201"/>
      <c r="BNU172" s="201"/>
      <c r="BNV172" s="201"/>
      <c r="BNW172" s="201"/>
      <c r="BNX172" s="201"/>
      <c r="BNY172" s="201"/>
      <c r="BNZ172" s="201"/>
      <c r="BOA172" s="201"/>
      <c r="BOB172" s="201"/>
      <c r="BOC172" s="201"/>
      <c r="BOD172" s="201"/>
      <c r="BOE172" s="201"/>
      <c r="BOF172" s="201"/>
      <c r="BOG172" s="201"/>
      <c r="BOH172" s="201"/>
      <c r="BOI172" s="201"/>
      <c r="BOJ172" s="201"/>
      <c r="BOK172" s="201"/>
      <c r="BOL172" s="201"/>
      <c r="BOM172" s="201"/>
      <c r="BON172" s="201"/>
      <c r="BOO172" s="201"/>
      <c r="BOP172" s="201"/>
      <c r="BOQ172" s="201"/>
      <c r="BOR172" s="201"/>
      <c r="BOS172" s="201"/>
      <c r="BOT172" s="201"/>
      <c r="BOU172" s="201"/>
      <c r="BOV172" s="201"/>
      <c r="BOW172" s="201"/>
      <c r="BOX172" s="201"/>
      <c r="BOY172" s="201"/>
      <c r="BOZ172" s="201"/>
      <c r="BPA172" s="201"/>
      <c r="BPB172" s="201"/>
      <c r="BPC172" s="201"/>
      <c r="BPD172" s="201"/>
      <c r="BPE172" s="201"/>
      <c r="BPF172" s="201"/>
      <c r="BPG172" s="201"/>
      <c r="BPH172" s="201"/>
      <c r="BPI172" s="201"/>
      <c r="BPJ172" s="201"/>
      <c r="BPK172" s="201"/>
      <c r="BPL172" s="201"/>
      <c r="BPM172" s="201"/>
      <c r="BPN172" s="201"/>
      <c r="BPO172" s="201"/>
      <c r="BPP172" s="201"/>
      <c r="BPQ172" s="201"/>
      <c r="BPR172" s="201"/>
      <c r="BPS172" s="201"/>
      <c r="BPT172" s="201"/>
      <c r="BPU172" s="201"/>
      <c r="BPV172" s="201"/>
      <c r="BPW172" s="201"/>
      <c r="BPX172" s="201"/>
      <c r="BPY172" s="201"/>
      <c r="BPZ172" s="201"/>
      <c r="BQA172" s="201"/>
      <c r="BQB172" s="201"/>
      <c r="BQC172" s="201"/>
      <c r="BQD172" s="201"/>
      <c r="BQE172" s="201"/>
      <c r="BQF172" s="201"/>
      <c r="BQG172" s="201"/>
      <c r="BQH172" s="201"/>
      <c r="BQI172" s="201"/>
      <c r="BQJ172" s="201"/>
      <c r="BQK172" s="201"/>
      <c r="BQL172" s="201"/>
      <c r="BQM172" s="201"/>
      <c r="BQN172" s="201"/>
      <c r="BQO172" s="201"/>
      <c r="BQP172" s="201"/>
      <c r="BQQ172" s="201"/>
      <c r="BQR172" s="201"/>
      <c r="BQS172" s="201"/>
      <c r="BQT172" s="201"/>
      <c r="BQU172" s="201"/>
      <c r="BQV172" s="201"/>
      <c r="BQW172" s="201"/>
      <c r="BQX172" s="201"/>
      <c r="BQY172" s="201"/>
      <c r="BQZ172" s="201"/>
      <c r="BRA172" s="201"/>
      <c r="BRB172" s="201"/>
      <c r="BRC172" s="201"/>
      <c r="BRD172" s="201"/>
      <c r="BRE172" s="201"/>
      <c r="BRF172" s="201"/>
      <c r="BRG172" s="201"/>
      <c r="BRH172" s="201"/>
      <c r="BRI172" s="201"/>
      <c r="BRJ172" s="201"/>
      <c r="BRK172" s="201"/>
      <c r="BRL172" s="201"/>
      <c r="BRM172" s="201"/>
      <c r="BRN172" s="201"/>
      <c r="BRO172" s="201"/>
      <c r="BRP172" s="201"/>
      <c r="BRQ172" s="201"/>
      <c r="BRR172" s="201"/>
      <c r="BRS172" s="201"/>
      <c r="BRT172" s="201"/>
      <c r="BRU172" s="201"/>
      <c r="BRV172" s="201"/>
      <c r="BRW172" s="201"/>
      <c r="BRX172" s="201"/>
      <c r="BRY172" s="201"/>
      <c r="BRZ172" s="201"/>
      <c r="BSA172" s="201"/>
      <c r="BSB172" s="201"/>
      <c r="BSC172" s="201"/>
      <c r="BSD172" s="201"/>
      <c r="BSE172" s="201"/>
      <c r="BSF172" s="201"/>
      <c r="BSG172" s="201"/>
      <c r="BSH172" s="201"/>
      <c r="BSI172" s="201"/>
      <c r="BSJ172" s="201"/>
      <c r="BSK172" s="201"/>
      <c r="BSL172" s="201"/>
      <c r="BSM172" s="201"/>
      <c r="BSN172" s="201"/>
      <c r="BSO172" s="201"/>
      <c r="BSP172" s="201"/>
      <c r="BSQ172" s="201"/>
      <c r="BSR172" s="201"/>
      <c r="BSS172" s="201"/>
      <c r="BST172" s="201"/>
      <c r="BSU172" s="201"/>
      <c r="BSV172" s="201"/>
      <c r="BSW172" s="201"/>
      <c r="BSX172" s="201"/>
      <c r="BSY172" s="201"/>
      <c r="BSZ172" s="201"/>
      <c r="BTA172" s="201"/>
      <c r="BTB172" s="201"/>
      <c r="BTC172" s="201"/>
      <c r="BTD172" s="201"/>
      <c r="BTE172" s="201"/>
      <c r="BTF172" s="201"/>
      <c r="BTG172" s="201"/>
      <c r="BTH172" s="201"/>
      <c r="BTI172" s="201"/>
      <c r="BTJ172" s="201"/>
      <c r="BTK172" s="201"/>
      <c r="BTL172" s="201"/>
      <c r="BTM172" s="201"/>
      <c r="BTN172" s="201"/>
      <c r="BTO172" s="201"/>
      <c r="BTP172" s="201"/>
      <c r="BTQ172" s="201"/>
      <c r="BTR172" s="201"/>
      <c r="BTS172" s="201"/>
      <c r="BTT172" s="201"/>
      <c r="BTU172" s="201"/>
      <c r="BTV172" s="201"/>
      <c r="BTW172" s="201"/>
      <c r="BTX172" s="201"/>
      <c r="BTY172" s="201"/>
      <c r="BTZ172" s="201"/>
      <c r="BUA172" s="201"/>
      <c r="BUB172" s="201"/>
      <c r="BUC172" s="201"/>
      <c r="BUD172" s="201"/>
      <c r="BUE172" s="201"/>
      <c r="BUF172" s="201"/>
      <c r="BUG172" s="201"/>
      <c r="BUH172" s="201"/>
      <c r="BUI172" s="201"/>
      <c r="BUJ172" s="201"/>
      <c r="BUK172" s="201"/>
      <c r="BUL172" s="201"/>
      <c r="BUM172" s="201"/>
      <c r="BUN172" s="201"/>
      <c r="BUO172" s="201"/>
      <c r="BUP172" s="201"/>
      <c r="BUQ172" s="201"/>
      <c r="BUR172" s="201"/>
      <c r="BUS172" s="201"/>
      <c r="BUT172" s="201"/>
      <c r="BUU172" s="201"/>
      <c r="BUV172" s="201"/>
      <c r="BUW172" s="201"/>
      <c r="BUX172" s="201"/>
      <c r="BUY172" s="201"/>
      <c r="BUZ172" s="201"/>
      <c r="BVA172" s="201"/>
      <c r="BVB172" s="201"/>
      <c r="BVC172" s="201"/>
      <c r="BVD172" s="201"/>
      <c r="BVE172" s="201"/>
      <c r="BVF172" s="201"/>
      <c r="BVG172" s="201"/>
      <c r="BVH172" s="201"/>
      <c r="BVI172" s="201"/>
      <c r="BVJ172" s="201"/>
      <c r="BVK172" s="201"/>
      <c r="BVL172" s="201"/>
      <c r="BVM172" s="201"/>
      <c r="BVN172" s="201"/>
      <c r="BVO172" s="201"/>
      <c r="BVP172" s="201"/>
      <c r="BVQ172" s="201"/>
      <c r="BVR172" s="201"/>
      <c r="BVS172" s="201"/>
      <c r="BVT172" s="201"/>
      <c r="BVU172" s="201"/>
      <c r="BVV172" s="201"/>
      <c r="BVW172" s="201"/>
      <c r="BVX172" s="201"/>
      <c r="BVY172" s="201"/>
      <c r="BVZ172" s="201"/>
      <c r="BWA172" s="201"/>
      <c r="BWB172" s="201"/>
      <c r="BWC172" s="201"/>
      <c r="BWD172" s="201"/>
      <c r="BWE172" s="201"/>
      <c r="BWF172" s="201"/>
      <c r="BWG172" s="201"/>
      <c r="BWH172" s="201"/>
      <c r="BWI172" s="201"/>
      <c r="BWJ172" s="201"/>
      <c r="BWK172" s="201"/>
      <c r="BWL172" s="201"/>
      <c r="BWM172" s="201"/>
      <c r="BWN172" s="201"/>
      <c r="BWO172" s="201"/>
      <c r="BWP172" s="201"/>
      <c r="BWQ172" s="201"/>
      <c r="BWR172" s="201"/>
      <c r="BWS172" s="201"/>
      <c r="BWT172" s="201"/>
      <c r="BWU172" s="201"/>
      <c r="BWV172" s="201"/>
      <c r="BWW172" s="201"/>
      <c r="BWX172" s="201"/>
      <c r="BWY172" s="201"/>
      <c r="BWZ172" s="201"/>
      <c r="BXA172" s="201"/>
      <c r="BXB172" s="201"/>
      <c r="BXC172" s="201"/>
      <c r="BXD172" s="201"/>
      <c r="BXE172" s="201"/>
      <c r="BXF172" s="201"/>
      <c r="BXG172" s="201"/>
      <c r="BXH172" s="201"/>
      <c r="BXI172" s="201"/>
      <c r="BXJ172" s="201"/>
      <c r="BXK172" s="201"/>
      <c r="BXL172" s="201"/>
      <c r="BXM172" s="201"/>
      <c r="BXN172" s="201"/>
      <c r="BXO172" s="201"/>
      <c r="BXP172" s="201"/>
      <c r="BXQ172" s="201"/>
      <c r="BXR172" s="201"/>
      <c r="BXS172" s="201"/>
      <c r="BXT172" s="201"/>
      <c r="BXU172" s="201"/>
      <c r="BXV172" s="201"/>
      <c r="BXW172" s="201"/>
      <c r="BXX172" s="201"/>
      <c r="BXY172" s="201"/>
      <c r="BXZ172" s="201"/>
      <c r="BYA172" s="201"/>
      <c r="BYB172" s="201"/>
      <c r="BYC172" s="201"/>
      <c r="BYD172" s="201"/>
      <c r="BYE172" s="201"/>
      <c r="BYF172" s="201"/>
      <c r="BYG172" s="201"/>
      <c r="BYH172" s="201"/>
      <c r="BYI172" s="201"/>
      <c r="BYJ172" s="201"/>
      <c r="BYK172" s="201"/>
      <c r="BYL172" s="201"/>
      <c r="BYM172" s="201"/>
      <c r="BYN172" s="201"/>
      <c r="BYO172" s="201"/>
      <c r="BYP172" s="201"/>
      <c r="BYQ172" s="201"/>
      <c r="BYR172" s="201"/>
      <c r="BYS172" s="201"/>
      <c r="BYT172" s="201"/>
      <c r="BYU172" s="201"/>
      <c r="BYV172" s="201"/>
      <c r="BYW172" s="201"/>
      <c r="BYX172" s="201"/>
      <c r="BYY172" s="201"/>
      <c r="BYZ172" s="201"/>
      <c r="BZA172" s="201"/>
      <c r="BZB172" s="201"/>
      <c r="BZC172" s="201"/>
      <c r="BZD172" s="201"/>
      <c r="BZE172" s="201"/>
      <c r="BZF172" s="201"/>
      <c r="BZG172" s="201"/>
      <c r="BZH172" s="201"/>
      <c r="BZI172" s="201"/>
      <c r="BZJ172" s="201"/>
      <c r="BZK172" s="201"/>
      <c r="BZL172" s="201"/>
      <c r="BZM172" s="201"/>
      <c r="BZN172" s="201"/>
      <c r="BZO172" s="201"/>
      <c r="BZP172" s="201"/>
      <c r="BZQ172" s="201"/>
      <c r="BZR172" s="201"/>
      <c r="BZS172" s="201"/>
      <c r="BZT172" s="201"/>
      <c r="BZU172" s="201"/>
      <c r="BZV172" s="201"/>
      <c r="BZW172" s="201"/>
      <c r="BZX172" s="201"/>
      <c r="BZY172" s="201"/>
      <c r="BZZ172" s="201"/>
      <c r="CAA172" s="201"/>
      <c r="CAB172" s="201"/>
      <c r="CAC172" s="201"/>
      <c r="CAD172" s="201"/>
      <c r="CAE172" s="201"/>
      <c r="CAF172" s="201"/>
      <c r="CAG172" s="201"/>
      <c r="CAH172" s="201"/>
      <c r="CAI172" s="201"/>
      <c r="CAJ172" s="201"/>
      <c r="CAK172" s="201"/>
      <c r="CAL172" s="201"/>
      <c r="CAM172" s="201"/>
      <c r="CAN172" s="201"/>
      <c r="CAO172" s="201"/>
      <c r="CAP172" s="201"/>
      <c r="CAQ172" s="201"/>
      <c r="CAR172" s="201"/>
      <c r="CAS172" s="201"/>
      <c r="CAT172" s="201"/>
      <c r="CAU172" s="201"/>
      <c r="CAV172" s="201"/>
      <c r="CAW172" s="201"/>
      <c r="CAX172" s="201"/>
      <c r="CAY172" s="201"/>
      <c r="CAZ172" s="201"/>
      <c r="CBA172" s="201"/>
      <c r="CBB172" s="201"/>
      <c r="CBC172" s="201"/>
      <c r="CBD172" s="201"/>
      <c r="CBE172" s="201"/>
      <c r="CBF172" s="201"/>
      <c r="CBG172" s="201"/>
      <c r="CBH172" s="201"/>
      <c r="CBI172" s="201"/>
      <c r="CBJ172" s="201"/>
      <c r="CBK172" s="201"/>
      <c r="CBL172" s="201"/>
      <c r="CBM172" s="201"/>
      <c r="CBN172" s="201"/>
      <c r="CBO172" s="201"/>
      <c r="CBP172" s="201"/>
      <c r="CBQ172" s="201"/>
      <c r="CBR172" s="201"/>
      <c r="CBS172" s="201"/>
      <c r="CBT172" s="201"/>
      <c r="CBU172" s="201"/>
      <c r="CBV172" s="201"/>
      <c r="CBW172" s="201"/>
      <c r="CBX172" s="201"/>
      <c r="CBY172" s="201"/>
      <c r="CBZ172" s="201"/>
      <c r="CCA172" s="201"/>
      <c r="CCB172" s="201"/>
      <c r="CCC172" s="201"/>
      <c r="CCD172" s="201"/>
      <c r="CCE172" s="201"/>
      <c r="CCF172" s="201"/>
      <c r="CCG172" s="201"/>
      <c r="CCH172" s="201"/>
      <c r="CCI172" s="201"/>
      <c r="CCJ172" s="201"/>
      <c r="CCK172" s="201"/>
      <c r="CCL172" s="201"/>
      <c r="CCM172" s="201"/>
      <c r="CCN172" s="201"/>
      <c r="CCO172" s="201"/>
      <c r="CCP172" s="201"/>
      <c r="CCQ172" s="201"/>
      <c r="CCR172" s="201"/>
      <c r="CCS172" s="201"/>
      <c r="CCT172" s="201"/>
      <c r="CCU172" s="201"/>
      <c r="CCV172" s="201"/>
      <c r="CCW172" s="201"/>
      <c r="CCX172" s="201"/>
      <c r="CCY172" s="201"/>
      <c r="CCZ172" s="201"/>
      <c r="CDA172" s="201"/>
      <c r="CDB172" s="201"/>
      <c r="CDC172" s="201"/>
      <c r="CDD172" s="201"/>
      <c r="CDE172" s="201"/>
      <c r="CDF172" s="201"/>
      <c r="CDG172" s="201"/>
      <c r="CDH172" s="201"/>
      <c r="CDI172" s="201"/>
      <c r="CDJ172" s="201"/>
      <c r="CDK172" s="201"/>
      <c r="CDL172" s="201"/>
      <c r="CDM172" s="201"/>
      <c r="CDN172" s="201"/>
      <c r="CDO172" s="201"/>
      <c r="CDP172" s="201"/>
      <c r="CDQ172" s="201"/>
      <c r="CDR172" s="201"/>
      <c r="CDS172" s="201"/>
      <c r="CDT172" s="201"/>
      <c r="CDU172" s="201"/>
      <c r="CDV172" s="201"/>
      <c r="CDW172" s="201"/>
      <c r="CDX172" s="201"/>
      <c r="CDY172" s="201"/>
      <c r="CDZ172" s="201"/>
      <c r="CEA172" s="201"/>
      <c r="CEB172" s="201"/>
      <c r="CEC172" s="201"/>
      <c r="CED172" s="201"/>
      <c r="CEE172" s="201"/>
      <c r="CEF172" s="201"/>
      <c r="CEG172" s="201"/>
      <c r="CEH172" s="201"/>
      <c r="CEI172" s="201"/>
      <c r="CEJ172" s="201"/>
      <c r="CEK172" s="201"/>
      <c r="CEL172" s="201"/>
      <c r="CEM172" s="201"/>
      <c r="CEN172" s="201"/>
      <c r="CEO172" s="201"/>
      <c r="CEP172" s="201"/>
      <c r="CEQ172" s="201"/>
      <c r="CER172" s="201"/>
      <c r="CES172" s="201"/>
      <c r="CET172" s="201"/>
      <c r="CEU172" s="201"/>
      <c r="CEV172" s="201"/>
      <c r="CEW172" s="201"/>
      <c r="CEX172" s="201"/>
      <c r="CEY172" s="201"/>
      <c r="CEZ172" s="201"/>
      <c r="CFA172" s="201"/>
      <c r="CFB172" s="201"/>
      <c r="CFC172" s="201"/>
      <c r="CFD172" s="201"/>
      <c r="CFE172" s="201"/>
      <c r="CFF172" s="201"/>
      <c r="CFG172" s="201"/>
      <c r="CFH172" s="201"/>
      <c r="CFI172" s="201"/>
      <c r="CFJ172" s="201"/>
      <c r="CFK172" s="201"/>
      <c r="CFL172" s="201"/>
      <c r="CFM172" s="201"/>
      <c r="CFN172" s="201"/>
      <c r="CFO172" s="201"/>
      <c r="CFP172" s="201"/>
      <c r="CFQ172" s="201"/>
      <c r="CFR172" s="201"/>
      <c r="CFS172" s="201"/>
      <c r="CFT172" s="201"/>
      <c r="CFU172" s="201"/>
      <c r="CFV172" s="201"/>
      <c r="CFW172" s="201"/>
      <c r="CFX172" s="201"/>
      <c r="CFY172" s="201"/>
      <c r="CFZ172" s="201"/>
      <c r="CGA172" s="201"/>
      <c r="CGB172" s="201"/>
      <c r="CGC172" s="201"/>
      <c r="CGD172" s="201"/>
      <c r="CGE172" s="201"/>
      <c r="CGF172" s="201"/>
      <c r="CGG172" s="201"/>
      <c r="CGH172" s="201"/>
      <c r="CGI172" s="201"/>
      <c r="CGJ172" s="201"/>
      <c r="CGK172" s="201"/>
      <c r="CGL172" s="201"/>
      <c r="CGM172" s="201"/>
      <c r="CGN172" s="201"/>
      <c r="CGO172" s="201"/>
      <c r="CGP172" s="201"/>
      <c r="CGQ172" s="201"/>
      <c r="CGR172" s="201"/>
      <c r="CGS172" s="201"/>
      <c r="CGT172" s="201"/>
      <c r="CGU172" s="201"/>
      <c r="CGV172" s="201"/>
      <c r="CGW172" s="201"/>
      <c r="CGX172" s="201"/>
      <c r="CGY172" s="201"/>
      <c r="CGZ172" s="201"/>
      <c r="CHA172" s="201"/>
      <c r="CHB172" s="201"/>
      <c r="CHC172" s="201"/>
      <c r="CHD172" s="201"/>
      <c r="CHE172" s="201"/>
      <c r="CHF172" s="201"/>
      <c r="CHG172" s="201"/>
      <c r="CHH172" s="201"/>
      <c r="CHI172" s="201"/>
      <c r="CHJ172" s="201"/>
      <c r="CHK172" s="201"/>
      <c r="CHL172" s="201"/>
      <c r="CHM172" s="201"/>
      <c r="CHN172" s="201"/>
      <c r="CHO172" s="201"/>
      <c r="CHP172" s="201"/>
      <c r="CHQ172" s="201"/>
      <c r="CHR172" s="201"/>
      <c r="CHS172" s="201"/>
      <c r="CHT172" s="201"/>
      <c r="CHU172" s="201"/>
      <c r="CHV172" s="201"/>
      <c r="CHW172" s="201"/>
      <c r="CHX172" s="201"/>
      <c r="CHY172" s="201"/>
      <c r="CHZ172" s="201"/>
      <c r="CIA172" s="201"/>
      <c r="CIB172" s="201"/>
      <c r="CIC172" s="201"/>
      <c r="CID172" s="201"/>
      <c r="CIE172" s="201"/>
      <c r="CIF172" s="201"/>
      <c r="CIG172" s="201"/>
      <c r="CIH172" s="201"/>
      <c r="CII172" s="201"/>
      <c r="CIJ172" s="201"/>
      <c r="CIK172" s="201"/>
      <c r="CIL172" s="201"/>
      <c r="CIM172" s="201"/>
      <c r="CIN172" s="201"/>
      <c r="CIO172" s="201"/>
      <c r="CIP172" s="201"/>
      <c r="CIQ172" s="201"/>
      <c r="CIR172" s="201"/>
      <c r="CIS172" s="201"/>
      <c r="CIT172" s="201"/>
      <c r="CIU172" s="201"/>
      <c r="CIV172" s="201"/>
      <c r="CIW172" s="201"/>
      <c r="CIX172" s="201"/>
      <c r="CIY172" s="201"/>
      <c r="CIZ172" s="201"/>
      <c r="CJA172" s="201"/>
      <c r="CJB172" s="201"/>
      <c r="CJC172" s="201"/>
      <c r="CJD172" s="201"/>
      <c r="CJE172" s="201"/>
      <c r="CJF172" s="201"/>
      <c r="CJG172" s="201"/>
      <c r="CJH172" s="201"/>
      <c r="CJI172" s="201"/>
      <c r="CJJ172" s="201"/>
      <c r="CJK172" s="201"/>
      <c r="CJL172" s="201"/>
      <c r="CJM172" s="201"/>
      <c r="CJN172" s="201"/>
      <c r="CJO172" s="201"/>
      <c r="CJP172" s="201"/>
      <c r="CJQ172" s="201"/>
      <c r="CJR172" s="201"/>
      <c r="CJS172" s="201"/>
      <c r="CJT172" s="201"/>
      <c r="CJU172" s="201"/>
      <c r="CJV172" s="201"/>
      <c r="CJW172" s="201"/>
      <c r="CJX172" s="201"/>
      <c r="CJY172" s="201"/>
      <c r="CJZ172" s="201"/>
      <c r="CKA172" s="201"/>
      <c r="CKB172" s="201"/>
      <c r="CKC172" s="201"/>
      <c r="CKD172" s="201"/>
      <c r="CKE172" s="201"/>
      <c r="CKF172" s="201"/>
      <c r="CKG172" s="201"/>
      <c r="CKH172" s="201"/>
      <c r="CKI172" s="201"/>
      <c r="CKJ172" s="201"/>
      <c r="CKK172" s="201"/>
      <c r="CKL172" s="201"/>
      <c r="CKM172" s="201"/>
      <c r="CKN172" s="201"/>
      <c r="CKO172" s="201"/>
      <c r="CKP172" s="201"/>
      <c r="CKQ172" s="201"/>
      <c r="CKR172" s="201"/>
      <c r="CKS172" s="201"/>
      <c r="CKT172" s="201"/>
      <c r="CKU172" s="201"/>
      <c r="CKV172" s="201"/>
      <c r="CKW172" s="201"/>
      <c r="CKX172" s="201"/>
      <c r="CKY172" s="201"/>
      <c r="CKZ172" s="201"/>
      <c r="CLA172" s="201"/>
      <c r="CLB172" s="201"/>
      <c r="CLC172" s="201"/>
      <c r="CLD172" s="201"/>
      <c r="CLE172" s="201"/>
      <c r="CLF172" s="201"/>
      <c r="CLG172" s="201"/>
      <c r="CLH172" s="201"/>
      <c r="CLI172" s="201"/>
      <c r="CLJ172" s="201"/>
      <c r="CLK172" s="201"/>
      <c r="CLL172" s="201"/>
      <c r="CLM172" s="201"/>
      <c r="CLN172" s="201"/>
      <c r="CLO172" s="201"/>
      <c r="CLP172" s="201"/>
      <c r="CLQ172" s="201"/>
      <c r="CLR172" s="201"/>
      <c r="CLS172" s="201"/>
      <c r="CLT172" s="201"/>
      <c r="CLU172" s="201"/>
      <c r="CLV172" s="201"/>
      <c r="CLW172" s="201"/>
      <c r="CLX172" s="201"/>
      <c r="CLY172" s="201"/>
      <c r="CLZ172" s="201"/>
      <c r="CMA172" s="201"/>
      <c r="CMB172" s="201"/>
      <c r="CMC172" s="201"/>
      <c r="CMD172" s="201"/>
      <c r="CME172" s="201"/>
      <c r="CMF172" s="201"/>
      <c r="CMG172" s="201"/>
      <c r="CMH172" s="201"/>
      <c r="CMI172" s="201"/>
      <c r="CMJ172" s="201"/>
      <c r="CMK172" s="201"/>
      <c r="CML172" s="201"/>
      <c r="CMM172" s="201"/>
      <c r="CMN172" s="201"/>
      <c r="CMO172" s="201"/>
      <c r="CMP172" s="201"/>
      <c r="CMQ172" s="201"/>
      <c r="CMR172" s="201"/>
      <c r="CMS172" s="201"/>
      <c r="CMT172" s="201"/>
      <c r="CMU172" s="201"/>
      <c r="CMV172" s="201"/>
      <c r="CMW172" s="201"/>
      <c r="CMX172" s="201"/>
      <c r="CMY172" s="201"/>
      <c r="CMZ172" s="201"/>
      <c r="CNA172" s="201"/>
      <c r="CNB172" s="201"/>
      <c r="CNC172" s="201"/>
      <c r="CND172" s="201"/>
      <c r="CNE172" s="201"/>
      <c r="CNF172" s="201"/>
      <c r="CNG172" s="201"/>
      <c r="CNH172" s="201"/>
      <c r="CNI172" s="201"/>
      <c r="CNJ172" s="201"/>
      <c r="CNK172" s="201"/>
      <c r="CNL172" s="201"/>
      <c r="CNM172" s="201"/>
      <c r="CNN172" s="201"/>
      <c r="CNO172" s="201"/>
      <c r="CNP172" s="201"/>
      <c r="CNQ172" s="201"/>
      <c r="CNR172" s="201"/>
      <c r="CNS172" s="201"/>
      <c r="CNT172" s="201"/>
      <c r="CNU172" s="201"/>
      <c r="CNV172" s="201"/>
      <c r="CNW172" s="201"/>
      <c r="CNX172" s="201"/>
      <c r="CNY172" s="201"/>
      <c r="CNZ172" s="201"/>
      <c r="COA172" s="201"/>
      <c r="COB172" s="201"/>
      <c r="COC172" s="201"/>
      <c r="COD172" s="201"/>
      <c r="COE172" s="201"/>
      <c r="COF172" s="201"/>
      <c r="COG172" s="201"/>
      <c r="COH172" s="201"/>
      <c r="COI172" s="201"/>
      <c r="COJ172" s="201"/>
      <c r="COK172" s="201"/>
      <c r="COL172" s="201"/>
      <c r="COM172" s="201"/>
      <c r="CON172" s="201"/>
      <c r="COO172" s="201"/>
      <c r="COP172" s="201"/>
      <c r="COQ172" s="201"/>
      <c r="COR172" s="201"/>
      <c r="COS172" s="201"/>
      <c r="COT172" s="201"/>
      <c r="COU172" s="201"/>
      <c r="COV172" s="201"/>
      <c r="COW172" s="201"/>
      <c r="COX172" s="201"/>
      <c r="COY172" s="201"/>
      <c r="COZ172" s="201"/>
      <c r="CPA172" s="201"/>
      <c r="CPB172" s="201"/>
      <c r="CPC172" s="201"/>
      <c r="CPD172" s="201"/>
      <c r="CPE172" s="201"/>
      <c r="CPF172" s="201"/>
      <c r="CPG172" s="201"/>
      <c r="CPH172" s="201"/>
      <c r="CPI172" s="201"/>
      <c r="CPJ172" s="201"/>
      <c r="CPK172" s="201"/>
      <c r="CPL172" s="201"/>
      <c r="CPM172" s="201"/>
      <c r="CPN172" s="201"/>
      <c r="CPO172" s="201"/>
      <c r="CPP172" s="201"/>
      <c r="CPQ172" s="201"/>
      <c r="CPR172" s="201"/>
      <c r="CPS172" s="201"/>
      <c r="CPT172" s="201"/>
      <c r="CPU172" s="201"/>
      <c r="CPV172" s="201"/>
      <c r="CPW172" s="201"/>
      <c r="CPX172" s="201"/>
      <c r="CPY172" s="201"/>
      <c r="CPZ172" s="201"/>
      <c r="CQA172" s="201"/>
      <c r="CQB172" s="201"/>
      <c r="CQC172" s="201"/>
      <c r="CQD172" s="201"/>
      <c r="CQE172" s="201"/>
      <c r="CQF172" s="201"/>
      <c r="CQG172" s="201"/>
      <c r="CQH172" s="201"/>
      <c r="CQI172" s="201"/>
      <c r="CQJ172" s="201"/>
      <c r="CQK172" s="201"/>
      <c r="CQL172" s="201"/>
      <c r="CQM172" s="201"/>
      <c r="CQN172" s="201"/>
      <c r="CQO172" s="201"/>
      <c r="CQP172" s="201"/>
      <c r="CQQ172" s="201"/>
      <c r="CQR172" s="201"/>
      <c r="CQS172" s="201"/>
      <c r="CQT172" s="201"/>
      <c r="CQU172" s="201"/>
      <c r="CQV172" s="201"/>
      <c r="CQW172" s="201"/>
      <c r="CQX172" s="201"/>
      <c r="CQY172" s="201"/>
      <c r="CQZ172" s="201"/>
      <c r="CRA172" s="201"/>
      <c r="CRB172" s="201"/>
      <c r="CRC172" s="201"/>
      <c r="CRD172" s="201"/>
      <c r="CRE172" s="201"/>
      <c r="CRF172" s="201"/>
      <c r="CRG172" s="201"/>
      <c r="CRH172" s="201"/>
      <c r="CRI172" s="201"/>
      <c r="CRJ172" s="201"/>
      <c r="CRK172" s="201"/>
      <c r="CRL172" s="201"/>
      <c r="CRM172" s="201"/>
      <c r="CRN172" s="201"/>
      <c r="CRO172" s="201"/>
      <c r="CRP172" s="201"/>
      <c r="CRQ172" s="201"/>
      <c r="CRR172" s="201"/>
      <c r="CRS172" s="201"/>
      <c r="CRT172" s="201"/>
      <c r="CRU172" s="201"/>
      <c r="CRV172" s="201"/>
      <c r="CRW172" s="201"/>
      <c r="CRX172" s="201"/>
      <c r="CRY172" s="201"/>
      <c r="CRZ172" s="201"/>
      <c r="CSA172" s="201"/>
      <c r="CSB172" s="201"/>
      <c r="CSC172" s="201"/>
      <c r="CSD172" s="201"/>
      <c r="CSE172" s="201"/>
      <c r="CSF172" s="201"/>
      <c r="CSG172" s="201"/>
      <c r="CSH172" s="201"/>
      <c r="CSI172" s="201"/>
      <c r="CSJ172" s="201"/>
      <c r="CSK172" s="201"/>
      <c r="CSL172" s="201"/>
      <c r="CSM172" s="201"/>
      <c r="CSN172" s="201"/>
      <c r="CSO172" s="201"/>
      <c r="CSP172" s="201"/>
      <c r="CSQ172" s="201"/>
      <c r="CSR172" s="201"/>
      <c r="CSS172" s="201"/>
      <c r="CST172" s="201"/>
      <c r="CSU172" s="201"/>
      <c r="CSV172" s="201"/>
      <c r="CSW172" s="201"/>
      <c r="CSX172" s="201"/>
      <c r="CSY172" s="201"/>
      <c r="CSZ172" s="201"/>
      <c r="CTA172" s="201"/>
      <c r="CTB172" s="201"/>
      <c r="CTC172" s="201"/>
      <c r="CTD172" s="201"/>
      <c r="CTE172" s="201"/>
      <c r="CTF172" s="201"/>
      <c r="CTG172" s="201"/>
      <c r="CTH172" s="201"/>
      <c r="CTI172" s="201"/>
      <c r="CTJ172" s="201"/>
      <c r="CTK172" s="201"/>
      <c r="CTL172" s="201"/>
      <c r="CTM172" s="201"/>
      <c r="CTN172" s="201"/>
      <c r="CTO172" s="201"/>
      <c r="CTP172" s="201"/>
      <c r="CTQ172" s="201"/>
      <c r="CTR172" s="201"/>
      <c r="CTS172" s="201"/>
      <c r="CTT172" s="201"/>
      <c r="CTU172" s="201"/>
      <c r="CTV172" s="201"/>
      <c r="CTW172" s="201"/>
      <c r="CTX172" s="201"/>
      <c r="CTY172" s="201"/>
      <c r="CTZ172" s="201"/>
      <c r="CUA172" s="201"/>
      <c r="CUB172" s="201"/>
      <c r="CUC172" s="201"/>
      <c r="CUD172" s="201"/>
      <c r="CUE172" s="201"/>
      <c r="CUF172" s="201"/>
      <c r="CUG172" s="201"/>
      <c r="CUH172" s="201"/>
      <c r="CUI172" s="201"/>
      <c r="CUJ172" s="201"/>
      <c r="CUK172" s="201"/>
      <c r="CUL172" s="201"/>
      <c r="CUM172" s="201"/>
      <c r="CUN172" s="201"/>
      <c r="CUO172" s="201"/>
      <c r="CUP172" s="201"/>
      <c r="CUQ172" s="201"/>
      <c r="CUR172" s="201"/>
      <c r="CUS172" s="201"/>
      <c r="CUT172" s="201"/>
      <c r="CUU172" s="201"/>
      <c r="CUV172" s="201"/>
      <c r="CUW172" s="201"/>
      <c r="CUX172" s="201"/>
      <c r="CUY172" s="201"/>
      <c r="CUZ172" s="201"/>
      <c r="CVA172" s="201"/>
      <c r="CVB172" s="201"/>
      <c r="CVC172" s="201"/>
      <c r="CVD172" s="201"/>
      <c r="CVE172" s="201"/>
      <c r="CVF172" s="201"/>
      <c r="CVG172" s="201"/>
      <c r="CVH172" s="201"/>
      <c r="CVI172" s="201"/>
      <c r="CVJ172" s="201"/>
      <c r="CVK172" s="201"/>
      <c r="CVL172" s="201"/>
      <c r="CVM172" s="201"/>
      <c r="CVN172" s="201"/>
      <c r="CVO172" s="201"/>
      <c r="CVP172" s="201"/>
      <c r="CVQ172" s="201"/>
      <c r="CVR172" s="201"/>
      <c r="CVS172" s="201"/>
      <c r="CVT172" s="201"/>
      <c r="CVU172" s="201"/>
      <c r="CVV172" s="201"/>
      <c r="CVW172" s="201"/>
      <c r="CVX172" s="201"/>
      <c r="CVY172" s="201"/>
      <c r="CVZ172" s="201"/>
      <c r="CWA172" s="201"/>
      <c r="CWB172" s="201"/>
      <c r="CWC172" s="201"/>
      <c r="CWD172" s="201"/>
      <c r="CWE172" s="201"/>
      <c r="CWF172" s="201"/>
      <c r="CWG172" s="201"/>
      <c r="CWH172" s="201"/>
      <c r="CWI172" s="201"/>
      <c r="CWJ172" s="201"/>
      <c r="CWK172" s="201"/>
      <c r="CWL172" s="201"/>
      <c r="CWM172" s="201"/>
      <c r="CWN172" s="201"/>
      <c r="CWO172" s="201"/>
      <c r="CWP172" s="201"/>
      <c r="CWQ172" s="201"/>
      <c r="CWR172" s="201"/>
      <c r="CWS172" s="201"/>
      <c r="CWT172" s="201"/>
      <c r="CWU172" s="201"/>
      <c r="CWV172" s="201"/>
      <c r="CWW172" s="201"/>
      <c r="CWX172" s="201"/>
      <c r="CWY172" s="201"/>
      <c r="CWZ172" s="201"/>
      <c r="CXA172" s="201"/>
      <c r="CXB172" s="201"/>
      <c r="CXC172" s="201"/>
      <c r="CXD172" s="201"/>
      <c r="CXE172" s="201"/>
      <c r="CXF172" s="201"/>
      <c r="CXG172" s="201"/>
      <c r="CXH172" s="201"/>
      <c r="CXI172" s="201"/>
      <c r="CXJ172" s="201"/>
      <c r="CXK172" s="201"/>
      <c r="CXL172" s="201"/>
      <c r="CXM172" s="201"/>
      <c r="CXN172" s="201"/>
      <c r="CXO172" s="201"/>
      <c r="CXP172" s="201"/>
      <c r="CXQ172" s="201"/>
      <c r="CXR172" s="201"/>
      <c r="CXS172" s="201"/>
      <c r="CXT172" s="201"/>
      <c r="CXU172" s="201"/>
      <c r="CXV172" s="201"/>
      <c r="CXW172" s="201"/>
      <c r="CXX172" s="201"/>
      <c r="CXY172" s="201"/>
      <c r="CXZ172" s="201"/>
      <c r="CYA172" s="201"/>
      <c r="CYB172" s="201"/>
      <c r="CYC172" s="201"/>
      <c r="CYD172" s="201"/>
      <c r="CYE172" s="201"/>
      <c r="CYF172" s="201"/>
      <c r="CYG172" s="201"/>
      <c r="CYH172" s="201"/>
      <c r="CYI172" s="201"/>
      <c r="CYJ172" s="201"/>
      <c r="CYK172" s="201"/>
      <c r="CYL172" s="201"/>
      <c r="CYM172" s="201"/>
      <c r="CYN172" s="201"/>
      <c r="CYO172" s="201"/>
      <c r="CYP172" s="201"/>
      <c r="CYQ172" s="201"/>
      <c r="CYR172" s="201"/>
      <c r="CYS172" s="201"/>
      <c r="CYT172" s="201"/>
      <c r="CYU172" s="201"/>
      <c r="CYV172" s="201"/>
      <c r="CYW172" s="201"/>
      <c r="CYX172" s="201"/>
      <c r="CYY172" s="201"/>
      <c r="CYZ172" s="201"/>
      <c r="CZA172" s="201"/>
      <c r="CZB172" s="201"/>
      <c r="CZC172" s="201"/>
      <c r="CZD172" s="201"/>
      <c r="CZE172" s="201"/>
      <c r="CZF172" s="201"/>
      <c r="CZG172" s="201"/>
      <c r="CZH172" s="201"/>
      <c r="CZI172" s="201"/>
      <c r="CZJ172" s="201"/>
      <c r="CZK172" s="201"/>
      <c r="CZL172" s="201"/>
      <c r="CZM172" s="201"/>
      <c r="CZN172" s="201"/>
      <c r="CZO172" s="201"/>
      <c r="CZP172" s="201"/>
      <c r="CZQ172" s="201"/>
      <c r="CZR172" s="201"/>
      <c r="CZS172" s="201"/>
      <c r="CZT172" s="201"/>
      <c r="CZU172" s="201"/>
      <c r="CZV172" s="201"/>
      <c r="CZW172" s="201"/>
      <c r="CZX172" s="201"/>
      <c r="CZY172" s="201"/>
      <c r="CZZ172" s="201"/>
      <c r="DAA172" s="201"/>
      <c r="DAB172" s="201"/>
      <c r="DAC172" s="201"/>
      <c r="DAD172" s="201"/>
      <c r="DAE172" s="201"/>
      <c r="DAF172" s="201"/>
      <c r="DAG172" s="201"/>
      <c r="DAH172" s="201"/>
      <c r="DAI172" s="201"/>
      <c r="DAJ172" s="201"/>
      <c r="DAK172" s="201"/>
      <c r="DAL172" s="201"/>
      <c r="DAM172" s="201"/>
      <c r="DAN172" s="201"/>
      <c r="DAO172" s="201"/>
      <c r="DAP172" s="201"/>
      <c r="DAQ172" s="201"/>
      <c r="DAR172" s="201"/>
      <c r="DAS172" s="201"/>
      <c r="DAT172" s="201"/>
      <c r="DAU172" s="201"/>
      <c r="DAV172" s="201"/>
      <c r="DAW172" s="201"/>
      <c r="DAX172" s="201"/>
      <c r="DAY172" s="201"/>
      <c r="DAZ172" s="201"/>
      <c r="DBA172" s="201"/>
      <c r="DBB172" s="201"/>
      <c r="DBC172" s="201"/>
      <c r="DBD172" s="201"/>
      <c r="DBE172" s="201"/>
      <c r="DBF172" s="201"/>
      <c r="DBG172" s="201"/>
      <c r="DBH172" s="201"/>
      <c r="DBI172" s="201"/>
      <c r="DBJ172" s="201"/>
      <c r="DBK172" s="201"/>
      <c r="DBL172" s="201"/>
      <c r="DBM172" s="201"/>
      <c r="DBN172" s="201"/>
      <c r="DBO172" s="201"/>
      <c r="DBP172" s="201"/>
      <c r="DBQ172" s="201"/>
      <c r="DBR172" s="201"/>
      <c r="DBS172" s="201"/>
      <c r="DBT172" s="201"/>
      <c r="DBU172" s="201"/>
      <c r="DBV172" s="201"/>
      <c r="DBW172" s="201"/>
      <c r="DBX172" s="201"/>
      <c r="DBY172" s="201"/>
      <c r="DBZ172" s="201"/>
      <c r="DCA172" s="201"/>
      <c r="DCB172" s="201"/>
      <c r="DCC172" s="201"/>
      <c r="DCD172" s="201"/>
      <c r="DCE172" s="201"/>
      <c r="DCF172" s="201"/>
      <c r="DCG172" s="201"/>
      <c r="DCH172" s="201"/>
      <c r="DCI172" s="201"/>
      <c r="DCJ172" s="201"/>
      <c r="DCK172" s="201"/>
      <c r="DCL172" s="201"/>
      <c r="DCM172" s="201"/>
      <c r="DCN172" s="201"/>
      <c r="DCO172" s="201"/>
      <c r="DCP172" s="201"/>
      <c r="DCQ172" s="201"/>
      <c r="DCR172" s="201"/>
      <c r="DCS172" s="201"/>
      <c r="DCT172" s="201"/>
      <c r="DCU172" s="201"/>
      <c r="DCV172" s="201"/>
      <c r="DCW172" s="201"/>
      <c r="DCX172" s="201"/>
      <c r="DCY172" s="201"/>
      <c r="DCZ172" s="201"/>
      <c r="DDA172" s="201"/>
      <c r="DDB172" s="201"/>
      <c r="DDC172" s="201"/>
      <c r="DDD172" s="201"/>
      <c r="DDE172" s="201"/>
      <c r="DDF172" s="201"/>
      <c r="DDG172" s="201"/>
      <c r="DDH172" s="201"/>
      <c r="DDI172" s="201"/>
      <c r="DDJ172" s="201"/>
      <c r="DDK172" s="201"/>
      <c r="DDL172" s="201"/>
      <c r="DDM172" s="201"/>
      <c r="DDN172" s="201"/>
      <c r="DDO172" s="201"/>
      <c r="DDP172" s="201"/>
      <c r="DDQ172" s="201"/>
      <c r="DDR172" s="201"/>
      <c r="DDS172" s="201"/>
      <c r="DDT172" s="201"/>
      <c r="DDU172" s="201"/>
      <c r="DDV172" s="201"/>
      <c r="DDW172" s="201"/>
      <c r="DDX172" s="201"/>
      <c r="DDY172" s="201"/>
      <c r="DDZ172" s="201"/>
      <c r="DEA172" s="201"/>
      <c r="DEB172" s="201"/>
      <c r="DEC172" s="201"/>
      <c r="DED172" s="201"/>
      <c r="DEE172" s="201"/>
      <c r="DEF172" s="201"/>
      <c r="DEG172" s="201"/>
      <c r="DEH172" s="201"/>
      <c r="DEI172" s="201"/>
      <c r="DEJ172" s="201"/>
      <c r="DEK172" s="201"/>
      <c r="DEL172" s="201"/>
      <c r="DEM172" s="201"/>
      <c r="DEN172" s="201"/>
      <c r="DEO172" s="201"/>
      <c r="DEP172" s="201"/>
      <c r="DEQ172" s="201"/>
      <c r="DER172" s="201"/>
      <c r="DES172" s="201"/>
      <c r="DET172" s="201"/>
      <c r="DEU172" s="201"/>
      <c r="DEV172" s="201"/>
      <c r="DEW172" s="201"/>
      <c r="DEX172" s="201"/>
      <c r="DEY172" s="201"/>
      <c r="DEZ172" s="201"/>
      <c r="DFA172" s="201"/>
      <c r="DFB172" s="201"/>
      <c r="DFC172" s="201"/>
      <c r="DFD172" s="201"/>
      <c r="DFE172" s="201"/>
      <c r="DFF172" s="201"/>
      <c r="DFG172" s="201"/>
      <c r="DFH172" s="201"/>
      <c r="DFI172" s="201"/>
      <c r="DFJ172" s="201"/>
      <c r="DFK172" s="201"/>
      <c r="DFL172" s="201"/>
      <c r="DFM172" s="201"/>
      <c r="DFN172" s="201"/>
      <c r="DFO172" s="201"/>
      <c r="DFP172" s="201"/>
      <c r="DFQ172" s="201"/>
      <c r="DFR172" s="201"/>
      <c r="DFS172" s="201"/>
      <c r="DFT172" s="201"/>
      <c r="DFU172" s="201"/>
      <c r="DFV172" s="201"/>
      <c r="DFW172" s="201"/>
      <c r="DFX172" s="201"/>
      <c r="DFY172" s="201"/>
      <c r="DFZ172" s="201"/>
      <c r="DGA172" s="201"/>
      <c r="DGB172" s="201"/>
      <c r="DGC172" s="201"/>
      <c r="DGD172" s="201"/>
      <c r="DGE172" s="201"/>
      <c r="DGF172" s="201"/>
      <c r="DGG172" s="201"/>
      <c r="DGH172" s="201"/>
      <c r="DGI172" s="201"/>
      <c r="DGJ172" s="201"/>
      <c r="DGK172" s="201"/>
      <c r="DGL172" s="201"/>
      <c r="DGM172" s="201"/>
      <c r="DGN172" s="201"/>
      <c r="DGO172" s="201"/>
      <c r="DGP172" s="201"/>
      <c r="DGQ172" s="201"/>
      <c r="DGR172" s="201"/>
      <c r="DGS172" s="201"/>
      <c r="DGT172" s="201"/>
      <c r="DGU172" s="201"/>
      <c r="DGV172" s="201"/>
      <c r="DGW172" s="201"/>
      <c r="DGX172" s="201"/>
      <c r="DGY172" s="201"/>
      <c r="DGZ172" s="201"/>
      <c r="DHA172" s="201"/>
      <c r="DHB172" s="201"/>
      <c r="DHC172" s="201"/>
      <c r="DHD172" s="201"/>
      <c r="DHE172" s="201"/>
      <c r="DHF172" s="201"/>
      <c r="DHG172" s="201"/>
      <c r="DHH172" s="201"/>
      <c r="DHI172" s="201"/>
      <c r="DHJ172" s="201"/>
      <c r="DHK172" s="201"/>
      <c r="DHL172" s="201"/>
      <c r="DHM172" s="201"/>
      <c r="DHN172" s="201"/>
      <c r="DHO172" s="201"/>
      <c r="DHP172" s="201"/>
      <c r="DHQ172" s="201"/>
      <c r="DHR172" s="201"/>
      <c r="DHS172" s="201"/>
      <c r="DHT172" s="201"/>
      <c r="DHU172" s="201"/>
      <c r="DHV172" s="201"/>
      <c r="DHW172" s="201"/>
      <c r="DHX172" s="201"/>
      <c r="DHY172" s="201"/>
      <c r="DHZ172" s="201"/>
      <c r="DIA172" s="201"/>
      <c r="DIB172" s="201"/>
      <c r="DIC172" s="201"/>
      <c r="DID172" s="201"/>
      <c r="DIE172" s="201"/>
      <c r="DIF172" s="201"/>
      <c r="DIG172" s="201"/>
      <c r="DIH172" s="201"/>
      <c r="DII172" s="201"/>
      <c r="DIJ172" s="201"/>
      <c r="DIK172" s="201"/>
      <c r="DIL172" s="201"/>
      <c r="DIM172" s="201"/>
      <c r="DIN172" s="201"/>
      <c r="DIO172" s="201"/>
      <c r="DIP172" s="201"/>
      <c r="DIQ172" s="201"/>
      <c r="DIR172" s="201"/>
      <c r="DIS172" s="201"/>
      <c r="DIT172" s="201"/>
      <c r="DIU172" s="201"/>
      <c r="DIV172" s="201"/>
      <c r="DIW172" s="201"/>
      <c r="DIX172" s="201"/>
      <c r="DIY172" s="201"/>
      <c r="DIZ172" s="201"/>
      <c r="DJA172" s="201"/>
      <c r="DJB172" s="201"/>
      <c r="DJC172" s="201"/>
      <c r="DJD172" s="201"/>
      <c r="DJE172" s="201"/>
      <c r="DJF172" s="201"/>
      <c r="DJG172" s="201"/>
      <c r="DJH172" s="201"/>
      <c r="DJI172" s="201"/>
      <c r="DJJ172" s="201"/>
      <c r="DJK172" s="201"/>
      <c r="DJL172" s="201"/>
      <c r="DJM172" s="201"/>
      <c r="DJN172" s="201"/>
      <c r="DJO172" s="201"/>
      <c r="DJP172" s="201"/>
      <c r="DJQ172" s="201"/>
      <c r="DJR172" s="201"/>
      <c r="DJS172" s="201"/>
      <c r="DJT172" s="201"/>
      <c r="DJU172" s="201"/>
      <c r="DJV172" s="201"/>
      <c r="DJW172" s="201"/>
      <c r="DJX172" s="201"/>
      <c r="DJY172" s="201"/>
      <c r="DJZ172" s="201"/>
      <c r="DKA172" s="201"/>
      <c r="DKB172" s="201"/>
      <c r="DKC172" s="201"/>
      <c r="DKD172" s="201"/>
      <c r="DKE172" s="201"/>
      <c r="DKF172" s="201"/>
      <c r="DKG172" s="201"/>
      <c r="DKH172" s="201"/>
      <c r="DKI172" s="201"/>
      <c r="DKJ172" s="201"/>
      <c r="DKK172" s="201"/>
      <c r="DKL172" s="201"/>
      <c r="DKM172" s="201"/>
      <c r="DKN172" s="201"/>
      <c r="DKO172" s="201"/>
      <c r="DKP172" s="201"/>
      <c r="DKQ172" s="201"/>
      <c r="DKR172" s="201"/>
      <c r="DKS172" s="201"/>
      <c r="DKT172" s="201"/>
      <c r="DKU172" s="201"/>
      <c r="DKV172" s="201"/>
      <c r="DKW172" s="201"/>
      <c r="DKX172" s="201"/>
      <c r="DKY172" s="201"/>
      <c r="DKZ172" s="201"/>
      <c r="DLA172" s="201"/>
      <c r="DLB172" s="201"/>
      <c r="DLC172" s="201"/>
      <c r="DLD172" s="201"/>
      <c r="DLE172" s="201"/>
      <c r="DLF172" s="201"/>
      <c r="DLG172" s="201"/>
      <c r="DLH172" s="201"/>
      <c r="DLI172" s="201"/>
      <c r="DLJ172" s="201"/>
      <c r="DLK172" s="201"/>
      <c r="DLL172" s="201"/>
      <c r="DLM172" s="201"/>
      <c r="DLN172" s="201"/>
      <c r="DLO172" s="201"/>
      <c r="DLP172" s="201"/>
      <c r="DLQ172" s="201"/>
      <c r="DLR172" s="201"/>
      <c r="DLS172" s="201"/>
      <c r="DLT172" s="201"/>
      <c r="DLU172" s="201"/>
      <c r="DLV172" s="201"/>
      <c r="DLW172" s="201"/>
      <c r="DLX172" s="201"/>
      <c r="DLY172" s="201"/>
      <c r="DLZ172" s="201"/>
      <c r="DMA172" s="201"/>
      <c r="DMB172" s="201"/>
      <c r="DMC172" s="201"/>
      <c r="DMD172" s="201"/>
      <c r="DME172" s="201"/>
      <c r="DMF172" s="201"/>
      <c r="DMG172" s="201"/>
      <c r="DMH172" s="201"/>
      <c r="DMI172" s="201"/>
      <c r="DMJ172" s="201"/>
      <c r="DMK172" s="201"/>
      <c r="DML172" s="201"/>
      <c r="DMM172" s="201"/>
      <c r="DMN172" s="201"/>
      <c r="DMO172" s="201"/>
      <c r="DMP172" s="201"/>
      <c r="DMQ172" s="201"/>
      <c r="DMR172" s="201"/>
      <c r="DMS172" s="201"/>
      <c r="DMT172" s="201"/>
      <c r="DMU172" s="201"/>
      <c r="DMV172" s="201"/>
      <c r="DMW172" s="201"/>
      <c r="DMX172" s="201"/>
      <c r="DMY172" s="201"/>
      <c r="DMZ172" s="201"/>
      <c r="DNA172" s="201"/>
      <c r="DNB172" s="201"/>
      <c r="DNC172" s="201"/>
      <c r="DND172" s="201"/>
      <c r="DNE172" s="201"/>
      <c r="DNF172" s="201"/>
      <c r="DNG172" s="201"/>
      <c r="DNH172" s="201"/>
      <c r="DNI172" s="201"/>
      <c r="DNJ172" s="201"/>
      <c r="DNK172" s="201"/>
      <c r="DNL172" s="201"/>
      <c r="DNM172" s="201"/>
      <c r="DNN172" s="201"/>
      <c r="DNO172" s="201"/>
      <c r="DNP172" s="201"/>
      <c r="DNQ172" s="201"/>
      <c r="DNR172" s="201"/>
      <c r="DNS172" s="201"/>
      <c r="DNT172" s="201"/>
      <c r="DNU172" s="201"/>
      <c r="DNV172" s="201"/>
      <c r="DNW172" s="201"/>
      <c r="DNX172" s="201"/>
      <c r="DNY172" s="201"/>
      <c r="DNZ172" s="201"/>
      <c r="DOA172" s="201"/>
      <c r="DOB172" s="201"/>
      <c r="DOC172" s="201"/>
      <c r="DOD172" s="201"/>
      <c r="DOE172" s="201"/>
      <c r="DOF172" s="201"/>
      <c r="DOG172" s="201"/>
      <c r="DOH172" s="201"/>
      <c r="DOI172" s="201"/>
      <c r="DOJ172" s="201"/>
      <c r="DOK172" s="201"/>
      <c r="DOL172" s="201"/>
      <c r="DOM172" s="201"/>
      <c r="DON172" s="201"/>
      <c r="DOO172" s="201"/>
      <c r="DOP172" s="201"/>
      <c r="DOQ172" s="201"/>
      <c r="DOR172" s="201"/>
      <c r="DOS172" s="201"/>
      <c r="DOT172" s="201"/>
      <c r="DOU172" s="201"/>
      <c r="DOV172" s="201"/>
      <c r="DOW172" s="201"/>
      <c r="DOX172" s="201"/>
      <c r="DOY172" s="201"/>
      <c r="DOZ172" s="201"/>
      <c r="DPA172" s="201"/>
      <c r="DPB172" s="201"/>
      <c r="DPC172" s="201"/>
      <c r="DPD172" s="201"/>
      <c r="DPE172" s="201"/>
      <c r="DPF172" s="201"/>
      <c r="DPG172" s="201"/>
      <c r="DPH172" s="201"/>
      <c r="DPI172" s="201"/>
      <c r="DPJ172" s="201"/>
      <c r="DPK172" s="201"/>
      <c r="DPL172" s="201"/>
      <c r="DPM172" s="201"/>
      <c r="DPN172" s="201"/>
      <c r="DPO172" s="201"/>
      <c r="DPP172" s="201"/>
      <c r="DPQ172" s="201"/>
      <c r="DPR172" s="201"/>
      <c r="DPS172" s="201"/>
      <c r="DPT172" s="201"/>
      <c r="DPU172" s="201"/>
      <c r="DPV172" s="201"/>
      <c r="DPW172" s="201"/>
      <c r="DPX172" s="201"/>
      <c r="DPY172" s="201"/>
      <c r="DPZ172" s="201"/>
      <c r="DQA172" s="201"/>
      <c r="DQB172" s="201"/>
      <c r="DQC172" s="201"/>
      <c r="DQD172" s="201"/>
      <c r="DQE172" s="201"/>
      <c r="DQF172" s="201"/>
      <c r="DQG172" s="201"/>
      <c r="DQH172" s="201"/>
      <c r="DQI172" s="201"/>
      <c r="DQJ172" s="201"/>
      <c r="DQK172" s="201"/>
      <c r="DQL172" s="201"/>
      <c r="DQM172" s="201"/>
      <c r="DQN172" s="201"/>
      <c r="DQO172" s="201"/>
      <c r="DQP172" s="201"/>
      <c r="DQQ172" s="201"/>
      <c r="DQR172" s="201"/>
      <c r="DQS172" s="201"/>
      <c r="DQT172" s="201"/>
      <c r="DQU172" s="201"/>
      <c r="DQV172" s="201"/>
      <c r="DQW172" s="201"/>
      <c r="DQX172" s="201"/>
      <c r="DQY172" s="201"/>
      <c r="DQZ172" s="201"/>
      <c r="DRA172" s="201"/>
      <c r="DRB172" s="201"/>
      <c r="DRC172" s="201"/>
      <c r="DRD172" s="201"/>
      <c r="DRE172" s="201"/>
      <c r="DRF172" s="201"/>
      <c r="DRG172" s="201"/>
      <c r="DRH172" s="201"/>
      <c r="DRI172" s="201"/>
      <c r="DRJ172" s="201"/>
      <c r="DRK172" s="201"/>
      <c r="DRL172" s="201"/>
      <c r="DRM172" s="201"/>
      <c r="DRN172" s="201"/>
      <c r="DRO172" s="201"/>
      <c r="DRP172" s="201"/>
      <c r="DRQ172" s="201"/>
      <c r="DRR172" s="201"/>
      <c r="DRS172" s="201"/>
      <c r="DRT172" s="201"/>
      <c r="DRU172" s="201"/>
      <c r="DRV172" s="201"/>
      <c r="DRW172" s="201"/>
      <c r="DRX172" s="201"/>
      <c r="DRY172" s="201"/>
      <c r="DRZ172" s="201"/>
      <c r="DSA172" s="201"/>
      <c r="DSB172" s="201"/>
      <c r="DSC172" s="201"/>
      <c r="DSD172" s="201"/>
      <c r="DSE172" s="201"/>
      <c r="DSF172" s="201"/>
      <c r="DSG172" s="201"/>
      <c r="DSH172" s="201"/>
      <c r="DSI172" s="201"/>
      <c r="DSJ172" s="201"/>
      <c r="DSK172" s="201"/>
      <c r="DSL172" s="201"/>
      <c r="DSM172" s="201"/>
      <c r="DSN172" s="201"/>
      <c r="DSO172" s="201"/>
      <c r="DSP172" s="201"/>
      <c r="DSQ172" s="201"/>
      <c r="DSR172" s="201"/>
      <c r="DSS172" s="201"/>
      <c r="DST172" s="201"/>
      <c r="DSU172" s="201"/>
      <c r="DSV172" s="201"/>
      <c r="DSW172" s="201"/>
      <c r="DSX172" s="201"/>
      <c r="DSY172" s="201"/>
      <c r="DSZ172" s="201"/>
      <c r="DTA172" s="201"/>
      <c r="DTB172" s="201"/>
      <c r="DTC172" s="201"/>
      <c r="DTD172" s="201"/>
      <c r="DTE172" s="201"/>
      <c r="DTF172" s="201"/>
      <c r="DTG172" s="201"/>
      <c r="DTH172" s="201"/>
      <c r="DTI172" s="201"/>
      <c r="DTJ172" s="201"/>
      <c r="DTK172" s="201"/>
      <c r="DTL172" s="201"/>
      <c r="DTM172" s="201"/>
      <c r="DTN172" s="201"/>
      <c r="DTO172" s="201"/>
      <c r="DTP172" s="201"/>
      <c r="DTQ172" s="201"/>
      <c r="DTR172" s="201"/>
      <c r="DTS172" s="201"/>
      <c r="DTT172" s="201"/>
      <c r="DTU172" s="201"/>
      <c r="DTV172" s="201"/>
      <c r="DTW172" s="201"/>
      <c r="DTX172" s="201"/>
      <c r="DTY172" s="201"/>
      <c r="DTZ172" s="201"/>
      <c r="DUA172" s="201"/>
      <c r="DUB172" s="201"/>
      <c r="DUC172" s="201"/>
      <c r="DUD172" s="201"/>
      <c r="DUE172" s="201"/>
      <c r="DUF172" s="201"/>
      <c r="DUG172" s="201"/>
      <c r="DUH172" s="201"/>
      <c r="DUI172" s="201"/>
      <c r="DUJ172" s="201"/>
      <c r="DUK172" s="201"/>
      <c r="DUL172" s="201"/>
      <c r="DUM172" s="201"/>
      <c r="DUN172" s="201"/>
      <c r="DUO172" s="201"/>
      <c r="DUP172" s="201"/>
      <c r="DUQ172" s="201"/>
      <c r="DUR172" s="201"/>
      <c r="DUS172" s="201"/>
      <c r="DUT172" s="201"/>
      <c r="DUU172" s="201"/>
      <c r="DUV172" s="201"/>
      <c r="DUW172" s="201"/>
      <c r="DUX172" s="201"/>
      <c r="DUY172" s="201"/>
      <c r="DUZ172" s="201"/>
      <c r="DVA172" s="201"/>
      <c r="DVB172" s="201"/>
      <c r="DVC172" s="201"/>
      <c r="DVD172" s="201"/>
      <c r="DVE172" s="201"/>
      <c r="DVF172" s="201"/>
      <c r="DVG172" s="201"/>
      <c r="DVH172" s="201"/>
      <c r="DVI172" s="201"/>
      <c r="DVJ172" s="201"/>
      <c r="DVK172" s="201"/>
      <c r="DVL172" s="201"/>
      <c r="DVM172" s="201"/>
      <c r="DVN172" s="201"/>
      <c r="DVO172" s="201"/>
      <c r="DVP172" s="201"/>
      <c r="DVQ172" s="201"/>
      <c r="DVR172" s="201"/>
      <c r="DVS172" s="201"/>
      <c r="DVT172" s="201"/>
      <c r="DVU172" s="201"/>
      <c r="DVV172" s="201"/>
      <c r="DVW172" s="201"/>
      <c r="DVX172" s="201"/>
      <c r="DVY172" s="201"/>
      <c r="DVZ172" s="201"/>
      <c r="DWA172" s="201"/>
      <c r="DWB172" s="201"/>
      <c r="DWC172" s="201"/>
      <c r="DWD172" s="201"/>
      <c r="DWE172" s="201"/>
      <c r="DWF172" s="201"/>
      <c r="DWG172" s="201"/>
      <c r="DWH172" s="201"/>
      <c r="DWI172" s="201"/>
      <c r="DWJ172" s="201"/>
      <c r="DWK172" s="201"/>
      <c r="DWL172" s="201"/>
      <c r="DWM172" s="201"/>
      <c r="DWN172" s="201"/>
      <c r="DWO172" s="201"/>
      <c r="DWP172" s="201"/>
      <c r="DWQ172" s="201"/>
      <c r="DWR172" s="201"/>
      <c r="DWS172" s="201"/>
      <c r="DWT172" s="201"/>
      <c r="DWU172" s="201"/>
      <c r="DWV172" s="201"/>
      <c r="DWW172" s="201"/>
      <c r="DWX172" s="201"/>
      <c r="DWY172" s="201"/>
      <c r="DWZ172" s="201"/>
      <c r="DXA172" s="201"/>
      <c r="DXB172" s="201"/>
      <c r="DXC172" s="201"/>
      <c r="DXD172" s="201"/>
      <c r="DXE172" s="201"/>
      <c r="DXF172" s="201"/>
      <c r="DXG172" s="201"/>
      <c r="DXH172" s="201"/>
      <c r="DXI172" s="201"/>
      <c r="DXJ172" s="201"/>
      <c r="DXK172" s="201"/>
      <c r="DXL172" s="201"/>
      <c r="DXM172" s="201"/>
      <c r="DXN172" s="201"/>
      <c r="DXO172" s="201"/>
      <c r="DXP172" s="201"/>
      <c r="DXQ172" s="201"/>
      <c r="DXR172" s="201"/>
      <c r="DXS172" s="201"/>
      <c r="DXT172" s="201"/>
      <c r="DXU172" s="201"/>
      <c r="DXV172" s="201"/>
      <c r="DXW172" s="201"/>
      <c r="DXX172" s="201"/>
      <c r="DXY172" s="201"/>
      <c r="DXZ172" s="201"/>
      <c r="DYA172" s="201"/>
      <c r="DYB172" s="201"/>
      <c r="DYC172" s="201"/>
      <c r="DYD172" s="201"/>
      <c r="DYE172" s="201"/>
      <c r="DYF172" s="201"/>
      <c r="DYG172" s="201"/>
      <c r="DYH172" s="201"/>
      <c r="DYI172" s="201"/>
      <c r="DYJ172" s="201"/>
      <c r="DYK172" s="201"/>
      <c r="DYL172" s="201"/>
      <c r="DYM172" s="201"/>
      <c r="DYN172" s="201"/>
      <c r="DYO172" s="201"/>
      <c r="DYP172" s="201"/>
      <c r="DYQ172" s="201"/>
      <c r="DYR172" s="201"/>
      <c r="DYS172" s="201"/>
      <c r="DYT172" s="201"/>
      <c r="DYU172" s="201"/>
      <c r="DYV172" s="201"/>
      <c r="DYW172" s="201"/>
      <c r="DYX172" s="201"/>
      <c r="DYY172" s="201"/>
      <c r="DYZ172" s="201"/>
      <c r="DZA172" s="201"/>
      <c r="DZB172" s="201"/>
      <c r="DZC172" s="201"/>
      <c r="DZD172" s="201"/>
      <c r="DZE172" s="201"/>
      <c r="DZF172" s="201"/>
      <c r="DZG172" s="201"/>
      <c r="DZH172" s="201"/>
      <c r="DZI172" s="201"/>
      <c r="DZJ172" s="201"/>
      <c r="DZK172" s="201"/>
      <c r="DZL172" s="201"/>
      <c r="DZM172" s="201"/>
      <c r="DZN172" s="201"/>
      <c r="DZO172" s="201"/>
      <c r="DZP172" s="201"/>
      <c r="DZQ172" s="201"/>
      <c r="DZR172" s="201"/>
      <c r="DZS172" s="201"/>
      <c r="DZT172" s="201"/>
      <c r="DZU172" s="201"/>
      <c r="DZV172" s="201"/>
      <c r="DZW172" s="201"/>
      <c r="DZX172" s="201"/>
      <c r="DZY172" s="201"/>
      <c r="DZZ172" s="201"/>
      <c r="EAA172" s="201"/>
      <c r="EAB172" s="201"/>
      <c r="EAC172" s="201"/>
      <c r="EAD172" s="201"/>
      <c r="EAE172" s="201"/>
      <c r="EAF172" s="201"/>
      <c r="EAG172" s="201"/>
      <c r="EAH172" s="201"/>
      <c r="EAI172" s="201"/>
      <c r="EAJ172" s="201"/>
      <c r="EAK172" s="201"/>
      <c r="EAL172" s="201"/>
      <c r="EAM172" s="201"/>
      <c r="EAN172" s="201"/>
      <c r="EAO172" s="201"/>
      <c r="EAP172" s="201"/>
      <c r="EAQ172" s="201"/>
      <c r="EAR172" s="201"/>
      <c r="EAS172" s="201"/>
      <c r="EAT172" s="201"/>
      <c r="EAU172" s="201"/>
      <c r="EAV172" s="201"/>
      <c r="EAW172" s="201"/>
      <c r="EAX172" s="201"/>
      <c r="EAY172" s="201"/>
      <c r="EAZ172" s="201"/>
      <c r="EBA172" s="201"/>
      <c r="EBB172" s="201"/>
      <c r="EBC172" s="201"/>
      <c r="EBD172" s="201"/>
      <c r="EBE172" s="201"/>
      <c r="EBF172" s="201"/>
      <c r="EBG172" s="201"/>
      <c r="EBH172" s="201"/>
      <c r="EBI172" s="201"/>
      <c r="EBJ172" s="201"/>
      <c r="EBK172" s="201"/>
      <c r="EBL172" s="201"/>
      <c r="EBM172" s="201"/>
      <c r="EBN172" s="201"/>
      <c r="EBO172" s="201"/>
      <c r="EBP172" s="201"/>
      <c r="EBQ172" s="201"/>
      <c r="EBR172" s="201"/>
      <c r="EBS172" s="201"/>
      <c r="EBT172" s="201"/>
      <c r="EBU172" s="201"/>
      <c r="EBV172" s="201"/>
      <c r="EBW172" s="201"/>
      <c r="EBX172" s="201"/>
      <c r="EBY172" s="201"/>
      <c r="EBZ172" s="201"/>
      <c r="ECA172" s="201"/>
      <c r="ECB172" s="201"/>
      <c r="ECC172" s="201"/>
      <c r="ECD172" s="201"/>
      <c r="ECE172" s="201"/>
      <c r="ECF172" s="201"/>
      <c r="ECG172" s="201"/>
      <c r="ECH172" s="201"/>
      <c r="ECI172" s="201"/>
      <c r="ECJ172" s="201"/>
      <c r="ECK172" s="201"/>
      <c r="ECL172" s="201"/>
      <c r="ECM172" s="201"/>
      <c r="ECN172" s="201"/>
      <c r="ECO172" s="201"/>
      <c r="ECP172" s="201"/>
      <c r="ECQ172" s="201"/>
      <c r="ECR172" s="201"/>
      <c r="ECS172" s="201"/>
      <c r="ECT172" s="201"/>
      <c r="ECU172" s="201"/>
      <c r="ECV172" s="201"/>
      <c r="ECW172" s="201"/>
      <c r="ECX172" s="201"/>
      <c r="ECY172" s="201"/>
      <c r="ECZ172" s="201"/>
      <c r="EDA172" s="201"/>
      <c r="EDB172" s="201"/>
      <c r="EDC172" s="201"/>
      <c r="EDD172" s="201"/>
      <c r="EDE172" s="201"/>
      <c r="EDF172" s="201"/>
      <c r="EDG172" s="201"/>
      <c r="EDH172" s="201"/>
      <c r="EDI172" s="201"/>
      <c r="EDJ172" s="201"/>
      <c r="EDK172" s="201"/>
      <c r="EDL172" s="201"/>
      <c r="EDM172" s="201"/>
      <c r="EDN172" s="201"/>
      <c r="EDO172" s="201"/>
      <c r="EDP172" s="201"/>
      <c r="EDQ172" s="201"/>
      <c r="EDR172" s="201"/>
      <c r="EDS172" s="201"/>
      <c r="EDT172" s="201"/>
      <c r="EDU172" s="201"/>
      <c r="EDV172" s="201"/>
      <c r="EDW172" s="201"/>
      <c r="EDX172" s="201"/>
      <c r="EDY172" s="201"/>
      <c r="EDZ172" s="201"/>
      <c r="EEA172" s="201"/>
      <c r="EEB172" s="201"/>
      <c r="EEC172" s="201"/>
      <c r="EED172" s="201"/>
      <c r="EEE172" s="201"/>
      <c r="EEF172" s="201"/>
      <c r="EEG172" s="201"/>
      <c r="EEH172" s="201"/>
      <c r="EEI172" s="201"/>
      <c r="EEJ172" s="201"/>
      <c r="EEK172" s="201"/>
      <c r="EEL172" s="201"/>
      <c r="EEM172" s="201"/>
      <c r="EEN172" s="201"/>
      <c r="EEO172" s="201"/>
      <c r="EEP172" s="201"/>
      <c r="EEQ172" s="201"/>
      <c r="EER172" s="201"/>
      <c r="EES172" s="201"/>
      <c r="EET172" s="201"/>
      <c r="EEU172" s="201"/>
      <c r="EEV172" s="201"/>
      <c r="EEW172" s="201"/>
      <c r="EEX172" s="201"/>
      <c r="EEY172" s="201"/>
      <c r="EEZ172" s="201"/>
      <c r="EFA172" s="201"/>
      <c r="EFB172" s="201"/>
      <c r="EFC172" s="201"/>
      <c r="EFD172" s="201"/>
      <c r="EFE172" s="201"/>
      <c r="EFF172" s="201"/>
      <c r="EFG172" s="201"/>
      <c r="EFH172" s="201"/>
      <c r="EFI172" s="201"/>
      <c r="EFJ172" s="201"/>
      <c r="EFK172" s="201"/>
      <c r="EFL172" s="201"/>
      <c r="EFM172" s="201"/>
      <c r="EFN172" s="201"/>
      <c r="EFO172" s="201"/>
      <c r="EFP172" s="201"/>
      <c r="EFQ172" s="201"/>
      <c r="EFR172" s="201"/>
      <c r="EFS172" s="201"/>
      <c r="EFT172" s="201"/>
      <c r="EFU172" s="201"/>
      <c r="EFV172" s="201"/>
      <c r="EFW172" s="201"/>
      <c r="EFX172" s="201"/>
      <c r="EFY172" s="201"/>
      <c r="EFZ172" s="201"/>
      <c r="EGA172" s="201"/>
      <c r="EGB172" s="201"/>
      <c r="EGC172" s="201"/>
      <c r="EGD172" s="201"/>
      <c r="EGE172" s="201"/>
      <c r="EGF172" s="201"/>
      <c r="EGG172" s="201"/>
      <c r="EGH172" s="201"/>
      <c r="EGI172" s="201"/>
      <c r="EGJ172" s="201"/>
      <c r="EGK172" s="201"/>
      <c r="EGL172" s="201"/>
      <c r="EGM172" s="201"/>
      <c r="EGN172" s="201"/>
      <c r="EGO172" s="201"/>
      <c r="EGP172" s="201"/>
      <c r="EGQ172" s="201"/>
      <c r="EGR172" s="201"/>
      <c r="EGS172" s="201"/>
      <c r="EGT172" s="201"/>
      <c r="EGU172" s="201"/>
      <c r="EGV172" s="201"/>
      <c r="EGW172" s="201"/>
      <c r="EGX172" s="201"/>
      <c r="EGY172" s="201"/>
      <c r="EGZ172" s="201"/>
      <c r="EHA172" s="201"/>
      <c r="EHB172" s="201"/>
      <c r="EHC172" s="201"/>
      <c r="EHD172" s="201"/>
      <c r="EHE172" s="201"/>
      <c r="EHF172" s="201"/>
      <c r="EHG172" s="201"/>
      <c r="EHH172" s="201"/>
      <c r="EHI172" s="201"/>
      <c r="EHJ172" s="201"/>
      <c r="EHK172" s="201"/>
      <c r="EHL172" s="201"/>
      <c r="EHM172" s="201"/>
      <c r="EHN172" s="201"/>
      <c r="EHO172" s="201"/>
      <c r="EHP172" s="201"/>
      <c r="EHQ172" s="201"/>
      <c r="EHR172" s="201"/>
      <c r="EHS172" s="201"/>
      <c r="EHT172" s="201"/>
      <c r="EHU172" s="201"/>
      <c r="EHV172" s="201"/>
      <c r="EHW172" s="201"/>
      <c r="EHX172" s="201"/>
      <c r="EHY172" s="201"/>
      <c r="EHZ172" s="201"/>
      <c r="EIA172" s="201"/>
      <c r="EIB172" s="201"/>
      <c r="EIC172" s="201"/>
      <c r="EID172" s="201"/>
      <c r="EIE172" s="201"/>
      <c r="EIF172" s="201"/>
      <c r="EIG172" s="201"/>
      <c r="EIH172" s="201"/>
      <c r="EII172" s="201"/>
      <c r="EIJ172" s="201"/>
      <c r="EIK172" s="201"/>
      <c r="EIL172" s="201"/>
      <c r="EIM172" s="201"/>
      <c r="EIN172" s="201"/>
      <c r="EIO172" s="201"/>
      <c r="EIP172" s="201"/>
      <c r="EIQ172" s="201"/>
      <c r="EIR172" s="201"/>
      <c r="EIS172" s="201"/>
      <c r="EIT172" s="201"/>
      <c r="EIU172" s="201"/>
      <c r="EIV172" s="201"/>
      <c r="EIW172" s="201"/>
      <c r="EIX172" s="201"/>
      <c r="EIY172" s="201"/>
      <c r="EIZ172" s="201"/>
      <c r="EJA172" s="201"/>
      <c r="EJB172" s="201"/>
      <c r="EJC172" s="201"/>
      <c r="EJD172" s="201"/>
      <c r="EJE172" s="201"/>
      <c r="EJF172" s="201"/>
      <c r="EJG172" s="201"/>
      <c r="EJH172" s="201"/>
      <c r="EJI172" s="201"/>
      <c r="EJJ172" s="201"/>
      <c r="EJK172" s="201"/>
      <c r="EJL172" s="201"/>
      <c r="EJM172" s="201"/>
      <c r="EJN172" s="201"/>
      <c r="EJO172" s="201"/>
      <c r="EJP172" s="201"/>
      <c r="EJQ172" s="201"/>
      <c r="EJR172" s="201"/>
      <c r="EJS172" s="201"/>
      <c r="EJT172" s="201"/>
      <c r="EJU172" s="201"/>
      <c r="EJV172" s="201"/>
      <c r="EJW172" s="201"/>
      <c r="EJX172" s="201"/>
      <c r="EJY172" s="201"/>
      <c r="EJZ172" s="201"/>
      <c r="EKA172" s="201"/>
      <c r="EKB172" s="201"/>
      <c r="EKC172" s="201"/>
      <c r="EKD172" s="201"/>
      <c r="EKE172" s="201"/>
      <c r="EKF172" s="201"/>
      <c r="EKG172" s="201"/>
      <c r="EKH172" s="201"/>
      <c r="EKI172" s="201"/>
      <c r="EKJ172" s="201"/>
      <c r="EKK172" s="201"/>
      <c r="EKL172" s="201"/>
      <c r="EKM172" s="201"/>
      <c r="EKN172" s="201"/>
      <c r="EKO172" s="201"/>
      <c r="EKP172" s="201"/>
      <c r="EKQ172" s="201"/>
      <c r="EKR172" s="201"/>
      <c r="EKS172" s="201"/>
      <c r="EKT172" s="201"/>
      <c r="EKU172" s="201"/>
      <c r="EKV172" s="201"/>
      <c r="EKW172" s="201"/>
      <c r="EKX172" s="201"/>
      <c r="EKY172" s="201"/>
      <c r="EKZ172" s="201"/>
      <c r="ELA172" s="201"/>
      <c r="ELB172" s="201"/>
      <c r="ELC172" s="201"/>
      <c r="ELD172" s="201"/>
      <c r="ELE172" s="201"/>
      <c r="ELF172" s="201"/>
      <c r="ELG172" s="201"/>
      <c r="ELH172" s="201"/>
      <c r="ELI172" s="201"/>
      <c r="ELJ172" s="201"/>
      <c r="ELK172" s="201"/>
      <c r="ELL172" s="201"/>
      <c r="ELM172" s="201"/>
      <c r="ELN172" s="201"/>
      <c r="ELO172" s="201"/>
      <c r="ELP172" s="201"/>
      <c r="ELQ172" s="201"/>
      <c r="ELR172" s="201"/>
      <c r="ELS172" s="201"/>
      <c r="ELT172" s="201"/>
      <c r="ELU172" s="201"/>
      <c r="ELV172" s="201"/>
      <c r="ELW172" s="201"/>
      <c r="ELX172" s="201"/>
      <c r="ELY172" s="201"/>
      <c r="ELZ172" s="201"/>
      <c r="EMA172" s="201"/>
      <c r="EMB172" s="201"/>
      <c r="EMC172" s="201"/>
      <c r="EMD172" s="201"/>
      <c r="EME172" s="201"/>
      <c r="EMF172" s="201"/>
      <c r="EMG172" s="201"/>
      <c r="EMH172" s="201"/>
      <c r="EMI172" s="201"/>
      <c r="EMJ172" s="201"/>
      <c r="EMK172" s="201"/>
      <c r="EML172" s="201"/>
      <c r="EMM172" s="201"/>
      <c r="EMN172" s="201"/>
      <c r="EMO172" s="201"/>
      <c r="EMP172" s="201"/>
      <c r="EMQ172" s="201"/>
      <c r="EMR172" s="201"/>
      <c r="EMS172" s="201"/>
      <c r="EMT172" s="201"/>
      <c r="EMU172" s="201"/>
      <c r="EMV172" s="201"/>
      <c r="EMW172" s="201"/>
      <c r="EMX172" s="201"/>
      <c r="EMY172" s="201"/>
      <c r="EMZ172" s="201"/>
      <c r="ENA172" s="201"/>
      <c r="ENB172" s="201"/>
      <c r="ENC172" s="201"/>
      <c r="END172" s="201"/>
      <c r="ENE172" s="201"/>
      <c r="ENF172" s="201"/>
      <c r="ENG172" s="201"/>
      <c r="ENH172" s="201"/>
      <c r="ENI172" s="201"/>
      <c r="ENJ172" s="201"/>
      <c r="ENK172" s="201"/>
      <c r="ENL172" s="201"/>
      <c r="ENM172" s="201"/>
      <c r="ENN172" s="201"/>
      <c r="ENO172" s="201"/>
      <c r="ENP172" s="201"/>
      <c r="ENQ172" s="201"/>
      <c r="ENR172" s="201"/>
      <c r="ENS172" s="201"/>
      <c r="ENT172" s="201"/>
      <c r="ENU172" s="201"/>
      <c r="ENV172" s="201"/>
      <c r="ENW172" s="201"/>
      <c r="ENX172" s="201"/>
      <c r="ENY172" s="201"/>
      <c r="ENZ172" s="201"/>
      <c r="EOA172" s="201"/>
      <c r="EOB172" s="201"/>
      <c r="EOC172" s="201"/>
      <c r="EOD172" s="201"/>
      <c r="EOE172" s="201"/>
      <c r="EOF172" s="201"/>
      <c r="EOG172" s="201"/>
      <c r="EOH172" s="201"/>
      <c r="EOI172" s="201"/>
      <c r="EOJ172" s="201"/>
      <c r="EOK172" s="201"/>
      <c r="EOL172" s="201"/>
      <c r="EOM172" s="201"/>
      <c r="EON172" s="201"/>
      <c r="EOO172" s="201"/>
      <c r="EOP172" s="201"/>
      <c r="EOQ172" s="201"/>
      <c r="EOR172" s="201"/>
      <c r="EOS172" s="201"/>
      <c r="EOT172" s="201"/>
      <c r="EOU172" s="201"/>
      <c r="EOV172" s="201"/>
      <c r="EOW172" s="201"/>
      <c r="EOX172" s="201"/>
      <c r="EOY172" s="201"/>
      <c r="EOZ172" s="201"/>
      <c r="EPA172" s="201"/>
      <c r="EPB172" s="201"/>
      <c r="EPC172" s="201"/>
      <c r="EPD172" s="201"/>
      <c r="EPE172" s="201"/>
      <c r="EPF172" s="201"/>
      <c r="EPG172" s="201"/>
      <c r="EPH172" s="201"/>
      <c r="EPI172" s="201"/>
      <c r="EPJ172" s="201"/>
      <c r="EPK172" s="201"/>
      <c r="EPL172" s="201"/>
      <c r="EPM172" s="201"/>
      <c r="EPN172" s="201"/>
      <c r="EPO172" s="201"/>
      <c r="EPP172" s="201"/>
      <c r="EPQ172" s="201"/>
      <c r="EPR172" s="201"/>
      <c r="EPS172" s="201"/>
      <c r="EPT172" s="201"/>
      <c r="EPU172" s="201"/>
      <c r="EPV172" s="201"/>
      <c r="EPW172" s="201"/>
      <c r="EPX172" s="201"/>
      <c r="EPY172" s="201"/>
      <c r="EPZ172" s="201"/>
      <c r="EQA172" s="201"/>
      <c r="EQB172" s="201"/>
      <c r="EQC172" s="201"/>
      <c r="EQD172" s="201"/>
      <c r="EQE172" s="201"/>
      <c r="EQF172" s="201"/>
      <c r="EQG172" s="201"/>
      <c r="EQH172" s="201"/>
      <c r="EQI172" s="201"/>
      <c r="EQJ172" s="201"/>
      <c r="EQK172" s="201"/>
      <c r="EQL172" s="201"/>
      <c r="EQM172" s="201"/>
      <c r="EQN172" s="201"/>
      <c r="EQO172" s="201"/>
      <c r="EQP172" s="201"/>
      <c r="EQQ172" s="201"/>
      <c r="EQR172" s="201"/>
      <c r="EQS172" s="201"/>
      <c r="EQT172" s="201"/>
      <c r="EQU172" s="201"/>
      <c r="EQV172" s="201"/>
      <c r="EQW172" s="201"/>
      <c r="EQX172" s="201"/>
      <c r="EQY172" s="201"/>
      <c r="EQZ172" s="201"/>
      <c r="ERA172" s="201"/>
      <c r="ERB172" s="201"/>
      <c r="ERC172" s="201"/>
      <c r="ERD172" s="201"/>
      <c r="ERE172" s="201"/>
      <c r="ERF172" s="201"/>
      <c r="ERG172" s="201"/>
      <c r="ERH172" s="201"/>
      <c r="ERI172" s="201"/>
      <c r="ERJ172" s="201"/>
      <c r="ERK172" s="201"/>
      <c r="ERL172" s="201"/>
      <c r="ERM172" s="201"/>
      <c r="ERN172" s="201"/>
      <c r="ERO172" s="201"/>
      <c r="ERP172" s="201"/>
      <c r="ERQ172" s="201"/>
      <c r="ERR172" s="201"/>
      <c r="ERS172" s="201"/>
      <c r="ERT172" s="201"/>
      <c r="ERU172" s="201"/>
      <c r="ERV172" s="201"/>
      <c r="ERW172" s="201"/>
      <c r="ERX172" s="201"/>
      <c r="ERY172" s="201"/>
      <c r="ERZ172" s="201"/>
      <c r="ESA172" s="201"/>
      <c r="ESB172" s="201"/>
      <c r="ESC172" s="201"/>
      <c r="ESD172" s="201"/>
      <c r="ESE172" s="201"/>
      <c r="ESF172" s="201"/>
      <c r="ESG172" s="201"/>
      <c r="ESH172" s="201"/>
      <c r="ESI172" s="201"/>
      <c r="ESJ172" s="201"/>
      <c r="ESK172" s="201"/>
      <c r="ESL172" s="201"/>
      <c r="ESM172" s="201"/>
      <c r="ESN172" s="201"/>
      <c r="ESO172" s="201"/>
      <c r="ESP172" s="201"/>
      <c r="ESQ172" s="201"/>
      <c r="ESR172" s="201"/>
      <c r="ESS172" s="201"/>
      <c r="EST172" s="201"/>
      <c r="ESU172" s="201"/>
      <c r="ESV172" s="201"/>
      <c r="ESW172" s="201"/>
      <c r="ESX172" s="201"/>
      <c r="ESY172" s="201"/>
      <c r="ESZ172" s="201"/>
      <c r="ETA172" s="201"/>
      <c r="ETB172" s="201"/>
      <c r="ETC172" s="201"/>
      <c r="ETD172" s="201"/>
      <c r="ETE172" s="201"/>
      <c r="ETF172" s="201"/>
      <c r="ETG172" s="201"/>
      <c r="ETH172" s="201"/>
      <c r="ETI172" s="201"/>
      <c r="ETJ172" s="201"/>
      <c r="ETK172" s="201"/>
      <c r="ETL172" s="201"/>
      <c r="ETM172" s="201"/>
      <c r="ETN172" s="201"/>
      <c r="ETO172" s="201"/>
      <c r="ETP172" s="201"/>
      <c r="ETQ172" s="201"/>
      <c r="ETR172" s="201"/>
      <c r="ETS172" s="201"/>
      <c r="ETT172" s="201"/>
      <c r="ETU172" s="201"/>
      <c r="ETV172" s="201"/>
      <c r="ETW172" s="201"/>
      <c r="ETX172" s="201"/>
      <c r="ETY172" s="201"/>
      <c r="ETZ172" s="201"/>
      <c r="EUA172" s="201"/>
      <c r="EUB172" s="201"/>
      <c r="EUC172" s="201"/>
      <c r="EUD172" s="201"/>
      <c r="EUE172" s="201"/>
      <c r="EUF172" s="201"/>
      <c r="EUG172" s="201"/>
      <c r="EUH172" s="201"/>
      <c r="EUI172" s="201"/>
      <c r="EUJ172" s="201"/>
      <c r="EUK172" s="201"/>
      <c r="EUL172" s="201"/>
      <c r="EUM172" s="201"/>
      <c r="EUN172" s="201"/>
      <c r="EUO172" s="201"/>
      <c r="EUP172" s="201"/>
      <c r="EUQ172" s="201"/>
      <c r="EUR172" s="201"/>
      <c r="EUS172" s="201"/>
      <c r="EUT172" s="201"/>
      <c r="EUU172" s="201"/>
      <c r="EUV172" s="201"/>
      <c r="EUW172" s="201"/>
      <c r="EUX172" s="201"/>
      <c r="EUY172" s="201"/>
      <c r="EUZ172" s="201"/>
      <c r="EVA172" s="201"/>
      <c r="EVB172" s="201"/>
      <c r="EVC172" s="201"/>
      <c r="EVD172" s="201"/>
      <c r="EVE172" s="201"/>
      <c r="EVF172" s="201"/>
      <c r="EVG172" s="201"/>
      <c r="EVH172" s="201"/>
      <c r="EVI172" s="201"/>
      <c r="EVJ172" s="201"/>
      <c r="EVK172" s="201"/>
      <c r="EVL172" s="201"/>
      <c r="EVM172" s="201"/>
      <c r="EVN172" s="201"/>
      <c r="EVO172" s="201"/>
      <c r="EVP172" s="201"/>
      <c r="EVQ172" s="201"/>
      <c r="EVR172" s="201"/>
      <c r="EVS172" s="201"/>
      <c r="EVT172" s="201"/>
      <c r="EVU172" s="201"/>
      <c r="EVV172" s="201"/>
      <c r="EVW172" s="201"/>
      <c r="EVX172" s="201"/>
      <c r="EVY172" s="201"/>
      <c r="EVZ172" s="201"/>
      <c r="EWA172" s="201"/>
      <c r="EWB172" s="201"/>
      <c r="EWC172" s="201"/>
      <c r="EWD172" s="201"/>
      <c r="EWE172" s="201"/>
      <c r="EWF172" s="201"/>
      <c r="EWG172" s="201"/>
      <c r="EWH172" s="201"/>
      <c r="EWI172" s="201"/>
      <c r="EWJ172" s="201"/>
      <c r="EWK172" s="201"/>
      <c r="EWL172" s="201"/>
      <c r="EWM172" s="201"/>
      <c r="EWN172" s="201"/>
      <c r="EWO172" s="201"/>
      <c r="EWP172" s="201"/>
      <c r="EWQ172" s="201"/>
      <c r="EWR172" s="201"/>
      <c r="EWS172" s="201"/>
      <c r="EWT172" s="201"/>
      <c r="EWU172" s="201"/>
      <c r="EWV172" s="201"/>
      <c r="EWW172" s="201"/>
      <c r="EWX172" s="201"/>
      <c r="EWY172" s="201"/>
      <c r="EWZ172" s="201"/>
      <c r="EXA172" s="201"/>
      <c r="EXB172" s="201"/>
      <c r="EXC172" s="201"/>
      <c r="EXD172" s="201"/>
      <c r="EXE172" s="201"/>
      <c r="EXF172" s="201"/>
      <c r="EXG172" s="201"/>
      <c r="EXH172" s="201"/>
      <c r="EXI172" s="201"/>
      <c r="EXJ172" s="201"/>
      <c r="EXK172" s="201"/>
      <c r="EXL172" s="201"/>
      <c r="EXM172" s="201"/>
      <c r="EXN172" s="201"/>
      <c r="EXO172" s="201"/>
      <c r="EXP172" s="201"/>
      <c r="EXQ172" s="201"/>
      <c r="EXR172" s="201"/>
      <c r="EXS172" s="201"/>
      <c r="EXT172" s="201"/>
      <c r="EXU172" s="201"/>
      <c r="EXV172" s="201"/>
      <c r="EXW172" s="201"/>
      <c r="EXX172" s="201"/>
      <c r="EXY172" s="201"/>
      <c r="EXZ172" s="201"/>
      <c r="EYA172" s="201"/>
      <c r="EYB172" s="201"/>
      <c r="EYC172" s="201"/>
      <c r="EYD172" s="201"/>
      <c r="EYE172" s="201"/>
      <c r="EYF172" s="201"/>
      <c r="EYG172" s="201"/>
      <c r="EYH172" s="201"/>
      <c r="EYI172" s="201"/>
      <c r="EYJ172" s="201"/>
      <c r="EYK172" s="201"/>
      <c r="EYL172" s="201"/>
      <c r="EYM172" s="201"/>
      <c r="EYN172" s="201"/>
      <c r="EYO172" s="201"/>
      <c r="EYP172" s="201"/>
      <c r="EYQ172" s="201"/>
      <c r="EYR172" s="201"/>
      <c r="EYS172" s="201"/>
      <c r="EYT172" s="201"/>
      <c r="EYU172" s="201"/>
      <c r="EYV172" s="201"/>
      <c r="EYW172" s="201"/>
      <c r="EYX172" s="201"/>
      <c r="EYY172" s="201"/>
      <c r="EYZ172" s="201"/>
      <c r="EZA172" s="201"/>
      <c r="EZB172" s="201"/>
      <c r="EZC172" s="201"/>
      <c r="EZD172" s="201"/>
      <c r="EZE172" s="201"/>
      <c r="EZF172" s="201"/>
      <c r="EZG172" s="201"/>
      <c r="EZH172" s="201"/>
      <c r="EZI172" s="201"/>
      <c r="EZJ172" s="201"/>
      <c r="EZK172" s="201"/>
      <c r="EZL172" s="201"/>
      <c r="EZM172" s="201"/>
      <c r="EZN172" s="201"/>
      <c r="EZO172" s="201"/>
      <c r="EZP172" s="201"/>
      <c r="EZQ172" s="201"/>
      <c r="EZR172" s="201"/>
      <c r="EZS172" s="201"/>
      <c r="EZT172" s="201"/>
      <c r="EZU172" s="201"/>
      <c r="EZV172" s="201"/>
      <c r="EZW172" s="201"/>
      <c r="EZX172" s="201"/>
      <c r="EZY172" s="201"/>
      <c r="EZZ172" s="201"/>
      <c r="FAA172" s="201"/>
      <c r="FAB172" s="201"/>
      <c r="FAC172" s="201"/>
      <c r="FAD172" s="201"/>
      <c r="FAE172" s="201"/>
      <c r="FAF172" s="201"/>
      <c r="FAG172" s="201"/>
      <c r="FAH172" s="201"/>
      <c r="FAI172" s="201"/>
      <c r="FAJ172" s="201"/>
      <c r="FAK172" s="201"/>
      <c r="FAL172" s="201"/>
      <c r="FAM172" s="201"/>
      <c r="FAN172" s="201"/>
      <c r="FAO172" s="201"/>
      <c r="FAP172" s="201"/>
      <c r="FAQ172" s="201"/>
      <c r="FAR172" s="201"/>
      <c r="FAS172" s="201"/>
      <c r="FAT172" s="201"/>
      <c r="FAU172" s="201"/>
      <c r="FAV172" s="201"/>
      <c r="FAW172" s="201"/>
      <c r="FAX172" s="201"/>
      <c r="FAY172" s="201"/>
      <c r="FAZ172" s="201"/>
      <c r="FBA172" s="201"/>
      <c r="FBB172" s="201"/>
      <c r="FBC172" s="201"/>
      <c r="FBD172" s="201"/>
      <c r="FBE172" s="201"/>
      <c r="FBF172" s="201"/>
      <c r="FBG172" s="201"/>
      <c r="FBH172" s="201"/>
      <c r="FBI172" s="201"/>
      <c r="FBJ172" s="201"/>
      <c r="FBK172" s="201"/>
      <c r="FBL172" s="201"/>
      <c r="FBM172" s="201"/>
      <c r="FBN172" s="201"/>
      <c r="FBO172" s="201"/>
      <c r="FBP172" s="201"/>
      <c r="FBQ172" s="201"/>
      <c r="FBR172" s="201"/>
      <c r="FBS172" s="201"/>
      <c r="FBT172" s="201"/>
      <c r="FBU172" s="201"/>
      <c r="FBV172" s="201"/>
      <c r="FBW172" s="201"/>
      <c r="FBX172" s="201"/>
      <c r="FBY172" s="201"/>
      <c r="FBZ172" s="201"/>
      <c r="FCA172" s="201"/>
      <c r="FCB172" s="201"/>
      <c r="FCC172" s="201"/>
      <c r="FCD172" s="201"/>
      <c r="FCE172" s="201"/>
      <c r="FCF172" s="201"/>
      <c r="FCG172" s="201"/>
      <c r="FCH172" s="201"/>
      <c r="FCI172" s="201"/>
      <c r="FCJ172" s="201"/>
      <c r="FCK172" s="201"/>
      <c r="FCL172" s="201"/>
      <c r="FCM172" s="201"/>
      <c r="FCN172" s="201"/>
      <c r="FCO172" s="201"/>
      <c r="FCP172" s="201"/>
      <c r="FCQ172" s="201"/>
      <c r="FCR172" s="201"/>
      <c r="FCS172" s="201"/>
      <c r="FCT172" s="201"/>
      <c r="FCU172" s="201"/>
      <c r="FCV172" s="201"/>
      <c r="FCW172" s="201"/>
      <c r="FCX172" s="201"/>
      <c r="FCY172" s="201"/>
      <c r="FCZ172" s="201"/>
      <c r="FDA172" s="201"/>
      <c r="FDB172" s="201"/>
      <c r="FDC172" s="201"/>
      <c r="FDD172" s="201"/>
      <c r="FDE172" s="201"/>
      <c r="FDF172" s="201"/>
      <c r="FDG172" s="201"/>
      <c r="FDH172" s="201"/>
      <c r="FDI172" s="201"/>
      <c r="FDJ172" s="201"/>
      <c r="FDK172" s="201"/>
      <c r="FDL172" s="201"/>
      <c r="FDM172" s="201"/>
      <c r="FDN172" s="201"/>
      <c r="FDO172" s="201"/>
      <c r="FDP172" s="201"/>
      <c r="FDQ172" s="201"/>
      <c r="FDR172" s="201"/>
      <c r="FDS172" s="201"/>
      <c r="FDT172" s="201"/>
      <c r="FDU172" s="201"/>
      <c r="FDV172" s="201"/>
      <c r="FDW172" s="201"/>
      <c r="FDX172" s="201"/>
      <c r="FDY172" s="201"/>
      <c r="FDZ172" s="201"/>
      <c r="FEA172" s="201"/>
      <c r="FEB172" s="201"/>
      <c r="FEC172" s="201"/>
      <c r="FED172" s="201"/>
      <c r="FEE172" s="201"/>
      <c r="FEF172" s="201"/>
      <c r="FEG172" s="201"/>
      <c r="FEH172" s="201"/>
      <c r="FEI172" s="201"/>
      <c r="FEJ172" s="201"/>
      <c r="FEK172" s="201"/>
      <c r="FEL172" s="201"/>
      <c r="FEM172" s="201"/>
      <c r="FEN172" s="201"/>
      <c r="FEO172" s="201"/>
      <c r="FEP172" s="201"/>
      <c r="FEQ172" s="201"/>
      <c r="FER172" s="201"/>
      <c r="FES172" s="201"/>
      <c r="FET172" s="201"/>
      <c r="FEU172" s="201"/>
      <c r="FEV172" s="201"/>
      <c r="FEW172" s="201"/>
      <c r="FEX172" s="201"/>
      <c r="FEY172" s="201"/>
      <c r="FEZ172" s="201"/>
      <c r="FFA172" s="201"/>
      <c r="FFB172" s="201"/>
      <c r="FFC172" s="201"/>
      <c r="FFD172" s="201"/>
      <c r="FFE172" s="201"/>
      <c r="FFF172" s="201"/>
      <c r="FFG172" s="201"/>
      <c r="FFH172" s="201"/>
      <c r="FFI172" s="201"/>
      <c r="FFJ172" s="201"/>
      <c r="FFK172" s="201"/>
      <c r="FFL172" s="201"/>
      <c r="FFM172" s="201"/>
      <c r="FFN172" s="201"/>
      <c r="FFO172" s="201"/>
      <c r="FFP172" s="201"/>
      <c r="FFQ172" s="201"/>
      <c r="FFR172" s="201"/>
      <c r="FFS172" s="201"/>
      <c r="FFT172" s="201"/>
      <c r="FFU172" s="201"/>
      <c r="FFV172" s="201"/>
      <c r="FFW172" s="201"/>
      <c r="FFX172" s="201"/>
      <c r="FFY172" s="201"/>
      <c r="FFZ172" s="201"/>
      <c r="FGA172" s="201"/>
      <c r="FGB172" s="201"/>
      <c r="FGC172" s="201"/>
      <c r="FGD172" s="201"/>
      <c r="FGE172" s="201"/>
      <c r="FGF172" s="201"/>
      <c r="FGG172" s="201"/>
      <c r="FGH172" s="201"/>
      <c r="FGI172" s="201"/>
      <c r="FGJ172" s="201"/>
      <c r="FGK172" s="201"/>
      <c r="FGL172" s="201"/>
      <c r="FGM172" s="201"/>
      <c r="FGN172" s="201"/>
      <c r="FGO172" s="201"/>
      <c r="FGP172" s="201"/>
      <c r="FGQ172" s="201"/>
      <c r="FGR172" s="201"/>
      <c r="FGS172" s="201"/>
      <c r="FGT172" s="201"/>
      <c r="FGU172" s="201"/>
      <c r="FGV172" s="201"/>
      <c r="FGW172" s="201"/>
      <c r="FGX172" s="201"/>
      <c r="FGY172" s="201"/>
      <c r="FGZ172" s="201"/>
      <c r="FHA172" s="201"/>
      <c r="FHB172" s="201"/>
      <c r="FHC172" s="201"/>
      <c r="FHD172" s="201"/>
      <c r="FHE172" s="201"/>
      <c r="FHF172" s="201"/>
      <c r="FHG172" s="201"/>
      <c r="FHH172" s="201"/>
      <c r="FHI172" s="201"/>
      <c r="FHJ172" s="201"/>
      <c r="FHK172" s="201"/>
      <c r="FHL172" s="201"/>
      <c r="FHM172" s="201"/>
      <c r="FHN172" s="201"/>
      <c r="FHO172" s="201"/>
      <c r="FHP172" s="201"/>
      <c r="FHQ172" s="201"/>
      <c r="FHR172" s="201"/>
      <c r="FHS172" s="201"/>
      <c r="FHT172" s="201"/>
      <c r="FHU172" s="201"/>
      <c r="FHV172" s="201"/>
      <c r="FHW172" s="201"/>
      <c r="FHX172" s="201"/>
      <c r="FHY172" s="201"/>
      <c r="FHZ172" s="201"/>
      <c r="FIA172" s="201"/>
      <c r="FIB172" s="201"/>
      <c r="FIC172" s="201"/>
      <c r="FID172" s="201"/>
      <c r="FIE172" s="201"/>
      <c r="FIF172" s="201"/>
      <c r="FIG172" s="201"/>
      <c r="FIH172" s="201"/>
      <c r="FII172" s="201"/>
      <c r="FIJ172" s="201"/>
      <c r="FIK172" s="201"/>
      <c r="FIL172" s="201"/>
      <c r="FIM172" s="201"/>
      <c r="FIN172" s="201"/>
      <c r="FIO172" s="201"/>
      <c r="FIP172" s="201"/>
      <c r="FIQ172" s="201"/>
      <c r="FIR172" s="201"/>
      <c r="FIS172" s="201"/>
      <c r="FIT172" s="201"/>
      <c r="FIU172" s="201"/>
      <c r="FIV172" s="201"/>
      <c r="FIW172" s="201"/>
      <c r="FIX172" s="201"/>
      <c r="FIY172" s="201"/>
      <c r="FIZ172" s="201"/>
      <c r="FJA172" s="201"/>
      <c r="FJB172" s="201"/>
      <c r="FJC172" s="201"/>
      <c r="FJD172" s="201"/>
      <c r="FJE172" s="201"/>
      <c r="FJF172" s="201"/>
      <c r="FJG172" s="201"/>
      <c r="FJH172" s="201"/>
      <c r="FJI172" s="201"/>
      <c r="FJJ172" s="201"/>
      <c r="FJK172" s="201"/>
      <c r="FJL172" s="201"/>
      <c r="FJM172" s="201"/>
      <c r="FJN172" s="201"/>
      <c r="FJO172" s="201"/>
      <c r="FJP172" s="201"/>
      <c r="FJQ172" s="201"/>
      <c r="FJR172" s="201"/>
      <c r="FJS172" s="201"/>
      <c r="FJT172" s="201"/>
      <c r="FJU172" s="201"/>
      <c r="FJV172" s="201"/>
      <c r="FJW172" s="201"/>
      <c r="FJX172" s="201"/>
      <c r="FJY172" s="201"/>
      <c r="FJZ172" s="201"/>
      <c r="FKA172" s="201"/>
      <c r="FKB172" s="201"/>
      <c r="FKC172" s="201"/>
      <c r="FKD172" s="201"/>
      <c r="FKE172" s="201"/>
      <c r="FKF172" s="201"/>
      <c r="FKG172" s="201"/>
      <c r="FKH172" s="201"/>
      <c r="FKI172" s="201"/>
      <c r="FKJ172" s="201"/>
      <c r="FKK172" s="201"/>
      <c r="FKL172" s="201"/>
      <c r="FKM172" s="201"/>
      <c r="FKN172" s="201"/>
      <c r="FKO172" s="201"/>
      <c r="FKP172" s="201"/>
      <c r="FKQ172" s="201"/>
      <c r="FKR172" s="201"/>
      <c r="FKS172" s="201"/>
      <c r="FKT172" s="201"/>
      <c r="FKU172" s="201"/>
      <c r="FKV172" s="201"/>
      <c r="FKW172" s="201"/>
      <c r="FKX172" s="201"/>
      <c r="FKY172" s="201"/>
      <c r="FKZ172" s="201"/>
      <c r="FLA172" s="201"/>
      <c r="FLB172" s="201"/>
      <c r="FLC172" s="201"/>
      <c r="FLD172" s="201"/>
      <c r="FLE172" s="201"/>
      <c r="FLF172" s="201"/>
      <c r="FLG172" s="201"/>
      <c r="FLH172" s="201"/>
      <c r="FLI172" s="201"/>
      <c r="FLJ172" s="201"/>
      <c r="FLK172" s="201"/>
      <c r="FLL172" s="201"/>
      <c r="FLM172" s="201"/>
      <c r="FLN172" s="201"/>
      <c r="FLO172" s="201"/>
      <c r="FLP172" s="201"/>
      <c r="FLQ172" s="201"/>
      <c r="FLR172" s="201"/>
      <c r="FLS172" s="201"/>
      <c r="FLT172" s="201"/>
      <c r="FLU172" s="201"/>
      <c r="FLV172" s="201"/>
      <c r="FLW172" s="201"/>
      <c r="FLX172" s="201"/>
      <c r="FLY172" s="201"/>
      <c r="FLZ172" s="201"/>
      <c r="FMA172" s="201"/>
      <c r="FMB172" s="201"/>
      <c r="FMC172" s="201"/>
      <c r="FMD172" s="201"/>
      <c r="FME172" s="201"/>
      <c r="FMF172" s="201"/>
      <c r="FMG172" s="201"/>
      <c r="FMH172" s="201"/>
      <c r="FMI172" s="201"/>
      <c r="FMJ172" s="201"/>
      <c r="FMK172" s="201"/>
      <c r="FML172" s="201"/>
      <c r="FMM172" s="201"/>
      <c r="FMN172" s="201"/>
      <c r="FMO172" s="201"/>
      <c r="FMP172" s="201"/>
      <c r="FMQ172" s="201"/>
      <c r="FMR172" s="201"/>
      <c r="FMS172" s="201"/>
      <c r="FMT172" s="201"/>
      <c r="FMU172" s="201"/>
      <c r="FMV172" s="201"/>
      <c r="FMW172" s="201"/>
      <c r="FMX172" s="201"/>
      <c r="FMY172" s="201"/>
      <c r="FMZ172" s="201"/>
      <c r="FNA172" s="201"/>
      <c r="FNB172" s="201"/>
      <c r="FNC172" s="201"/>
      <c r="FND172" s="201"/>
      <c r="FNE172" s="201"/>
      <c r="FNF172" s="201"/>
      <c r="FNG172" s="201"/>
      <c r="FNH172" s="201"/>
      <c r="FNI172" s="201"/>
      <c r="FNJ172" s="201"/>
      <c r="FNK172" s="201"/>
      <c r="FNL172" s="201"/>
      <c r="FNM172" s="201"/>
      <c r="FNN172" s="201"/>
      <c r="FNO172" s="201"/>
      <c r="FNP172" s="201"/>
      <c r="FNQ172" s="201"/>
      <c r="FNR172" s="201"/>
      <c r="FNS172" s="201"/>
      <c r="FNT172" s="201"/>
      <c r="FNU172" s="201"/>
      <c r="FNV172" s="201"/>
      <c r="FNW172" s="201"/>
      <c r="FNX172" s="201"/>
      <c r="FNY172" s="201"/>
      <c r="FNZ172" s="201"/>
      <c r="FOA172" s="201"/>
      <c r="FOB172" s="201"/>
      <c r="FOC172" s="201"/>
      <c r="FOD172" s="201"/>
      <c r="FOE172" s="201"/>
      <c r="FOF172" s="201"/>
      <c r="FOG172" s="201"/>
      <c r="FOH172" s="201"/>
      <c r="FOI172" s="201"/>
      <c r="FOJ172" s="201"/>
      <c r="FOK172" s="201"/>
      <c r="FOL172" s="201"/>
      <c r="FOM172" s="201"/>
      <c r="FON172" s="201"/>
      <c r="FOO172" s="201"/>
      <c r="FOP172" s="201"/>
      <c r="FOQ172" s="201"/>
      <c r="FOR172" s="201"/>
      <c r="FOS172" s="201"/>
      <c r="FOT172" s="201"/>
      <c r="FOU172" s="201"/>
      <c r="FOV172" s="201"/>
      <c r="FOW172" s="201"/>
      <c r="FOX172" s="201"/>
      <c r="FOY172" s="201"/>
      <c r="FOZ172" s="201"/>
      <c r="FPA172" s="201"/>
      <c r="FPB172" s="201"/>
      <c r="FPC172" s="201"/>
      <c r="FPD172" s="201"/>
      <c r="FPE172" s="201"/>
      <c r="FPF172" s="201"/>
      <c r="FPG172" s="201"/>
      <c r="FPH172" s="201"/>
      <c r="FPI172" s="201"/>
      <c r="FPJ172" s="201"/>
      <c r="FPK172" s="201"/>
      <c r="FPL172" s="201"/>
      <c r="FPM172" s="201"/>
      <c r="FPN172" s="201"/>
      <c r="FPO172" s="201"/>
      <c r="FPP172" s="201"/>
      <c r="FPQ172" s="201"/>
      <c r="FPR172" s="201"/>
      <c r="FPS172" s="201"/>
      <c r="FPT172" s="201"/>
      <c r="FPU172" s="201"/>
      <c r="FPV172" s="201"/>
      <c r="FPW172" s="201"/>
      <c r="FPX172" s="201"/>
      <c r="FPY172" s="201"/>
      <c r="FPZ172" s="201"/>
      <c r="FQA172" s="201"/>
      <c r="FQB172" s="201"/>
      <c r="FQC172" s="201"/>
      <c r="FQD172" s="201"/>
      <c r="FQE172" s="201"/>
      <c r="FQF172" s="201"/>
      <c r="FQG172" s="201"/>
      <c r="FQH172" s="201"/>
      <c r="FQI172" s="201"/>
      <c r="FQJ172" s="201"/>
      <c r="FQK172" s="201"/>
      <c r="FQL172" s="201"/>
      <c r="FQM172" s="201"/>
      <c r="FQN172" s="201"/>
      <c r="FQO172" s="201"/>
      <c r="FQP172" s="201"/>
      <c r="FQQ172" s="201"/>
      <c r="FQR172" s="201"/>
      <c r="FQS172" s="201"/>
      <c r="FQT172" s="201"/>
      <c r="FQU172" s="201"/>
      <c r="FQV172" s="201"/>
      <c r="FQW172" s="201"/>
      <c r="FQX172" s="201"/>
      <c r="FQY172" s="201"/>
      <c r="FQZ172" s="201"/>
      <c r="FRA172" s="201"/>
      <c r="FRB172" s="201"/>
      <c r="FRC172" s="201"/>
      <c r="FRD172" s="201"/>
      <c r="FRE172" s="201"/>
      <c r="FRF172" s="201"/>
      <c r="FRG172" s="201"/>
      <c r="FRH172" s="201"/>
      <c r="FRI172" s="201"/>
      <c r="FRJ172" s="201"/>
      <c r="FRK172" s="201"/>
      <c r="FRL172" s="201"/>
      <c r="FRM172" s="201"/>
      <c r="FRN172" s="201"/>
      <c r="FRO172" s="201"/>
      <c r="FRP172" s="201"/>
      <c r="FRQ172" s="201"/>
      <c r="FRR172" s="201"/>
      <c r="FRS172" s="201"/>
      <c r="FRT172" s="201"/>
      <c r="FRU172" s="201"/>
      <c r="FRV172" s="201"/>
      <c r="FRW172" s="201"/>
      <c r="FRX172" s="201"/>
      <c r="FRY172" s="201"/>
      <c r="FRZ172" s="201"/>
      <c r="FSA172" s="201"/>
      <c r="FSB172" s="201"/>
      <c r="FSC172" s="201"/>
      <c r="FSD172" s="201"/>
      <c r="FSE172" s="201"/>
      <c r="FSF172" s="201"/>
      <c r="FSG172" s="201"/>
      <c r="FSH172" s="201"/>
      <c r="FSI172" s="201"/>
      <c r="FSJ172" s="201"/>
      <c r="FSK172" s="201"/>
      <c r="FSL172" s="201"/>
      <c r="FSM172" s="201"/>
      <c r="FSN172" s="201"/>
      <c r="FSO172" s="201"/>
      <c r="FSP172" s="201"/>
      <c r="FSQ172" s="201"/>
      <c r="FSR172" s="201"/>
      <c r="FSS172" s="201"/>
      <c r="FST172" s="201"/>
      <c r="FSU172" s="201"/>
      <c r="FSV172" s="201"/>
      <c r="FSW172" s="201"/>
      <c r="FSX172" s="201"/>
      <c r="FSY172" s="201"/>
      <c r="FSZ172" s="201"/>
      <c r="FTA172" s="201"/>
      <c r="FTB172" s="201"/>
      <c r="FTC172" s="201"/>
      <c r="FTD172" s="201"/>
      <c r="FTE172" s="201"/>
      <c r="FTF172" s="201"/>
      <c r="FTG172" s="201"/>
      <c r="FTH172" s="201"/>
      <c r="FTI172" s="201"/>
      <c r="FTJ172" s="201"/>
      <c r="FTK172" s="201"/>
      <c r="FTL172" s="201"/>
      <c r="FTM172" s="201"/>
      <c r="FTN172" s="201"/>
      <c r="FTO172" s="201"/>
      <c r="FTP172" s="201"/>
      <c r="FTQ172" s="201"/>
      <c r="FTR172" s="201"/>
      <c r="FTS172" s="201"/>
      <c r="FTT172" s="201"/>
      <c r="FTU172" s="201"/>
      <c r="FTV172" s="201"/>
      <c r="FTW172" s="201"/>
      <c r="FTX172" s="201"/>
      <c r="FTY172" s="201"/>
      <c r="FTZ172" s="201"/>
      <c r="FUA172" s="201"/>
      <c r="FUB172" s="201"/>
      <c r="FUC172" s="201"/>
      <c r="FUD172" s="201"/>
      <c r="FUE172" s="201"/>
      <c r="FUF172" s="201"/>
      <c r="FUG172" s="201"/>
      <c r="FUH172" s="201"/>
      <c r="FUI172" s="201"/>
      <c r="FUJ172" s="201"/>
      <c r="FUK172" s="201"/>
      <c r="FUL172" s="201"/>
      <c r="FUM172" s="201"/>
      <c r="FUN172" s="201"/>
      <c r="FUO172" s="201"/>
      <c r="FUP172" s="201"/>
      <c r="FUQ172" s="201"/>
      <c r="FUR172" s="201"/>
      <c r="FUS172" s="201"/>
      <c r="FUT172" s="201"/>
      <c r="FUU172" s="201"/>
      <c r="FUV172" s="201"/>
      <c r="FUW172" s="201"/>
      <c r="FUX172" s="201"/>
      <c r="FUY172" s="201"/>
      <c r="FUZ172" s="201"/>
      <c r="FVA172" s="201"/>
      <c r="FVB172" s="201"/>
      <c r="FVC172" s="201"/>
      <c r="FVD172" s="201"/>
      <c r="FVE172" s="201"/>
      <c r="FVF172" s="201"/>
      <c r="FVG172" s="201"/>
      <c r="FVH172" s="201"/>
      <c r="FVI172" s="201"/>
      <c r="FVJ172" s="201"/>
      <c r="FVK172" s="201"/>
      <c r="FVL172" s="201"/>
      <c r="FVM172" s="201"/>
      <c r="FVN172" s="201"/>
      <c r="FVO172" s="201"/>
      <c r="FVP172" s="201"/>
      <c r="FVQ172" s="201"/>
      <c r="FVR172" s="201"/>
      <c r="FVS172" s="201"/>
      <c r="FVT172" s="201"/>
      <c r="FVU172" s="201"/>
      <c r="FVV172" s="201"/>
      <c r="FVW172" s="201"/>
      <c r="FVX172" s="201"/>
      <c r="FVY172" s="201"/>
      <c r="FVZ172" s="201"/>
      <c r="FWA172" s="201"/>
      <c r="FWB172" s="201"/>
      <c r="FWC172" s="201"/>
      <c r="FWD172" s="201"/>
      <c r="FWE172" s="201"/>
      <c r="FWF172" s="201"/>
      <c r="FWG172" s="201"/>
      <c r="FWH172" s="201"/>
      <c r="FWI172" s="201"/>
      <c r="FWJ172" s="201"/>
      <c r="FWK172" s="201"/>
      <c r="FWL172" s="201"/>
      <c r="FWM172" s="201"/>
      <c r="FWN172" s="201"/>
      <c r="FWO172" s="201"/>
      <c r="FWP172" s="201"/>
      <c r="FWQ172" s="201"/>
      <c r="FWR172" s="201"/>
      <c r="FWS172" s="201"/>
      <c r="FWT172" s="201"/>
      <c r="FWU172" s="201"/>
      <c r="FWV172" s="201"/>
      <c r="FWW172" s="201"/>
      <c r="FWX172" s="201"/>
      <c r="FWY172" s="201"/>
      <c r="FWZ172" s="201"/>
      <c r="FXA172" s="201"/>
      <c r="FXB172" s="201"/>
      <c r="FXC172" s="201"/>
      <c r="FXD172" s="201"/>
      <c r="FXE172" s="201"/>
      <c r="FXF172" s="201"/>
      <c r="FXG172" s="201"/>
      <c r="FXH172" s="201"/>
      <c r="FXI172" s="201"/>
      <c r="FXJ172" s="201"/>
      <c r="FXK172" s="201"/>
      <c r="FXL172" s="201"/>
      <c r="FXM172" s="201"/>
      <c r="FXN172" s="201"/>
      <c r="FXO172" s="201"/>
      <c r="FXP172" s="201"/>
      <c r="FXQ172" s="201"/>
      <c r="FXR172" s="201"/>
      <c r="FXS172" s="201"/>
      <c r="FXT172" s="201"/>
      <c r="FXU172" s="201"/>
      <c r="FXV172" s="201"/>
      <c r="FXW172" s="201"/>
      <c r="FXX172" s="201"/>
      <c r="FXY172" s="201"/>
      <c r="FXZ172" s="201"/>
      <c r="FYA172" s="201"/>
      <c r="FYB172" s="201"/>
      <c r="FYC172" s="201"/>
      <c r="FYD172" s="201"/>
      <c r="FYE172" s="201"/>
      <c r="FYF172" s="201"/>
      <c r="FYG172" s="201"/>
      <c r="FYH172" s="201"/>
      <c r="FYI172" s="201"/>
      <c r="FYJ172" s="201"/>
      <c r="FYK172" s="201"/>
      <c r="FYL172" s="201"/>
      <c r="FYM172" s="201"/>
      <c r="FYN172" s="201"/>
      <c r="FYO172" s="201"/>
      <c r="FYP172" s="201"/>
      <c r="FYQ172" s="201"/>
      <c r="FYR172" s="201"/>
      <c r="FYS172" s="201"/>
      <c r="FYT172" s="201"/>
      <c r="FYU172" s="201"/>
      <c r="FYV172" s="201"/>
      <c r="FYW172" s="201"/>
      <c r="FYX172" s="201"/>
      <c r="FYY172" s="201"/>
      <c r="FYZ172" s="201"/>
      <c r="FZA172" s="201"/>
      <c r="FZB172" s="201"/>
      <c r="FZC172" s="201"/>
      <c r="FZD172" s="201"/>
      <c r="FZE172" s="201"/>
      <c r="FZF172" s="201"/>
      <c r="FZG172" s="201"/>
      <c r="FZH172" s="201"/>
      <c r="FZI172" s="201"/>
      <c r="FZJ172" s="201"/>
      <c r="FZK172" s="201"/>
      <c r="FZL172" s="201"/>
      <c r="FZM172" s="201"/>
      <c r="FZN172" s="201"/>
      <c r="FZO172" s="201"/>
      <c r="FZP172" s="201"/>
      <c r="FZQ172" s="201"/>
      <c r="FZR172" s="201"/>
      <c r="FZS172" s="201"/>
      <c r="FZT172" s="201"/>
      <c r="FZU172" s="201"/>
      <c r="FZV172" s="201"/>
      <c r="FZW172" s="201"/>
      <c r="FZX172" s="201"/>
      <c r="FZY172" s="201"/>
      <c r="FZZ172" s="201"/>
      <c r="GAA172" s="201"/>
      <c r="GAB172" s="201"/>
      <c r="GAC172" s="201"/>
      <c r="GAD172" s="201"/>
      <c r="GAE172" s="201"/>
      <c r="GAF172" s="201"/>
      <c r="GAG172" s="201"/>
      <c r="GAH172" s="201"/>
      <c r="GAI172" s="201"/>
      <c r="GAJ172" s="201"/>
      <c r="GAK172" s="201"/>
      <c r="GAL172" s="201"/>
      <c r="GAM172" s="201"/>
      <c r="GAN172" s="201"/>
      <c r="GAO172" s="201"/>
      <c r="GAP172" s="201"/>
      <c r="GAQ172" s="201"/>
      <c r="GAR172" s="201"/>
      <c r="GAS172" s="201"/>
      <c r="GAT172" s="201"/>
      <c r="GAU172" s="201"/>
      <c r="GAV172" s="201"/>
      <c r="GAW172" s="201"/>
      <c r="GAX172" s="201"/>
      <c r="GAY172" s="201"/>
      <c r="GAZ172" s="201"/>
      <c r="GBA172" s="201"/>
      <c r="GBB172" s="201"/>
      <c r="GBC172" s="201"/>
      <c r="GBD172" s="201"/>
      <c r="GBE172" s="201"/>
      <c r="GBF172" s="201"/>
      <c r="GBG172" s="201"/>
      <c r="GBH172" s="201"/>
      <c r="GBI172" s="201"/>
      <c r="GBJ172" s="201"/>
      <c r="GBK172" s="201"/>
      <c r="GBL172" s="201"/>
      <c r="GBM172" s="201"/>
      <c r="GBN172" s="201"/>
      <c r="GBO172" s="201"/>
      <c r="GBP172" s="201"/>
      <c r="GBQ172" s="201"/>
      <c r="GBR172" s="201"/>
      <c r="GBS172" s="201"/>
      <c r="GBT172" s="201"/>
      <c r="GBU172" s="201"/>
      <c r="GBV172" s="201"/>
      <c r="GBW172" s="201"/>
      <c r="GBX172" s="201"/>
      <c r="GBY172" s="201"/>
      <c r="GBZ172" s="201"/>
      <c r="GCA172" s="201"/>
      <c r="GCB172" s="201"/>
      <c r="GCC172" s="201"/>
      <c r="GCD172" s="201"/>
      <c r="GCE172" s="201"/>
      <c r="GCF172" s="201"/>
      <c r="GCG172" s="201"/>
      <c r="GCH172" s="201"/>
      <c r="GCI172" s="201"/>
      <c r="GCJ172" s="201"/>
      <c r="GCK172" s="201"/>
      <c r="GCL172" s="201"/>
      <c r="GCM172" s="201"/>
      <c r="GCN172" s="201"/>
      <c r="GCO172" s="201"/>
      <c r="GCP172" s="201"/>
      <c r="GCQ172" s="201"/>
      <c r="GCR172" s="201"/>
      <c r="GCS172" s="201"/>
      <c r="GCT172" s="201"/>
      <c r="GCU172" s="201"/>
      <c r="GCV172" s="201"/>
      <c r="GCW172" s="201"/>
      <c r="GCX172" s="201"/>
      <c r="GCY172" s="201"/>
      <c r="GCZ172" s="201"/>
      <c r="GDA172" s="201"/>
      <c r="GDB172" s="201"/>
      <c r="GDC172" s="201"/>
      <c r="GDD172" s="201"/>
      <c r="GDE172" s="201"/>
      <c r="GDF172" s="201"/>
      <c r="GDG172" s="201"/>
      <c r="GDH172" s="201"/>
      <c r="GDI172" s="201"/>
      <c r="GDJ172" s="201"/>
      <c r="GDK172" s="201"/>
      <c r="GDL172" s="201"/>
      <c r="GDM172" s="201"/>
      <c r="GDN172" s="201"/>
      <c r="GDO172" s="201"/>
      <c r="GDP172" s="201"/>
      <c r="GDQ172" s="201"/>
      <c r="GDR172" s="201"/>
      <c r="GDS172" s="201"/>
      <c r="GDT172" s="201"/>
      <c r="GDU172" s="201"/>
      <c r="GDV172" s="201"/>
      <c r="GDW172" s="201"/>
      <c r="GDX172" s="201"/>
      <c r="GDY172" s="201"/>
      <c r="GDZ172" s="201"/>
      <c r="GEA172" s="201"/>
      <c r="GEB172" s="201"/>
      <c r="GEC172" s="201"/>
      <c r="GED172" s="201"/>
      <c r="GEE172" s="201"/>
      <c r="GEF172" s="201"/>
      <c r="GEG172" s="201"/>
      <c r="GEH172" s="201"/>
      <c r="GEI172" s="201"/>
      <c r="GEJ172" s="201"/>
      <c r="GEK172" s="201"/>
      <c r="GEL172" s="201"/>
      <c r="GEM172" s="201"/>
      <c r="GEN172" s="201"/>
      <c r="GEO172" s="201"/>
      <c r="GEP172" s="201"/>
      <c r="GEQ172" s="201"/>
      <c r="GER172" s="201"/>
      <c r="GES172" s="201"/>
      <c r="GET172" s="201"/>
      <c r="GEU172" s="201"/>
      <c r="GEV172" s="201"/>
      <c r="GEW172" s="201"/>
      <c r="GEX172" s="201"/>
      <c r="GEY172" s="201"/>
      <c r="GEZ172" s="201"/>
      <c r="GFA172" s="201"/>
      <c r="GFB172" s="201"/>
      <c r="GFC172" s="201"/>
      <c r="GFD172" s="201"/>
      <c r="GFE172" s="201"/>
      <c r="GFF172" s="201"/>
      <c r="GFG172" s="201"/>
      <c r="GFH172" s="201"/>
      <c r="GFI172" s="201"/>
      <c r="GFJ172" s="201"/>
      <c r="GFK172" s="201"/>
      <c r="GFL172" s="201"/>
      <c r="GFM172" s="201"/>
      <c r="GFN172" s="201"/>
      <c r="GFO172" s="201"/>
      <c r="GFP172" s="201"/>
      <c r="GFQ172" s="201"/>
      <c r="GFR172" s="201"/>
      <c r="GFS172" s="201"/>
      <c r="GFT172" s="201"/>
      <c r="GFU172" s="201"/>
      <c r="GFV172" s="201"/>
      <c r="GFW172" s="201"/>
      <c r="GFX172" s="201"/>
      <c r="GFY172" s="201"/>
      <c r="GFZ172" s="201"/>
      <c r="GGA172" s="201"/>
      <c r="GGB172" s="201"/>
      <c r="GGC172" s="201"/>
      <c r="GGD172" s="201"/>
      <c r="GGE172" s="201"/>
      <c r="GGF172" s="201"/>
      <c r="GGG172" s="201"/>
      <c r="GGH172" s="201"/>
      <c r="GGI172" s="201"/>
      <c r="GGJ172" s="201"/>
      <c r="GGK172" s="201"/>
      <c r="GGL172" s="201"/>
      <c r="GGM172" s="201"/>
      <c r="GGN172" s="201"/>
      <c r="GGO172" s="201"/>
      <c r="GGP172" s="201"/>
      <c r="GGQ172" s="201"/>
      <c r="GGR172" s="201"/>
      <c r="GGS172" s="201"/>
      <c r="GGT172" s="201"/>
      <c r="GGU172" s="201"/>
      <c r="GGV172" s="201"/>
      <c r="GGW172" s="201"/>
      <c r="GGX172" s="201"/>
      <c r="GGY172" s="201"/>
      <c r="GGZ172" s="201"/>
      <c r="GHA172" s="201"/>
      <c r="GHB172" s="201"/>
      <c r="GHC172" s="201"/>
      <c r="GHD172" s="201"/>
      <c r="GHE172" s="201"/>
      <c r="GHF172" s="201"/>
      <c r="GHG172" s="201"/>
      <c r="GHH172" s="201"/>
      <c r="GHI172" s="201"/>
      <c r="GHJ172" s="201"/>
      <c r="GHK172" s="201"/>
      <c r="GHL172" s="201"/>
      <c r="GHM172" s="201"/>
      <c r="GHN172" s="201"/>
      <c r="GHO172" s="201"/>
      <c r="GHP172" s="201"/>
      <c r="GHQ172" s="201"/>
      <c r="GHR172" s="201"/>
      <c r="GHS172" s="201"/>
      <c r="GHT172" s="201"/>
      <c r="GHU172" s="201"/>
      <c r="GHV172" s="201"/>
      <c r="GHW172" s="201"/>
      <c r="GHX172" s="201"/>
      <c r="GHY172" s="201"/>
      <c r="GHZ172" s="201"/>
      <c r="GIA172" s="201"/>
      <c r="GIB172" s="201"/>
      <c r="GIC172" s="201"/>
      <c r="GID172" s="201"/>
      <c r="GIE172" s="201"/>
      <c r="GIF172" s="201"/>
      <c r="GIG172" s="201"/>
      <c r="GIH172" s="201"/>
      <c r="GII172" s="201"/>
      <c r="GIJ172" s="201"/>
      <c r="GIK172" s="201"/>
      <c r="GIL172" s="201"/>
      <c r="GIM172" s="201"/>
      <c r="GIN172" s="201"/>
      <c r="GIO172" s="201"/>
      <c r="GIP172" s="201"/>
      <c r="GIQ172" s="201"/>
      <c r="GIR172" s="201"/>
      <c r="GIS172" s="201"/>
      <c r="GIT172" s="201"/>
      <c r="GIU172" s="201"/>
      <c r="GIV172" s="201"/>
      <c r="GIW172" s="201"/>
      <c r="GIX172" s="201"/>
      <c r="GIY172" s="201"/>
      <c r="GIZ172" s="201"/>
      <c r="GJA172" s="201"/>
      <c r="GJB172" s="201"/>
      <c r="GJC172" s="201"/>
      <c r="GJD172" s="201"/>
      <c r="GJE172" s="201"/>
      <c r="GJF172" s="201"/>
      <c r="GJG172" s="201"/>
      <c r="GJH172" s="201"/>
      <c r="GJI172" s="201"/>
      <c r="GJJ172" s="201"/>
      <c r="GJK172" s="201"/>
      <c r="GJL172" s="201"/>
      <c r="GJM172" s="201"/>
      <c r="GJN172" s="201"/>
      <c r="GJO172" s="201"/>
      <c r="GJP172" s="201"/>
      <c r="GJQ172" s="201"/>
      <c r="GJR172" s="201"/>
      <c r="GJS172" s="201"/>
      <c r="GJT172" s="201"/>
      <c r="GJU172" s="201"/>
      <c r="GJV172" s="201"/>
      <c r="GJW172" s="201"/>
      <c r="GJX172" s="201"/>
      <c r="GJY172" s="201"/>
      <c r="GJZ172" s="201"/>
      <c r="GKA172" s="201"/>
      <c r="GKB172" s="201"/>
      <c r="GKC172" s="201"/>
      <c r="GKD172" s="201"/>
      <c r="GKE172" s="201"/>
      <c r="GKF172" s="201"/>
      <c r="GKG172" s="201"/>
      <c r="GKH172" s="201"/>
      <c r="GKI172" s="201"/>
      <c r="GKJ172" s="201"/>
      <c r="GKK172" s="201"/>
      <c r="GKL172" s="201"/>
      <c r="GKM172" s="201"/>
      <c r="GKN172" s="201"/>
      <c r="GKO172" s="201"/>
      <c r="GKP172" s="201"/>
      <c r="GKQ172" s="201"/>
      <c r="GKR172" s="201"/>
      <c r="GKS172" s="201"/>
      <c r="GKT172" s="201"/>
      <c r="GKU172" s="201"/>
      <c r="GKV172" s="201"/>
      <c r="GKW172" s="201"/>
      <c r="GKX172" s="201"/>
      <c r="GKY172" s="201"/>
      <c r="GKZ172" s="201"/>
      <c r="GLA172" s="201"/>
      <c r="GLB172" s="201"/>
      <c r="GLC172" s="201"/>
      <c r="GLD172" s="201"/>
      <c r="GLE172" s="201"/>
      <c r="GLF172" s="201"/>
      <c r="GLG172" s="201"/>
      <c r="GLH172" s="201"/>
      <c r="GLI172" s="201"/>
      <c r="GLJ172" s="201"/>
      <c r="GLK172" s="201"/>
      <c r="GLL172" s="201"/>
      <c r="GLM172" s="201"/>
      <c r="GLN172" s="201"/>
      <c r="GLO172" s="201"/>
      <c r="GLP172" s="201"/>
      <c r="GLQ172" s="201"/>
      <c r="GLR172" s="201"/>
      <c r="GLS172" s="201"/>
      <c r="GLT172" s="201"/>
      <c r="GLU172" s="201"/>
      <c r="GLV172" s="201"/>
      <c r="GLW172" s="201"/>
      <c r="GLX172" s="201"/>
      <c r="GLY172" s="201"/>
      <c r="GLZ172" s="201"/>
      <c r="GMA172" s="201"/>
      <c r="GMB172" s="201"/>
      <c r="GMC172" s="201"/>
      <c r="GMD172" s="201"/>
      <c r="GME172" s="201"/>
      <c r="GMF172" s="201"/>
      <c r="GMG172" s="201"/>
      <c r="GMH172" s="201"/>
      <c r="GMI172" s="201"/>
      <c r="GMJ172" s="201"/>
      <c r="GMK172" s="201"/>
      <c r="GML172" s="201"/>
      <c r="GMM172" s="201"/>
      <c r="GMN172" s="201"/>
      <c r="GMO172" s="201"/>
      <c r="GMP172" s="201"/>
      <c r="GMQ172" s="201"/>
      <c r="GMR172" s="201"/>
      <c r="GMS172" s="201"/>
      <c r="GMT172" s="201"/>
      <c r="GMU172" s="201"/>
      <c r="GMV172" s="201"/>
      <c r="GMW172" s="201"/>
      <c r="GMX172" s="201"/>
      <c r="GMY172" s="201"/>
      <c r="GMZ172" s="201"/>
      <c r="GNA172" s="201"/>
      <c r="GNB172" s="201"/>
      <c r="GNC172" s="201"/>
      <c r="GND172" s="201"/>
      <c r="GNE172" s="201"/>
      <c r="GNF172" s="201"/>
      <c r="GNG172" s="201"/>
      <c r="GNH172" s="201"/>
      <c r="GNI172" s="201"/>
      <c r="GNJ172" s="201"/>
      <c r="GNK172" s="201"/>
      <c r="GNL172" s="201"/>
      <c r="GNM172" s="201"/>
      <c r="GNN172" s="201"/>
      <c r="GNO172" s="201"/>
      <c r="GNP172" s="201"/>
      <c r="GNQ172" s="201"/>
      <c r="GNR172" s="201"/>
      <c r="GNS172" s="201"/>
      <c r="GNT172" s="201"/>
      <c r="GNU172" s="201"/>
      <c r="GNV172" s="201"/>
      <c r="GNW172" s="201"/>
      <c r="GNX172" s="201"/>
      <c r="GNY172" s="201"/>
      <c r="GNZ172" s="201"/>
      <c r="GOA172" s="201"/>
      <c r="GOB172" s="201"/>
      <c r="GOC172" s="201"/>
      <c r="GOD172" s="201"/>
      <c r="GOE172" s="201"/>
      <c r="GOF172" s="201"/>
      <c r="GOG172" s="201"/>
      <c r="GOH172" s="201"/>
      <c r="GOI172" s="201"/>
      <c r="GOJ172" s="201"/>
      <c r="GOK172" s="201"/>
      <c r="GOL172" s="201"/>
      <c r="GOM172" s="201"/>
      <c r="GON172" s="201"/>
      <c r="GOO172" s="201"/>
      <c r="GOP172" s="201"/>
      <c r="GOQ172" s="201"/>
      <c r="GOR172" s="201"/>
      <c r="GOS172" s="201"/>
      <c r="GOT172" s="201"/>
      <c r="GOU172" s="201"/>
      <c r="GOV172" s="201"/>
      <c r="GOW172" s="201"/>
      <c r="GOX172" s="201"/>
      <c r="GOY172" s="201"/>
      <c r="GOZ172" s="201"/>
      <c r="GPA172" s="201"/>
      <c r="GPB172" s="201"/>
      <c r="GPC172" s="201"/>
      <c r="GPD172" s="201"/>
      <c r="GPE172" s="201"/>
      <c r="GPF172" s="201"/>
      <c r="GPG172" s="201"/>
      <c r="GPH172" s="201"/>
      <c r="GPI172" s="201"/>
      <c r="GPJ172" s="201"/>
      <c r="GPK172" s="201"/>
      <c r="GPL172" s="201"/>
      <c r="GPM172" s="201"/>
      <c r="GPN172" s="201"/>
      <c r="GPO172" s="201"/>
      <c r="GPP172" s="201"/>
      <c r="GPQ172" s="201"/>
      <c r="GPR172" s="201"/>
      <c r="GPS172" s="201"/>
      <c r="GPT172" s="201"/>
      <c r="GPU172" s="201"/>
      <c r="GPV172" s="201"/>
      <c r="GPW172" s="201"/>
      <c r="GPX172" s="201"/>
      <c r="GPY172" s="201"/>
      <c r="GPZ172" s="201"/>
      <c r="GQA172" s="201"/>
      <c r="GQB172" s="201"/>
      <c r="GQC172" s="201"/>
      <c r="GQD172" s="201"/>
      <c r="GQE172" s="201"/>
      <c r="GQF172" s="201"/>
      <c r="GQG172" s="201"/>
      <c r="GQH172" s="201"/>
      <c r="GQI172" s="201"/>
      <c r="GQJ172" s="201"/>
      <c r="GQK172" s="201"/>
      <c r="GQL172" s="201"/>
      <c r="GQM172" s="201"/>
      <c r="GQN172" s="201"/>
      <c r="GQO172" s="201"/>
      <c r="GQP172" s="201"/>
      <c r="GQQ172" s="201"/>
      <c r="GQR172" s="201"/>
      <c r="GQS172" s="201"/>
      <c r="GQT172" s="201"/>
      <c r="GQU172" s="201"/>
      <c r="GQV172" s="201"/>
      <c r="GQW172" s="201"/>
      <c r="GQX172" s="201"/>
      <c r="GQY172" s="201"/>
      <c r="GQZ172" s="201"/>
      <c r="GRA172" s="201"/>
      <c r="GRB172" s="201"/>
      <c r="GRC172" s="201"/>
      <c r="GRD172" s="201"/>
      <c r="GRE172" s="201"/>
      <c r="GRF172" s="201"/>
      <c r="GRG172" s="201"/>
      <c r="GRH172" s="201"/>
      <c r="GRI172" s="201"/>
      <c r="GRJ172" s="201"/>
      <c r="GRK172" s="201"/>
      <c r="GRL172" s="201"/>
      <c r="GRM172" s="201"/>
      <c r="GRN172" s="201"/>
      <c r="GRO172" s="201"/>
      <c r="GRP172" s="201"/>
      <c r="GRQ172" s="201"/>
      <c r="GRR172" s="201"/>
      <c r="GRS172" s="201"/>
      <c r="GRT172" s="201"/>
      <c r="GRU172" s="201"/>
      <c r="GRV172" s="201"/>
      <c r="GRW172" s="201"/>
      <c r="GRX172" s="201"/>
      <c r="GRY172" s="201"/>
      <c r="GRZ172" s="201"/>
      <c r="GSA172" s="201"/>
      <c r="GSB172" s="201"/>
      <c r="GSC172" s="201"/>
      <c r="GSD172" s="201"/>
      <c r="GSE172" s="201"/>
      <c r="GSF172" s="201"/>
      <c r="GSG172" s="201"/>
      <c r="GSH172" s="201"/>
      <c r="GSI172" s="201"/>
      <c r="GSJ172" s="201"/>
      <c r="GSK172" s="201"/>
      <c r="GSL172" s="201"/>
      <c r="GSM172" s="201"/>
      <c r="GSN172" s="201"/>
      <c r="GSO172" s="201"/>
      <c r="GSP172" s="201"/>
      <c r="GSQ172" s="201"/>
      <c r="GSR172" s="201"/>
      <c r="GSS172" s="201"/>
      <c r="GST172" s="201"/>
      <c r="GSU172" s="201"/>
      <c r="GSV172" s="201"/>
      <c r="GSW172" s="201"/>
      <c r="GSX172" s="201"/>
      <c r="GSY172" s="201"/>
      <c r="GSZ172" s="201"/>
      <c r="GTA172" s="201"/>
      <c r="GTB172" s="201"/>
      <c r="GTC172" s="201"/>
      <c r="GTD172" s="201"/>
      <c r="GTE172" s="201"/>
      <c r="GTF172" s="201"/>
      <c r="GTG172" s="201"/>
      <c r="GTH172" s="201"/>
      <c r="GTI172" s="201"/>
      <c r="GTJ172" s="201"/>
      <c r="GTK172" s="201"/>
      <c r="GTL172" s="201"/>
      <c r="GTM172" s="201"/>
      <c r="GTN172" s="201"/>
      <c r="GTO172" s="201"/>
      <c r="GTP172" s="201"/>
      <c r="GTQ172" s="201"/>
      <c r="GTR172" s="201"/>
      <c r="GTS172" s="201"/>
      <c r="GTT172" s="201"/>
      <c r="GTU172" s="201"/>
      <c r="GTV172" s="201"/>
      <c r="GTW172" s="201"/>
      <c r="GTX172" s="201"/>
      <c r="GTY172" s="201"/>
      <c r="GTZ172" s="201"/>
      <c r="GUA172" s="201"/>
      <c r="GUB172" s="201"/>
      <c r="GUC172" s="201"/>
      <c r="GUD172" s="201"/>
      <c r="GUE172" s="201"/>
      <c r="GUF172" s="201"/>
      <c r="GUG172" s="201"/>
      <c r="GUH172" s="201"/>
      <c r="GUI172" s="201"/>
      <c r="GUJ172" s="201"/>
      <c r="GUK172" s="201"/>
      <c r="GUL172" s="201"/>
      <c r="GUM172" s="201"/>
      <c r="GUN172" s="201"/>
      <c r="GUO172" s="201"/>
      <c r="GUP172" s="201"/>
      <c r="GUQ172" s="201"/>
      <c r="GUR172" s="201"/>
      <c r="GUS172" s="201"/>
      <c r="GUT172" s="201"/>
      <c r="GUU172" s="201"/>
      <c r="GUV172" s="201"/>
      <c r="GUW172" s="201"/>
      <c r="GUX172" s="201"/>
      <c r="GUY172" s="201"/>
      <c r="GUZ172" s="201"/>
      <c r="GVA172" s="201"/>
      <c r="GVB172" s="201"/>
      <c r="GVC172" s="201"/>
      <c r="GVD172" s="201"/>
      <c r="GVE172" s="201"/>
      <c r="GVF172" s="201"/>
      <c r="GVG172" s="201"/>
      <c r="GVH172" s="201"/>
      <c r="GVI172" s="201"/>
      <c r="GVJ172" s="201"/>
      <c r="GVK172" s="201"/>
      <c r="GVL172" s="201"/>
      <c r="GVM172" s="201"/>
      <c r="GVN172" s="201"/>
      <c r="GVO172" s="201"/>
      <c r="GVP172" s="201"/>
      <c r="GVQ172" s="201"/>
      <c r="GVR172" s="201"/>
      <c r="GVS172" s="201"/>
      <c r="GVT172" s="201"/>
      <c r="GVU172" s="201"/>
      <c r="GVV172" s="201"/>
      <c r="GVW172" s="201"/>
      <c r="GVX172" s="201"/>
      <c r="GVY172" s="201"/>
      <c r="GVZ172" s="201"/>
      <c r="GWA172" s="201"/>
      <c r="GWB172" s="201"/>
      <c r="GWC172" s="201"/>
      <c r="GWD172" s="201"/>
      <c r="GWE172" s="201"/>
      <c r="GWF172" s="201"/>
      <c r="GWG172" s="201"/>
      <c r="GWH172" s="201"/>
      <c r="GWI172" s="201"/>
      <c r="GWJ172" s="201"/>
      <c r="GWK172" s="201"/>
      <c r="GWL172" s="201"/>
      <c r="GWM172" s="201"/>
      <c r="GWN172" s="201"/>
      <c r="GWO172" s="201"/>
      <c r="GWP172" s="201"/>
      <c r="GWQ172" s="201"/>
      <c r="GWR172" s="201"/>
      <c r="GWS172" s="201"/>
      <c r="GWT172" s="201"/>
      <c r="GWU172" s="201"/>
      <c r="GWV172" s="201"/>
      <c r="GWW172" s="201"/>
      <c r="GWX172" s="201"/>
      <c r="GWY172" s="201"/>
      <c r="GWZ172" s="201"/>
      <c r="GXA172" s="201"/>
      <c r="GXB172" s="201"/>
      <c r="GXC172" s="201"/>
      <c r="GXD172" s="201"/>
      <c r="GXE172" s="201"/>
      <c r="GXF172" s="201"/>
      <c r="GXG172" s="201"/>
      <c r="GXH172" s="201"/>
      <c r="GXI172" s="201"/>
      <c r="GXJ172" s="201"/>
      <c r="GXK172" s="201"/>
      <c r="GXL172" s="201"/>
      <c r="GXM172" s="201"/>
      <c r="GXN172" s="201"/>
      <c r="GXO172" s="201"/>
      <c r="GXP172" s="201"/>
      <c r="GXQ172" s="201"/>
      <c r="GXR172" s="201"/>
      <c r="GXS172" s="201"/>
      <c r="GXT172" s="201"/>
      <c r="GXU172" s="201"/>
      <c r="GXV172" s="201"/>
      <c r="GXW172" s="201"/>
      <c r="GXX172" s="201"/>
      <c r="GXY172" s="201"/>
      <c r="GXZ172" s="201"/>
      <c r="GYA172" s="201"/>
      <c r="GYB172" s="201"/>
      <c r="GYC172" s="201"/>
      <c r="GYD172" s="201"/>
      <c r="GYE172" s="201"/>
      <c r="GYF172" s="201"/>
      <c r="GYG172" s="201"/>
      <c r="GYH172" s="201"/>
      <c r="GYI172" s="201"/>
      <c r="GYJ172" s="201"/>
      <c r="GYK172" s="201"/>
      <c r="GYL172" s="201"/>
      <c r="GYM172" s="201"/>
      <c r="GYN172" s="201"/>
      <c r="GYO172" s="201"/>
      <c r="GYP172" s="201"/>
      <c r="GYQ172" s="201"/>
      <c r="GYR172" s="201"/>
      <c r="GYS172" s="201"/>
      <c r="GYT172" s="201"/>
      <c r="GYU172" s="201"/>
      <c r="GYV172" s="201"/>
      <c r="GYW172" s="201"/>
      <c r="GYX172" s="201"/>
      <c r="GYY172" s="201"/>
      <c r="GYZ172" s="201"/>
      <c r="GZA172" s="201"/>
      <c r="GZB172" s="201"/>
      <c r="GZC172" s="201"/>
      <c r="GZD172" s="201"/>
      <c r="GZE172" s="201"/>
      <c r="GZF172" s="201"/>
      <c r="GZG172" s="201"/>
      <c r="GZH172" s="201"/>
      <c r="GZI172" s="201"/>
      <c r="GZJ172" s="201"/>
      <c r="GZK172" s="201"/>
      <c r="GZL172" s="201"/>
      <c r="GZM172" s="201"/>
      <c r="GZN172" s="201"/>
      <c r="GZO172" s="201"/>
      <c r="GZP172" s="201"/>
      <c r="GZQ172" s="201"/>
      <c r="GZR172" s="201"/>
      <c r="GZS172" s="201"/>
      <c r="GZT172" s="201"/>
      <c r="GZU172" s="201"/>
      <c r="GZV172" s="201"/>
      <c r="GZW172" s="201"/>
      <c r="GZX172" s="201"/>
      <c r="GZY172" s="201"/>
      <c r="GZZ172" s="201"/>
      <c r="HAA172" s="201"/>
      <c r="HAB172" s="201"/>
      <c r="HAC172" s="201"/>
      <c r="HAD172" s="201"/>
      <c r="HAE172" s="201"/>
      <c r="HAF172" s="201"/>
      <c r="HAG172" s="201"/>
      <c r="HAH172" s="201"/>
      <c r="HAI172" s="201"/>
      <c r="HAJ172" s="201"/>
      <c r="HAK172" s="201"/>
      <c r="HAL172" s="201"/>
      <c r="HAM172" s="201"/>
      <c r="HAN172" s="201"/>
      <c r="HAO172" s="201"/>
      <c r="HAP172" s="201"/>
      <c r="HAQ172" s="201"/>
      <c r="HAR172" s="201"/>
      <c r="HAS172" s="201"/>
      <c r="HAT172" s="201"/>
      <c r="HAU172" s="201"/>
      <c r="HAV172" s="201"/>
      <c r="HAW172" s="201"/>
      <c r="HAX172" s="201"/>
      <c r="HAY172" s="201"/>
      <c r="HAZ172" s="201"/>
      <c r="HBA172" s="201"/>
      <c r="HBB172" s="201"/>
      <c r="HBC172" s="201"/>
      <c r="HBD172" s="201"/>
      <c r="HBE172" s="201"/>
      <c r="HBF172" s="201"/>
      <c r="HBG172" s="201"/>
      <c r="HBH172" s="201"/>
      <c r="HBI172" s="201"/>
      <c r="HBJ172" s="201"/>
      <c r="HBK172" s="201"/>
      <c r="HBL172" s="201"/>
      <c r="HBM172" s="201"/>
      <c r="HBN172" s="201"/>
      <c r="HBO172" s="201"/>
      <c r="HBP172" s="201"/>
      <c r="HBQ172" s="201"/>
      <c r="HBR172" s="201"/>
      <c r="HBS172" s="201"/>
      <c r="HBT172" s="201"/>
      <c r="HBU172" s="201"/>
      <c r="HBV172" s="201"/>
      <c r="HBW172" s="201"/>
      <c r="HBX172" s="201"/>
      <c r="HBY172" s="201"/>
      <c r="HBZ172" s="201"/>
      <c r="HCA172" s="201"/>
      <c r="HCB172" s="201"/>
      <c r="HCC172" s="201"/>
      <c r="HCD172" s="201"/>
      <c r="HCE172" s="201"/>
      <c r="HCF172" s="201"/>
      <c r="HCG172" s="201"/>
      <c r="HCH172" s="201"/>
      <c r="HCI172" s="201"/>
      <c r="HCJ172" s="201"/>
      <c r="HCK172" s="201"/>
      <c r="HCL172" s="201"/>
      <c r="HCM172" s="201"/>
      <c r="HCN172" s="201"/>
      <c r="HCO172" s="201"/>
      <c r="HCP172" s="201"/>
      <c r="HCQ172" s="201"/>
      <c r="HCR172" s="201"/>
      <c r="HCS172" s="201"/>
      <c r="HCT172" s="201"/>
      <c r="HCU172" s="201"/>
      <c r="HCV172" s="201"/>
      <c r="HCW172" s="201"/>
      <c r="HCX172" s="201"/>
      <c r="HCY172" s="201"/>
      <c r="HCZ172" s="201"/>
      <c r="HDA172" s="201"/>
      <c r="HDB172" s="201"/>
      <c r="HDC172" s="201"/>
      <c r="HDD172" s="201"/>
      <c r="HDE172" s="201"/>
      <c r="HDF172" s="201"/>
      <c r="HDG172" s="201"/>
      <c r="HDH172" s="201"/>
      <c r="HDI172" s="201"/>
      <c r="HDJ172" s="201"/>
      <c r="HDK172" s="201"/>
      <c r="HDL172" s="201"/>
      <c r="HDM172" s="201"/>
      <c r="HDN172" s="201"/>
      <c r="HDO172" s="201"/>
      <c r="HDP172" s="201"/>
      <c r="HDQ172" s="201"/>
      <c r="HDR172" s="201"/>
      <c r="HDS172" s="201"/>
      <c r="HDT172" s="201"/>
      <c r="HDU172" s="201"/>
      <c r="HDV172" s="201"/>
      <c r="HDW172" s="201"/>
      <c r="HDX172" s="201"/>
      <c r="HDY172" s="201"/>
      <c r="HDZ172" s="201"/>
      <c r="HEA172" s="201"/>
      <c r="HEB172" s="201"/>
      <c r="HEC172" s="201"/>
      <c r="HED172" s="201"/>
      <c r="HEE172" s="201"/>
      <c r="HEF172" s="201"/>
      <c r="HEG172" s="201"/>
      <c r="HEH172" s="201"/>
      <c r="HEI172" s="201"/>
      <c r="HEJ172" s="201"/>
      <c r="HEK172" s="201"/>
      <c r="HEL172" s="201"/>
      <c r="HEM172" s="201"/>
      <c r="HEN172" s="201"/>
      <c r="HEO172" s="201"/>
      <c r="HEP172" s="201"/>
      <c r="HEQ172" s="201"/>
      <c r="HER172" s="201"/>
      <c r="HES172" s="201"/>
      <c r="HET172" s="201"/>
      <c r="HEU172" s="201"/>
      <c r="HEV172" s="201"/>
      <c r="HEW172" s="201"/>
      <c r="HEX172" s="201"/>
      <c r="HEY172" s="201"/>
      <c r="HEZ172" s="201"/>
      <c r="HFA172" s="201"/>
      <c r="HFB172" s="201"/>
      <c r="HFC172" s="201"/>
      <c r="HFD172" s="201"/>
      <c r="HFE172" s="201"/>
      <c r="HFF172" s="201"/>
      <c r="HFG172" s="201"/>
      <c r="HFH172" s="201"/>
      <c r="HFI172" s="201"/>
      <c r="HFJ172" s="201"/>
      <c r="HFK172" s="201"/>
      <c r="HFL172" s="201"/>
      <c r="HFM172" s="201"/>
      <c r="HFN172" s="201"/>
      <c r="HFO172" s="201"/>
      <c r="HFP172" s="201"/>
      <c r="HFQ172" s="201"/>
      <c r="HFR172" s="201"/>
      <c r="HFS172" s="201"/>
      <c r="HFT172" s="201"/>
      <c r="HFU172" s="201"/>
      <c r="HFV172" s="201"/>
      <c r="HFW172" s="201"/>
      <c r="HFX172" s="201"/>
      <c r="HFY172" s="201"/>
      <c r="HFZ172" s="201"/>
      <c r="HGA172" s="201"/>
      <c r="HGB172" s="201"/>
      <c r="HGC172" s="201"/>
      <c r="HGD172" s="201"/>
      <c r="HGE172" s="201"/>
      <c r="HGF172" s="201"/>
      <c r="HGG172" s="201"/>
      <c r="HGH172" s="201"/>
      <c r="HGI172" s="201"/>
      <c r="HGJ172" s="201"/>
      <c r="HGK172" s="201"/>
      <c r="HGL172" s="201"/>
      <c r="HGM172" s="201"/>
      <c r="HGN172" s="201"/>
      <c r="HGO172" s="201"/>
      <c r="HGP172" s="201"/>
      <c r="HGQ172" s="201"/>
      <c r="HGR172" s="201"/>
      <c r="HGS172" s="201"/>
      <c r="HGT172" s="201"/>
      <c r="HGU172" s="201"/>
      <c r="HGV172" s="201"/>
      <c r="HGW172" s="201"/>
      <c r="HGX172" s="201"/>
      <c r="HGY172" s="201"/>
      <c r="HGZ172" s="201"/>
      <c r="HHA172" s="201"/>
      <c r="HHB172" s="201"/>
      <c r="HHC172" s="201"/>
      <c r="HHD172" s="201"/>
      <c r="HHE172" s="201"/>
      <c r="HHF172" s="201"/>
      <c r="HHG172" s="201"/>
      <c r="HHH172" s="201"/>
      <c r="HHI172" s="201"/>
      <c r="HHJ172" s="201"/>
      <c r="HHK172" s="201"/>
      <c r="HHL172" s="201"/>
      <c r="HHM172" s="201"/>
      <c r="HHN172" s="201"/>
      <c r="HHO172" s="201"/>
      <c r="HHP172" s="201"/>
      <c r="HHQ172" s="201"/>
      <c r="HHR172" s="201"/>
      <c r="HHS172" s="201"/>
      <c r="HHT172" s="201"/>
      <c r="HHU172" s="201"/>
      <c r="HHV172" s="201"/>
      <c r="HHW172" s="201"/>
      <c r="HHX172" s="201"/>
      <c r="HHY172" s="201"/>
      <c r="HHZ172" s="201"/>
      <c r="HIA172" s="201"/>
      <c r="HIB172" s="201"/>
      <c r="HIC172" s="201"/>
      <c r="HID172" s="201"/>
      <c r="HIE172" s="201"/>
      <c r="HIF172" s="201"/>
      <c r="HIG172" s="201"/>
      <c r="HIH172" s="201"/>
      <c r="HII172" s="201"/>
      <c r="HIJ172" s="201"/>
      <c r="HIK172" s="201"/>
      <c r="HIL172" s="201"/>
      <c r="HIM172" s="201"/>
      <c r="HIN172" s="201"/>
      <c r="HIO172" s="201"/>
      <c r="HIP172" s="201"/>
      <c r="HIQ172" s="201"/>
      <c r="HIR172" s="201"/>
      <c r="HIS172" s="201"/>
      <c r="HIT172" s="201"/>
      <c r="HIU172" s="201"/>
      <c r="HIV172" s="201"/>
      <c r="HIW172" s="201"/>
      <c r="HIX172" s="201"/>
      <c r="HIY172" s="201"/>
      <c r="HIZ172" s="201"/>
      <c r="HJA172" s="201"/>
      <c r="HJB172" s="201"/>
      <c r="HJC172" s="201"/>
      <c r="HJD172" s="201"/>
      <c r="HJE172" s="201"/>
      <c r="HJF172" s="201"/>
      <c r="HJG172" s="201"/>
      <c r="HJH172" s="201"/>
      <c r="HJI172" s="201"/>
      <c r="HJJ172" s="201"/>
      <c r="HJK172" s="201"/>
      <c r="HJL172" s="201"/>
      <c r="HJM172" s="201"/>
      <c r="HJN172" s="201"/>
      <c r="HJO172" s="201"/>
      <c r="HJP172" s="201"/>
      <c r="HJQ172" s="201"/>
      <c r="HJR172" s="201"/>
      <c r="HJS172" s="201"/>
      <c r="HJT172" s="201"/>
      <c r="HJU172" s="201"/>
      <c r="HJV172" s="201"/>
      <c r="HJW172" s="201"/>
      <c r="HJX172" s="201"/>
      <c r="HJY172" s="201"/>
      <c r="HJZ172" s="201"/>
      <c r="HKA172" s="201"/>
      <c r="HKB172" s="201"/>
      <c r="HKC172" s="201"/>
      <c r="HKD172" s="201"/>
      <c r="HKE172" s="201"/>
      <c r="HKF172" s="201"/>
      <c r="HKG172" s="201"/>
      <c r="HKH172" s="201"/>
      <c r="HKI172" s="201"/>
      <c r="HKJ172" s="201"/>
      <c r="HKK172" s="201"/>
      <c r="HKL172" s="201"/>
      <c r="HKM172" s="201"/>
      <c r="HKN172" s="201"/>
      <c r="HKO172" s="201"/>
      <c r="HKP172" s="201"/>
      <c r="HKQ172" s="201"/>
      <c r="HKR172" s="201"/>
      <c r="HKS172" s="201"/>
      <c r="HKT172" s="201"/>
      <c r="HKU172" s="201"/>
      <c r="HKV172" s="201"/>
      <c r="HKW172" s="201"/>
      <c r="HKX172" s="201"/>
      <c r="HKY172" s="201"/>
      <c r="HKZ172" s="201"/>
      <c r="HLA172" s="201"/>
      <c r="HLB172" s="201"/>
      <c r="HLC172" s="201"/>
      <c r="HLD172" s="201"/>
      <c r="HLE172" s="201"/>
      <c r="HLF172" s="201"/>
      <c r="HLG172" s="201"/>
      <c r="HLH172" s="201"/>
      <c r="HLI172" s="201"/>
      <c r="HLJ172" s="201"/>
      <c r="HLK172" s="201"/>
      <c r="HLL172" s="201"/>
      <c r="HLM172" s="201"/>
      <c r="HLN172" s="201"/>
      <c r="HLO172" s="201"/>
      <c r="HLP172" s="201"/>
      <c r="HLQ172" s="201"/>
      <c r="HLR172" s="201"/>
      <c r="HLS172" s="201"/>
      <c r="HLT172" s="201"/>
      <c r="HLU172" s="201"/>
      <c r="HLV172" s="201"/>
      <c r="HLW172" s="201"/>
      <c r="HLX172" s="201"/>
      <c r="HLY172" s="201"/>
      <c r="HLZ172" s="201"/>
      <c r="HMA172" s="201"/>
      <c r="HMB172" s="201"/>
      <c r="HMC172" s="201"/>
      <c r="HMD172" s="201"/>
      <c r="HME172" s="201"/>
      <c r="HMF172" s="201"/>
      <c r="HMG172" s="201"/>
      <c r="HMH172" s="201"/>
      <c r="HMI172" s="201"/>
      <c r="HMJ172" s="201"/>
      <c r="HMK172" s="201"/>
      <c r="HML172" s="201"/>
      <c r="HMM172" s="201"/>
      <c r="HMN172" s="201"/>
      <c r="HMO172" s="201"/>
      <c r="HMP172" s="201"/>
      <c r="HMQ172" s="201"/>
      <c r="HMR172" s="201"/>
      <c r="HMS172" s="201"/>
      <c r="HMT172" s="201"/>
      <c r="HMU172" s="201"/>
      <c r="HMV172" s="201"/>
      <c r="HMW172" s="201"/>
      <c r="HMX172" s="201"/>
      <c r="HMY172" s="201"/>
      <c r="HMZ172" s="201"/>
      <c r="HNA172" s="201"/>
      <c r="HNB172" s="201"/>
      <c r="HNC172" s="201"/>
      <c r="HND172" s="201"/>
      <c r="HNE172" s="201"/>
      <c r="HNF172" s="201"/>
      <c r="HNG172" s="201"/>
      <c r="HNH172" s="201"/>
      <c r="HNI172" s="201"/>
      <c r="HNJ172" s="201"/>
      <c r="HNK172" s="201"/>
      <c r="HNL172" s="201"/>
      <c r="HNM172" s="201"/>
      <c r="HNN172" s="201"/>
      <c r="HNO172" s="201"/>
      <c r="HNP172" s="201"/>
      <c r="HNQ172" s="201"/>
      <c r="HNR172" s="201"/>
      <c r="HNS172" s="201"/>
      <c r="HNT172" s="201"/>
      <c r="HNU172" s="201"/>
      <c r="HNV172" s="201"/>
      <c r="HNW172" s="201"/>
      <c r="HNX172" s="201"/>
      <c r="HNY172" s="201"/>
      <c r="HNZ172" s="201"/>
      <c r="HOA172" s="201"/>
      <c r="HOB172" s="201"/>
      <c r="HOC172" s="201"/>
      <c r="HOD172" s="201"/>
      <c r="HOE172" s="201"/>
      <c r="HOF172" s="201"/>
      <c r="HOG172" s="201"/>
      <c r="HOH172" s="201"/>
      <c r="HOI172" s="201"/>
      <c r="HOJ172" s="201"/>
      <c r="HOK172" s="201"/>
      <c r="HOL172" s="201"/>
      <c r="HOM172" s="201"/>
      <c r="HON172" s="201"/>
      <c r="HOO172" s="201"/>
      <c r="HOP172" s="201"/>
      <c r="HOQ172" s="201"/>
      <c r="HOR172" s="201"/>
      <c r="HOS172" s="201"/>
      <c r="HOT172" s="201"/>
      <c r="HOU172" s="201"/>
      <c r="HOV172" s="201"/>
      <c r="HOW172" s="201"/>
      <c r="HOX172" s="201"/>
      <c r="HOY172" s="201"/>
      <c r="HOZ172" s="201"/>
      <c r="HPA172" s="201"/>
      <c r="HPB172" s="201"/>
      <c r="HPC172" s="201"/>
      <c r="HPD172" s="201"/>
      <c r="HPE172" s="201"/>
      <c r="HPF172" s="201"/>
      <c r="HPG172" s="201"/>
      <c r="HPH172" s="201"/>
      <c r="HPI172" s="201"/>
      <c r="HPJ172" s="201"/>
      <c r="HPK172" s="201"/>
      <c r="HPL172" s="201"/>
      <c r="HPM172" s="201"/>
      <c r="HPN172" s="201"/>
      <c r="HPO172" s="201"/>
      <c r="HPP172" s="201"/>
      <c r="HPQ172" s="201"/>
      <c r="HPR172" s="201"/>
      <c r="HPS172" s="201"/>
      <c r="HPT172" s="201"/>
      <c r="HPU172" s="201"/>
      <c r="HPV172" s="201"/>
      <c r="HPW172" s="201"/>
      <c r="HPX172" s="201"/>
      <c r="HPY172" s="201"/>
      <c r="HPZ172" s="201"/>
      <c r="HQA172" s="201"/>
      <c r="HQB172" s="201"/>
      <c r="HQC172" s="201"/>
      <c r="HQD172" s="201"/>
      <c r="HQE172" s="201"/>
      <c r="HQF172" s="201"/>
      <c r="HQG172" s="201"/>
      <c r="HQH172" s="201"/>
      <c r="HQI172" s="201"/>
      <c r="HQJ172" s="201"/>
      <c r="HQK172" s="201"/>
      <c r="HQL172" s="201"/>
      <c r="HQM172" s="201"/>
      <c r="HQN172" s="201"/>
      <c r="HQO172" s="201"/>
      <c r="HQP172" s="201"/>
      <c r="HQQ172" s="201"/>
      <c r="HQR172" s="201"/>
      <c r="HQS172" s="201"/>
      <c r="HQT172" s="201"/>
      <c r="HQU172" s="201"/>
      <c r="HQV172" s="201"/>
      <c r="HQW172" s="201"/>
      <c r="HQX172" s="201"/>
      <c r="HQY172" s="201"/>
      <c r="HQZ172" s="201"/>
      <c r="HRA172" s="201"/>
      <c r="HRB172" s="201"/>
      <c r="HRC172" s="201"/>
      <c r="HRD172" s="201"/>
      <c r="HRE172" s="201"/>
      <c r="HRF172" s="201"/>
      <c r="HRG172" s="201"/>
      <c r="HRH172" s="201"/>
      <c r="HRI172" s="201"/>
      <c r="HRJ172" s="201"/>
      <c r="HRK172" s="201"/>
      <c r="HRL172" s="201"/>
      <c r="HRM172" s="201"/>
      <c r="HRN172" s="201"/>
      <c r="HRO172" s="201"/>
      <c r="HRP172" s="201"/>
      <c r="HRQ172" s="201"/>
      <c r="HRR172" s="201"/>
      <c r="HRS172" s="201"/>
      <c r="HRT172" s="201"/>
      <c r="HRU172" s="201"/>
      <c r="HRV172" s="201"/>
      <c r="HRW172" s="201"/>
      <c r="HRX172" s="201"/>
      <c r="HRY172" s="201"/>
      <c r="HRZ172" s="201"/>
      <c r="HSA172" s="201"/>
      <c r="HSB172" s="201"/>
      <c r="HSC172" s="201"/>
      <c r="HSD172" s="201"/>
      <c r="HSE172" s="201"/>
      <c r="HSF172" s="201"/>
      <c r="HSG172" s="201"/>
      <c r="HSH172" s="201"/>
      <c r="HSI172" s="201"/>
      <c r="HSJ172" s="201"/>
      <c r="HSK172" s="201"/>
      <c r="HSL172" s="201"/>
      <c r="HSM172" s="201"/>
      <c r="HSN172" s="201"/>
      <c r="HSO172" s="201"/>
      <c r="HSP172" s="201"/>
      <c r="HSQ172" s="201"/>
      <c r="HSR172" s="201"/>
      <c r="HSS172" s="201"/>
      <c r="HST172" s="201"/>
      <c r="HSU172" s="201"/>
      <c r="HSV172" s="201"/>
      <c r="HSW172" s="201"/>
      <c r="HSX172" s="201"/>
      <c r="HSY172" s="201"/>
      <c r="HSZ172" s="201"/>
      <c r="HTA172" s="201"/>
      <c r="HTB172" s="201"/>
      <c r="HTC172" s="201"/>
      <c r="HTD172" s="201"/>
      <c r="HTE172" s="201"/>
      <c r="HTF172" s="201"/>
      <c r="HTG172" s="201"/>
      <c r="HTH172" s="201"/>
      <c r="HTI172" s="201"/>
      <c r="HTJ172" s="201"/>
      <c r="HTK172" s="201"/>
      <c r="HTL172" s="201"/>
      <c r="HTM172" s="201"/>
      <c r="HTN172" s="201"/>
      <c r="HTO172" s="201"/>
      <c r="HTP172" s="201"/>
      <c r="HTQ172" s="201"/>
      <c r="HTR172" s="201"/>
      <c r="HTS172" s="201"/>
      <c r="HTT172" s="201"/>
      <c r="HTU172" s="201"/>
      <c r="HTV172" s="201"/>
      <c r="HTW172" s="201"/>
      <c r="HTX172" s="201"/>
      <c r="HTY172" s="201"/>
      <c r="HTZ172" s="201"/>
      <c r="HUA172" s="201"/>
      <c r="HUB172" s="201"/>
      <c r="HUC172" s="201"/>
      <c r="HUD172" s="201"/>
      <c r="HUE172" s="201"/>
      <c r="HUF172" s="201"/>
      <c r="HUG172" s="201"/>
      <c r="HUH172" s="201"/>
      <c r="HUI172" s="201"/>
      <c r="HUJ172" s="201"/>
      <c r="HUK172" s="201"/>
      <c r="HUL172" s="201"/>
      <c r="HUM172" s="201"/>
      <c r="HUN172" s="201"/>
      <c r="HUO172" s="201"/>
      <c r="HUP172" s="201"/>
      <c r="HUQ172" s="201"/>
      <c r="HUR172" s="201"/>
      <c r="HUS172" s="201"/>
      <c r="HUT172" s="201"/>
      <c r="HUU172" s="201"/>
      <c r="HUV172" s="201"/>
      <c r="HUW172" s="201"/>
      <c r="HUX172" s="201"/>
      <c r="HUY172" s="201"/>
      <c r="HUZ172" s="201"/>
      <c r="HVA172" s="201"/>
      <c r="HVB172" s="201"/>
      <c r="HVC172" s="201"/>
      <c r="HVD172" s="201"/>
      <c r="HVE172" s="201"/>
      <c r="HVF172" s="201"/>
      <c r="HVG172" s="201"/>
      <c r="HVH172" s="201"/>
      <c r="HVI172" s="201"/>
      <c r="HVJ172" s="201"/>
      <c r="HVK172" s="201"/>
      <c r="HVL172" s="201"/>
      <c r="HVM172" s="201"/>
      <c r="HVN172" s="201"/>
      <c r="HVO172" s="201"/>
      <c r="HVP172" s="201"/>
      <c r="HVQ172" s="201"/>
      <c r="HVR172" s="201"/>
      <c r="HVS172" s="201"/>
      <c r="HVT172" s="201"/>
      <c r="HVU172" s="201"/>
      <c r="HVV172" s="201"/>
      <c r="HVW172" s="201"/>
      <c r="HVX172" s="201"/>
      <c r="HVY172" s="201"/>
      <c r="HVZ172" s="201"/>
      <c r="HWA172" s="201"/>
      <c r="HWB172" s="201"/>
      <c r="HWC172" s="201"/>
      <c r="HWD172" s="201"/>
      <c r="HWE172" s="201"/>
      <c r="HWF172" s="201"/>
      <c r="HWG172" s="201"/>
      <c r="HWH172" s="201"/>
      <c r="HWI172" s="201"/>
      <c r="HWJ172" s="201"/>
      <c r="HWK172" s="201"/>
      <c r="HWL172" s="201"/>
      <c r="HWM172" s="201"/>
      <c r="HWN172" s="201"/>
      <c r="HWO172" s="201"/>
      <c r="HWP172" s="201"/>
      <c r="HWQ172" s="201"/>
      <c r="HWR172" s="201"/>
      <c r="HWS172" s="201"/>
      <c r="HWT172" s="201"/>
      <c r="HWU172" s="201"/>
      <c r="HWV172" s="201"/>
      <c r="HWW172" s="201"/>
      <c r="HWX172" s="201"/>
      <c r="HWY172" s="201"/>
      <c r="HWZ172" s="201"/>
      <c r="HXA172" s="201"/>
      <c r="HXB172" s="201"/>
      <c r="HXC172" s="201"/>
      <c r="HXD172" s="201"/>
      <c r="HXE172" s="201"/>
      <c r="HXF172" s="201"/>
      <c r="HXG172" s="201"/>
      <c r="HXH172" s="201"/>
      <c r="HXI172" s="201"/>
      <c r="HXJ172" s="201"/>
      <c r="HXK172" s="201"/>
      <c r="HXL172" s="201"/>
      <c r="HXM172" s="201"/>
      <c r="HXN172" s="201"/>
      <c r="HXO172" s="201"/>
      <c r="HXP172" s="201"/>
      <c r="HXQ172" s="201"/>
      <c r="HXR172" s="201"/>
      <c r="HXS172" s="201"/>
      <c r="HXT172" s="201"/>
      <c r="HXU172" s="201"/>
      <c r="HXV172" s="201"/>
      <c r="HXW172" s="201"/>
      <c r="HXX172" s="201"/>
      <c r="HXY172" s="201"/>
      <c r="HXZ172" s="201"/>
      <c r="HYA172" s="201"/>
      <c r="HYB172" s="201"/>
      <c r="HYC172" s="201"/>
      <c r="HYD172" s="201"/>
      <c r="HYE172" s="201"/>
      <c r="HYF172" s="201"/>
      <c r="HYG172" s="201"/>
      <c r="HYH172" s="201"/>
      <c r="HYI172" s="201"/>
      <c r="HYJ172" s="201"/>
      <c r="HYK172" s="201"/>
      <c r="HYL172" s="201"/>
      <c r="HYM172" s="201"/>
      <c r="HYN172" s="201"/>
      <c r="HYO172" s="201"/>
      <c r="HYP172" s="201"/>
      <c r="HYQ172" s="201"/>
      <c r="HYR172" s="201"/>
      <c r="HYS172" s="201"/>
      <c r="HYT172" s="201"/>
      <c r="HYU172" s="201"/>
      <c r="HYV172" s="201"/>
      <c r="HYW172" s="201"/>
      <c r="HYX172" s="201"/>
      <c r="HYY172" s="201"/>
      <c r="HYZ172" s="201"/>
      <c r="HZA172" s="201"/>
      <c r="HZB172" s="201"/>
      <c r="HZC172" s="201"/>
      <c r="HZD172" s="201"/>
      <c r="HZE172" s="201"/>
      <c r="HZF172" s="201"/>
      <c r="HZG172" s="201"/>
      <c r="HZH172" s="201"/>
      <c r="HZI172" s="201"/>
      <c r="HZJ172" s="201"/>
      <c r="HZK172" s="201"/>
      <c r="HZL172" s="201"/>
      <c r="HZM172" s="201"/>
      <c r="HZN172" s="201"/>
      <c r="HZO172" s="201"/>
      <c r="HZP172" s="201"/>
      <c r="HZQ172" s="201"/>
      <c r="HZR172" s="201"/>
      <c r="HZS172" s="201"/>
      <c r="HZT172" s="201"/>
      <c r="HZU172" s="201"/>
      <c r="HZV172" s="201"/>
      <c r="HZW172" s="201"/>
      <c r="HZX172" s="201"/>
      <c r="HZY172" s="201"/>
      <c r="HZZ172" s="201"/>
      <c r="IAA172" s="201"/>
      <c r="IAB172" s="201"/>
      <c r="IAC172" s="201"/>
      <c r="IAD172" s="201"/>
      <c r="IAE172" s="201"/>
      <c r="IAF172" s="201"/>
      <c r="IAG172" s="201"/>
      <c r="IAH172" s="201"/>
      <c r="IAI172" s="201"/>
      <c r="IAJ172" s="201"/>
      <c r="IAK172" s="201"/>
      <c r="IAL172" s="201"/>
      <c r="IAM172" s="201"/>
      <c r="IAN172" s="201"/>
      <c r="IAO172" s="201"/>
      <c r="IAP172" s="201"/>
      <c r="IAQ172" s="201"/>
      <c r="IAR172" s="201"/>
      <c r="IAS172" s="201"/>
      <c r="IAT172" s="201"/>
      <c r="IAU172" s="201"/>
      <c r="IAV172" s="201"/>
      <c r="IAW172" s="201"/>
      <c r="IAX172" s="201"/>
      <c r="IAY172" s="201"/>
      <c r="IAZ172" s="201"/>
      <c r="IBA172" s="201"/>
      <c r="IBB172" s="201"/>
      <c r="IBC172" s="201"/>
      <c r="IBD172" s="201"/>
      <c r="IBE172" s="201"/>
      <c r="IBF172" s="201"/>
      <c r="IBG172" s="201"/>
      <c r="IBH172" s="201"/>
      <c r="IBI172" s="201"/>
      <c r="IBJ172" s="201"/>
      <c r="IBK172" s="201"/>
      <c r="IBL172" s="201"/>
      <c r="IBM172" s="201"/>
      <c r="IBN172" s="201"/>
      <c r="IBO172" s="201"/>
      <c r="IBP172" s="201"/>
      <c r="IBQ172" s="201"/>
      <c r="IBR172" s="201"/>
      <c r="IBS172" s="201"/>
      <c r="IBT172" s="201"/>
      <c r="IBU172" s="201"/>
      <c r="IBV172" s="201"/>
      <c r="IBW172" s="201"/>
      <c r="IBX172" s="201"/>
      <c r="IBY172" s="201"/>
      <c r="IBZ172" s="201"/>
      <c r="ICA172" s="201"/>
      <c r="ICB172" s="201"/>
      <c r="ICC172" s="201"/>
      <c r="ICD172" s="201"/>
      <c r="ICE172" s="201"/>
      <c r="ICF172" s="201"/>
      <c r="ICG172" s="201"/>
      <c r="ICH172" s="201"/>
      <c r="ICI172" s="201"/>
      <c r="ICJ172" s="201"/>
      <c r="ICK172" s="201"/>
      <c r="ICL172" s="201"/>
      <c r="ICM172" s="201"/>
      <c r="ICN172" s="201"/>
      <c r="ICO172" s="201"/>
      <c r="ICP172" s="201"/>
      <c r="ICQ172" s="201"/>
      <c r="ICR172" s="201"/>
      <c r="ICS172" s="201"/>
      <c r="ICT172" s="201"/>
      <c r="ICU172" s="201"/>
      <c r="ICV172" s="201"/>
      <c r="ICW172" s="201"/>
      <c r="ICX172" s="201"/>
      <c r="ICY172" s="201"/>
      <c r="ICZ172" s="201"/>
      <c r="IDA172" s="201"/>
      <c r="IDB172" s="201"/>
      <c r="IDC172" s="201"/>
      <c r="IDD172" s="201"/>
      <c r="IDE172" s="201"/>
      <c r="IDF172" s="201"/>
      <c r="IDG172" s="201"/>
      <c r="IDH172" s="201"/>
      <c r="IDI172" s="201"/>
      <c r="IDJ172" s="201"/>
      <c r="IDK172" s="201"/>
      <c r="IDL172" s="201"/>
      <c r="IDM172" s="201"/>
      <c r="IDN172" s="201"/>
      <c r="IDO172" s="201"/>
      <c r="IDP172" s="201"/>
      <c r="IDQ172" s="201"/>
      <c r="IDR172" s="201"/>
      <c r="IDS172" s="201"/>
      <c r="IDT172" s="201"/>
      <c r="IDU172" s="201"/>
      <c r="IDV172" s="201"/>
      <c r="IDW172" s="201"/>
      <c r="IDX172" s="201"/>
      <c r="IDY172" s="201"/>
      <c r="IDZ172" s="201"/>
      <c r="IEA172" s="201"/>
      <c r="IEB172" s="201"/>
      <c r="IEC172" s="201"/>
      <c r="IED172" s="201"/>
      <c r="IEE172" s="201"/>
      <c r="IEF172" s="201"/>
      <c r="IEG172" s="201"/>
      <c r="IEH172" s="201"/>
      <c r="IEI172" s="201"/>
      <c r="IEJ172" s="201"/>
      <c r="IEK172" s="201"/>
      <c r="IEL172" s="201"/>
      <c r="IEM172" s="201"/>
      <c r="IEN172" s="201"/>
      <c r="IEO172" s="201"/>
      <c r="IEP172" s="201"/>
      <c r="IEQ172" s="201"/>
      <c r="IER172" s="201"/>
      <c r="IES172" s="201"/>
      <c r="IET172" s="201"/>
      <c r="IEU172" s="201"/>
      <c r="IEV172" s="201"/>
      <c r="IEW172" s="201"/>
      <c r="IEX172" s="201"/>
      <c r="IEY172" s="201"/>
      <c r="IEZ172" s="201"/>
      <c r="IFA172" s="201"/>
      <c r="IFB172" s="201"/>
      <c r="IFC172" s="201"/>
      <c r="IFD172" s="201"/>
      <c r="IFE172" s="201"/>
      <c r="IFF172" s="201"/>
      <c r="IFG172" s="201"/>
      <c r="IFH172" s="201"/>
      <c r="IFI172" s="201"/>
      <c r="IFJ172" s="201"/>
      <c r="IFK172" s="201"/>
      <c r="IFL172" s="201"/>
      <c r="IFM172" s="201"/>
      <c r="IFN172" s="201"/>
      <c r="IFO172" s="201"/>
      <c r="IFP172" s="201"/>
      <c r="IFQ172" s="201"/>
      <c r="IFR172" s="201"/>
      <c r="IFS172" s="201"/>
      <c r="IFT172" s="201"/>
      <c r="IFU172" s="201"/>
      <c r="IFV172" s="201"/>
      <c r="IFW172" s="201"/>
      <c r="IFX172" s="201"/>
      <c r="IFY172" s="201"/>
      <c r="IFZ172" s="201"/>
      <c r="IGA172" s="201"/>
      <c r="IGB172" s="201"/>
      <c r="IGC172" s="201"/>
      <c r="IGD172" s="201"/>
      <c r="IGE172" s="201"/>
      <c r="IGF172" s="201"/>
      <c r="IGG172" s="201"/>
      <c r="IGH172" s="201"/>
      <c r="IGI172" s="201"/>
      <c r="IGJ172" s="201"/>
      <c r="IGK172" s="201"/>
      <c r="IGL172" s="201"/>
      <c r="IGM172" s="201"/>
      <c r="IGN172" s="201"/>
      <c r="IGO172" s="201"/>
      <c r="IGP172" s="201"/>
      <c r="IGQ172" s="201"/>
      <c r="IGR172" s="201"/>
      <c r="IGS172" s="201"/>
      <c r="IGT172" s="201"/>
      <c r="IGU172" s="201"/>
      <c r="IGV172" s="201"/>
      <c r="IGW172" s="201"/>
      <c r="IGX172" s="201"/>
      <c r="IGY172" s="201"/>
      <c r="IGZ172" s="201"/>
      <c r="IHA172" s="201"/>
      <c r="IHB172" s="201"/>
      <c r="IHC172" s="201"/>
      <c r="IHD172" s="201"/>
      <c r="IHE172" s="201"/>
      <c r="IHF172" s="201"/>
      <c r="IHG172" s="201"/>
      <c r="IHH172" s="201"/>
      <c r="IHI172" s="201"/>
      <c r="IHJ172" s="201"/>
      <c r="IHK172" s="201"/>
      <c r="IHL172" s="201"/>
      <c r="IHM172" s="201"/>
      <c r="IHN172" s="201"/>
      <c r="IHO172" s="201"/>
      <c r="IHP172" s="201"/>
      <c r="IHQ172" s="201"/>
      <c r="IHR172" s="201"/>
      <c r="IHS172" s="201"/>
      <c r="IHT172" s="201"/>
      <c r="IHU172" s="201"/>
      <c r="IHV172" s="201"/>
      <c r="IHW172" s="201"/>
      <c r="IHX172" s="201"/>
      <c r="IHY172" s="201"/>
      <c r="IHZ172" s="201"/>
      <c r="IIA172" s="201"/>
      <c r="IIB172" s="201"/>
      <c r="IIC172" s="201"/>
      <c r="IID172" s="201"/>
      <c r="IIE172" s="201"/>
      <c r="IIF172" s="201"/>
      <c r="IIG172" s="201"/>
      <c r="IIH172" s="201"/>
      <c r="III172" s="201"/>
      <c r="IIJ172" s="201"/>
      <c r="IIK172" s="201"/>
      <c r="IIL172" s="201"/>
      <c r="IIM172" s="201"/>
      <c r="IIN172" s="201"/>
      <c r="IIO172" s="201"/>
      <c r="IIP172" s="201"/>
      <c r="IIQ172" s="201"/>
      <c r="IIR172" s="201"/>
      <c r="IIS172" s="201"/>
      <c r="IIT172" s="201"/>
      <c r="IIU172" s="201"/>
      <c r="IIV172" s="201"/>
      <c r="IIW172" s="201"/>
      <c r="IIX172" s="201"/>
      <c r="IIY172" s="201"/>
      <c r="IIZ172" s="201"/>
      <c r="IJA172" s="201"/>
      <c r="IJB172" s="201"/>
      <c r="IJC172" s="201"/>
      <c r="IJD172" s="201"/>
      <c r="IJE172" s="201"/>
      <c r="IJF172" s="201"/>
      <c r="IJG172" s="201"/>
      <c r="IJH172" s="201"/>
      <c r="IJI172" s="201"/>
      <c r="IJJ172" s="201"/>
      <c r="IJK172" s="201"/>
      <c r="IJL172" s="201"/>
      <c r="IJM172" s="201"/>
      <c r="IJN172" s="201"/>
      <c r="IJO172" s="201"/>
      <c r="IJP172" s="201"/>
      <c r="IJQ172" s="201"/>
      <c r="IJR172" s="201"/>
      <c r="IJS172" s="201"/>
      <c r="IJT172" s="201"/>
      <c r="IJU172" s="201"/>
      <c r="IJV172" s="201"/>
      <c r="IJW172" s="201"/>
      <c r="IJX172" s="201"/>
      <c r="IJY172" s="201"/>
      <c r="IJZ172" s="201"/>
      <c r="IKA172" s="201"/>
      <c r="IKB172" s="201"/>
      <c r="IKC172" s="201"/>
      <c r="IKD172" s="201"/>
      <c r="IKE172" s="201"/>
      <c r="IKF172" s="201"/>
      <c r="IKG172" s="201"/>
      <c r="IKH172" s="201"/>
      <c r="IKI172" s="201"/>
      <c r="IKJ172" s="201"/>
      <c r="IKK172" s="201"/>
      <c r="IKL172" s="201"/>
      <c r="IKM172" s="201"/>
      <c r="IKN172" s="201"/>
      <c r="IKO172" s="201"/>
      <c r="IKP172" s="201"/>
      <c r="IKQ172" s="201"/>
      <c r="IKR172" s="201"/>
      <c r="IKS172" s="201"/>
      <c r="IKT172" s="201"/>
      <c r="IKU172" s="201"/>
      <c r="IKV172" s="201"/>
      <c r="IKW172" s="201"/>
      <c r="IKX172" s="201"/>
      <c r="IKY172" s="201"/>
      <c r="IKZ172" s="201"/>
      <c r="ILA172" s="201"/>
      <c r="ILB172" s="201"/>
      <c r="ILC172" s="201"/>
      <c r="ILD172" s="201"/>
      <c r="ILE172" s="201"/>
      <c r="ILF172" s="201"/>
      <c r="ILG172" s="201"/>
      <c r="ILH172" s="201"/>
      <c r="ILI172" s="201"/>
      <c r="ILJ172" s="201"/>
      <c r="ILK172" s="201"/>
      <c r="ILL172" s="201"/>
      <c r="ILM172" s="201"/>
      <c r="ILN172" s="201"/>
      <c r="ILO172" s="201"/>
      <c r="ILP172" s="201"/>
      <c r="ILQ172" s="201"/>
      <c r="ILR172" s="201"/>
      <c r="ILS172" s="201"/>
      <c r="ILT172" s="201"/>
      <c r="ILU172" s="201"/>
      <c r="ILV172" s="201"/>
      <c r="ILW172" s="201"/>
      <c r="ILX172" s="201"/>
      <c r="ILY172" s="201"/>
      <c r="ILZ172" s="201"/>
      <c r="IMA172" s="201"/>
      <c r="IMB172" s="201"/>
      <c r="IMC172" s="201"/>
      <c r="IMD172" s="201"/>
      <c r="IME172" s="201"/>
      <c r="IMF172" s="201"/>
      <c r="IMG172" s="201"/>
      <c r="IMH172" s="201"/>
      <c r="IMI172" s="201"/>
      <c r="IMJ172" s="201"/>
      <c r="IMK172" s="201"/>
      <c r="IML172" s="201"/>
      <c r="IMM172" s="201"/>
      <c r="IMN172" s="201"/>
      <c r="IMO172" s="201"/>
      <c r="IMP172" s="201"/>
      <c r="IMQ172" s="201"/>
      <c r="IMR172" s="201"/>
      <c r="IMS172" s="201"/>
      <c r="IMT172" s="201"/>
      <c r="IMU172" s="201"/>
      <c r="IMV172" s="201"/>
      <c r="IMW172" s="201"/>
      <c r="IMX172" s="201"/>
      <c r="IMY172" s="201"/>
      <c r="IMZ172" s="201"/>
      <c r="INA172" s="201"/>
      <c r="INB172" s="201"/>
      <c r="INC172" s="201"/>
      <c r="IND172" s="201"/>
      <c r="INE172" s="201"/>
      <c r="INF172" s="201"/>
      <c r="ING172" s="201"/>
      <c r="INH172" s="201"/>
      <c r="INI172" s="201"/>
      <c r="INJ172" s="201"/>
      <c r="INK172" s="201"/>
      <c r="INL172" s="201"/>
      <c r="INM172" s="201"/>
      <c r="INN172" s="201"/>
      <c r="INO172" s="201"/>
      <c r="INP172" s="201"/>
      <c r="INQ172" s="201"/>
      <c r="INR172" s="201"/>
      <c r="INS172" s="201"/>
      <c r="INT172" s="201"/>
      <c r="INU172" s="201"/>
      <c r="INV172" s="201"/>
      <c r="INW172" s="201"/>
      <c r="INX172" s="201"/>
      <c r="INY172" s="201"/>
      <c r="INZ172" s="201"/>
      <c r="IOA172" s="201"/>
      <c r="IOB172" s="201"/>
      <c r="IOC172" s="201"/>
      <c r="IOD172" s="201"/>
      <c r="IOE172" s="201"/>
      <c r="IOF172" s="201"/>
      <c r="IOG172" s="201"/>
      <c r="IOH172" s="201"/>
      <c r="IOI172" s="201"/>
      <c r="IOJ172" s="201"/>
      <c r="IOK172" s="201"/>
      <c r="IOL172" s="201"/>
      <c r="IOM172" s="201"/>
      <c r="ION172" s="201"/>
      <c r="IOO172" s="201"/>
      <c r="IOP172" s="201"/>
      <c r="IOQ172" s="201"/>
      <c r="IOR172" s="201"/>
      <c r="IOS172" s="201"/>
      <c r="IOT172" s="201"/>
      <c r="IOU172" s="201"/>
      <c r="IOV172" s="201"/>
      <c r="IOW172" s="201"/>
      <c r="IOX172" s="201"/>
      <c r="IOY172" s="201"/>
      <c r="IOZ172" s="201"/>
      <c r="IPA172" s="201"/>
      <c r="IPB172" s="201"/>
      <c r="IPC172" s="201"/>
      <c r="IPD172" s="201"/>
      <c r="IPE172" s="201"/>
      <c r="IPF172" s="201"/>
      <c r="IPG172" s="201"/>
      <c r="IPH172" s="201"/>
      <c r="IPI172" s="201"/>
      <c r="IPJ172" s="201"/>
      <c r="IPK172" s="201"/>
      <c r="IPL172" s="201"/>
      <c r="IPM172" s="201"/>
      <c r="IPN172" s="201"/>
      <c r="IPO172" s="201"/>
      <c r="IPP172" s="201"/>
      <c r="IPQ172" s="201"/>
      <c r="IPR172" s="201"/>
      <c r="IPS172" s="201"/>
      <c r="IPT172" s="201"/>
      <c r="IPU172" s="201"/>
      <c r="IPV172" s="201"/>
      <c r="IPW172" s="201"/>
      <c r="IPX172" s="201"/>
      <c r="IPY172" s="201"/>
      <c r="IPZ172" s="201"/>
      <c r="IQA172" s="201"/>
      <c r="IQB172" s="201"/>
      <c r="IQC172" s="201"/>
      <c r="IQD172" s="201"/>
      <c r="IQE172" s="201"/>
      <c r="IQF172" s="201"/>
      <c r="IQG172" s="201"/>
      <c r="IQH172" s="201"/>
      <c r="IQI172" s="201"/>
      <c r="IQJ172" s="201"/>
      <c r="IQK172" s="201"/>
      <c r="IQL172" s="201"/>
      <c r="IQM172" s="201"/>
      <c r="IQN172" s="201"/>
      <c r="IQO172" s="201"/>
      <c r="IQP172" s="201"/>
      <c r="IQQ172" s="201"/>
      <c r="IQR172" s="201"/>
      <c r="IQS172" s="201"/>
      <c r="IQT172" s="201"/>
      <c r="IQU172" s="201"/>
      <c r="IQV172" s="201"/>
      <c r="IQW172" s="201"/>
      <c r="IQX172" s="201"/>
      <c r="IQY172" s="201"/>
      <c r="IQZ172" s="201"/>
      <c r="IRA172" s="201"/>
      <c r="IRB172" s="201"/>
      <c r="IRC172" s="201"/>
      <c r="IRD172" s="201"/>
      <c r="IRE172" s="201"/>
      <c r="IRF172" s="201"/>
      <c r="IRG172" s="201"/>
      <c r="IRH172" s="201"/>
      <c r="IRI172" s="201"/>
      <c r="IRJ172" s="201"/>
      <c r="IRK172" s="201"/>
      <c r="IRL172" s="201"/>
      <c r="IRM172" s="201"/>
      <c r="IRN172" s="201"/>
      <c r="IRO172" s="201"/>
      <c r="IRP172" s="201"/>
      <c r="IRQ172" s="201"/>
      <c r="IRR172" s="201"/>
      <c r="IRS172" s="201"/>
      <c r="IRT172" s="201"/>
      <c r="IRU172" s="201"/>
      <c r="IRV172" s="201"/>
      <c r="IRW172" s="201"/>
      <c r="IRX172" s="201"/>
      <c r="IRY172" s="201"/>
      <c r="IRZ172" s="201"/>
      <c r="ISA172" s="201"/>
      <c r="ISB172" s="201"/>
      <c r="ISC172" s="201"/>
      <c r="ISD172" s="201"/>
      <c r="ISE172" s="201"/>
      <c r="ISF172" s="201"/>
      <c r="ISG172" s="201"/>
      <c r="ISH172" s="201"/>
      <c r="ISI172" s="201"/>
      <c r="ISJ172" s="201"/>
      <c r="ISK172" s="201"/>
      <c r="ISL172" s="201"/>
      <c r="ISM172" s="201"/>
      <c r="ISN172" s="201"/>
      <c r="ISO172" s="201"/>
      <c r="ISP172" s="201"/>
      <c r="ISQ172" s="201"/>
      <c r="ISR172" s="201"/>
      <c r="ISS172" s="201"/>
      <c r="IST172" s="201"/>
      <c r="ISU172" s="201"/>
      <c r="ISV172" s="201"/>
      <c r="ISW172" s="201"/>
      <c r="ISX172" s="201"/>
      <c r="ISY172" s="201"/>
      <c r="ISZ172" s="201"/>
      <c r="ITA172" s="201"/>
      <c r="ITB172" s="201"/>
      <c r="ITC172" s="201"/>
      <c r="ITD172" s="201"/>
      <c r="ITE172" s="201"/>
      <c r="ITF172" s="201"/>
      <c r="ITG172" s="201"/>
      <c r="ITH172" s="201"/>
      <c r="ITI172" s="201"/>
      <c r="ITJ172" s="201"/>
      <c r="ITK172" s="201"/>
      <c r="ITL172" s="201"/>
      <c r="ITM172" s="201"/>
      <c r="ITN172" s="201"/>
      <c r="ITO172" s="201"/>
      <c r="ITP172" s="201"/>
      <c r="ITQ172" s="201"/>
      <c r="ITR172" s="201"/>
      <c r="ITS172" s="201"/>
      <c r="ITT172" s="201"/>
      <c r="ITU172" s="201"/>
      <c r="ITV172" s="201"/>
      <c r="ITW172" s="201"/>
      <c r="ITX172" s="201"/>
      <c r="ITY172" s="201"/>
      <c r="ITZ172" s="201"/>
      <c r="IUA172" s="201"/>
      <c r="IUB172" s="201"/>
      <c r="IUC172" s="201"/>
      <c r="IUD172" s="201"/>
      <c r="IUE172" s="201"/>
      <c r="IUF172" s="201"/>
      <c r="IUG172" s="201"/>
      <c r="IUH172" s="201"/>
      <c r="IUI172" s="201"/>
      <c r="IUJ172" s="201"/>
      <c r="IUK172" s="201"/>
      <c r="IUL172" s="201"/>
      <c r="IUM172" s="201"/>
      <c r="IUN172" s="201"/>
      <c r="IUO172" s="201"/>
      <c r="IUP172" s="201"/>
      <c r="IUQ172" s="201"/>
      <c r="IUR172" s="201"/>
      <c r="IUS172" s="201"/>
      <c r="IUT172" s="201"/>
      <c r="IUU172" s="201"/>
      <c r="IUV172" s="201"/>
      <c r="IUW172" s="201"/>
      <c r="IUX172" s="201"/>
      <c r="IUY172" s="201"/>
      <c r="IUZ172" s="201"/>
      <c r="IVA172" s="201"/>
      <c r="IVB172" s="201"/>
      <c r="IVC172" s="201"/>
      <c r="IVD172" s="201"/>
      <c r="IVE172" s="201"/>
      <c r="IVF172" s="201"/>
      <c r="IVG172" s="201"/>
      <c r="IVH172" s="201"/>
      <c r="IVI172" s="201"/>
      <c r="IVJ172" s="201"/>
      <c r="IVK172" s="201"/>
      <c r="IVL172" s="201"/>
      <c r="IVM172" s="201"/>
      <c r="IVN172" s="201"/>
      <c r="IVO172" s="201"/>
      <c r="IVP172" s="201"/>
      <c r="IVQ172" s="201"/>
      <c r="IVR172" s="201"/>
      <c r="IVS172" s="201"/>
      <c r="IVT172" s="201"/>
      <c r="IVU172" s="201"/>
      <c r="IVV172" s="201"/>
      <c r="IVW172" s="201"/>
      <c r="IVX172" s="201"/>
      <c r="IVY172" s="201"/>
      <c r="IVZ172" s="201"/>
      <c r="IWA172" s="201"/>
      <c r="IWB172" s="201"/>
      <c r="IWC172" s="201"/>
      <c r="IWD172" s="201"/>
      <c r="IWE172" s="201"/>
      <c r="IWF172" s="201"/>
      <c r="IWG172" s="201"/>
      <c r="IWH172" s="201"/>
      <c r="IWI172" s="201"/>
      <c r="IWJ172" s="201"/>
      <c r="IWK172" s="201"/>
      <c r="IWL172" s="201"/>
      <c r="IWM172" s="201"/>
      <c r="IWN172" s="201"/>
      <c r="IWO172" s="201"/>
      <c r="IWP172" s="201"/>
      <c r="IWQ172" s="201"/>
      <c r="IWR172" s="201"/>
      <c r="IWS172" s="201"/>
      <c r="IWT172" s="201"/>
      <c r="IWU172" s="201"/>
      <c r="IWV172" s="201"/>
      <c r="IWW172" s="201"/>
      <c r="IWX172" s="201"/>
      <c r="IWY172" s="201"/>
      <c r="IWZ172" s="201"/>
      <c r="IXA172" s="201"/>
      <c r="IXB172" s="201"/>
      <c r="IXC172" s="201"/>
      <c r="IXD172" s="201"/>
      <c r="IXE172" s="201"/>
      <c r="IXF172" s="201"/>
      <c r="IXG172" s="201"/>
      <c r="IXH172" s="201"/>
      <c r="IXI172" s="201"/>
      <c r="IXJ172" s="201"/>
      <c r="IXK172" s="201"/>
      <c r="IXL172" s="201"/>
      <c r="IXM172" s="201"/>
      <c r="IXN172" s="201"/>
      <c r="IXO172" s="201"/>
      <c r="IXP172" s="201"/>
      <c r="IXQ172" s="201"/>
      <c r="IXR172" s="201"/>
      <c r="IXS172" s="201"/>
      <c r="IXT172" s="201"/>
      <c r="IXU172" s="201"/>
      <c r="IXV172" s="201"/>
      <c r="IXW172" s="201"/>
      <c r="IXX172" s="201"/>
      <c r="IXY172" s="201"/>
      <c r="IXZ172" s="201"/>
      <c r="IYA172" s="201"/>
      <c r="IYB172" s="201"/>
      <c r="IYC172" s="201"/>
      <c r="IYD172" s="201"/>
      <c r="IYE172" s="201"/>
      <c r="IYF172" s="201"/>
      <c r="IYG172" s="201"/>
      <c r="IYH172" s="201"/>
      <c r="IYI172" s="201"/>
      <c r="IYJ172" s="201"/>
      <c r="IYK172" s="201"/>
      <c r="IYL172" s="201"/>
      <c r="IYM172" s="201"/>
      <c r="IYN172" s="201"/>
      <c r="IYO172" s="201"/>
      <c r="IYP172" s="201"/>
      <c r="IYQ172" s="201"/>
      <c r="IYR172" s="201"/>
      <c r="IYS172" s="201"/>
      <c r="IYT172" s="201"/>
      <c r="IYU172" s="201"/>
      <c r="IYV172" s="201"/>
      <c r="IYW172" s="201"/>
      <c r="IYX172" s="201"/>
      <c r="IYY172" s="201"/>
      <c r="IYZ172" s="201"/>
      <c r="IZA172" s="201"/>
      <c r="IZB172" s="201"/>
      <c r="IZC172" s="201"/>
      <c r="IZD172" s="201"/>
      <c r="IZE172" s="201"/>
      <c r="IZF172" s="201"/>
      <c r="IZG172" s="201"/>
      <c r="IZH172" s="201"/>
      <c r="IZI172" s="201"/>
      <c r="IZJ172" s="201"/>
      <c r="IZK172" s="201"/>
      <c r="IZL172" s="201"/>
      <c r="IZM172" s="201"/>
      <c r="IZN172" s="201"/>
      <c r="IZO172" s="201"/>
      <c r="IZP172" s="201"/>
      <c r="IZQ172" s="201"/>
      <c r="IZR172" s="201"/>
      <c r="IZS172" s="201"/>
      <c r="IZT172" s="201"/>
      <c r="IZU172" s="201"/>
      <c r="IZV172" s="201"/>
      <c r="IZW172" s="201"/>
      <c r="IZX172" s="201"/>
      <c r="IZY172" s="201"/>
      <c r="IZZ172" s="201"/>
      <c r="JAA172" s="201"/>
      <c r="JAB172" s="201"/>
      <c r="JAC172" s="201"/>
      <c r="JAD172" s="201"/>
      <c r="JAE172" s="201"/>
      <c r="JAF172" s="201"/>
      <c r="JAG172" s="201"/>
      <c r="JAH172" s="201"/>
      <c r="JAI172" s="201"/>
      <c r="JAJ172" s="201"/>
      <c r="JAK172" s="201"/>
      <c r="JAL172" s="201"/>
      <c r="JAM172" s="201"/>
      <c r="JAN172" s="201"/>
      <c r="JAO172" s="201"/>
      <c r="JAP172" s="201"/>
      <c r="JAQ172" s="201"/>
      <c r="JAR172" s="201"/>
      <c r="JAS172" s="201"/>
      <c r="JAT172" s="201"/>
      <c r="JAU172" s="201"/>
      <c r="JAV172" s="201"/>
      <c r="JAW172" s="201"/>
      <c r="JAX172" s="201"/>
      <c r="JAY172" s="201"/>
      <c r="JAZ172" s="201"/>
      <c r="JBA172" s="201"/>
      <c r="JBB172" s="201"/>
      <c r="JBC172" s="201"/>
      <c r="JBD172" s="201"/>
      <c r="JBE172" s="201"/>
      <c r="JBF172" s="201"/>
      <c r="JBG172" s="201"/>
      <c r="JBH172" s="201"/>
      <c r="JBI172" s="201"/>
      <c r="JBJ172" s="201"/>
      <c r="JBK172" s="201"/>
      <c r="JBL172" s="201"/>
      <c r="JBM172" s="201"/>
      <c r="JBN172" s="201"/>
      <c r="JBO172" s="201"/>
      <c r="JBP172" s="201"/>
      <c r="JBQ172" s="201"/>
      <c r="JBR172" s="201"/>
      <c r="JBS172" s="201"/>
      <c r="JBT172" s="201"/>
      <c r="JBU172" s="201"/>
      <c r="JBV172" s="201"/>
      <c r="JBW172" s="201"/>
      <c r="JBX172" s="201"/>
      <c r="JBY172" s="201"/>
      <c r="JBZ172" s="201"/>
      <c r="JCA172" s="201"/>
      <c r="JCB172" s="201"/>
      <c r="JCC172" s="201"/>
      <c r="JCD172" s="201"/>
      <c r="JCE172" s="201"/>
      <c r="JCF172" s="201"/>
      <c r="JCG172" s="201"/>
      <c r="JCH172" s="201"/>
      <c r="JCI172" s="201"/>
      <c r="JCJ172" s="201"/>
      <c r="JCK172" s="201"/>
      <c r="JCL172" s="201"/>
      <c r="JCM172" s="201"/>
      <c r="JCN172" s="201"/>
      <c r="JCO172" s="201"/>
      <c r="JCP172" s="201"/>
      <c r="JCQ172" s="201"/>
      <c r="JCR172" s="201"/>
      <c r="JCS172" s="201"/>
      <c r="JCT172" s="201"/>
      <c r="JCU172" s="201"/>
      <c r="JCV172" s="201"/>
      <c r="JCW172" s="201"/>
      <c r="JCX172" s="201"/>
      <c r="JCY172" s="201"/>
      <c r="JCZ172" s="201"/>
      <c r="JDA172" s="201"/>
      <c r="JDB172" s="201"/>
      <c r="JDC172" s="201"/>
      <c r="JDD172" s="201"/>
      <c r="JDE172" s="201"/>
      <c r="JDF172" s="201"/>
      <c r="JDG172" s="201"/>
      <c r="JDH172" s="201"/>
      <c r="JDI172" s="201"/>
      <c r="JDJ172" s="201"/>
      <c r="JDK172" s="201"/>
      <c r="JDL172" s="201"/>
      <c r="JDM172" s="201"/>
      <c r="JDN172" s="201"/>
      <c r="JDO172" s="201"/>
      <c r="JDP172" s="201"/>
      <c r="JDQ172" s="201"/>
      <c r="JDR172" s="201"/>
      <c r="JDS172" s="201"/>
      <c r="JDT172" s="201"/>
      <c r="JDU172" s="201"/>
      <c r="JDV172" s="201"/>
      <c r="JDW172" s="201"/>
      <c r="JDX172" s="201"/>
      <c r="JDY172" s="201"/>
      <c r="JDZ172" s="201"/>
      <c r="JEA172" s="201"/>
      <c r="JEB172" s="201"/>
      <c r="JEC172" s="201"/>
      <c r="JED172" s="201"/>
      <c r="JEE172" s="201"/>
      <c r="JEF172" s="201"/>
      <c r="JEG172" s="201"/>
      <c r="JEH172" s="201"/>
      <c r="JEI172" s="201"/>
      <c r="JEJ172" s="201"/>
      <c r="JEK172" s="201"/>
      <c r="JEL172" s="201"/>
      <c r="JEM172" s="201"/>
      <c r="JEN172" s="201"/>
      <c r="JEO172" s="201"/>
      <c r="JEP172" s="201"/>
      <c r="JEQ172" s="201"/>
      <c r="JER172" s="201"/>
      <c r="JES172" s="201"/>
      <c r="JET172" s="201"/>
      <c r="JEU172" s="201"/>
      <c r="JEV172" s="201"/>
      <c r="JEW172" s="201"/>
      <c r="JEX172" s="201"/>
      <c r="JEY172" s="201"/>
      <c r="JEZ172" s="201"/>
      <c r="JFA172" s="201"/>
      <c r="JFB172" s="201"/>
      <c r="JFC172" s="201"/>
      <c r="JFD172" s="201"/>
      <c r="JFE172" s="201"/>
      <c r="JFF172" s="201"/>
      <c r="JFG172" s="201"/>
      <c r="JFH172" s="201"/>
      <c r="JFI172" s="201"/>
      <c r="JFJ172" s="201"/>
      <c r="JFK172" s="201"/>
      <c r="JFL172" s="201"/>
      <c r="JFM172" s="201"/>
      <c r="JFN172" s="201"/>
      <c r="JFO172" s="201"/>
      <c r="JFP172" s="201"/>
      <c r="JFQ172" s="201"/>
      <c r="JFR172" s="201"/>
      <c r="JFS172" s="201"/>
      <c r="JFT172" s="201"/>
      <c r="JFU172" s="201"/>
      <c r="JFV172" s="201"/>
      <c r="JFW172" s="201"/>
      <c r="JFX172" s="201"/>
      <c r="JFY172" s="201"/>
      <c r="JFZ172" s="201"/>
      <c r="JGA172" s="201"/>
      <c r="JGB172" s="201"/>
      <c r="JGC172" s="201"/>
      <c r="JGD172" s="201"/>
      <c r="JGE172" s="201"/>
      <c r="JGF172" s="201"/>
      <c r="JGG172" s="201"/>
      <c r="JGH172" s="201"/>
      <c r="JGI172" s="201"/>
      <c r="JGJ172" s="201"/>
      <c r="JGK172" s="201"/>
      <c r="JGL172" s="201"/>
      <c r="JGM172" s="201"/>
      <c r="JGN172" s="201"/>
      <c r="JGO172" s="201"/>
      <c r="JGP172" s="201"/>
      <c r="JGQ172" s="201"/>
      <c r="JGR172" s="201"/>
      <c r="JGS172" s="201"/>
      <c r="JGT172" s="201"/>
      <c r="JGU172" s="201"/>
      <c r="JGV172" s="201"/>
      <c r="JGW172" s="201"/>
      <c r="JGX172" s="201"/>
      <c r="JGY172" s="201"/>
      <c r="JGZ172" s="201"/>
      <c r="JHA172" s="201"/>
      <c r="JHB172" s="201"/>
      <c r="JHC172" s="201"/>
      <c r="JHD172" s="201"/>
      <c r="JHE172" s="201"/>
      <c r="JHF172" s="201"/>
      <c r="JHG172" s="201"/>
      <c r="JHH172" s="201"/>
      <c r="JHI172" s="201"/>
      <c r="JHJ172" s="201"/>
      <c r="JHK172" s="201"/>
      <c r="JHL172" s="201"/>
      <c r="JHM172" s="201"/>
      <c r="JHN172" s="201"/>
      <c r="JHO172" s="201"/>
      <c r="JHP172" s="201"/>
      <c r="JHQ172" s="201"/>
      <c r="JHR172" s="201"/>
      <c r="JHS172" s="201"/>
      <c r="JHT172" s="201"/>
      <c r="JHU172" s="201"/>
      <c r="JHV172" s="201"/>
      <c r="JHW172" s="201"/>
      <c r="JHX172" s="201"/>
      <c r="JHY172" s="201"/>
      <c r="JHZ172" s="201"/>
      <c r="JIA172" s="201"/>
      <c r="JIB172" s="201"/>
      <c r="JIC172" s="201"/>
      <c r="JID172" s="201"/>
      <c r="JIE172" s="201"/>
      <c r="JIF172" s="201"/>
      <c r="JIG172" s="201"/>
      <c r="JIH172" s="201"/>
      <c r="JII172" s="201"/>
      <c r="JIJ172" s="201"/>
      <c r="JIK172" s="201"/>
      <c r="JIL172" s="201"/>
      <c r="JIM172" s="201"/>
      <c r="JIN172" s="201"/>
      <c r="JIO172" s="201"/>
      <c r="JIP172" s="201"/>
      <c r="JIQ172" s="201"/>
      <c r="JIR172" s="201"/>
      <c r="JIS172" s="201"/>
      <c r="JIT172" s="201"/>
      <c r="JIU172" s="201"/>
      <c r="JIV172" s="201"/>
      <c r="JIW172" s="201"/>
      <c r="JIX172" s="201"/>
      <c r="JIY172" s="201"/>
      <c r="JIZ172" s="201"/>
      <c r="JJA172" s="201"/>
      <c r="JJB172" s="201"/>
      <c r="JJC172" s="201"/>
      <c r="JJD172" s="201"/>
      <c r="JJE172" s="201"/>
      <c r="JJF172" s="201"/>
      <c r="JJG172" s="201"/>
      <c r="JJH172" s="201"/>
      <c r="JJI172" s="201"/>
      <c r="JJJ172" s="201"/>
      <c r="JJK172" s="201"/>
      <c r="JJL172" s="201"/>
      <c r="JJM172" s="201"/>
      <c r="JJN172" s="201"/>
      <c r="JJO172" s="201"/>
      <c r="JJP172" s="201"/>
      <c r="JJQ172" s="201"/>
      <c r="JJR172" s="201"/>
      <c r="JJS172" s="201"/>
      <c r="JJT172" s="201"/>
      <c r="JJU172" s="201"/>
      <c r="JJV172" s="201"/>
      <c r="JJW172" s="201"/>
      <c r="JJX172" s="201"/>
      <c r="JJY172" s="201"/>
      <c r="JJZ172" s="201"/>
      <c r="JKA172" s="201"/>
      <c r="JKB172" s="201"/>
      <c r="JKC172" s="201"/>
      <c r="JKD172" s="201"/>
      <c r="JKE172" s="201"/>
      <c r="JKF172" s="201"/>
      <c r="JKG172" s="201"/>
      <c r="JKH172" s="201"/>
      <c r="JKI172" s="201"/>
      <c r="JKJ172" s="201"/>
      <c r="JKK172" s="201"/>
      <c r="JKL172" s="201"/>
      <c r="JKM172" s="201"/>
      <c r="JKN172" s="201"/>
      <c r="JKO172" s="201"/>
      <c r="JKP172" s="201"/>
      <c r="JKQ172" s="201"/>
      <c r="JKR172" s="201"/>
      <c r="JKS172" s="201"/>
      <c r="JKT172" s="201"/>
      <c r="JKU172" s="201"/>
      <c r="JKV172" s="201"/>
      <c r="JKW172" s="201"/>
      <c r="JKX172" s="201"/>
      <c r="JKY172" s="201"/>
      <c r="JKZ172" s="201"/>
      <c r="JLA172" s="201"/>
      <c r="JLB172" s="201"/>
      <c r="JLC172" s="201"/>
      <c r="JLD172" s="201"/>
      <c r="JLE172" s="201"/>
      <c r="JLF172" s="201"/>
      <c r="JLG172" s="201"/>
      <c r="JLH172" s="201"/>
      <c r="JLI172" s="201"/>
      <c r="JLJ172" s="201"/>
      <c r="JLK172" s="201"/>
      <c r="JLL172" s="201"/>
      <c r="JLM172" s="201"/>
      <c r="JLN172" s="201"/>
      <c r="JLO172" s="201"/>
      <c r="JLP172" s="201"/>
      <c r="JLQ172" s="201"/>
      <c r="JLR172" s="201"/>
      <c r="JLS172" s="201"/>
      <c r="JLT172" s="201"/>
      <c r="JLU172" s="201"/>
      <c r="JLV172" s="201"/>
      <c r="JLW172" s="201"/>
      <c r="JLX172" s="201"/>
      <c r="JLY172" s="201"/>
      <c r="JLZ172" s="201"/>
      <c r="JMA172" s="201"/>
      <c r="JMB172" s="201"/>
      <c r="JMC172" s="201"/>
      <c r="JMD172" s="201"/>
      <c r="JME172" s="201"/>
      <c r="JMF172" s="201"/>
      <c r="JMG172" s="201"/>
      <c r="JMH172" s="201"/>
      <c r="JMI172" s="201"/>
      <c r="JMJ172" s="201"/>
      <c r="JMK172" s="201"/>
      <c r="JML172" s="201"/>
      <c r="JMM172" s="201"/>
      <c r="JMN172" s="201"/>
      <c r="JMO172" s="201"/>
      <c r="JMP172" s="201"/>
      <c r="JMQ172" s="201"/>
      <c r="JMR172" s="201"/>
      <c r="JMS172" s="201"/>
      <c r="JMT172" s="201"/>
      <c r="JMU172" s="201"/>
      <c r="JMV172" s="201"/>
      <c r="JMW172" s="201"/>
      <c r="JMX172" s="201"/>
      <c r="JMY172" s="201"/>
      <c r="JMZ172" s="201"/>
      <c r="JNA172" s="201"/>
      <c r="JNB172" s="201"/>
      <c r="JNC172" s="201"/>
      <c r="JND172" s="201"/>
      <c r="JNE172" s="201"/>
      <c r="JNF172" s="201"/>
      <c r="JNG172" s="201"/>
      <c r="JNH172" s="201"/>
      <c r="JNI172" s="201"/>
      <c r="JNJ172" s="201"/>
      <c r="JNK172" s="201"/>
      <c r="JNL172" s="201"/>
      <c r="JNM172" s="201"/>
      <c r="JNN172" s="201"/>
      <c r="JNO172" s="201"/>
      <c r="JNP172" s="201"/>
      <c r="JNQ172" s="201"/>
      <c r="JNR172" s="201"/>
      <c r="JNS172" s="201"/>
      <c r="JNT172" s="201"/>
      <c r="JNU172" s="201"/>
      <c r="JNV172" s="201"/>
      <c r="JNW172" s="201"/>
      <c r="JNX172" s="201"/>
      <c r="JNY172" s="201"/>
      <c r="JNZ172" s="201"/>
      <c r="JOA172" s="201"/>
      <c r="JOB172" s="201"/>
      <c r="JOC172" s="201"/>
      <c r="JOD172" s="201"/>
      <c r="JOE172" s="201"/>
      <c r="JOF172" s="201"/>
      <c r="JOG172" s="201"/>
      <c r="JOH172" s="201"/>
      <c r="JOI172" s="201"/>
      <c r="JOJ172" s="201"/>
      <c r="JOK172" s="201"/>
      <c r="JOL172" s="201"/>
      <c r="JOM172" s="201"/>
      <c r="JON172" s="201"/>
      <c r="JOO172" s="201"/>
      <c r="JOP172" s="201"/>
      <c r="JOQ172" s="201"/>
      <c r="JOR172" s="201"/>
      <c r="JOS172" s="201"/>
      <c r="JOT172" s="201"/>
      <c r="JOU172" s="201"/>
      <c r="JOV172" s="201"/>
      <c r="JOW172" s="201"/>
      <c r="JOX172" s="201"/>
      <c r="JOY172" s="201"/>
      <c r="JOZ172" s="201"/>
      <c r="JPA172" s="201"/>
      <c r="JPB172" s="201"/>
      <c r="JPC172" s="201"/>
      <c r="JPD172" s="201"/>
      <c r="JPE172" s="201"/>
      <c r="JPF172" s="201"/>
      <c r="JPG172" s="201"/>
      <c r="JPH172" s="201"/>
      <c r="JPI172" s="201"/>
      <c r="JPJ172" s="201"/>
      <c r="JPK172" s="201"/>
      <c r="JPL172" s="201"/>
      <c r="JPM172" s="201"/>
      <c r="JPN172" s="201"/>
      <c r="JPO172" s="201"/>
      <c r="JPP172" s="201"/>
      <c r="JPQ172" s="201"/>
      <c r="JPR172" s="201"/>
      <c r="JPS172" s="201"/>
      <c r="JPT172" s="201"/>
      <c r="JPU172" s="201"/>
      <c r="JPV172" s="201"/>
      <c r="JPW172" s="201"/>
      <c r="JPX172" s="201"/>
      <c r="JPY172" s="201"/>
      <c r="JPZ172" s="201"/>
      <c r="JQA172" s="201"/>
      <c r="JQB172" s="201"/>
      <c r="JQC172" s="201"/>
      <c r="JQD172" s="201"/>
      <c r="JQE172" s="201"/>
      <c r="JQF172" s="201"/>
      <c r="JQG172" s="201"/>
      <c r="JQH172" s="201"/>
      <c r="JQI172" s="201"/>
      <c r="JQJ172" s="201"/>
      <c r="JQK172" s="201"/>
      <c r="JQL172" s="201"/>
      <c r="JQM172" s="201"/>
      <c r="JQN172" s="201"/>
      <c r="JQO172" s="201"/>
      <c r="JQP172" s="201"/>
      <c r="JQQ172" s="201"/>
      <c r="JQR172" s="201"/>
      <c r="JQS172" s="201"/>
      <c r="JQT172" s="201"/>
      <c r="JQU172" s="201"/>
      <c r="JQV172" s="201"/>
      <c r="JQW172" s="201"/>
      <c r="JQX172" s="201"/>
      <c r="JQY172" s="201"/>
      <c r="JQZ172" s="201"/>
      <c r="JRA172" s="201"/>
      <c r="JRB172" s="201"/>
      <c r="JRC172" s="201"/>
      <c r="JRD172" s="201"/>
      <c r="JRE172" s="201"/>
      <c r="JRF172" s="201"/>
      <c r="JRG172" s="201"/>
      <c r="JRH172" s="201"/>
      <c r="JRI172" s="201"/>
      <c r="JRJ172" s="201"/>
      <c r="JRK172" s="201"/>
      <c r="JRL172" s="201"/>
      <c r="JRM172" s="201"/>
      <c r="JRN172" s="201"/>
      <c r="JRO172" s="201"/>
      <c r="JRP172" s="201"/>
      <c r="JRQ172" s="201"/>
      <c r="JRR172" s="201"/>
      <c r="JRS172" s="201"/>
      <c r="JRT172" s="201"/>
      <c r="JRU172" s="201"/>
      <c r="JRV172" s="201"/>
      <c r="JRW172" s="201"/>
      <c r="JRX172" s="201"/>
      <c r="JRY172" s="201"/>
      <c r="JRZ172" s="201"/>
      <c r="JSA172" s="201"/>
      <c r="JSB172" s="201"/>
      <c r="JSC172" s="201"/>
      <c r="JSD172" s="201"/>
      <c r="JSE172" s="201"/>
      <c r="JSF172" s="201"/>
      <c r="JSG172" s="201"/>
      <c r="JSH172" s="201"/>
      <c r="JSI172" s="201"/>
      <c r="JSJ172" s="201"/>
      <c r="JSK172" s="201"/>
      <c r="JSL172" s="201"/>
      <c r="JSM172" s="201"/>
      <c r="JSN172" s="201"/>
      <c r="JSO172" s="201"/>
      <c r="JSP172" s="201"/>
      <c r="JSQ172" s="201"/>
      <c r="JSR172" s="201"/>
      <c r="JSS172" s="201"/>
      <c r="JST172" s="201"/>
      <c r="JSU172" s="201"/>
      <c r="JSV172" s="201"/>
      <c r="JSW172" s="201"/>
      <c r="JSX172" s="201"/>
      <c r="JSY172" s="201"/>
      <c r="JSZ172" s="201"/>
      <c r="JTA172" s="201"/>
      <c r="JTB172" s="201"/>
      <c r="JTC172" s="201"/>
      <c r="JTD172" s="201"/>
      <c r="JTE172" s="201"/>
      <c r="JTF172" s="201"/>
      <c r="JTG172" s="201"/>
      <c r="JTH172" s="201"/>
      <c r="JTI172" s="201"/>
      <c r="JTJ172" s="201"/>
      <c r="JTK172" s="201"/>
      <c r="JTL172" s="201"/>
      <c r="JTM172" s="201"/>
      <c r="JTN172" s="201"/>
      <c r="JTO172" s="201"/>
      <c r="JTP172" s="201"/>
      <c r="JTQ172" s="201"/>
      <c r="JTR172" s="201"/>
      <c r="JTS172" s="201"/>
      <c r="JTT172" s="201"/>
      <c r="JTU172" s="201"/>
      <c r="JTV172" s="201"/>
      <c r="JTW172" s="201"/>
      <c r="JTX172" s="201"/>
      <c r="JTY172" s="201"/>
      <c r="JTZ172" s="201"/>
      <c r="JUA172" s="201"/>
      <c r="JUB172" s="201"/>
      <c r="JUC172" s="201"/>
      <c r="JUD172" s="201"/>
      <c r="JUE172" s="201"/>
      <c r="JUF172" s="201"/>
      <c r="JUG172" s="201"/>
      <c r="JUH172" s="201"/>
      <c r="JUI172" s="201"/>
      <c r="JUJ172" s="201"/>
      <c r="JUK172" s="201"/>
      <c r="JUL172" s="201"/>
      <c r="JUM172" s="201"/>
      <c r="JUN172" s="201"/>
      <c r="JUO172" s="201"/>
      <c r="JUP172" s="201"/>
      <c r="JUQ172" s="201"/>
      <c r="JUR172" s="201"/>
      <c r="JUS172" s="201"/>
      <c r="JUT172" s="201"/>
      <c r="JUU172" s="201"/>
      <c r="JUV172" s="201"/>
      <c r="JUW172" s="201"/>
      <c r="JUX172" s="201"/>
      <c r="JUY172" s="201"/>
      <c r="JUZ172" s="201"/>
      <c r="JVA172" s="201"/>
      <c r="JVB172" s="201"/>
      <c r="JVC172" s="201"/>
      <c r="JVD172" s="201"/>
      <c r="JVE172" s="201"/>
      <c r="JVF172" s="201"/>
      <c r="JVG172" s="201"/>
      <c r="JVH172" s="201"/>
      <c r="JVI172" s="201"/>
      <c r="JVJ172" s="201"/>
      <c r="JVK172" s="201"/>
      <c r="JVL172" s="201"/>
      <c r="JVM172" s="201"/>
      <c r="JVN172" s="201"/>
      <c r="JVO172" s="201"/>
      <c r="JVP172" s="201"/>
      <c r="JVQ172" s="201"/>
      <c r="JVR172" s="201"/>
      <c r="JVS172" s="201"/>
      <c r="JVT172" s="201"/>
      <c r="JVU172" s="201"/>
      <c r="JVV172" s="201"/>
      <c r="JVW172" s="201"/>
      <c r="JVX172" s="201"/>
      <c r="JVY172" s="201"/>
      <c r="JVZ172" s="201"/>
      <c r="JWA172" s="201"/>
      <c r="JWB172" s="201"/>
      <c r="JWC172" s="201"/>
      <c r="JWD172" s="201"/>
      <c r="JWE172" s="201"/>
      <c r="JWF172" s="201"/>
      <c r="JWG172" s="201"/>
      <c r="JWH172" s="201"/>
      <c r="JWI172" s="201"/>
      <c r="JWJ172" s="201"/>
      <c r="JWK172" s="201"/>
      <c r="JWL172" s="201"/>
      <c r="JWM172" s="201"/>
      <c r="JWN172" s="201"/>
      <c r="JWO172" s="201"/>
      <c r="JWP172" s="201"/>
      <c r="JWQ172" s="201"/>
      <c r="JWR172" s="201"/>
      <c r="JWS172" s="201"/>
      <c r="JWT172" s="201"/>
      <c r="JWU172" s="201"/>
      <c r="JWV172" s="201"/>
      <c r="JWW172" s="201"/>
      <c r="JWX172" s="201"/>
      <c r="JWY172" s="201"/>
      <c r="JWZ172" s="201"/>
      <c r="JXA172" s="201"/>
      <c r="JXB172" s="201"/>
      <c r="JXC172" s="201"/>
      <c r="JXD172" s="201"/>
      <c r="JXE172" s="201"/>
      <c r="JXF172" s="201"/>
      <c r="JXG172" s="201"/>
      <c r="JXH172" s="201"/>
      <c r="JXI172" s="201"/>
      <c r="JXJ172" s="201"/>
      <c r="JXK172" s="201"/>
      <c r="JXL172" s="201"/>
      <c r="JXM172" s="201"/>
      <c r="JXN172" s="201"/>
      <c r="JXO172" s="201"/>
      <c r="JXP172" s="201"/>
      <c r="JXQ172" s="201"/>
      <c r="JXR172" s="201"/>
      <c r="JXS172" s="201"/>
      <c r="JXT172" s="201"/>
      <c r="JXU172" s="201"/>
      <c r="JXV172" s="201"/>
      <c r="JXW172" s="201"/>
      <c r="JXX172" s="201"/>
      <c r="JXY172" s="201"/>
      <c r="JXZ172" s="201"/>
      <c r="JYA172" s="201"/>
      <c r="JYB172" s="201"/>
      <c r="JYC172" s="201"/>
      <c r="JYD172" s="201"/>
      <c r="JYE172" s="201"/>
      <c r="JYF172" s="201"/>
      <c r="JYG172" s="201"/>
      <c r="JYH172" s="201"/>
      <c r="JYI172" s="201"/>
      <c r="JYJ172" s="201"/>
      <c r="JYK172" s="201"/>
      <c r="JYL172" s="201"/>
      <c r="JYM172" s="201"/>
      <c r="JYN172" s="201"/>
      <c r="JYO172" s="201"/>
      <c r="JYP172" s="201"/>
      <c r="JYQ172" s="201"/>
      <c r="JYR172" s="201"/>
      <c r="JYS172" s="201"/>
      <c r="JYT172" s="201"/>
      <c r="JYU172" s="201"/>
      <c r="JYV172" s="201"/>
      <c r="JYW172" s="201"/>
      <c r="JYX172" s="201"/>
      <c r="JYY172" s="201"/>
      <c r="JYZ172" s="201"/>
      <c r="JZA172" s="201"/>
      <c r="JZB172" s="201"/>
      <c r="JZC172" s="201"/>
      <c r="JZD172" s="201"/>
      <c r="JZE172" s="201"/>
      <c r="JZF172" s="201"/>
      <c r="JZG172" s="201"/>
      <c r="JZH172" s="201"/>
      <c r="JZI172" s="201"/>
      <c r="JZJ172" s="201"/>
      <c r="JZK172" s="201"/>
      <c r="JZL172" s="201"/>
      <c r="JZM172" s="201"/>
      <c r="JZN172" s="201"/>
      <c r="JZO172" s="201"/>
      <c r="JZP172" s="201"/>
      <c r="JZQ172" s="201"/>
      <c r="JZR172" s="201"/>
      <c r="JZS172" s="201"/>
      <c r="JZT172" s="201"/>
      <c r="JZU172" s="201"/>
      <c r="JZV172" s="201"/>
      <c r="JZW172" s="201"/>
      <c r="JZX172" s="201"/>
      <c r="JZY172" s="201"/>
      <c r="JZZ172" s="201"/>
      <c r="KAA172" s="201"/>
      <c r="KAB172" s="201"/>
      <c r="KAC172" s="201"/>
      <c r="KAD172" s="201"/>
      <c r="KAE172" s="201"/>
      <c r="KAF172" s="201"/>
      <c r="KAG172" s="201"/>
      <c r="KAH172" s="201"/>
      <c r="KAI172" s="201"/>
      <c r="KAJ172" s="201"/>
      <c r="KAK172" s="201"/>
      <c r="KAL172" s="201"/>
      <c r="KAM172" s="201"/>
      <c r="KAN172" s="201"/>
      <c r="KAO172" s="201"/>
      <c r="KAP172" s="201"/>
      <c r="KAQ172" s="201"/>
      <c r="KAR172" s="201"/>
      <c r="KAS172" s="201"/>
      <c r="KAT172" s="201"/>
      <c r="KAU172" s="201"/>
      <c r="KAV172" s="201"/>
      <c r="KAW172" s="201"/>
      <c r="KAX172" s="201"/>
      <c r="KAY172" s="201"/>
      <c r="KAZ172" s="201"/>
      <c r="KBA172" s="201"/>
      <c r="KBB172" s="201"/>
      <c r="KBC172" s="201"/>
      <c r="KBD172" s="201"/>
      <c r="KBE172" s="201"/>
      <c r="KBF172" s="201"/>
      <c r="KBG172" s="201"/>
      <c r="KBH172" s="201"/>
      <c r="KBI172" s="201"/>
      <c r="KBJ172" s="201"/>
      <c r="KBK172" s="201"/>
      <c r="KBL172" s="201"/>
      <c r="KBM172" s="201"/>
      <c r="KBN172" s="201"/>
      <c r="KBO172" s="201"/>
      <c r="KBP172" s="201"/>
      <c r="KBQ172" s="201"/>
      <c r="KBR172" s="201"/>
      <c r="KBS172" s="201"/>
      <c r="KBT172" s="201"/>
      <c r="KBU172" s="201"/>
      <c r="KBV172" s="201"/>
      <c r="KBW172" s="201"/>
      <c r="KBX172" s="201"/>
      <c r="KBY172" s="201"/>
      <c r="KBZ172" s="201"/>
      <c r="KCA172" s="201"/>
      <c r="KCB172" s="201"/>
      <c r="KCC172" s="201"/>
      <c r="KCD172" s="201"/>
      <c r="KCE172" s="201"/>
      <c r="KCF172" s="201"/>
      <c r="KCG172" s="201"/>
      <c r="KCH172" s="201"/>
      <c r="KCI172" s="201"/>
      <c r="KCJ172" s="201"/>
      <c r="KCK172" s="201"/>
      <c r="KCL172" s="201"/>
      <c r="KCM172" s="201"/>
      <c r="KCN172" s="201"/>
      <c r="KCO172" s="201"/>
      <c r="KCP172" s="201"/>
      <c r="KCQ172" s="201"/>
      <c r="KCR172" s="201"/>
      <c r="KCS172" s="201"/>
      <c r="KCT172" s="201"/>
      <c r="KCU172" s="201"/>
      <c r="KCV172" s="201"/>
      <c r="KCW172" s="201"/>
      <c r="KCX172" s="201"/>
      <c r="KCY172" s="201"/>
      <c r="KCZ172" s="201"/>
      <c r="KDA172" s="201"/>
      <c r="KDB172" s="201"/>
      <c r="KDC172" s="201"/>
      <c r="KDD172" s="201"/>
      <c r="KDE172" s="201"/>
      <c r="KDF172" s="201"/>
      <c r="KDG172" s="201"/>
      <c r="KDH172" s="201"/>
      <c r="KDI172" s="201"/>
      <c r="KDJ172" s="201"/>
      <c r="KDK172" s="201"/>
      <c r="KDL172" s="201"/>
      <c r="KDM172" s="201"/>
      <c r="KDN172" s="201"/>
      <c r="KDO172" s="201"/>
      <c r="KDP172" s="201"/>
      <c r="KDQ172" s="201"/>
      <c r="KDR172" s="201"/>
      <c r="KDS172" s="201"/>
      <c r="KDT172" s="201"/>
      <c r="KDU172" s="201"/>
      <c r="KDV172" s="201"/>
      <c r="KDW172" s="201"/>
      <c r="KDX172" s="201"/>
      <c r="KDY172" s="201"/>
      <c r="KDZ172" s="201"/>
      <c r="KEA172" s="201"/>
      <c r="KEB172" s="201"/>
      <c r="KEC172" s="201"/>
      <c r="KED172" s="201"/>
      <c r="KEE172" s="201"/>
      <c r="KEF172" s="201"/>
      <c r="KEG172" s="201"/>
      <c r="KEH172" s="201"/>
      <c r="KEI172" s="201"/>
      <c r="KEJ172" s="201"/>
      <c r="KEK172" s="201"/>
      <c r="KEL172" s="201"/>
      <c r="KEM172" s="201"/>
      <c r="KEN172" s="201"/>
      <c r="KEO172" s="201"/>
      <c r="KEP172" s="201"/>
      <c r="KEQ172" s="201"/>
      <c r="KER172" s="201"/>
      <c r="KES172" s="201"/>
      <c r="KET172" s="201"/>
      <c r="KEU172" s="201"/>
      <c r="KEV172" s="201"/>
      <c r="KEW172" s="201"/>
      <c r="KEX172" s="201"/>
      <c r="KEY172" s="201"/>
      <c r="KEZ172" s="201"/>
      <c r="KFA172" s="201"/>
      <c r="KFB172" s="201"/>
      <c r="KFC172" s="201"/>
      <c r="KFD172" s="201"/>
      <c r="KFE172" s="201"/>
      <c r="KFF172" s="201"/>
      <c r="KFG172" s="201"/>
      <c r="KFH172" s="201"/>
      <c r="KFI172" s="201"/>
      <c r="KFJ172" s="201"/>
      <c r="KFK172" s="201"/>
      <c r="KFL172" s="201"/>
      <c r="KFM172" s="201"/>
      <c r="KFN172" s="201"/>
      <c r="KFO172" s="201"/>
      <c r="KFP172" s="201"/>
      <c r="KFQ172" s="201"/>
      <c r="KFR172" s="201"/>
      <c r="KFS172" s="201"/>
      <c r="KFT172" s="201"/>
      <c r="KFU172" s="201"/>
      <c r="KFV172" s="201"/>
      <c r="KFW172" s="201"/>
      <c r="KFX172" s="201"/>
      <c r="KFY172" s="201"/>
      <c r="KFZ172" s="201"/>
      <c r="KGA172" s="201"/>
      <c r="KGB172" s="201"/>
      <c r="KGC172" s="201"/>
      <c r="KGD172" s="201"/>
      <c r="KGE172" s="201"/>
      <c r="KGF172" s="201"/>
      <c r="KGG172" s="201"/>
      <c r="KGH172" s="201"/>
      <c r="KGI172" s="201"/>
      <c r="KGJ172" s="201"/>
      <c r="KGK172" s="201"/>
      <c r="KGL172" s="201"/>
      <c r="KGM172" s="201"/>
      <c r="KGN172" s="201"/>
      <c r="KGO172" s="201"/>
      <c r="KGP172" s="201"/>
      <c r="KGQ172" s="201"/>
      <c r="KGR172" s="201"/>
      <c r="KGS172" s="201"/>
      <c r="KGT172" s="201"/>
      <c r="KGU172" s="201"/>
      <c r="KGV172" s="201"/>
      <c r="KGW172" s="201"/>
      <c r="KGX172" s="201"/>
      <c r="KGY172" s="201"/>
      <c r="KGZ172" s="201"/>
      <c r="KHA172" s="201"/>
      <c r="KHB172" s="201"/>
      <c r="KHC172" s="201"/>
      <c r="KHD172" s="201"/>
      <c r="KHE172" s="201"/>
      <c r="KHF172" s="201"/>
      <c r="KHG172" s="201"/>
      <c r="KHH172" s="201"/>
      <c r="KHI172" s="201"/>
      <c r="KHJ172" s="201"/>
      <c r="KHK172" s="201"/>
      <c r="KHL172" s="201"/>
      <c r="KHM172" s="201"/>
      <c r="KHN172" s="201"/>
      <c r="KHO172" s="201"/>
      <c r="KHP172" s="201"/>
      <c r="KHQ172" s="201"/>
      <c r="KHR172" s="201"/>
      <c r="KHS172" s="201"/>
      <c r="KHT172" s="201"/>
      <c r="KHU172" s="201"/>
      <c r="KHV172" s="201"/>
      <c r="KHW172" s="201"/>
      <c r="KHX172" s="201"/>
      <c r="KHY172" s="201"/>
      <c r="KHZ172" s="201"/>
      <c r="KIA172" s="201"/>
      <c r="KIB172" s="201"/>
      <c r="KIC172" s="201"/>
      <c r="KID172" s="201"/>
      <c r="KIE172" s="201"/>
      <c r="KIF172" s="201"/>
      <c r="KIG172" s="201"/>
      <c r="KIH172" s="201"/>
      <c r="KII172" s="201"/>
      <c r="KIJ172" s="201"/>
      <c r="KIK172" s="201"/>
      <c r="KIL172" s="201"/>
      <c r="KIM172" s="201"/>
      <c r="KIN172" s="201"/>
      <c r="KIO172" s="201"/>
      <c r="KIP172" s="201"/>
      <c r="KIQ172" s="201"/>
      <c r="KIR172" s="201"/>
      <c r="KIS172" s="201"/>
      <c r="KIT172" s="201"/>
      <c r="KIU172" s="201"/>
      <c r="KIV172" s="201"/>
      <c r="KIW172" s="201"/>
      <c r="KIX172" s="201"/>
      <c r="KIY172" s="201"/>
      <c r="KIZ172" s="201"/>
      <c r="KJA172" s="201"/>
      <c r="KJB172" s="201"/>
      <c r="KJC172" s="201"/>
      <c r="KJD172" s="201"/>
      <c r="KJE172" s="201"/>
      <c r="KJF172" s="201"/>
      <c r="KJG172" s="201"/>
      <c r="KJH172" s="201"/>
      <c r="KJI172" s="201"/>
      <c r="KJJ172" s="201"/>
      <c r="KJK172" s="201"/>
      <c r="KJL172" s="201"/>
      <c r="KJM172" s="201"/>
      <c r="KJN172" s="201"/>
      <c r="KJO172" s="201"/>
      <c r="KJP172" s="201"/>
      <c r="KJQ172" s="201"/>
      <c r="KJR172" s="201"/>
      <c r="KJS172" s="201"/>
      <c r="KJT172" s="201"/>
      <c r="KJU172" s="201"/>
      <c r="KJV172" s="201"/>
      <c r="KJW172" s="201"/>
      <c r="KJX172" s="201"/>
      <c r="KJY172" s="201"/>
      <c r="KJZ172" s="201"/>
      <c r="KKA172" s="201"/>
      <c r="KKB172" s="201"/>
      <c r="KKC172" s="201"/>
      <c r="KKD172" s="201"/>
      <c r="KKE172" s="201"/>
      <c r="KKF172" s="201"/>
      <c r="KKG172" s="201"/>
      <c r="KKH172" s="201"/>
      <c r="KKI172" s="201"/>
      <c r="KKJ172" s="201"/>
      <c r="KKK172" s="201"/>
      <c r="KKL172" s="201"/>
      <c r="KKM172" s="201"/>
      <c r="KKN172" s="201"/>
      <c r="KKO172" s="201"/>
      <c r="KKP172" s="201"/>
      <c r="KKQ172" s="201"/>
      <c r="KKR172" s="201"/>
      <c r="KKS172" s="201"/>
      <c r="KKT172" s="201"/>
      <c r="KKU172" s="201"/>
      <c r="KKV172" s="201"/>
      <c r="KKW172" s="201"/>
      <c r="KKX172" s="201"/>
      <c r="KKY172" s="201"/>
      <c r="KKZ172" s="201"/>
      <c r="KLA172" s="201"/>
      <c r="KLB172" s="201"/>
      <c r="KLC172" s="201"/>
      <c r="KLD172" s="201"/>
      <c r="KLE172" s="201"/>
      <c r="KLF172" s="201"/>
      <c r="KLG172" s="201"/>
      <c r="KLH172" s="201"/>
      <c r="KLI172" s="201"/>
      <c r="KLJ172" s="201"/>
      <c r="KLK172" s="201"/>
      <c r="KLL172" s="201"/>
      <c r="KLM172" s="201"/>
      <c r="KLN172" s="201"/>
      <c r="KLO172" s="201"/>
      <c r="KLP172" s="201"/>
      <c r="KLQ172" s="201"/>
      <c r="KLR172" s="201"/>
      <c r="KLS172" s="201"/>
      <c r="KLT172" s="201"/>
      <c r="KLU172" s="201"/>
      <c r="KLV172" s="201"/>
      <c r="KLW172" s="201"/>
      <c r="KLX172" s="201"/>
      <c r="KLY172" s="201"/>
      <c r="KLZ172" s="201"/>
      <c r="KMA172" s="201"/>
      <c r="KMB172" s="201"/>
      <c r="KMC172" s="201"/>
      <c r="KMD172" s="201"/>
      <c r="KME172" s="201"/>
      <c r="KMF172" s="201"/>
      <c r="KMG172" s="201"/>
      <c r="KMH172" s="201"/>
      <c r="KMI172" s="201"/>
      <c r="KMJ172" s="201"/>
      <c r="KMK172" s="201"/>
      <c r="KML172" s="201"/>
      <c r="KMM172" s="201"/>
      <c r="KMN172" s="201"/>
      <c r="KMO172" s="201"/>
      <c r="KMP172" s="201"/>
      <c r="KMQ172" s="201"/>
      <c r="KMR172" s="201"/>
      <c r="KMS172" s="201"/>
      <c r="KMT172" s="201"/>
      <c r="KMU172" s="201"/>
      <c r="KMV172" s="201"/>
      <c r="KMW172" s="201"/>
      <c r="KMX172" s="201"/>
      <c r="KMY172" s="201"/>
      <c r="KMZ172" s="201"/>
      <c r="KNA172" s="201"/>
      <c r="KNB172" s="201"/>
      <c r="KNC172" s="201"/>
      <c r="KND172" s="201"/>
      <c r="KNE172" s="201"/>
      <c r="KNF172" s="201"/>
      <c r="KNG172" s="201"/>
      <c r="KNH172" s="201"/>
      <c r="KNI172" s="201"/>
      <c r="KNJ172" s="201"/>
      <c r="KNK172" s="201"/>
      <c r="KNL172" s="201"/>
      <c r="KNM172" s="201"/>
      <c r="KNN172" s="201"/>
      <c r="KNO172" s="201"/>
      <c r="KNP172" s="201"/>
      <c r="KNQ172" s="201"/>
      <c r="KNR172" s="201"/>
      <c r="KNS172" s="201"/>
      <c r="KNT172" s="201"/>
      <c r="KNU172" s="201"/>
      <c r="KNV172" s="201"/>
      <c r="KNW172" s="201"/>
      <c r="KNX172" s="201"/>
      <c r="KNY172" s="201"/>
      <c r="KNZ172" s="201"/>
      <c r="KOA172" s="201"/>
      <c r="KOB172" s="201"/>
      <c r="KOC172" s="201"/>
      <c r="KOD172" s="201"/>
      <c r="KOE172" s="201"/>
      <c r="KOF172" s="201"/>
      <c r="KOG172" s="201"/>
      <c r="KOH172" s="201"/>
      <c r="KOI172" s="201"/>
      <c r="KOJ172" s="201"/>
      <c r="KOK172" s="201"/>
      <c r="KOL172" s="201"/>
      <c r="KOM172" s="201"/>
      <c r="KON172" s="201"/>
      <c r="KOO172" s="201"/>
      <c r="KOP172" s="201"/>
      <c r="KOQ172" s="201"/>
      <c r="KOR172" s="201"/>
      <c r="KOS172" s="201"/>
      <c r="KOT172" s="201"/>
      <c r="KOU172" s="201"/>
      <c r="KOV172" s="201"/>
      <c r="KOW172" s="201"/>
      <c r="KOX172" s="201"/>
      <c r="KOY172" s="201"/>
      <c r="KOZ172" s="201"/>
      <c r="KPA172" s="201"/>
      <c r="KPB172" s="201"/>
      <c r="KPC172" s="201"/>
      <c r="KPD172" s="201"/>
      <c r="KPE172" s="201"/>
      <c r="KPF172" s="201"/>
      <c r="KPG172" s="201"/>
      <c r="KPH172" s="201"/>
      <c r="KPI172" s="201"/>
      <c r="KPJ172" s="201"/>
      <c r="KPK172" s="201"/>
      <c r="KPL172" s="201"/>
      <c r="KPM172" s="201"/>
      <c r="KPN172" s="201"/>
      <c r="KPO172" s="201"/>
      <c r="KPP172" s="201"/>
      <c r="KPQ172" s="201"/>
      <c r="KPR172" s="201"/>
      <c r="KPS172" s="201"/>
      <c r="KPT172" s="201"/>
      <c r="KPU172" s="201"/>
      <c r="KPV172" s="201"/>
      <c r="KPW172" s="201"/>
      <c r="KPX172" s="201"/>
      <c r="KPY172" s="201"/>
      <c r="KPZ172" s="201"/>
      <c r="KQA172" s="201"/>
      <c r="KQB172" s="201"/>
      <c r="KQC172" s="201"/>
      <c r="KQD172" s="201"/>
      <c r="KQE172" s="201"/>
      <c r="KQF172" s="201"/>
      <c r="KQG172" s="201"/>
      <c r="KQH172" s="201"/>
      <c r="KQI172" s="201"/>
      <c r="KQJ172" s="201"/>
      <c r="KQK172" s="201"/>
      <c r="KQL172" s="201"/>
      <c r="KQM172" s="201"/>
      <c r="KQN172" s="201"/>
      <c r="KQO172" s="201"/>
      <c r="KQP172" s="201"/>
      <c r="KQQ172" s="201"/>
      <c r="KQR172" s="201"/>
      <c r="KQS172" s="201"/>
      <c r="KQT172" s="201"/>
      <c r="KQU172" s="201"/>
      <c r="KQV172" s="201"/>
      <c r="KQW172" s="201"/>
      <c r="KQX172" s="201"/>
      <c r="KQY172" s="201"/>
      <c r="KQZ172" s="201"/>
      <c r="KRA172" s="201"/>
      <c r="KRB172" s="201"/>
      <c r="KRC172" s="201"/>
      <c r="KRD172" s="201"/>
      <c r="KRE172" s="201"/>
      <c r="KRF172" s="201"/>
      <c r="KRG172" s="201"/>
      <c r="KRH172" s="201"/>
      <c r="KRI172" s="201"/>
      <c r="KRJ172" s="201"/>
      <c r="KRK172" s="201"/>
      <c r="KRL172" s="201"/>
      <c r="KRM172" s="201"/>
      <c r="KRN172" s="201"/>
      <c r="KRO172" s="201"/>
      <c r="KRP172" s="201"/>
      <c r="KRQ172" s="201"/>
      <c r="KRR172" s="201"/>
      <c r="KRS172" s="201"/>
      <c r="KRT172" s="201"/>
      <c r="KRU172" s="201"/>
      <c r="KRV172" s="201"/>
      <c r="KRW172" s="201"/>
      <c r="KRX172" s="201"/>
      <c r="KRY172" s="201"/>
      <c r="KRZ172" s="201"/>
      <c r="KSA172" s="201"/>
      <c r="KSB172" s="201"/>
      <c r="KSC172" s="201"/>
      <c r="KSD172" s="201"/>
      <c r="KSE172" s="201"/>
      <c r="KSF172" s="201"/>
      <c r="KSG172" s="201"/>
      <c r="KSH172" s="201"/>
      <c r="KSI172" s="201"/>
      <c r="KSJ172" s="201"/>
      <c r="KSK172" s="201"/>
      <c r="KSL172" s="201"/>
      <c r="KSM172" s="201"/>
      <c r="KSN172" s="201"/>
      <c r="KSO172" s="201"/>
      <c r="KSP172" s="201"/>
      <c r="KSQ172" s="201"/>
      <c r="KSR172" s="201"/>
      <c r="KSS172" s="201"/>
      <c r="KST172" s="201"/>
      <c r="KSU172" s="201"/>
      <c r="KSV172" s="201"/>
      <c r="KSW172" s="201"/>
      <c r="KSX172" s="201"/>
      <c r="KSY172" s="201"/>
      <c r="KSZ172" s="201"/>
      <c r="KTA172" s="201"/>
      <c r="KTB172" s="201"/>
      <c r="KTC172" s="201"/>
      <c r="KTD172" s="201"/>
      <c r="KTE172" s="201"/>
      <c r="KTF172" s="201"/>
      <c r="KTG172" s="201"/>
      <c r="KTH172" s="201"/>
      <c r="KTI172" s="201"/>
      <c r="KTJ172" s="201"/>
      <c r="KTK172" s="201"/>
      <c r="KTL172" s="201"/>
      <c r="KTM172" s="201"/>
      <c r="KTN172" s="201"/>
      <c r="KTO172" s="201"/>
      <c r="KTP172" s="201"/>
      <c r="KTQ172" s="201"/>
      <c r="KTR172" s="201"/>
      <c r="KTS172" s="201"/>
      <c r="KTT172" s="201"/>
      <c r="KTU172" s="201"/>
      <c r="KTV172" s="201"/>
      <c r="KTW172" s="201"/>
      <c r="KTX172" s="201"/>
      <c r="KTY172" s="201"/>
      <c r="KTZ172" s="201"/>
      <c r="KUA172" s="201"/>
      <c r="KUB172" s="201"/>
      <c r="KUC172" s="201"/>
      <c r="KUD172" s="201"/>
      <c r="KUE172" s="201"/>
      <c r="KUF172" s="201"/>
      <c r="KUG172" s="201"/>
      <c r="KUH172" s="201"/>
      <c r="KUI172" s="201"/>
      <c r="KUJ172" s="201"/>
      <c r="KUK172" s="201"/>
      <c r="KUL172" s="201"/>
      <c r="KUM172" s="201"/>
      <c r="KUN172" s="201"/>
      <c r="KUO172" s="201"/>
      <c r="KUP172" s="201"/>
      <c r="KUQ172" s="201"/>
      <c r="KUR172" s="201"/>
      <c r="KUS172" s="201"/>
      <c r="KUT172" s="201"/>
      <c r="KUU172" s="201"/>
      <c r="KUV172" s="201"/>
      <c r="KUW172" s="201"/>
      <c r="KUX172" s="201"/>
      <c r="KUY172" s="201"/>
      <c r="KUZ172" s="201"/>
      <c r="KVA172" s="201"/>
      <c r="KVB172" s="201"/>
      <c r="KVC172" s="201"/>
      <c r="KVD172" s="201"/>
      <c r="KVE172" s="201"/>
      <c r="KVF172" s="201"/>
      <c r="KVG172" s="201"/>
      <c r="KVH172" s="201"/>
      <c r="KVI172" s="201"/>
      <c r="KVJ172" s="201"/>
      <c r="KVK172" s="201"/>
      <c r="KVL172" s="201"/>
      <c r="KVM172" s="201"/>
      <c r="KVN172" s="201"/>
      <c r="KVO172" s="201"/>
      <c r="KVP172" s="201"/>
      <c r="KVQ172" s="201"/>
      <c r="KVR172" s="201"/>
      <c r="KVS172" s="201"/>
      <c r="KVT172" s="201"/>
      <c r="KVU172" s="201"/>
      <c r="KVV172" s="201"/>
      <c r="KVW172" s="201"/>
      <c r="KVX172" s="201"/>
      <c r="KVY172" s="201"/>
      <c r="KVZ172" s="201"/>
      <c r="KWA172" s="201"/>
      <c r="KWB172" s="201"/>
      <c r="KWC172" s="201"/>
      <c r="KWD172" s="201"/>
      <c r="KWE172" s="201"/>
      <c r="KWF172" s="201"/>
      <c r="KWG172" s="201"/>
      <c r="KWH172" s="201"/>
      <c r="KWI172" s="201"/>
      <c r="KWJ172" s="201"/>
      <c r="KWK172" s="201"/>
      <c r="KWL172" s="201"/>
      <c r="KWM172" s="201"/>
      <c r="KWN172" s="201"/>
      <c r="KWO172" s="201"/>
      <c r="KWP172" s="201"/>
      <c r="KWQ172" s="201"/>
      <c r="KWR172" s="201"/>
      <c r="KWS172" s="201"/>
      <c r="KWT172" s="201"/>
      <c r="KWU172" s="201"/>
      <c r="KWV172" s="201"/>
      <c r="KWW172" s="201"/>
      <c r="KWX172" s="201"/>
      <c r="KWY172" s="201"/>
      <c r="KWZ172" s="201"/>
      <c r="KXA172" s="201"/>
      <c r="KXB172" s="201"/>
      <c r="KXC172" s="201"/>
      <c r="KXD172" s="201"/>
      <c r="KXE172" s="201"/>
      <c r="KXF172" s="201"/>
      <c r="KXG172" s="201"/>
      <c r="KXH172" s="201"/>
      <c r="KXI172" s="201"/>
      <c r="KXJ172" s="201"/>
      <c r="KXK172" s="201"/>
      <c r="KXL172" s="201"/>
      <c r="KXM172" s="201"/>
      <c r="KXN172" s="201"/>
      <c r="KXO172" s="201"/>
      <c r="KXP172" s="201"/>
      <c r="KXQ172" s="201"/>
      <c r="KXR172" s="201"/>
      <c r="KXS172" s="201"/>
      <c r="KXT172" s="201"/>
      <c r="KXU172" s="201"/>
      <c r="KXV172" s="201"/>
      <c r="KXW172" s="201"/>
      <c r="KXX172" s="201"/>
      <c r="KXY172" s="201"/>
      <c r="KXZ172" s="201"/>
      <c r="KYA172" s="201"/>
      <c r="KYB172" s="201"/>
      <c r="KYC172" s="201"/>
      <c r="KYD172" s="201"/>
      <c r="KYE172" s="201"/>
      <c r="KYF172" s="201"/>
      <c r="KYG172" s="201"/>
      <c r="KYH172" s="201"/>
      <c r="KYI172" s="201"/>
      <c r="KYJ172" s="201"/>
      <c r="KYK172" s="201"/>
      <c r="KYL172" s="201"/>
      <c r="KYM172" s="201"/>
      <c r="KYN172" s="201"/>
      <c r="KYO172" s="201"/>
      <c r="KYP172" s="201"/>
      <c r="KYQ172" s="201"/>
      <c r="KYR172" s="201"/>
      <c r="KYS172" s="201"/>
      <c r="KYT172" s="201"/>
      <c r="KYU172" s="201"/>
      <c r="KYV172" s="201"/>
      <c r="KYW172" s="201"/>
      <c r="KYX172" s="201"/>
      <c r="KYY172" s="201"/>
      <c r="KYZ172" s="201"/>
      <c r="KZA172" s="201"/>
      <c r="KZB172" s="201"/>
      <c r="KZC172" s="201"/>
      <c r="KZD172" s="201"/>
      <c r="KZE172" s="201"/>
      <c r="KZF172" s="201"/>
      <c r="KZG172" s="201"/>
      <c r="KZH172" s="201"/>
      <c r="KZI172" s="201"/>
      <c r="KZJ172" s="201"/>
      <c r="KZK172" s="201"/>
      <c r="KZL172" s="201"/>
      <c r="KZM172" s="201"/>
      <c r="KZN172" s="201"/>
      <c r="KZO172" s="201"/>
      <c r="KZP172" s="201"/>
      <c r="KZQ172" s="201"/>
      <c r="KZR172" s="201"/>
      <c r="KZS172" s="201"/>
      <c r="KZT172" s="201"/>
      <c r="KZU172" s="201"/>
      <c r="KZV172" s="201"/>
      <c r="KZW172" s="201"/>
      <c r="KZX172" s="201"/>
      <c r="KZY172" s="201"/>
      <c r="KZZ172" s="201"/>
      <c r="LAA172" s="201"/>
      <c r="LAB172" s="201"/>
      <c r="LAC172" s="201"/>
      <c r="LAD172" s="201"/>
      <c r="LAE172" s="201"/>
      <c r="LAF172" s="201"/>
      <c r="LAG172" s="201"/>
      <c r="LAH172" s="201"/>
      <c r="LAI172" s="201"/>
      <c r="LAJ172" s="201"/>
      <c r="LAK172" s="201"/>
      <c r="LAL172" s="201"/>
      <c r="LAM172" s="201"/>
      <c r="LAN172" s="201"/>
      <c r="LAO172" s="201"/>
      <c r="LAP172" s="201"/>
      <c r="LAQ172" s="201"/>
      <c r="LAR172" s="201"/>
      <c r="LAS172" s="201"/>
      <c r="LAT172" s="201"/>
      <c r="LAU172" s="201"/>
      <c r="LAV172" s="201"/>
      <c r="LAW172" s="201"/>
      <c r="LAX172" s="201"/>
      <c r="LAY172" s="201"/>
      <c r="LAZ172" s="201"/>
      <c r="LBA172" s="201"/>
      <c r="LBB172" s="201"/>
      <c r="LBC172" s="201"/>
      <c r="LBD172" s="201"/>
      <c r="LBE172" s="201"/>
      <c r="LBF172" s="201"/>
      <c r="LBG172" s="201"/>
      <c r="LBH172" s="201"/>
      <c r="LBI172" s="201"/>
      <c r="LBJ172" s="201"/>
      <c r="LBK172" s="201"/>
      <c r="LBL172" s="201"/>
      <c r="LBM172" s="201"/>
      <c r="LBN172" s="201"/>
      <c r="LBO172" s="201"/>
      <c r="LBP172" s="201"/>
      <c r="LBQ172" s="201"/>
      <c r="LBR172" s="201"/>
      <c r="LBS172" s="201"/>
      <c r="LBT172" s="201"/>
      <c r="LBU172" s="201"/>
      <c r="LBV172" s="201"/>
      <c r="LBW172" s="201"/>
      <c r="LBX172" s="201"/>
      <c r="LBY172" s="201"/>
      <c r="LBZ172" s="201"/>
      <c r="LCA172" s="201"/>
      <c r="LCB172" s="201"/>
      <c r="LCC172" s="201"/>
      <c r="LCD172" s="201"/>
      <c r="LCE172" s="201"/>
      <c r="LCF172" s="201"/>
      <c r="LCG172" s="201"/>
      <c r="LCH172" s="201"/>
      <c r="LCI172" s="201"/>
      <c r="LCJ172" s="201"/>
      <c r="LCK172" s="201"/>
      <c r="LCL172" s="201"/>
      <c r="LCM172" s="201"/>
      <c r="LCN172" s="201"/>
      <c r="LCO172" s="201"/>
      <c r="LCP172" s="201"/>
      <c r="LCQ172" s="201"/>
      <c r="LCR172" s="201"/>
      <c r="LCS172" s="201"/>
      <c r="LCT172" s="201"/>
      <c r="LCU172" s="201"/>
      <c r="LCV172" s="201"/>
      <c r="LCW172" s="201"/>
      <c r="LCX172" s="201"/>
      <c r="LCY172" s="201"/>
      <c r="LCZ172" s="201"/>
      <c r="LDA172" s="201"/>
      <c r="LDB172" s="201"/>
      <c r="LDC172" s="201"/>
      <c r="LDD172" s="201"/>
      <c r="LDE172" s="201"/>
      <c r="LDF172" s="201"/>
      <c r="LDG172" s="201"/>
      <c r="LDH172" s="201"/>
      <c r="LDI172" s="201"/>
      <c r="LDJ172" s="201"/>
      <c r="LDK172" s="201"/>
      <c r="LDL172" s="201"/>
      <c r="LDM172" s="201"/>
      <c r="LDN172" s="201"/>
      <c r="LDO172" s="201"/>
      <c r="LDP172" s="201"/>
      <c r="LDQ172" s="201"/>
      <c r="LDR172" s="201"/>
      <c r="LDS172" s="201"/>
      <c r="LDT172" s="201"/>
      <c r="LDU172" s="201"/>
      <c r="LDV172" s="201"/>
      <c r="LDW172" s="201"/>
      <c r="LDX172" s="201"/>
      <c r="LDY172" s="201"/>
      <c r="LDZ172" s="201"/>
      <c r="LEA172" s="201"/>
      <c r="LEB172" s="201"/>
      <c r="LEC172" s="201"/>
      <c r="LED172" s="201"/>
      <c r="LEE172" s="201"/>
      <c r="LEF172" s="201"/>
      <c r="LEG172" s="201"/>
      <c r="LEH172" s="201"/>
      <c r="LEI172" s="201"/>
      <c r="LEJ172" s="201"/>
      <c r="LEK172" s="201"/>
      <c r="LEL172" s="201"/>
      <c r="LEM172" s="201"/>
      <c r="LEN172" s="201"/>
      <c r="LEO172" s="201"/>
      <c r="LEP172" s="201"/>
      <c r="LEQ172" s="201"/>
      <c r="LER172" s="201"/>
      <c r="LES172" s="201"/>
      <c r="LET172" s="201"/>
      <c r="LEU172" s="201"/>
      <c r="LEV172" s="201"/>
      <c r="LEW172" s="201"/>
      <c r="LEX172" s="201"/>
      <c r="LEY172" s="201"/>
      <c r="LEZ172" s="201"/>
      <c r="LFA172" s="201"/>
      <c r="LFB172" s="201"/>
      <c r="LFC172" s="201"/>
      <c r="LFD172" s="201"/>
      <c r="LFE172" s="201"/>
      <c r="LFF172" s="201"/>
      <c r="LFG172" s="201"/>
      <c r="LFH172" s="201"/>
      <c r="LFI172" s="201"/>
      <c r="LFJ172" s="201"/>
      <c r="LFK172" s="201"/>
      <c r="LFL172" s="201"/>
      <c r="LFM172" s="201"/>
      <c r="LFN172" s="201"/>
      <c r="LFO172" s="201"/>
      <c r="LFP172" s="201"/>
      <c r="LFQ172" s="201"/>
      <c r="LFR172" s="201"/>
      <c r="LFS172" s="201"/>
      <c r="LFT172" s="201"/>
      <c r="LFU172" s="201"/>
      <c r="LFV172" s="201"/>
      <c r="LFW172" s="201"/>
      <c r="LFX172" s="201"/>
      <c r="LFY172" s="201"/>
      <c r="LFZ172" s="201"/>
      <c r="LGA172" s="201"/>
      <c r="LGB172" s="201"/>
      <c r="LGC172" s="201"/>
      <c r="LGD172" s="201"/>
      <c r="LGE172" s="201"/>
      <c r="LGF172" s="201"/>
      <c r="LGG172" s="201"/>
      <c r="LGH172" s="201"/>
      <c r="LGI172" s="201"/>
      <c r="LGJ172" s="201"/>
      <c r="LGK172" s="201"/>
      <c r="LGL172" s="201"/>
      <c r="LGM172" s="201"/>
      <c r="LGN172" s="201"/>
      <c r="LGO172" s="201"/>
      <c r="LGP172" s="201"/>
      <c r="LGQ172" s="201"/>
      <c r="LGR172" s="201"/>
      <c r="LGS172" s="201"/>
      <c r="LGT172" s="201"/>
      <c r="LGU172" s="201"/>
      <c r="LGV172" s="201"/>
      <c r="LGW172" s="201"/>
      <c r="LGX172" s="201"/>
      <c r="LGY172" s="201"/>
      <c r="LGZ172" s="201"/>
      <c r="LHA172" s="201"/>
      <c r="LHB172" s="201"/>
      <c r="LHC172" s="201"/>
      <c r="LHD172" s="201"/>
      <c r="LHE172" s="201"/>
      <c r="LHF172" s="201"/>
      <c r="LHG172" s="201"/>
      <c r="LHH172" s="201"/>
      <c r="LHI172" s="201"/>
      <c r="LHJ172" s="201"/>
      <c r="LHK172" s="201"/>
      <c r="LHL172" s="201"/>
      <c r="LHM172" s="201"/>
      <c r="LHN172" s="201"/>
      <c r="LHO172" s="201"/>
      <c r="LHP172" s="201"/>
      <c r="LHQ172" s="201"/>
      <c r="LHR172" s="201"/>
      <c r="LHS172" s="201"/>
      <c r="LHT172" s="201"/>
      <c r="LHU172" s="201"/>
      <c r="LHV172" s="201"/>
      <c r="LHW172" s="201"/>
      <c r="LHX172" s="201"/>
      <c r="LHY172" s="201"/>
      <c r="LHZ172" s="201"/>
      <c r="LIA172" s="201"/>
      <c r="LIB172" s="201"/>
      <c r="LIC172" s="201"/>
      <c r="LID172" s="201"/>
      <c r="LIE172" s="201"/>
      <c r="LIF172" s="201"/>
      <c r="LIG172" s="201"/>
      <c r="LIH172" s="201"/>
      <c r="LII172" s="201"/>
      <c r="LIJ172" s="201"/>
      <c r="LIK172" s="201"/>
      <c r="LIL172" s="201"/>
      <c r="LIM172" s="201"/>
      <c r="LIN172" s="201"/>
      <c r="LIO172" s="201"/>
      <c r="LIP172" s="201"/>
      <c r="LIQ172" s="201"/>
      <c r="LIR172" s="201"/>
      <c r="LIS172" s="201"/>
      <c r="LIT172" s="201"/>
      <c r="LIU172" s="201"/>
      <c r="LIV172" s="201"/>
      <c r="LIW172" s="201"/>
      <c r="LIX172" s="201"/>
      <c r="LIY172" s="201"/>
      <c r="LIZ172" s="201"/>
      <c r="LJA172" s="201"/>
      <c r="LJB172" s="201"/>
      <c r="LJC172" s="201"/>
      <c r="LJD172" s="201"/>
      <c r="LJE172" s="201"/>
      <c r="LJF172" s="201"/>
      <c r="LJG172" s="201"/>
      <c r="LJH172" s="201"/>
      <c r="LJI172" s="201"/>
      <c r="LJJ172" s="201"/>
      <c r="LJK172" s="201"/>
      <c r="LJL172" s="201"/>
      <c r="LJM172" s="201"/>
      <c r="LJN172" s="201"/>
      <c r="LJO172" s="201"/>
      <c r="LJP172" s="201"/>
      <c r="LJQ172" s="201"/>
      <c r="LJR172" s="201"/>
      <c r="LJS172" s="201"/>
      <c r="LJT172" s="201"/>
      <c r="LJU172" s="201"/>
      <c r="LJV172" s="201"/>
      <c r="LJW172" s="201"/>
      <c r="LJX172" s="201"/>
      <c r="LJY172" s="201"/>
      <c r="LJZ172" s="201"/>
      <c r="LKA172" s="201"/>
      <c r="LKB172" s="201"/>
      <c r="LKC172" s="201"/>
      <c r="LKD172" s="201"/>
      <c r="LKE172" s="201"/>
      <c r="LKF172" s="201"/>
      <c r="LKG172" s="201"/>
      <c r="LKH172" s="201"/>
      <c r="LKI172" s="201"/>
      <c r="LKJ172" s="201"/>
      <c r="LKK172" s="201"/>
      <c r="LKL172" s="201"/>
      <c r="LKM172" s="201"/>
      <c r="LKN172" s="201"/>
      <c r="LKO172" s="201"/>
      <c r="LKP172" s="201"/>
      <c r="LKQ172" s="201"/>
      <c r="LKR172" s="201"/>
      <c r="LKS172" s="201"/>
      <c r="LKT172" s="201"/>
      <c r="LKU172" s="201"/>
      <c r="LKV172" s="201"/>
      <c r="LKW172" s="201"/>
      <c r="LKX172" s="201"/>
      <c r="LKY172" s="201"/>
      <c r="LKZ172" s="201"/>
      <c r="LLA172" s="201"/>
      <c r="LLB172" s="201"/>
      <c r="LLC172" s="201"/>
      <c r="LLD172" s="201"/>
      <c r="LLE172" s="201"/>
      <c r="LLF172" s="201"/>
      <c r="LLG172" s="201"/>
      <c r="LLH172" s="201"/>
      <c r="LLI172" s="201"/>
      <c r="LLJ172" s="201"/>
      <c r="LLK172" s="201"/>
      <c r="LLL172" s="201"/>
      <c r="LLM172" s="201"/>
      <c r="LLN172" s="201"/>
      <c r="LLO172" s="201"/>
      <c r="LLP172" s="201"/>
      <c r="LLQ172" s="201"/>
      <c r="LLR172" s="201"/>
      <c r="LLS172" s="201"/>
      <c r="LLT172" s="201"/>
      <c r="LLU172" s="201"/>
      <c r="LLV172" s="201"/>
      <c r="LLW172" s="201"/>
      <c r="LLX172" s="201"/>
      <c r="LLY172" s="201"/>
      <c r="LLZ172" s="201"/>
      <c r="LMA172" s="201"/>
      <c r="LMB172" s="201"/>
      <c r="LMC172" s="201"/>
      <c r="LMD172" s="201"/>
      <c r="LME172" s="201"/>
      <c r="LMF172" s="201"/>
      <c r="LMG172" s="201"/>
      <c r="LMH172" s="201"/>
      <c r="LMI172" s="201"/>
      <c r="LMJ172" s="201"/>
      <c r="LMK172" s="201"/>
      <c r="LML172" s="201"/>
      <c r="LMM172" s="201"/>
      <c r="LMN172" s="201"/>
      <c r="LMO172" s="201"/>
      <c r="LMP172" s="201"/>
      <c r="LMQ172" s="201"/>
      <c r="LMR172" s="201"/>
      <c r="LMS172" s="201"/>
      <c r="LMT172" s="201"/>
      <c r="LMU172" s="201"/>
      <c r="LMV172" s="201"/>
      <c r="LMW172" s="201"/>
      <c r="LMX172" s="201"/>
      <c r="LMY172" s="201"/>
      <c r="LMZ172" s="201"/>
      <c r="LNA172" s="201"/>
      <c r="LNB172" s="201"/>
      <c r="LNC172" s="201"/>
      <c r="LND172" s="201"/>
      <c r="LNE172" s="201"/>
      <c r="LNF172" s="201"/>
      <c r="LNG172" s="201"/>
      <c r="LNH172" s="201"/>
      <c r="LNI172" s="201"/>
      <c r="LNJ172" s="201"/>
      <c r="LNK172" s="201"/>
      <c r="LNL172" s="201"/>
      <c r="LNM172" s="201"/>
      <c r="LNN172" s="201"/>
      <c r="LNO172" s="201"/>
      <c r="LNP172" s="201"/>
      <c r="LNQ172" s="201"/>
      <c r="LNR172" s="201"/>
      <c r="LNS172" s="201"/>
      <c r="LNT172" s="201"/>
      <c r="LNU172" s="201"/>
      <c r="LNV172" s="201"/>
      <c r="LNW172" s="201"/>
      <c r="LNX172" s="201"/>
      <c r="LNY172" s="201"/>
      <c r="LNZ172" s="201"/>
      <c r="LOA172" s="201"/>
      <c r="LOB172" s="201"/>
      <c r="LOC172" s="201"/>
      <c r="LOD172" s="201"/>
      <c r="LOE172" s="201"/>
      <c r="LOF172" s="201"/>
      <c r="LOG172" s="201"/>
      <c r="LOH172" s="201"/>
      <c r="LOI172" s="201"/>
      <c r="LOJ172" s="201"/>
      <c r="LOK172" s="201"/>
      <c r="LOL172" s="201"/>
      <c r="LOM172" s="201"/>
      <c r="LON172" s="201"/>
      <c r="LOO172" s="201"/>
      <c r="LOP172" s="201"/>
      <c r="LOQ172" s="201"/>
      <c r="LOR172" s="201"/>
      <c r="LOS172" s="201"/>
      <c r="LOT172" s="201"/>
      <c r="LOU172" s="201"/>
      <c r="LOV172" s="201"/>
      <c r="LOW172" s="201"/>
      <c r="LOX172" s="201"/>
      <c r="LOY172" s="201"/>
      <c r="LOZ172" s="201"/>
      <c r="LPA172" s="201"/>
      <c r="LPB172" s="201"/>
      <c r="LPC172" s="201"/>
      <c r="LPD172" s="201"/>
      <c r="LPE172" s="201"/>
      <c r="LPF172" s="201"/>
      <c r="LPG172" s="201"/>
      <c r="LPH172" s="201"/>
      <c r="LPI172" s="201"/>
      <c r="LPJ172" s="201"/>
      <c r="LPK172" s="201"/>
      <c r="LPL172" s="201"/>
      <c r="LPM172" s="201"/>
      <c r="LPN172" s="201"/>
      <c r="LPO172" s="201"/>
      <c r="LPP172" s="201"/>
      <c r="LPQ172" s="201"/>
      <c r="LPR172" s="201"/>
      <c r="LPS172" s="201"/>
      <c r="LPT172" s="201"/>
      <c r="LPU172" s="201"/>
      <c r="LPV172" s="201"/>
      <c r="LPW172" s="201"/>
      <c r="LPX172" s="201"/>
      <c r="LPY172" s="201"/>
      <c r="LPZ172" s="201"/>
      <c r="LQA172" s="201"/>
      <c r="LQB172" s="201"/>
      <c r="LQC172" s="201"/>
      <c r="LQD172" s="201"/>
      <c r="LQE172" s="201"/>
      <c r="LQF172" s="201"/>
      <c r="LQG172" s="201"/>
      <c r="LQH172" s="201"/>
      <c r="LQI172" s="201"/>
      <c r="LQJ172" s="201"/>
      <c r="LQK172" s="201"/>
      <c r="LQL172" s="201"/>
      <c r="LQM172" s="201"/>
      <c r="LQN172" s="201"/>
      <c r="LQO172" s="201"/>
      <c r="LQP172" s="201"/>
      <c r="LQQ172" s="201"/>
      <c r="LQR172" s="201"/>
      <c r="LQS172" s="201"/>
      <c r="LQT172" s="201"/>
      <c r="LQU172" s="201"/>
      <c r="LQV172" s="201"/>
      <c r="LQW172" s="201"/>
      <c r="LQX172" s="201"/>
      <c r="LQY172" s="201"/>
      <c r="LQZ172" s="201"/>
      <c r="LRA172" s="201"/>
      <c r="LRB172" s="201"/>
      <c r="LRC172" s="201"/>
      <c r="LRD172" s="201"/>
      <c r="LRE172" s="201"/>
      <c r="LRF172" s="201"/>
      <c r="LRG172" s="201"/>
      <c r="LRH172" s="201"/>
      <c r="LRI172" s="201"/>
      <c r="LRJ172" s="201"/>
      <c r="LRK172" s="201"/>
      <c r="LRL172" s="201"/>
      <c r="LRM172" s="201"/>
      <c r="LRN172" s="201"/>
      <c r="LRO172" s="201"/>
      <c r="LRP172" s="201"/>
      <c r="LRQ172" s="201"/>
      <c r="LRR172" s="201"/>
      <c r="LRS172" s="201"/>
      <c r="LRT172" s="201"/>
      <c r="LRU172" s="201"/>
      <c r="LRV172" s="201"/>
      <c r="LRW172" s="201"/>
      <c r="LRX172" s="201"/>
      <c r="LRY172" s="201"/>
      <c r="LRZ172" s="201"/>
      <c r="LSA172" s="201"/>
      <c r="LSB172" s="201"/>
      <c r="LSC172" s="201"/>
      <c r="LSD172" s="201"/>
      <c r="LSE172" s="201"/>
      <c r="LSF172" s="201"/>
      <c r="LSG172" s="201"/>
      <c r="LSH172" s="201"/>
      <c r="LSI172" s="201"/>
      <c r="LSJ172" s="201"/>
      <c r="LSK172" s="201"/>
      <c r="LSL172" s="201"/>
      <c r="LSM172" s="201"/>
      <c r="LSN172" s="201"/>
      <c r="LSO172" s="201"/>
      <c r="LSP172" s="201"/>
      <c r="LSQ172" s="201"/>
      <c r="LSR172" s="201"/>
      <c r="LSS172" s="201"/>
      <c r="LST172" s="201"/>
      <c r="LSU172" s="201"/>
      <c r="LSV172" s="201"/>
      <c r="LSW172" s="201"/>
      <c r="LSX172" s="201"/>
      <c r="LSY172" s="201"/>
      <c r="LSZ172" s="201"/>
      <c r="LTA172" s="201"/>
      <c r="LTB172" s="201"/>
      <c r="LTC172" s="201"/>
      <c r="LTD172" s="201"/>
      <c r="LTE172" s="201"/>
      <c r="LTF172" s="201"/>
      <c r="LTG172" s="201"/>
      <c r="LTH172" s="201"/>
      <c r="LTI172" s="201"/>
      <c r="LTJ172" s="201"/>
      <c r="LTK172" s="201"/>
      <c r="LTL172" s="201"/>
      <c r="LTM172" s="201"/>
      <c r="LTN172" s="201"/>
      <c r="LTO172" s="201"/>
      <c r="LTP172" s="201"/>
      <c r="LTQ172" s="201"/>
      <c r="LTR172" s="201"/>
      <c r="LTS172" s="201"/>
      <c r="LTT172" s="201"/>
      <c r="LTU172" s="201"/>
      <c r="LTV172" s="201"/>
      <c r="LTW172" s="201"/>
      <c r="LTX172" s="201"/>
      <c r="LTY172" s="201"/>
      <c r="LTZ172" s="201"/>
      <c r="LUA172" s="201"/>
      <c r="LUB172" s="201"/>
      <c r="LUC172" s="201"/>
      <c r="LUD172" s="201"/>
      <c r="LUE172" s="201"/>
      <c r="LUF172" s="201"/>
      <c r="LUG172" s="201"/>
      <c r="LUH172" s="201"/>
      <c r="LUI172" s="201"/>
      <c r="LUJ172" s="201"/>
      <c r="LUK172" s="201"/>
      <c r="LUL172" s="201"/>
      <c r="LUM172" s="201"/>
      <c r="LUN172" s="201"/>
      <c r="LUO172" s="201"/>
      <c r="LUP172" s="201"/>
      <c r="LUQ172" s="201"/>
      <c r="LUR172" s="201"/>
      <c r="LUS172" s="201"/>
      <c r="LUT172" s="201"/>
      <c r="LUU172" s="201"/>
      <c r="LUV172" s="201"/>
      <c r="LUW172" s="201"/>
      <c r="LUX172" s="201"/>
      <c r="LUY172" s="201"/>
      <c r="LUZ172" s="201"/>
      <c r="LVA172" s="201"/>
      <c r="LVB172" s="201"/>
      <c r="LVC172" s="201"/>
      <c r="LVD172" s="201"/>
      <c r="LVE172" s="201"/>
      <c r="LVF172" s="201"/>
      <c r="LVG172" s="201"/>
      <c r="LVH172" s="201"/>
      <c r="LVI172" s="201"/>
      <c r="LVJ172" s="201"/>
      <c r="LVK172" s="201"/>
      <c r="LVL172" s="201"/>
      <c r="LVM172" s="201"/>
      <c r="LVN172" s="201"/>
      <c r="LVO172" s="201"/>
      <c r="LVP172" s="201"/>
      <c r="LVQ172" s="201"/>
      <c r="LVR172" s="201"/>
      <c r="LVS172" s="201"/>
      <c r="LVT172" s="201"/>
      <c r="LVU172" s="201"/>
      <c r="LVV172" s="201"/>
      <c r="LVW172" s="201"/>
      <c r="LVX172" s="201"/>
      <c r="LVY172" s="201"/>
      <c r="LVZ172" s="201"/>
      <c r="LWA172" s="201"/>
      <c r="LWB172" s="201"/>
      <c r="LWC172" s="201"/>
      <c r="LWD172" s="201"/>
      <c r="LWE172" s="201"/>
      <c r="LWF172" s="201"/>
      <c r="LWG172" s="201"/>
      <c r="LWH172" s="201"/>
      <c r="LWI172" s="201"/>
      <c r="LWJ172" s="201"/>
      <c r="LWK172" s="201"/>
      <c r="LWL172" s="201"/>
      <c r="LWM172" s="201"/>
      <c r="LWN172" s="201"/>
      <c r="LWO172" s="201"/>
      <c r="LWP172" s="201"/>
      <c r="LWQ172" s="201"/>
      <c r="LWR172" s="201"/>
      <c r="LWS172" s="201"/>
      <c r="LWT172" s="201"/>
      <c r="LWU172" s="201"/>
      <c r="LWV172" s="201"/>
      <c r="LWW172" s="201"/>
      <c r="LWX172" s="201"/>
      <c r="LWY172" s="201"/>
      <c r="LWZ172" s="201"/>
      <c r="LXA172" s="201"/>
      <c r="LXB172" s="201"/>
      <c r="LXC172" s="201"/>
      <c r="LXD172" s="201"/>
      <c r="LXE172" s="201"/>
      <c r="LXF172" s="201"/>
      <c r="LXG172" s="201"/>
      <c r="LXH172" s="201"/>
      <c r="LXI172" s="201"/>
      <c r="LXJ172" s="201"/>
      <c r="LXK172" s="201"/>
      <c r="LXL172" s="201"/>
      <c r="LXM172" s="201"/>
      <c r="LXN172" s="201"/>
      <c r="LXO172" s="201"/>
      <c r="LXP172" s="201"/>
      <c r="LXQ172" s="201"/>
      <c r="LXR172" s="201"/>
      <c r="LXS172" s="201"/>
      <c r="LXT172" s="201"/>
      <c r="LXU172" s="201"/>
      <c r="LXV172" s="201"/>
      <c r="LXW172" s="201"/>
      <c r="LXX172" s="201"/>
      <c r="LXY172" s="201"/>
      <c r="LXZ172" s="201"/>
      <c r="LYA172" s="201"/>
      <c r="LYB172" s="201"/>
      <c r="LYC172" s="201"/>
      <c r="LYD172" s="201"/>
      <c r="LYE172" s="201"/>
      <c r="LYF172" s="201"/>
      <c r="LYG172" s="201"/>
      <c r="LYH172" s="201"/>
      <c r="LYI172" s="201"/>
      <c r="LYJ172" s="201"/>
      <c r="LYK172" s="201"/>
      <c r="LYL172" s="201"/>
      <c r="LYM172" s="201"/>
      <c r="LYN172" s="201"/>
      <c r="LYO172" s="201"/>
      <c r="LYP172" s="201"/>
      <c r="LYQ172" s="201"/>
      <c r="LYR172" s="201"/>
      <c r="LYS172" s="201"/>
      <c r="LYT172" s="201"/>
      <c r="LYU172" s="201"/>
      <c r="LYV172" s="201"/>
      <c r="LYW172" s="201"/>
      <c r="LYX172" s="201"/>
      <c r="LYY172" s="201"/>
      <c r="LYZ172" s="201"/>
      <c r="LZA172" s="201"/>
      <c r="LZB172" s="201"/>
      <c r="LZC172" s="201"/>
      <c r="LZD172" s="201"/>
      <c r="LZE172" s="201"/>
      <c r="LZF172" s="201"/>
      <c r="LZG172" s="201"/>
      <c r="LZH172" s="201"/>
      <c r="LZI172" s="201"/>
      <c r="LZJ172" s="201"/>
      <c r="LZK172" s="201"/>
      <c r="LZL172" s="201"/>
      <c r="LZM172" s="201"/>
      <c r="LZN172" s="201"/>
      <c r="LZO172" s="201"/>
      <c r="LZP172" s="201"/>
      <c r="LZQ172" s="201"/>
      <c r="LZR172" s="201"/>
      <c r="LZS172" s="201"/>
      <c r="LZT172" s="201"/>
      <c r="LZU172" s="201"/>
      <c r="LZV172" s="201"/>
      <c r="LZW172" s="201"/>
      <c r="LZX172" s="201"/>
      <c r="LZY172" s="201"/>
      <c r="LZZ172" s="201"/>
      <c r="MAA172" s="201"/>
      <c r="MAB172" s="201"/>
      <c r="MAC172" s="201"/>
      <c r="MAD172" s="201"/>
      <c r="MAE172" s="201"/>
      <c r="MAF172" s="201"/>
      <c r="MAG172" s="201"/>
      <c r="MAH172" s="201"/>
      <c r="MAI172" s="201"/>
      <c r="MAJ172" s="201"/>
      <c r="MAK172" s="201"/>
      <c r="MAL172" s="201"/>
      <c r="MAM172" s="201"/>
      <c r="MAN172" s="201"/>
      <c r="MAO172" s="201"/>
      <c r="MAP172" s="201"/>
      <c r="MAQ172" s="201"/>
      <c r="MAR172" s="201"/>
      <c r="MAS172" s="201"/>
      <c r="MAT172" s="201"/>
      <c r="MAU172" s="201"/>
      <c r="MAV172" s="201"/>
      <c r="MAW172" s="201"/>
      <c r="MAX172" s="201"/>
      <c r="MAY172" s="201"/>
      <c r="MAZ172" s="201"/>
      <c r="MBA172" s="201"/>
      <c r="MBB172" s="201"/>
      <c r="MBC172" s="201"/>
      <c r="MBD172" s="201"/>
      <c r="MBE172" s="201"/>
      <c r="MBF172" s="201"/>
      <c r="MBG172" s="201"/>
      <c r="MBH172" s="201"/>
      <c r="MBI172" s="201"/>
      <c r="MBJ172" s="201"/>
      <c r="MBK172" s="201"/>
      <c r="MBL172" s="201"/>
      <c r="MBM172" s="201"/>
      <c r="MBN172" s="201"/>
      <c r="MBO172" s="201"/>
      <c r="MBP172" s="201"/>
      <c r="MBQ172" s="201"/>
      <c r="MBR172" s="201"/>
      <c r="MBS172" s="201"/>
      <c r="MBT172" s="201"/>
      <c r="MBU172" s="201"/>
      <c r="MBV172" s="201"/>
      <c r="MBW172" s="201"/>
      <c r="MBX172" s="201"/>
      <c r="MBY172" s="201"/>
      <c r="MBZ172" s="201"/>
      <c r="MCA172" s="201"/>
      <c r="MCB172" s="201"/>
      <c r="MCC172" s="201"/>
      <c r="MCD172" s="201"/>
      <c r="MCE172" s="201"/>
      <c r="MCF172" s="201"/>
      <c r="MCG172" s="201"/>
      <c r="MCH172" s="201"/>
      <c r="MCI172" s="201"/>
      <c r="MCJ172" s="201"/>
      <c r="MCK172" s="201"/>
      <c r="MCL172" s="201"/>
      <c r="MCM172" s="201"/>
      <c r="MCN172" s="201"/>
      <c r="MCO172" s="201"/>
      <c r="MCP172" s="201"/>
      <c r="MCQ172" s="201"/>
      <c r="MCR172" s="201"/>
      <c r="MCS172" s="201"/>
      <c r="MCT172" s="201"/>
      <c r="MCU172" s="201"/>
      <c r="MCV172" s="201"/>
      <c r="MCW172" s="201"/>
      <c r="MCX172" s="201"/>
      <c r="MCY172" s="201"/>
      <c r="MCZ172" s="201"/>
      <c r="MDA172" s="201"/>
      <c r="MDB172" s="201"/>
      <c r="MDC172" s="201"/>
      <c r="MDD172" s="201"/>
      <c r="MDE172" s="201"/>
      <c r="MDF172" s="201"/>
      <c r="MDG172" s="201"/>
      <c r="MDH172" s="201"/>
      <c r="MDI172" s="201"/>
      <c r="MDJ172" s="201"/>
      <c r="MDK172" s="201"/>
      <c r="MDL172" s="201"/>
      <c r="MDM172" s="201"/>
      <c r="MDN172" s="201"/>
      <c r="MDO172" s="201"/>
      <c r="MDP172" s="201"/>
      <c r="MDQ172" s="201"/>
      <c r="MDR172" s="201"/>
      <c r="MDS172" s="201"/>
      <c r="MDT172" s="201"/>
      <c r="MDU172" s="201"/>
      <c r="MDV172" s="201"/>
      <c r="MDW172" s="201"/>
      <c r="MDX172" s="201"/>
      <c r="MDY172" s="201"/>
      <c r="MDZ172" s="201"/>
      <c r="MEA172" s="201"/>
      <c r="MEB172" s="201"/>
      <c r="MEC172" s="201"/>
      <c r="MED172" s="201"/>
      <c r="MEE172" s="201"/>
      <c r="MEF172" s="201"/>
      <c r="MEG172" s="201"/>
      <c r="MEH172" s="201"/>
      <c r="MEI172" s="201"/>
      <c r="MEJ172" s="201"/>
      <c r="MEK172" s="201"/>
      <c r="MEL172" s="201"/>
      <c r="MEM172" s="201"/>
      <c r="MEN172" s="201"/>
      <c r="MEO172" s="201"/>
      <c r="MEP172" s="201"/>
      <c r="MEQ172" s="201"/>
      <c r="MER172" s="201"/>
      <c r="MES172" s="201"/>
      <c r="MET172" s="201"/>
      <c r="MEU172" s="201"/>
      <c r="MEV172" s="201"/>
      <c r="MEW172" s="201"/>
      <c r="MEX172" s="201"/>
      <c r="MEY172" s="201"/>
      <c r="MEZ172" s="201"/>
      <c r="MFA172" s="201"/>
      <c r="MFB172" s="201"/>
      <c r="MFC172" s="201"/>
      <c r="MFD172" s="201"/>
      <c r="MFE172" s="201"/>
      <c r="MFF172" s="201"/>
      <c r="MFG172" s="201"/>
      <c r="MFH172" s="201"/>
      <c r="MFI172" s="201"/>
      <c r="MFJ172" s="201"/>
      <c r="MFK172" s="201"/>
      <c r="MFL172" s="201"/>
      <c r="MFM172" s="201"/>
      <c r="MFN172" s="201"/>
      <c r="MFO172" s="201"/>
      <c r="MFP172" s="201"/>
      <c r="MFQ172" s="201"/>
      <c r="MFR172" s="201"/>
      <c r="MFS172" s="201"/>
      <c r="MFT172" s="201"/>
      <c r="MFU172" s="201"/>
      <c r="MFV172" s="201"/>
      <c r="MFW172" s="201"/>
      <c r="MFX172" s="201"/>
      <c r="MFY172" s="201"/>
      <c r="MFZ172" s="201"/>
      <c r="MGA172" s="201"/>
      <c r="MGB172" s="201"/>
      <c r="MGC172" s="201"/>
      <c r="MGD172" s="201"/>
      <c r="MGE172" s="201"/>
      <c r="MGF172" s="201"/>
      <c r="MGG172" s="201"/>
      <c r="MGH172" s="201"/>
      <c r="MGI172" s="201"/>
      <c r="MGJ172" s="201"/>
      <c r="MGK172" s="201"/>
      <c r="MGL172" s="201"/>
      <c r="MGM172" s="201"/>
      <c r="MGN172" s="201"/>
      <c r="MGO172" s="201"/>
      <c r="MGP172" s="201"/>
      <c r="MGQ172" s="201"/>
      <c r="MGR172" s="201"/>
      <c r="MGS172" s="201"/>
      <c r="MGT172" s="201"/>
      <c r="MGU172" s="201"/>
      <c r="MGV172" s="201"/>
      <c r="MGW172" s="201"/>
      <c r="MGX172" s="201"/>
      <c r="MGY172" s="201"/>
      <c r="MGZ172" s="201"/>
      <c r="MHA172" s="201"/>
      <c r="MHB172" s="201"/>
      <c r="MHC172" s="201"/>
      <c r="MHD172" s="201"/>
      <c r="MHE172" s="201"/>
      <c r="MHF172" s="201"/>
      <c r="MHG172" s="201"/>
      <c r="MHH172" s="201"/>
      <c r="MHI172" s="201"/>
      <c r="MHJ172" s="201"/>
      <c r="MHK172" s="201"/>
      <c r="MHL172" s="201"/>
      <c r="MHM172" s="201"/>
      <c r="MHN172" s="201"/>
      <c r="MHO172" s="201"/>
      <c r="MHP172" s="201"/>
      <c r="MHQ172" s="201"/>
      <c r="MHR172" s="201"/>
      <c r="MHS172" s="201"/>
      <c r="MHT172" s="201"/>
      <c r="MHU172" s="201"/>
      <c r="MHV172" s="201"/>
      <c r="MHW172" s="201"/>
      <c r="MHX172" s="201"/>
      <c r="MHY172" s="201"/>
      <c r="MHZ172" s="201"/>
      <c r="MIA172" s="201"/>
      <c r="MIB172" s="201"/>
      <c r="MIC172" s="201"/>
      <c r="MID172" s="201"/>
      <c r="MIE172" s="201"/>
      <c r="MIF172" s="201"/>
      <c r="MIG172" s="201"/>
      <c r="MIH172" s="201"/>
      <c r="MII172" s="201"/>
      <c r="MIJ172" s="201"/>
      <c r="MIK172" s="201"/>
      <c r="MIL172" s="201"/>
      <c r="MIM172" s="201"/>
      <c r="MIN172" s="201"/>
      <c r="MIO172" s="201"/>
      <c r="MIP172" s="201"/>
      <c r="MIQ172" s="201"/>
      <c r="MIR172" s="201"/>
      <c r="MIS172" s="201"/>
      <c r="MIT172" s="201"/>
      <c r="MIU172" s="201"/>
      <c r="MIV172" s="201"/>
      <c r="MIW172" s="201"/>
      <c r="MIX172" s="201"/>
      <c r="MIY172" s="201"/>
      <c r="MIZ172" s="201"/>
      <c r="MJA172" s="201"/>
      <c r="MJB172" s="201"/>
      <c r="MJC172" s="201"/>
      <c r="MJD172" s="201"/>
      <c r="MJE172" s="201"/>
      <c r="MJF172" s="201"/>
      <c r="MJG172" s="201"/>
      <c r="MJH172" s="201"/>
      <c r="MJI172" s="201"/>
      <c r="MJJ172" s="201"/>
      <c r="MJK172" s="201"/>
      <c r="MJL172" s="201"/>
      <c r="MJM172" s="201"/>
      <c r="MJN172" s="201"/>
      <c r="MJO172" s="201"/>
      <c r="MJP172" s="201"/>
      <c r="MJQ172" s="201"/>
      <c r="MJR172" s="201"/>
      <c r="MJS172" s="201"/>
      <c r="MJT172" s="201"/>
      <c r="MJU172" s="201"/>
      <c r="MJV172" s="201"/>
      <c r="MJW172" s="201"/>
      <c r="MJX172" s="201"/>
      <c r="MJY172" s="201"/>
      <c r="MJZ172" s="201"/>
      <c r="MKA172" s="201"/>
      <c r="MKB172" s="201"/>
      <c r="MKC172" s="201"/>
      <c r="MKD172" s="201"/>
      <c r="MKE172" s="201"/>
      <c r="MKF172" s="201"/>
      <c r="MKG172" s="201"/>
      <c r="MKH172" s="201"/>
      <c r="MKI172" s="201"/>
      <c r="MKJ172" s="201"/>
      <c r="MKK172" s="201"/>
      <c r="MKL172" s="201"/>
      <c r="MKM172" s="201"/>
      <c r="MKN172" s="201"/>
      <c r="MKO172" s="201"/>
      <c r="MKP172" s="201"/>
      <c r="MKQ172" s="201"/>
      <c r="MKR172" s="201"/>
      <c r="MKS172" s="201"/>
      <c r="MKT172" s="201"/>
      <c r="MKU172" s="201"/>
      <c r="MKV172" s="201"/>
      <c r="MKW172" s="201"/>
      <c r="MKX172" s="201"/>
      <c r="MKY172" s="201"/>
      <c r="MKZ172" s="201"/>
      <c r="MLA172" s="201"/>
      <c r="MLB172" s="201"/>
      <c r="MLC172" s="201"/>
      <c r="MLD172" s="201"/>
      <c r="MLE172" s="201"/>
      <c r="MLF172" s="201"/>
      <c r="MLG172" s="201"/>
      <c r="MLH172" s="201"/>
      <c r="MLI172" s="201"/>
      <c r="MLJ172" s="201"/>
      <c r="MLK172" s="201"/>
      <c r="MLL172" s="201"/>
      <c r="MLM172" s="201"/>
      <c r="MLN172" s="201"/>
      <c r="MLO172" s="201"/>
      <c r="MLP172" s="201"/>
      <c r="MLQ172" s="201"/>
      <c r="MLR172" s="201"/>
      <c r="MLS172" s="201"/>
      <c r="MLT172" s="201"/>
      <c r="MLU172" s="201"/>
      <c r="MLV172" s="201"/>
      <c r="MLW172" s="201"/>
      <c r="MLX172" s="201"/>
      <c r="MLY172" s="201"/>
      <c r="MLZ172" s="201"/>
      <c r="MMA172" s="201"/>
      <c r="MMB172" s="201"/>
      <c r="MMC172" s="201"/>
      <c r="MMD172" s="201"/>
      <c r="MME172" s="201"/>
      <c r="MMF172" s="201"/>
      <c r="MMG172" s="201"/>
      <c r="MMH172" s="201"/>
      <c r="MMI172" s="201"/>
      <c r="MMJ172" s="201"/>
      <c r="MMK172" s="201"/>
      <c r="MML172" s="201"/>
      <c r="MMM172" s="201"/>
      <c r="MMN172" s="201"/>
      <c r="MMO172" s="201"/>
      <c r="MMP172" s="201"/>
      <c r="MMQ172" s="201"/>
      <c r="MMR172" s="201"/>
      <c r="MMS172" s="201"/>
      <c r="MMT172" s="201"/>
      <c r="MMU172" s="201"/>
      <c r="MMV172" s="201"/>
      <c r="MMW172" s="201"/>
      <c r="MMX172" s="201"/>
      <c r="MMY172" s="201"/>
      <c r="MMZ172" s="201"/>
      <c r="MNA172" s="201"/>
      <c r="MNB172" s="201"/>
      <c r="MNC172" s="201"/>
      <c r="MND172" s="201"/>
      <c r="MNE172" s="201"/>
      <c r="MNF172" s="201"/>
      <c r="MNG172" s="201"/>
      <c r="MNH172" s="201"/>
      <c r="MNI172" s="201"/>
      <c r="MNJ172" s="201"/>
      <c r="MNK172" s="201"/>
      <c r="MNL172" s="201"/>
      <c r="MNM172" s="201"/>
      <c r="MNN172" s="201"/>
      <c r="MNO172" s="201"/>
      <c r="MNP172" s="201"/>
      <c r="MNQ172" s="201"/>
      <c r="MNR172" s="201"/>
      <c r="MNS172" s="201"/>
      <c r="MNT172" s="201"/>
      <c r="MNU172" s="201"/>
      <c r="MNV172" s="201"/>
      <c r="MNW172" s="201"/>
      <c r="MNX172" s="201"/>
      <c r="MNY172" s="201"/>
      <c r="MNZ172" s="201"/>
      <c r="MOA172" s="201"/>
      <c r="MOB172" s="201"/>
      <c r="MOC172" s="201"/>
      <c r="MOD172" s="201"/>
      <c r="MOE172" s="201"/>
      <c r="MOF172" s="201"/>
      <c r="MOG172" s="201"/>
      <c r="MOH172" s="201"/>
      <c r="MOI172" s="201"/>
      <c r="MOJ172" s="201"/>
      <c r="MOK172" s="201"/>
      <c r="MOL172" s="201"/>
      <c r="MOM172" s="201"/>
      <c r="MON172" s="201"/>
      <c r="MOO172" s="201"/>
      <c r="MOP172" s="201"/>
      <c r="MOQ172" s="201"/>
      <c r="MOR172" s="201"/>
      <c r="MOS172" s="201"/>
      <c r="MOT172" s="201"/>
      <c r="MOU172" s="201"/>
      <c r="MOV172" s="201"/>
      <c r="MOW172" s="201"/>
      <c r="MOX172" s="201"/>
      <c r="MOY172" s="201"/>
      <c r="MOZ172" s="201"/>
      <c r="MPA172" s="201"/>
      <c r="MPB172" s="201"/>
      <c r="MPC172" s="201"/>
      <c r="MPD172" s="201"/>
      <c r="MPE172" s="201"/>
      <c r="MPF172" s="201"/>
      <c r="MPG172" s="201"/>
      <c r="MPH172" s="201"/>
      <c r="MPI172" s="201"/>
      <c r="MPJ172" s="201"/>
      <c r="MPK172" s="201"/>
      <c r="MPL172" s="201"/>
      <c r="MPM172" s="201"/>
      <c r="MPN172" s="201"/>
      <c r="MPO172" s="201"/>
      <c r="MPP172" s="201"/>
      <c r="MPQ172" s="201"/>
      <c r="MPR172" s="201"/>
      <c r="MPS172" s="201"/>
      <c r="MPT172" s="201"/>
      <c r="MPU172" s="201"/>
      <c r="MPV172" s="201"/>
      <c r="MPW172" s="201"/>
      <c r="MPX172" s="201"/>
      <c r="MPY172" s="201"/>
      <c r="MPZ172" s="201"/>
      <c r="MQA172" s="201"/>
      <c r="MQB172" s="201"/>
      <c r="MQC172" s="201"/>
      <c r="MQD172" s="201"/>
      <c r="MQE172" s="201"/>
      <c r="MQF172" s="201"/>
      <c r="MQG172" s="201"/>
      <c r="MQH172" s="201"/>
      <c r="MQI172" s="201"/>
      <c r="MQJ172" s="201"/>
      <c r="MQK172" s="201"/>
      <c r="MQL172" s="201"/>
      <c r="MQM172" s="201"/>
      <c r="MQN172" s="201"/>
      <c r="MQO172" s="201"/>
      <c r="MQP172" s="201"/>
      <c r="MQQ172" s="201"/>
      <c r="MQR172" s="201"/>
      <c r="MQS172" s="201"/>
      <c r="MQT172" s="201"/>
      <c r="MQU172" s="201"/>
      <c r="MQV172" s="201"/>
      <c r="MQW172" s="201"/>
      <c r="MQX172" s="201"/>
      <c r="MQY172" s="201"/>
      <c r="MQZ172" s="201"/>
      <c r="MRA172" s="201"/>
      <c r="MRB172" s="201"/>
      <c r="MRC172" s="201"/>
      <c r="MRD172" s="201"/>
      <c r="MRE172" s="201"/>
      <c r="MRF172" s="201"/>
      <c r="MRG172" s="201"/>
      <c r="MRH172" s="201"/>
      <c r="MRI172" s="201"/>
      <c r="MRJ172" s="201"/>
      <c r="MRK172" s="201"/>
      <c r="MRL172" s="201"/>
      <c r="MRM172" s="201"/>
      <c r="MRN172" s="201"/>
      <c r="MRO172" s="201"/>
      <c r="MRP172" s="201"/>
      <c r="MRQ172" s="201"/>
      <c r="MRR172" s="201"/>
      <c r="MRS172" s="201"/>
      <c r="MRT172" s="201"/>
      <c r="MRU172" s="201"/>
      <c r="MRV172" s="201"/>
      <c r="MRW172" s="201"/>
      <c r="MRX172" s="201"/>
      <c r="MRY172" s="201"/>
      <c r="MRZ172" s="201"/>
      <c r="MSA172" s="201"/>
      <c r="MSB172" s="201"/>
      <c r="MSC172" s="201"/>
      <c r="MSD172" s="201"/>
      <c r="MSE172" s="201"/>
      <c r="MSF172" s="201"/>
      <c r="MSG172" s="201"/>
      <c r="MSH172" s="201"/>
      <c r="MSI172" s="201"/>
      <c r="MSJ172" s="201"/>
      <c r="MSK172" s="201"/>
      <c r="MSL172" s="201"/>
      <c r="MSM172" s="201"/>
      <c r="MSN172" s="201"/>
      <c r="MSO172" s="201"/>
      <c r="MSP172" s="201"/>
      <c r="MSQ172" s="201"/>
      <c r="MSR172" s="201"/>
      <c r="MSS172" s="201"/>
      <c r="MST172" s="201"/>
      <c r="MSU172" s="201"/>
      <c r="MSV172" s="201"/>
      <c r="MSW172" s="201"/>
      <c r="MSX172" s="201"/>
      <c r="MSY172" s="201"/>
      <c r="MSZ172" s="201"/>
      <c r="MTA172" s="201"/>
      <c r="MTB172" s="201"/>
      <c r="MTC172" s="201"/>
      <c r="MTD172" s="201"/>
      <c r="MTE172" s="201"/>
      <c r="MTF172" s="201"/>
      <c r="MTG172" s="201"/>
      <c r="MTH172" s="201"/>
      <c r="MTI172" s="201"/>
      <c r="MTJ172" s="201"/>
      <c r="MTK172" s="201"/>
      <c r="MTL172" s="201"/>
      <c r="MTM172" s="201"/>
      <c r="MTN172" s="201"/>
      <c r="MTO172" s="201"/>
      <c r="MTP172" s="201"/>
      <c r="MTQ172" s="201"/>
      <c r="MTR172" s="201"/>
      <c r="MTS172" s="201"/>
      <c r="MTT172" s="201"/>
      <c r="MTU172" s="201"/>
      <c r="MTV172" s="201"/>
      <c r="MTW172" s="201"/>
      <c r="MTX172" s="201"/>
      <c r="MTY172" s="201"/>
      <c r="MTZ172" s="201"/>
      <c r="MUA172" s="201"/>
      <c r="MUB172" s="201"/>
      <c r="MUC172" s="201"/>
      <c r="MUD172" s="201"/>
      <c r="MUE172" s="201"/>
      <c r="MUF172" s="201"/>
      <c r="MUG172" s="201"/>
      <c r="MUH172" s="201"/>
      <c r="MUI172" s="201"/>
      <c r="MUJ172" s="201"/>
      <c r="MUK172" s="201"/>
      <c r="MUL172" s="201"/>
      <c r="MUM172" s="201"/>
      <c r="MUN172" s="201"/>
      <c r="MUO172" s="201"/>
      <c r="MUP172" s="201"/>
      <c r="MUQ172" s="201"/>
      <c r="MUR172" s="201"/>
      <c r="MUS172" s="201"/>
      <c r="MUT172" s="201"/>
      <c r="MUU172" s="201"/>
      <c r="MUV172" s="201"/>
      <c r="MUW172" s="201"/>
      <c r="MUX172" s="201"/>
      <c r="MUY172" s="201"/>
      <c r="MUZ172" s="201"/>
      <c r="MVA172" s="201"/>
      <c r="MVB172" s="201"/>
      <c r="MVC172" s="201"/>
      <c r="MVD172" s="201"/>
      <c r="MVE172" s="201"/>
      <c r="MVF172" s="201"/>
      <c r="MVG172" s="201"/>
      <c r="MVH172" s="201"/>
      <c r="MVI172" s="201"/>
      <c r="MVJ172" s="201"/>
      <c r="MVK172" s="201"/>
      <c r="MVL172" s="201"/>
      <c r="MVM172" s="201"/>
      <c r="MVN172" s="201"/>
      <c r="MVO172" s="201"/>
      <c r="MVP172" s="201"/>
      <c r="MVQ172" s="201"/>
      <c r="MVR172" s="201"/>
      <c r="MVS172" s="201"/>
      <c r="MVT172" s="201"/>
      <c r="MVU172" s="201"/>
      <c r="MVV172" s="201"/>
      <c r="MVW172" s="201"/>
      <c r="MVX172" s="201"/>
      <c r="MVY172" s="201"/>
      <c r="MVZ172" s="201"/>
      <c r="MWA172" s="201"/>
      <c r="MWB172" s="201"/>
      <c r="MWC172" s="201"/>
      <c r="MWD172" s="201"/>
      <c r="MWE172" s="201"/>
      <c r="MWF172" s="201"/>
      <c r="MWG172" s="201"/>
      <c r="MWH172" s="201"/>
      <c r="MWI172" s="201"/>
      <c r="MWJ172" s="201"/>
      <c r="MWK172" s="201"/>
      <c r="MWL172" s="201"/>
      <c r="MWM172" s="201"/>
      <c r="MWN172" s="201"/>
      <c r="MWO172" s="201"/>
      <c r="MWP172" s="201"/>
      <c r="MWQ172" s="201"/>
      <c r="MWR172" s="201"/>
      <c r="MWS172" s="201"/>
      <c r="MWT172" s="201"/>
      <c r="MWU172" s="201"/>
      <c r="MWV172" s="201"/>
      <c r="MWW172" s="201"/>
      <c r="MWX172" s="201"/>
      <c r="MWY172" s="201"/>
      <c r="MWZ172" s="201"/>
      <c r="MXA172" s="201"/>
      <c r="MXB172" s="201"/>
      <c r="MXC172" s="201"/>
      <c r="MXD172" s="201"/>
      <c r="MXE172" s="201"/>
      <c r="MXF172" s="201"/>
      <c r="MXG172" s="201"/>
      <c r="MXH172" s="201"/>
      <c r="MXI172" s="201"/>
      <c r="MXJ172" s="201"/>
      <c r="MXK172" s="201"/>
      <c r="MXL172" s="201"/>
      <c r="MXM172" s="201"/>
      <c r="MXN172" s="201"/>
      <c r="MXO172" s="201"/>
      <c r="MXP172" s="201"/>
      <c r="MXQ172" s="201"/>
      <c r="MXR172" s="201"/>
      <c r="MXS172" s="201"/>
      <c r="MXT172" s="201"/>
      <c r="MXU172" s="201"/>
      <c r="MXV172" s="201"/>
      <c r="MXW172" s="201"/>
      <c r="MXX172" s="201"/>
      <c r="MXY172" s="201"/>
      <c r="MXZ172" s="201"/>
      <c r="MYA172" s="201"/>
      <c r="MYB172" s="201"/>
      <c r="MYC172" s="201"/>
      <c r="MYD172" s="201"/>
      <c r="MYE172" s="201"/>
      <c r="MYF172" s="201"/>
      <c r="MYG172" s="201"/>
      <c r="MYH172" s="201"/>
      <c r="MYI172" s="201"/>
      <c r="MYJ172" s="201"/>
      <c r="MYK172" s="201"/>
      <c r="MYL172" s="201"/>
      <c r="MYM172" s="201"/>
      <c r="MYN172" s="201"/>
      <c r="MYO172" s="201"/>
      <c r="MYP172" s="201"/>
      <c r="MYQ172" s="201"/>
      <c r="MYR172" s="201"/>
      <c r="MYS172" s="201"/>
      <c r="MYT172" s="201"/>
      <c r="MYU172" s="201"/>
      <c r="MYV172" s="201"/>
      <c r="MYW172" s="201"/>
      <c r="MYX172" s="201"/>
      <c r="MYY172" s="201"/>
      <c r="MYZ172" s="201"/>
      <c r="MZA172" s="201"/>
      <c r="MZB172" s="201"/>
      <c r="MZC172" s="201"/>
      <c r="MZD172" s="201"/>
      <c r="MZE172" s="201"/>
      <c r="MZF172" s="201"/>
      <c r="MZG172" s="201"/>
      <c r="MZH172" s="201"/>
      <c r="MZI172" s="201"/>
      <c r="MZJ172" s="201"/>
      <c r="MZK172" s="201"/>
      <c r="MZL172" s="201"/>
      <c r="MZM172" s="201"/>
      <c r="MZN172" s="201"/>
      <c r="MZO172" s="201"/>
      <c r="MZP172" s="201"/>
      <c r="MZQ172" s="201"/>
      <c r="MZR172" s="201"/>
      <c r="MZS172" s="201"/>
      <c r="MZT172" s="201"/>
      <c r="MZU172" s="201"/>
      <c r="MZV172" s="201"/>
      <c r="MZW172" s="201"/>
      <c r="MZX172" s="201"/>
      <c r="MZY172" s="201"/>
      <c r="MZZ172" s="201"/>
      <c r="NAA172" s="201"/>
      <c r="NAB172" s="201"/>
      <c r="NAC172" s="201"/>
      <c r="NAD172" s="201"/>
      <c r="NAE172" s="201"/>
      <c r="NAF172" s="201"/>
      <c r="NAG172" s="201"/>
      <c r="NAH172" s="201"/>
      <c r="NAI172" s="201"/>
      <c r="NAJ172" s="201"/>
      <c r="NAK172" s="201"/>
      <c r="NAL172" s="201"/>
      <c r="NAM172" s="201"/>
      <c r="NAN172" s="201"/>
      <c r="NAO172" s="201"/>
      <c r="NAP172" s="201"/>
      <c r="NAQ172" s="201"/>
      <c r="NAR172" s="201"/>
      <c r="NAS172" s="201"/>
      <c r="NAT172" s="201"/>
      <c r="NAU172" s="201"/>
      <c r="NAV172" s="201"/>
      <c r="NAW172" s="201"/>
      <c r="NAX172" s="201"/>
      <c r="NAY172" s="201"/>
      <c r="NAZ172" s="201"/>
      <c r="NBA172" s="201"/>
      <c r="NBB172" s="201"/>
      <c r="NBC172" s="201"/>
      <c r="NBD172" s="201"/>
      <c r="NBE172" s="201"/>
      <c r="NBF172" s="201"/>
      <c r="NBG172" s="201"/>
      <c r="NBH172" s="201"/>
      <c r="NBI172" s="201"/>
      <c r="NBJ172" s="201"/>
      <c r="NBK172" s="201"/>
      <c r="NBL172" s="201"/>
      <c r="NBM172" s="201"/>
      <c r="NBN172" s="201"/>
      <c r="NBO172" s="201"/>
      <c r="NBP172" s="201"/>
      <c r="NBQ172" s="201"/>
      <c r="NBR172" s="201"/>
      <c r="NBS172" s="201"/>
      <c r="NBT172" s="201"/>
      <c r="NBU172" s="201"/>
      <c r="NBV172" s="201"/>
      <c r="NBW172" s="201"/>
      <c r="NBX172" s="201"/>
      <c r="NBY172" s="201"/>
      <c r="NBZ172" s="201"/>
      <c r="NCA172" s="201"/>
      <c r="NCB172" s="201"/>
      <c r="NCC172" s="201"/>
      <c r="NCD172" s="201"/>
      <c r="NCE172" s="201"/>
      <c r="NCF172" s="201"/>
      <c r="NCG172" s="201"/>
      <c r="NCH172" s="201"/>
      <c r="NCI172" s="201"/>
      <c r="NCJ172" s="201"/>
      <c r="NCK172" s="201"/>
      <c r="NCL172" s="201"/>
      <c r="NCM172" s="201"/>
      <c r="NCN172" s="201"/>
      <c r="NCO172" s="201"/>
      <c r="NCP172" s="201"/>
      <c r="NCQ172" s="201"/>
      <c r="NCR172" s="201"/>
      <c r="NCS172" s="201"/>
      <c r="NCT172" s="201"/>
      <c r="NCU172" s="201"/>
      <c r="NCV172" s="201"/>
      <c r="NCW172" s="201"/>
      <c r="NCX172" s="201"/>
      <c r="NCY172" s="201"/>
      <c r="NCZ172" s="201"/>
      <c r="NDA172" s="201"/>
      <c r="NDB172" s="201"/>
      <c r="NDC172" s="201"/>
      <c r="NDD172" s="201"/>
      <c r="NDE172" s="201"/>
      <c r="NDF172" s="201"/>
      <c r="NDG172" s="201"/>
      <c r="NDH172" s="201"/>
      <c r="NDI172" s="201"/>
      <c r="NDJ172" s="201"/>
      <c r="NDK172" s="201"/>
      <c r="NDL172" s="201"/>
      <c r="NDM172" s="201"/>
      <c r="NDN172" s="201"/>
      <c r="NDO172" s="201"/>
      <c r="NDP172" s="201"/>
      <c r="NDQ172" s="201"/>
      <c r="NDR172" s="201"/>
      <c r="NDS172" s="201"/>
      <c r="NDT172" s="201"/>
      <c r="NDU172" s="201"/>
      <c r="NDV172" s="201"/>
      <c r="NDW172" s="201"/>
      <c r="NDX172" s="201"/>
      <c r="NDY172" s="201"/>
      <c r="NDZ172" s="201"/>
      <c r="NEA172" s="201"/>
      <c r="NEB172" s="201"/>
      <c r="NEC172" s="201"/>
      <c r="NED172" s="201"/>
      <c r="NEE172" s="201"/>
      <c r="NEF172" s="201"/>
      <c r="NEG172" s="201"/>
      <c r="NEH172" s="201"/>
      <c r="NEI172" s="201"/>
      <c r="NEJ172" s="201"/>
      <c r="NEK172" s="201"/>
      <c r="NEL172" s="201"/>
      <c r="NEM172" s="201"/>
      <c r="NEN172" s="201"/>
      <c r="NEO172" s="201"/>
      <c r="NEP172" s="201"/>
      <c r="NEQ172" s="201"/>
      <c r="NER172" s="201"/>
      <c r="NES172" s="201"/>
      <c r="NET172" s="201"/>
      <c r="NEU172" s="201"/>
      <c r="NEV172" s="201"/>
      <c r="NEW172" s="201"/>
      <c r="NEX172" s="201"/>
      <c r="NEY172" s="201"/>
      <c r="NEZ172" s="201"/>
      <c r="NFA172" s="201"/>
      <c r="NFB172" s="201"/>
      <c r="NFC172" s="201"/>
      <c r="NFD172" s="201"/>
      <c r="NFE172" s="201"/>
      <c r="NFF172" s="201"/>
      <c r="NFG172" s="201"/>
      <c r="NFH172" s="201"/>
      <c r="NFI172" s="201"/>
      <c r="NFJ172" s="201"/>
      <c r="NFK172" s="201"/>
      <c r="NFL172" s="201"/>
      <c r="NFM172" s="201"/>
      <c r="NFN172" s="201"/>
      <c r="NFO172" s="201"/>
      <c r="NFP172" s="201"/>
      <c r="NFQ172" s="201"/>
      <c r="NFR172" s="201"/>
      <c r="NFS172" s="201"/>
      <c r="NFT172" s="201"/>
      <c r="NFU172" s="201"/>
      <c r="NFV172" s="201"/>
      <c r="NFW172" s="201"/>
      <c r="NFX172" s="201"/>
      <c r="NFY172" s="201"/>
      <c r="NFZ172" s="201"/>
      <c r="NGA172" s="201"/>
      <c r="NGB172" s="201"/>
      <c r="NGC172" s="201"/>
      <c r="NGD172" s="201"/>
      <c r="NGE172" s="201"/>
      <c r="NGF172" s="201"/>
      <c r="NGG172" s="201"/>
      <c r="NGH172" s="201"/>
      <c r="NGI172" s="201"/>
      <c r="NGJ172" s="201"/>
      <c r="NGK172" s="201"/>
      <c r="NGL172" s="201"/>
      <c r="NGM172" s="201"/>
      <c r="NGN172" s="201"/>
      <c r="NGO172" s="201"/>
      <c r="NGP172" s="201"/>
      <c r="NGQ172" s="201"/>
      <c r="NGR172" s="201"/>
      <c r="NGS172" s="201"/>
      <c r="NGT172" s="201"/>
      <c r="NGU172" s="201"/>
      <c r="NGV172" s="201"/>
      <c r="NGW172" s="201"/>
      <c r="NGX172" s="201"/>
      <c r="NGY172" s="201"/>
      <c r="NGZ172" s="201"/>
      <c r="NHA172" s="201"/>
      <c r="NHB172" s="201"/>
      <c r="NHC172" s="201"/>
      <c r="NHD172" s="201"/>
      <c r="NHE172" s="201"/>
      <c r="NHF172" s="201"/>
      <c r="NHG172" s="201"/>
      <c r="NHH172" s="201"/>
      <c r="NHI172" s="201"/>
      <c r="NHJ172" s="201"/>
      <c r="NHK172" s="201"/>
      <c r="NHL172" s="201"/>
      <c r="NHM172" s="201"/>
      <c r="NHN172" s="201"/>
      <c r="NHO172" s="201"/>
      <c r="NHP172" s="201"/>
      <c r="NHQ172" s="201"/>
      <c r="NHR172" s="201"/>
      <c r="NHS172" s="201"/>
      <c r="NHT172" s="201"/>
      <c r="NHU172" s="201"/>
      <c r="NHV172" s="201"/>
      <c r="NHW172" s="201"/>
      <c r="NHX172" s="201"/>
      <c r="NHY172" s="201"/>
      <c r="NHZ172" s="201"/>
      <c r="NIA172" s="201"/>
      <c r="NIB172" s="201"/>
      <c r="NIC172" s="201"/>
      <c r="NID172" s="201"/>
      <c r="NIE172" s="201"/>
      <c r="NIF172" s="201"/>
      <c r="NIG172" s="201"/>
      <c r="NIH172" s="201"/>
      <c r="NII172" s="201"/>
      <c r="NIJ172" s="201"/>
      <c r="NIK172" s="201"/>
      <c r="NIL172" s="201"/>
      <c r="NIM172" s="201"/>
      <c r="NIN172" s="201"/>
      <c r="NIO172" s="201"/>
      <c r="NIP172" s="201"/>
      <c r="NIQ172" s="201"/>
      <c r="NIR172" s="201"/>
      <c r="NIS172" s="201"/>
      <c r="NIT172" s="201"/>
      <c r="NIU172" s="201"/>
      <c r="NIV172" s="201"/>
      <c r="NIW172" s="201"/>
      <c r="NIX172" s="201"/>
      <c r="NIY172" s="201"/>
      <c r="NIZ172" s="201"/>
      <c r="NJA172" s="201"/>
      <c r="NJB172" s="201"/>
      <c r="NJC172" s="201"/>
      <c r="NJD172" s="201"/>
      <c r="NJE172" s="201"/>
      <c r="NJF172" s="201"/>
      <c r="NJG172" s="201"/>
      <c r="NJH172" s="201"/>
      <c r="NJI172" s="201"/>
      <c r="NJJ172" s="201"/>
      <c r="NJK172" s="201"/>
      <c r="NJL172" s="201"/>
      <c r="NJM172" s="201"/>
      <c r="NJN172" s="201"/>
      <c r="NJO172" s="201"/>
      <c r="NJP172" s="201"/>
      <c r="NJQ172" s="201"/>
      <c r="NJR172" s="201"/>
      <c r="NJS172" s="201"/>
      <c r="NJT172" s="201"/>
      <c r="NJU172" s="201"/>
      <c r="NJV172" s="201"/>
      <c r="NJW172" s="201"/>
      <c r="NJX172" s="201"/>
      <c r="NJY172" s="201"/>
      <c r="NJZ172" s="201"/>
      <c r="NKA172" s="201"/>
      <c r="NKB172" s="201"/>
      <c r="NKC172" s="201"/>
      <c r="NKD172" s="201"/>
      <c r="NKE172" s="201"/>
      <c r="NKF172" s="201"/>
      <c r="NKG172" s="201"/>
      <c r="NKH172" s="201"/>
      <c r="NKI172" s="201"/>
      <c r="NKJ172" s="201"/>
      <c r="NKK172" s="201"/>
      <c r="NKL172" s="201"/>
      <c r="NKM172" s="201"/>
      <c r="NKN172" s="201"/>
      <c r="NKO172" s="201"/>
      <c r="NKP172" s="201"/>
      <c r="NKQ172" s="201"/>
      <c r="NKR172" s="201"/>
      <c r="NKS172" s="201"/>
      <c r="NKT172" s="201"/>
      <c r="NKU172" s="201"/>
      <c r="NKV172" s="201"/>
      <c r="NKW172" s="201"/>
      <c r="NKX172" s="201"/>
      <c r="NKY172" s="201"/>
      <c r="NKZ172" s="201"/>
      <c r="NLA172" s="201"/>
      <c r="NLB172" s="201"/>
      <c r="NLC172" s="201"/>
      <c r="NLD172" s="201"/>
      <c r="NLE172" s="201"/>
      <c r="NLF172" s="201"/>
      <c r="NLG172" s="201"/>
      <c r="NLH172" s="201"/>
      <c r="NLI172" s="201"/>
      <c r="NLJ172" s="201"/>
      <c r="NLK172" s="201"/>
      <c r="NLL172" s="201"/>
      <c r="NLM172" s="201"/>
      <c r="NLN172" s="201"/>
      <c r="NLO172" s="201"/>
      <c r="NLP172" s="201"/>
      <c r="NLQ172" s="201"/>
      <c r="NLR172" s="201"/>
      <c r="NLS172" s="201"/>
      <c r="NLT172" s="201"/>
      <c r="NLU172" s="201"/>
      <c r="NLV172" s="201"/>
      <c r="NLW172" s="201"/>
      <c r="NLX172" s="201"/>
      <c r="NLY172" s="201"/>
      <c r="NLZ172" s="201"/>
      <c r="NMA172" s="201"/>
      <c r="NMB172" s="201"/>
      <c r="NMC172" s="201"/>
      <c r="NMD172" s="201"/>
      <c r="NME172" s="201"/>
      <c r="NMF172" s="201"/>
      <c r="NMG172" s="201"/>
      <c r="NMH172" s="201"/>
      <c r="NMI172" s="201"/>
      <c r="NMJ172" s="201"/>
      <c r="NMK172" s="201"/>
      <c r="NML172" s="201"/>
      <c r="NMM172" s="201"/>
      <c r="NMN172" s="201"/>
      <c r="NMO172" s="201"/>
      <c r="NMP172" s="201"/>
      <c r="NMQ172" s="201"/>
      <c r="NMR172" s="201"/>
      <c r="NMS172" s="201"/>
      <c r="NMT172" s="201"/>
      <c r="NMU172" s="201"/>
      <c r="NMV172" s="201"/>
      <c r="NMW172" s="201"/>
      <c r="NMX172" s="201"/>
      <c r="NMY172" s="201"/>
      <c r="NMZ172" s="201"/>
      <c r="NNA172" s="201"/>
      <c r="NNB172" s="201"/>
      <c r="NNC172" s="201"/>
      <c r="NND172" s="201"/>
      <c r="NNE172" s="201"/>
      <c r="NNF172" s="201"/>
      <c r="NNG172" s="201"/>
      <c r="NNH172" s="201"/>
      <c r="NNI172" s="201"/>
      <c r="NNJ172" s="201"/>
      <c r="NNK172" s="201"/>
      <c r="NNL172" s="201"/>
      <c r="NNM172" s="201"/>
      <c r="NNN172" s="201"/>
      <c r="NNO172" s="201"/>
      <c r="NNP172" s="201"/>
      <c r="NNQ172" s="201"/>
      <c r="NNR172" s="201"/>
      <c r="NNS172" s="201"/>
      <c r="NNT172" s="201"/>
      <c r="NNU172" s="201"/>
      <c r="NNV172" s="201"/>
      <c r="NNW172" s="201"/>
      <c r="NNX172" s="201"/>
      <c r="NNY172" s="201"/>
      <c r="NNZ172" s="201"/>
      <c r="NOA172" s="201"/>
      <c r="NOB172" s="201"/>
      <c r="NOC172" s="201"/>
      <c r="NOD172" s="201"/>
      <c r="NOE172" s="201"/>
      <c r="NOF172" s="201"/>
      <c r="NOG172" s="201"/>
      <c r="NOH172" s="201"/>
      <c r="NOI172" s="201"/>
      <c r="NOJ172" s="201"/>
      <c r="NOK172" s="201"/>
      <c r="NOL172" s="201"/>
      <c r="NOM172" s="201"/>
      <c r="NON172" s="201"/>
      <c r="NOO172" s="201"/>
      <c r="NOP172" s="201"/>
      <c r="NOQ172" s="201"/>
      <c r="NOR172" s="201"/>
      <c r="NOS172" s="201"/>
      <c r="NOT172" s="201"/>
      <c r="NOU172" s="201"/>
      <c r="NOV172" s="201"/>
      <c r="NOW172" s="201"/>
      <c r="NOX172" s="201"/>
      <c r="NOY172" s="201"/>
      <c r="NOZ172" s="201"/>
      <c r="NPA172" s="201"/>
      <c r="NPB172" s="201"/>
      <c r="NPC172" s="201"/>
      <c r="NPD172" s="201"/>
      <c r="NPE172" s="201"/>
      <c r="NPF172" s="201"/>
      <c r="NPG172" s="201"/>
      <c r="NPH172" s="201"/>
      <c r="NPI172" s="201"/>
      <c r="NPJ172" s="201"/>
      <c r="NPK172" s="201"/>
      <c r="NPL172" s="201"/>
      <c r="NPM172" s="201"/>
      <c r="NPN172" s="201"/>
      <c r="NPO172" s="201"/>
      <c r="NPP172" s="201"/>
      <c r="NPQ172" s="201"/>
      <c r="NPR172" s="201"/>
      <c r="NPS172" s="201"/>
      <c r="NPT172" s="201"/>
      <c r="NPU172" s="201"/>
      <c r="NPV172" s="201"/>
      <c r="NPW172" s="201"/>
      <c r="NPX172" s="201"/>
      <c r="NPY172" s="201"/>
      <c r="NPZ172" s="201"/>
      <c r="NQA172" s="201"/>
      <c r="NQB172" s="201"/>
      <c r="NQC172" s="201"/>
      <c r="NQD172" s="201"/>
      <c r="NQE172" s="201"/>
      <c r="NQF172" s="201"/>
      <c r="NQG172" s="201"/>
      <c r="NQH172" s="201"/>
      <c r="NQI172" s="201"/>
      <c r="NQJ172" s="201"/>
      <c r="NQK172" s="201"/>
      <c r="NQL172" s="201"/>
      <c r="NQM172" s="201"/>
      <c r="NQN172" s="201"/>
      <c r="NQO172" s="201"/>
      <c r="NQP172" s="201"/>
      <c r="NQQ172" s="201"/>
      <c r="NQR172" s="201"/>
      <c r="NQS172" s="201"/>
      <c r="NQT172" s="201"/>
      <c r="NQU172" s="201"/>
      <c r="NQV172" s="201"/>
      <c r="NQW172" s="201"/>
      <c r="NQX172" s="201"/>
      <c r="NQY172" s="201"/>
      <c r="NQZ172" s="201"/>
      <c r="NRA172" s="201"/>
      <c r="NRB172" s="201"/>
      <c r="NRC172" s="201"/>
      <c r="NRD172" s="201"/>
      <c r="NRE172" s="201"/>
      <c r="NRF172" s="201"/>
      <c r="NRG172" s="201"/>
      <c r="NRH172" s="201"/>
      <c r="NRI172" s="201"/>
      <c r="NRJ172" s="201"/>
      <c r="NRK172" s="201"/>
      <c r="NRL172" s="201"/>
      <c r="NRM172" s="201"/>
      <c r="NRN172" s="201"/>
      <c r="NRO172" s="201"/>
      <c r="NRP172" s="201"/>
      <c r="NRQ172" s="201"/>
      <c r="NRR172" s="201"/>
      <c r="NRS172" s="201"/>
      <c r="NRT172" s="201"/>
      <c r="NRU172" s="201"/>
      <c r="NRV172" s="201"/>
      <c r="NRW172" s="201"/>
      <c r="NRX172" s="201"/>
      <c r="NRY172" s="201"/>
      <c r="NRZ172" s="201"/>
      <c r="NSA172" s="201"/>
      <c r="NSB172" s="201"/>
      <c r="NSC172" s="201"/>
      <c r="NSD172" s="201"/>
      <c r="NSE172" s="201"/>
      <c r="NSF172" s="201"/>
      <c r="NSG172" s="201"/>
      <c r="NSH172" s="201"/>
      <c r="NSI172" s="201"/>
      <c r="NSJ172" s="201"/>
      <c r="NSK172" s="201"/>
      <c r="NSL172" s="201"/>
      <c r="NSM172" s="201"/>
      <c r="NSN172" s="201"/>
      <c r="NSO172" s="201"/>
      <c r="NSP172" s="201"/>
      <c r="NSQ172" s="201"/>
      <c r="NSR172" s="201"/>
      <c r="NSS172" s="201"/>
      <c r="NST172" s="201"/>
      <c r="NSU172" s="201"/>
      <c r="NSV172" s="201"/>
      <c r="NSW172" s="201"/>
      <c r="NSX172" s="201"/>
      <c r="NSY172" s="201"/>
      <c r="NSZ172" s="201"/>
      <c r="NTA172" s="201"/>
      <c r="NTB172" s="201"/>
      <c r="NTC172" s="201"/>
      <c r="NTD172" s="201"/>
      <c r="NTE172" s="201"/>
      <c r="NTF172" s="201"/>
      <c r="NTG172" s="201"/>
      <c r="NTH172" s="201"/>
      <c r="NTI172" s="201"/>
      <c r="NTJ172" s="201"/>
      <c r="NTK172" s="201"/>
      <c r="NTL172" s="201"/>
      <c r="NTM172" s="201"/>
      <c r="NTN172" s="201"/>
      <c r="NTO172" s="201"/>
      <c r="NTP172" s="201"/>
      <c r="NTQ172" s="201"/>
      <c r="NTR172" s="201"/>
      <c r="NTS172" s="201"/>
      <c r="NTT172" s="201"/>
      <c r="NTU172" s="201"/>
      <c r="NTV172" s="201"/>
      <c r="NTW172" s="201"/>
      <c r="NTX172" s="201"/>
      <c r="NTY172" s="201"/>
      <c r="NTZ172" s="201"/>
      <c r="NUA172" s="201"/>
      <c r="NUB172" s="201"/>
      <c r="NUC172" s="201"/>
      <c r="NUD172" s="201"/>
      <c r="NUE172" s="201"/>
      <c r="NUF172" s="201"/>
      <c r="NUG172" s="201"/>
      <c r="NUH172" s="201"/>
      <c r="NUI172" s="201"/>
      <c r="NUJ172" s="201"/>
      <c r="NUK172" s="201"/>
      <c r="NUL172" s="201"/>
      <c r="NUM172" s="201"/>
      <c r="NUN172" s="201"/>
      <c r="NUO172" s="201"/>
      <c r="NUP172" s="201"/>
      <c r="NUQ172" s="201"/>
      <c r="NUR172" s="201"/>
      <c r="NUS172" s="201"/>
      <c r="NUT172" s="201"/>
      <c r="NUU172" s="201"/>
      <c r="NUV172" s="201"/>
      <c r="NUW172" s="201"/>
      <c r="NUX172" s="201"/>
      <c r="NUY172" s="201"/>
      <c r="NUZ172" s="201"/>
      <c r="NVA172" s="201"/>
      <c r="NVB172" s="201"/>
      <c r="NVC172" s="201"/>
      <c r="NVD172" s="201"/>
      <c r="NVE172" s="201"/>
      <c r="NVF172" s="201"/>
      <c r="NVG172" s="201"/>
      <c r="NVH172" s="201"/>
      <c r="NVI172" s="201"/>
      <c r="NVJ172" s="201"/>
      <c r="NVK172" s="201"/>
      <c r="NVL172" s="201"/>
      <c r="NVM172" s="201"/>
      <c r="NVN172" s="201"/>
      <c r="NVO172" s="201"/>
      <c r="NVP172" s="201"/>
      <c r="NVQ172" s="201"/>
      <c r="NVR172" s="201"/>
      <c r="NVS172" s="201"/>
      <c r="NVT172" s="201"/>
      <c r="NVU172" s="201"/>
      <c r="NVV172" s="201"/>
      <c r="NVW172" s="201"/>
      <c r="NVX172" s="201"/>
      <c r="NVY172" s="201"/>
      <c r="NVZ172" s="201"/>
      <c r="NWA172" s="201"/>
      <c r="NWB172" s="201"/>
      <c r="NWC172" s="201"/>
      <c r="NWD172" s="201"/>
      <c r="NWE172" s="201"/>
      <c r="NWF172" s="201"/>
      <c r="NWG172" s="201"/>
      <c r="NWH172" s="201"/>
      <c r="NWI172" s="201"/>
      <c r="NWJ172" s="201"/>
      <c r="NWK172" s="201"/>
      <c r="NWL172" s="201"/>
      <c r="NWM172" s="201"/>
      <c r="NWN172" s="201"/>
      <c r="NWO172" s="201"/>
      <c r="NWP172" s="201"/>
      <c r="NWQ172" s="201"/>
      <c r="NWR172" s="201"/>
      <c r="NWS172" s="201"/>
      <c r="NWT172" s="201"/>
      <c r="NWU172" s="201"/>
      <c r="NWV172" s="201"/>
      <c r="NWW172" s="201"/>
      <c r="NWX172" s="201"/>
      <c r="NWY172" s="201"/>
      <c r="NWZ172" s="201"/>
      <c r="NXA172" s="201"/>
      <c r="NXB172" s="201"/>
      <c r="NXC172" s="201"/>
      <c r="NXD172" s="201"/>
      <c r="NXE172" s="201"/>
      <c r="NXF172" s="201"/>
      <c r="NXG172" s="201"/>
      <c r="NXH172" s="201"/>
      <c r="NXI172" s="201"/>
      <c r="NXJ172" s="201"/>
      <c r="NXK172" s="201"/>
      <c r="NXL172" s="201"/>
      <c r="NXM172" s="201"/>
      <c r="NXN172" s="201"/>
      <c r="NXO172" s="201"/>
      <c r="NXP172" s="201"/>
      <c r="NXQ172" s="201"/>
      <c r="NXR172" s="201"/>
      <c r="NXS172" s="201"/>
      <c r="NXT172" s="201"/>
      <c r="NXU172" s="201"/>
      <c r="NXV172" s="201"/>
      <c r="NXW172" s="201"/>
      <c r="NXX172" s="201"/>
      <c r="NXY172" s="201"/>
      <c r="NXZ172" s="201"/>
      <c r="NYA172" s="201"/>
      <c r="NYB172" s="201"/>
      <c r="NYC172" s="201"/>
      <c r="NYD172" s="201"/>
      <c r="NYE172" s="201"/>
      <c r="NYF172" s="201"/>
      <c r="NYG172" s="201"/>
      <c r="NYH172" s="201"/>
      <c r="NYI172" s="201"/>
      <c r="NYJ172" s="201"/>
      <c r="NYK172" s="201"/>
      <c r="NYL172" s="201"/>
      <c r="NYM172" s="201"/>
      <c r="NYN172" s="201"/>
      <c r="NYO172" s="201"/>
      <c r="NYP172" s="201"/>
      <c r="NYQ172" s="201"/>
      <c r="NYR172" s="201"/>
      <c r="NYS172" s="201"/>
      <c r="NYT172" s="201"/>
      <c r="NYU172" s="201"/>
      <c r="NYV172" s="201"/>
      <c r="NYW172" s="201"/>
      <c r="NYX172" s="201"/>
      <c r="NYY172" s="201"/>
      <c r="NYZ172" s="201"/>
      <c r="NZA172" s="201"/>
      <c r="NZB172" s="201"/>
      <c r="NZC172" s="201"/>
      <c r="NZD172" s="201"/>
      <c r="NZE172" s="201"/>
      <c r="NZF172" s="201"/>
      <c r="NZG172" s="201"/>
      <c r="NZH172" s="201"/>
      <c r="NZI172" s="201"/>
      <c r="NZJ172" s="201"/>
      <c r="NZK172" s="201"/>
      <c r="NZL172" s="201"/>
      <c r="NZM172" s="201"/>
      <c r="NZN172" s="201"/>
      <c r="NZO172" s="201"/>
      <c r="NZP172" s="201"/>
      <c r="NZQ172" s="201"/>
      <c r="NZR172" s="201"/>
      <c r="NZS172" s="201"/>
      <c r="NZT172" s="201"/>
      <c r="NZU172" s="201"/>
      <c r="NZV172" s="201"/>
      <c r="NZW172" s="201"/>
      <c r="NZX172" s="201"/>
      <c r="NZY172" s="201"/>
      <c r="NZZ172" s="201"/>
      <c r="OAA172" s="201"/>
      <c r="OAB172" s="201"/>
      <c r="OAC172" s="201"/>
      <c r="OAD172" s="201"/>
      <c r="OAE172" s="201"/>
      <c r="OAF172" s="201"/>
      <c r="OAG172" s="201"/>
      <c r="OAH172" s="201"/>
      <c r="OAI172" s="201"/>
      <c r="OAJ172" s="201"/>
      <c r="OAK172" s="201"/>
      <c r="OAL172" s="201"/>
      <c r="OAM172" s="201"/>
      <c r="OAN172" s="201"/>
      <c r="OAO172" s="201"/>
      <c r="OAP172" s="201"/>
      <c r="OAQ172" s="201"/>
      <c r="OAR172" s="201"/>
      <c r="OAS172" s="201"/>
      <c r="OAT172" s="201"/>
      <c r="OAU172" s="201"/>
      <c r="OAV172" s="201"/>
      <c r="OAW172" s="201"/>
      <c r="OAX172" s="201"/>
      <c r="OAY172" s="201"/>
      <c r="OAZ172" s="201"/>
      <c r="OBA172" s="201"/>
      <c r="OBB172" s="201"/>
      <c r="OBC172" s="201"/>
      <c r="OBD172" s="201"/>
      <c r="OBE172" s="201"/>
      <c r="OBF172" s="201"/>
      <c r="OBG172" s="201"/>
      <c r="OBH172" s="201"/>
      <c r="OBI172" s="201"/>
      <c r="OBJ172" s="201"/>
      <c r="OBK172" s="201"/>
      <c r="OBL172" s="201"/>
      <c r="OBM172" s="201"/>
      <c r="OBN172" s="201"/>
      <c r="OBO172" s="201"/>
      <c r="OBP172" s="201"/>
      <c r="OBQ172" s="201"/>
      <c r="OBR172" s="201"/>
      <c r="OBS172" s="201"/>
      <c r="OBT172" s="201"/>
      <c r="OBU172" s="201"/>
      <c r="OBV172" s="201"/>
      <c r="OBW172" s="201"/>
      <c r="OBX172" s="201"/>
      <c r="OBY172" s="201"/>
      <c r="OBZ172" s="201"/>
      <c r="OCA172" s="201"/>
      <c r="OCB172" s="201"/>
      <c r="OCC172" s="201"/>
      <c r="OCD172" s="201"/>
      <c r="OCE172" s="201"/>
      <c r="OCF172" s="201"/>
      <c r="OCG172" s="201"/>
      <c r="OCH172" s="201"/>
      <c r="OCI172" s="201"/>
      <c r="OCJ172" s="201"/>
      <c r="OCK172" s="201"/>
      <c r="OCL172" s="201"/>
      <c r="OCM172" s="201"/>
      <c r="OCN172" s="201"/>
      <c r="OCO172" s="201"/>
      <c r="OCP172" s="201"/>
      <c r="OCQ172" s="201"/>
      <c r="OCR172" s="201"/>
      <c r="OCS172" s="201"/>
      <c r="OCT172" s="201"/>
      <c r="OCU172" s="201"/>
      <c r="OCV172" s="201"/>
      <c r="OCW172" s="201"/>
      <c r="OCX172" s="201"/>
      <c r="OCY172" s="201"/>
      <c r="OCZ172" s="201"/>
      <c r="ODA172" s="201"/>
      <c r="ODB172" s="201"/>
      <c r="ODC172" s="201"/>
      <c r="ODD172" s="201"/>
      <c r="ODE172" s="201"/>
      <c r="ODF172" s="201"/>
      <c r="ODG172" s="201"/>
      <c r="ODH172" s="201"/>
      <c r="ODI172" s="201"/>
      <c r="ODJ172" s="201"/>
      <c r="ODK172" s="201"/>
      <c r="ODL172" s="201"/>
      <c r="ODM172" s="201"/>
      <c r="ODN172" s="201"/>
      <c r="ODO172" s="201"/>
      <c r="ODP172" s="201"/>
      <c r="ODQ172" s="201"/>
      <c r="ODR172" s="201"/>
      <c r="ODS172" s="201"/>
      <c r="ODT172" s="201"/>
      <c r="ODU172" s="201"/>
      <c r="ODV172" s="201"/>
      <c r="ODW172" s="201"/>
      <c r="ODX172" s="201"/>
      <c r="ODY172" s="201"/>
      <c r="ODZ172" s="201"/>
      <c r="OEA172" s="201"/>
      <c r="OEB172" s="201"/>
      <c r="OEC172" s="201"/>
      <c r="OED172" s="201"/>
      <c r="OEE172" s="201"/>
      <c r="OEF172" s="201"/>
      <c r="OEG172" s="201"/>
      <c r="OEH172" s="201"/>
      <c r="OEI172" s="201"/>
      <c r="OEJ172" s="201"/>
      <c r="OEK172" s="201"/>
      <c r="OEL172" s="201"/>
      <c r="OEM172" s="201"/>
      <c r="OEN172" s="201"/>
      <c r="OEO172" s="201"/>
      <c r="OEP172" s="201"/>
      <c r="OEQ172" s="201"/>
      <c r="OER172" s="201"/>
      <c r="OES172" s="201"/>
      <c r="OET172" s="201"/>
      <c r="OEU172" s="201"/>
      <c r="OEV172" s="201"/>
      <c r="OEW172" s="201"/>
      <c r="OEX172" s="201"/>
      <c r="OEY172" s="201"/>
      <c r="OEZ172" s="201"/>
      <c r="OFA172" s="201"/>
      <c r="OFB172" s="201"/>
      <c r="OFC172" s="201"/>
      <c r="OFD172" s="201"/>
      <c r="OFE172" s="201"/>
      <c r="OFF172" s="201"/>
      <c r="OFG172" s="201"/>
      <c r="OFH172" s="201"/>
      <c r="OFI172" s="201"/>
      <c r="OFJ172" s="201"/>
      <c r="OFK172" s="201"/>
      <c r="OFL172" s="201"/>
      <c r="OFM172" s="201"/>
      <c r="OFN172" s="201"/>
      <c r="OFO172" s="201"/>
      <c r="OFP172" s="201"/>
      <c r="OFQ172" s="201"/>
      <c r="OFR172" s="201"/>
      <c r="OFS172" s="201"/>
      <c r="OFT172" s="201"/>
      <c r="OFU172" s="201"/>
      <c r="OFV172" s="201"/>
      <c r="OFW172" s="201"/>
      <c r="OFX172" s="201"/>
      <c r="OFY172" s="201"/>
      <c r="OFZ172" s="201"/>
      <c r="OGA172" s="201"/>
      <c r="OGB172" s="201"/>
      <c r="OGC172" s="201"/>
      <c r="OGD172" s="201"/>
      <c r="OGE172" s="201"/>
      <c r="OGF172" s="201"/>
      <c r="OGG172" s="201"/>
      <c r="OGH172" s="201"/>
      <c r="OGI172" s="201"/>
      <c r="OGJ172" s="201"/>
      <c r="OGK172" s="201"/>
      <c r="OGL172" s="201"/>
      <c r="OGM172" s="201"/>
      <c r="OGN172" s="201"/>
      <c r="OGO172" s="201"/>
      <c r="OGP172" s="201"/>
      <c r="OGQ172" s="201"/>
      <c r="OGR172" s="201"/>
      <c r="OGS172" s="201"/>
      <c r="OGT172" s="201"/>
      <c r="OGU172" s="201"/>
      <c r="OGV172" s="201"/>
      <c r="OGW172" s="201"/>
      <c r="OGX172" s="201"/>
      <c r="OGY172" s="201"/>
      <c r="OGZ172" s="201"/>
      <c r="OHA172" s="201"/>
      <c r="OHB172" s="201"/>
      <c r="OHC172" s="201"/>
      <c r="OHD172" s="201"/>
      <c r="OHE172" s="201"/>
      <c r="OHF172" s="201"/>
      <c r="OHG172" s="201"/>
      <c r="OHH172" s="201"/>
      <c r="OHI172" s="201"/>
      <c r="OHJ172" s="201"/>
      <c r="OHK172" s="201"/>
      <c r="OHL172" s="201"/>
      <c r="OHM172" s="201"/>
      <c r="OHN172" s="201"/>
      <c r="OHO172" s="201"/>
      <c r="OHP172" s="201"/>
      <c r="OHQ172" s="201"/>
      <c r="OHR172" s="201"/>
      <c r="OHS172" s="201"/>
      <c r="OHT172" s="201"/>
      <c r="OHU172" s="201"/>
      <c r="OHV172" s="201"/>
      <c r="OHW172" s="201"/>
      <c r="OHX172" s="201"/>
      <c r="OHY172" s="201"/>
      <c r="OHZ172" s="201"/>
      <c r="OIA172" s="201"/>
      <c r="OIB172" s="201"/>
      <c r="OIC172" s="201"/>
      <c r="OID172" s="201"/>
      <c r="OIE172" s="201"/>
      <c r="OIF172" s="201"/>
      <c r="OIG172" s="201"/>
      <c r="OIH172" s="201"/>
      <c r="OII172" s="201"/>
      <c r="OIJ172" s="201"/>
      <c r="OIK172" s="201"/>
      <c r="OIL172" s="201"/>
      <c r="OIM172" s="201"/>
      <c r="OIN172" s="201"/>
      <c r="OIO172" s="201"/>
      <c r="OIP172" s="201"/>
      <c r="OIQ172" s="201"/>
      <c r="OIR172" s="201"/>
      <c r="OIS172" s="201"/>
      <c r="OIT172" s="201"/>
      <c r="OIU172" s="201"/>
      <c r="OIV172" s="201"/>
      <c r="OIW172" s="201"/>
      <c r="OIX172" s="201"/>
      <c r="OIY172" s="201"/>
      <c r="OIZ172" s="201"/>
      <c r="OJA172" s="201"/>
      <c r="OJB172" s="201"/>
      <c r="OJC172" s="201"/>
      <c r="OJD172" s="201"/>
      <c r="OJE172" s="201"/>
      <c r="OJF172" s="201"/>
      <c r="OJG172" s="201"/>
      <c r="OJH172" s="201"/>
      <c r="OJI172" s="201"/>
      <c r="OJJ172" s="201"/>
      <c r="OJK172" s="201"/>
      <c r="OJL172" s="201"/>
      <c r="OJM172" s="201"/>
      <c r="OJN172" s="201"/>
      <c r="OJO172" s="201"/>
      <c r="OJP172" s="201"/>
      <c r="OJQ172" s="201"/>
      <c r="OJR172" s="201"/>
      <c r="OJS172" s="201"/>
      <c r="OJT172" s="201"/>
      <c r="OJU172" s="201"/>
      <c r="OJV172" s="201"/>
      <c r="OJW172" s="201"/>
      <c r="OJX172" s="201"/>
      <c r="OJY172" s="201"/>
      <c r="OJZ172" s="201"/>
      <c r="OKA172" s="201"/>
      <c r="OKB172" s="201"/>
      <c r="OKC172" s="201"/>
      <c r="OKD172" s="201"/>
      <c r="OKE172" s="201"/>
      <c r="OKF172" s="201"/>
      <c r="OKG172" s="201"/>
      <c r="OKH172" s="201"/>
      <c r="OKI172" s="201"/>
      <c r="OKJ172" s="201"/>
      <c r="OKK172" s="201"/>
      <c r="OKL172" s="201"/>
      <c r="OKM172" s="201"/>
      <c r="OKN172" s="201"/>
      <c r="OKO172" s="201"/>
      <c r="OKP172" s="201"/>
      <c r="OKQ172" s="201"/>
      <c r="OKR172" s="201"/>
      <c r="OKS172" s="201"/>
      <c r="OKT172" s="201"/>
      <c r="OKU172" s="201"/>
      <c r="OKV172" s="201"/>
      <c r="OKW172" s="201"/>
      <c r="OKX172" s="201"/>
      <c r="OKY172" s="201"/>
      <c r="OKZ172" s="201"/>
      <c r="OLA172" s="201"/>
      <c r="OLB172" s="201"/>
      <c r="OLC172" s="201"/>
      <c r="OLD172" s="201"/>
      <c r="OLE172" s="201"/>
      <c r="OLF172" s="201"/>
      <c r="OLG172" s="201"/>
      <c r="OLH172" s="201"/>
      <c r="OLI172" s="201"/>
      <c r="OLJ172" s="201"/>
      <c r="OLK172" s="201"/>
      <c r="OLL172" s="201"/>
      <c r="OLM172" s="201"/>
      <c r="OLN172" s="201"/>
      <c r="OLO172" s="201"/>
      <c r="OLP172" s="201"/>
      <c r="OLQ172" s="201"/>
      <c r="OLR172" s="201"/>
      <c r="OLS172" s="201"/>
      <c r="OLT172" s="201"/>
      <c r="OLU172" s="201"/>
      <c r="OLV172" s="201"/>
      <c r="OLW172" s="201"/>
      <c r="OLX172" s="201"/>
      <c r="OLY172" s="201"/>
      <c r="OLZ172" s="201"/>
      <c r="OMA172" s="201"/>
      <c r="OMB172" s="201"/>
      <c r="OMC172" s="201"/>
      <c r="OMD172" s="201"/>
      <c r="OME172" s="201"/>
      <c r="OMF172" s="201"/>
      <c r="OMG172" s="201"/>
      <c r="OMH172" s="201"/>
      <c r="OMI172" s="201"/>
      <c r="OMJ172" s="201"/>
      <c r="OMK172" s="201"/>
      <c r="OML172" s="201"/>
      <c r="OMM172" s="201"/>
      <c r="OMN172" s="201"/>
      <c r="OMO172" s="201"/>
      <c r="OMP172" s="201"/>
      <c r="OMQ172" s="201"/>
      <c r="OMR172" s="201"/>
      <c r="OMS172" s="201"/>
      <c r="OMT172" s="201"/>
      <c r="OMU172" s="201"/>
      <c r="OMV172" s="201"/>
      <c r="OMW172" s="201"/>
      <c r="OMX172" s="201"/>
      <c r="OMY172" s="201"/>
      <c r="OMZ172" s="201"/>
      <c r="ONA172" s="201"/>
      <c r="ONB172" s="201"/>
      <c r="ONC172" s="201"/>
      <c r="OND172" s="201"/>
      <c r="ONE172" s="201"/>
      <c r="ONF172" s="201"/>
      <c r="ONG172" s="201"/>
      <c r="ONH172" s="201"/>
      <c r="ONI172" s="201"/>
      <c r="ONJ172" s="201"/>
      <c r="ONK172" s="201"/>
      <c r="ONL172" s="201"/>
      <c r="ONM172" s="201"/>
      <c r="ONN172" s="201"/>
      <c r="ONO172" s="201"/>
      <c r="ONP172" s="201"/>
      <c r="ONQ172" s="201"/>
      <c r="ONR172" s="201"/>
      <c r="ONS172" s="201"/>
      <c r="ONT172" s="201"/>
      <c r="ONU172" s="201"/>
      <c r="ONV172" s="201"/>
      <c r="ONW172" s="201"/>
      <c r="ONX172" s="201"/>
      <c r="ONY172" s="201"/>
      <c r="ONZ172" s="201"/>
      <c r="OOA172" s="201"/>
      <c r="OOB172" s="201"/>
      <c r="OOC172" s="201"/>
      <c r="OOD172" s="201"/>
      <c r="OOE172" s="201"/>
      <c r="OOF172" s="201"/>
      <c r="OOG172" s="201"/>
      <c r="OOH172" s="201"/>
      <c r="OOI172" s="201"/>
      <c r="OOJ172" s="201"/>
      <c r="OOK172" s="201"/>
      <c r="OOL172" s="201"/>
      <c r="OOM172" s="201"/>
      <c r="OON172" s="201"/>
      <c r="OOO172" s="201"/>
      <c r="OOP172" s="201"/>
      <c r="OOQ172" s="201"/>
      <c r="OOR172" s="201"/>
      <c r="OOS172" s="201"/>
      <c r="OOT172" s="201"/>
      <c r="OOU172" s="201"/>
      <c r="OOV172" s="201"/>
      <c r="OOW172" s="201"/>
      <c r="OOX172" s="201"/>
      <c r="OOY172" s="201"/>
      <c r="OOZ172" s="201"/>
      <c r="OPA172" s="201"/>
      <c r="OPB172" s="201"/>
      <c r="OPC172" s="201"/>
      <c r="OPD172" s="201"/>
      <c r="OPE172" s="201"/>
      <c r="OPF172" s="201"/>
      <c r="OPG172" s="201"/>
      <c r="OPH172" s="201"/>
      <c r="OPI172" s="201"/>
      <c r="OPJ172" s="201"/>
      <c r="OPK172" s="201"/>
      <c r="OPL172" s="201"/>
      <c r="OPM172" s="201"/>
      <c r="OPN172" s="201"/>
      <c r="OPO172" s="201"/>
      <c r="OPP172" s="201"/>
      <c r="OPQ172" s="201"/>
      <c r="OPR172" s="201"/>
      <c r="OPS172" s="201"/>
      <c r="OPT172" s="201"/>
      <c r="OPU172" s="201"/>
      <c r="OPV172" s="201"/>
      <c r="OPW172" s="201"/>
      <c r="OPX172" s="201"/>
      <c r="OPY172" s="201"/>
      <c r="OPZ172" s="201"/>
      <c r="OQA172" s="201"/>
      <c r="OQB172" s="201"/>
      <c r="OQC172" s="201"/>
      <c r="OQD172" s="201"/>
      <c r="OQE172" s="201"/>
      <c r="OQF172" s="201"/>
      <c r="OQG172" s="201"/>
      <c r="OQH172" s="201"/>
      <c r="OQI172" s="201"/>
      <c r="OQJ172" s="201"/>
      <c r="OQK172" s="201"/>
      <c r="OQL172" s="201"/>
      <c r="OQM172" s="201"/>
      <c r="OQN172" s="201"/>
      <c r="OQO172" s="201"/>
      <c r="OQP172" s="201"/>
      <c r="OQQ172" s="201"/>
      <c r="OQR172" s="201"/>
      <c r="OQS172" s="201"/>
      <c r="OQT172" s="201"/>
      <c r="OQU172" s="201"/>
      <c r="OQV172" s="201"/>
      <c r="OQW172" s="201"/>
      <c r="OQX172" s="201"/>
      <c r="OQY172" s="201"/>
      <c r="OQZ172" s="201"/>
      <c r="ORA172" s="201"/>
      <c r="ORB172" s="201"/>
      <c r="ORC172" s="201"/>
      <c r="ORD172" s="201"/>
      <c r="ORE172" s="201"/>
      <c r="ORF172" s="201"/>
      <c r="ORG172" s="201"/>
      <c r="ORH172" s="201"/>
      <c r="ORI172" s="201"/>
      <c r="ORJ172" s="201"/>
      <c r="ORK172" s="201"/>
      <c r="ORL172" s="201"/>
      <c r="ORM172" s="201"/>
      <c r="ORN172" s="201"/>
      <c r="ORO172" s="201"/>
      <c r="ORP172" s="201"/>
      <c r="ORQ172" s="201"/>
      <c r="ORR172" s="201"/>
      <c r="ORS172" s="201"/>
      <c r="ORT172" s="201"/>
      <c r="ORU172" s="201"/>
      <c r="ORV172" s="201"/>
      <c r="ORW172" s="201"/>
      <c r="ORX172" s="201"/>
      <c r="ORY172" s="201"/>
      <c r="ORZ172" s="201"/>
      <c r="OSA172" s="201"/>
      <c r="OSB172" s="201"/>
      <c r="OSC172" s="201"/>
      <c r="OSD172" s="201"/>
      <c r="OSE172" s="201"/>
      <c r="OSF172" s="201"/>
      <c r="OSG172" s="201"/>
      <c r="OSH172" s="201"/>
      <c r="OSI172" s="201"/>
      <c r="OSJ172" s="201"/>
      <c r="OSK172" s="201"/>
      <c r="OSL172" s="201"/>
      <c r="OSM172" s="201"/>
      <c r="OSN172" s="201"/>
      <c r="OSO172" s="201"/>
      <c r="OSP172" s="201"/>
      <c r="OSQ172" s="201"/>
      <c r="OSR172" s="201"/>
      <c r="OSS172" s="201"/>
      <c r="OST172" s="201"/>
      <c r="OSU172" s="201"/>
      <c r="OSV172" s="201"/>
      <c r="OSW172" s="201"/>
      <c r="OSX172" s="201"/>
      <c r="OSY172" s="201"/>
      <c r="OSZ172" s="201"/>
      <c r="OTA172" s="201"/>
      <c r="OTB172" s="201"/>
      <c r="OTC172" s="201"/>
      <c r="OTD172" s="201"/>
      <c r="OTE172" s="201"/>
      <c r="OTF172" s="201"/>
      <c r="OTG172" s="201"/>
      <c r="OTH172" s="201"/>
      <c r="OTI172" s="201"/>
      <c r="OTJ172" s="201"/>
      <c r="OTK172" s="201"/>
      <c r="OTL172" s="201"/>
      <c r="OTM172" s="201"/>
      <c r="OTN172" s="201"/>
      <c r="OTO172" s="201"/>
      <c r="OTP172" s="201"/>
      <c r="OTQ172" s="201"/>
      <c r="OTR172" s="201"/>
      <c r="OTS172" s="201"/>
      <c r="OTT172" s="201"/>
      <c r="OTU172" s="201"/>
      <c r="OTV172" s="201"/>
      <c r="OTW172" s="201"/>
      <c r="OTX172" s="201"/>
      <c r="OTY172" s="201"/>
      <c r="OTZ172" s="201"/>
      <c r="OUA172" s="201"/>
      <c r="OUB172" s="201"/>
      <c r="OUC172" s="201"/>
      <c r="OUD172" s="201"/>
      <c r="OUE172" s="201"/>
      <c r="OUF172" s="201"/>
      <c r="OUG172" s="201"/>
      <c r="OUH172" s="201"/>
      <c r="OUI172" s="201"/>
      <c r="OUJ172" s="201"/>
      <c r="OUK172" s="201"/>
      <c r="OUL172" s="201"/>
      <c r="OUM172" s="201"/>
      <c r="OUN172" s="201"/>
      <c r="OUO172" s="201"/>
      <c r="OUP172" s="201"/>
      <c r="OUQ172" s="201"/>
      <c r="OUR172" s="201"/>
      <c r="OUS172" s="201"/>
      <c r="OUT172" s="201"/>
      <c r="OUU172" s="201"/>
      <c r="OUV172" s="201"/>
      <c r="OUW172" s="201"/>
      <c r="OUX172" s="201"/>
      <c r="OUY172" s="201"/>
      <c r="OUZ172" s="201"/>
      <c r="OVA172" s="201"/>
      <c r="OVB172" s="201"/>
      <c r="OVC172" s="201"/>
      <c r="OVD172" s="201"/>
      <c r="OVE172" s="201"/>
      <c r="OVF172" s="201"/>
      <c r="OVG172" s="201"/>
      <c r="OVH172" s="201"/>
      <c r="OVI172" s="201"/>
      <c r="OVJ172" s="201"/>
      <c r="OVK172" s="201"/>
      <c r="OVL172" s="201"/>
      <c r="OVM172" s="201"/>
      <c r="OVN172" s="201"/>
      <c r="OVO172" s="201"/>
      <c r="OVP172" s="201"/>
      <c r="OVQ172" s="201"/>
      <c r="OVR172" s="201"/>
      <c r="OVS172" s="201"/>
      <c r="OVT172" s="201"/>
      <c r="OVU172" s="201"/>
      <c r="OVV172" s="201"/>
      <c r="OVW172" s="201"/>
      <c r="OVX172" s="201"/>
      <c r="OVY172" s="201"/>
      <c r="OVZ172" s="201"/>
      <c r="OWA172" s="201"/>
      <c r="OWB172" s="201"/>
      <c r="OWC172" s="201"/>
      <c r="OWD172" s="201"/>
      <c r="OWE172" s="201"/>
      <c r="OWF172" s="201"/>
      <c r="OWG172" s="201"/>
      <c r="OWH172" s="201"/>
      <c r="OWI172" s="201"/>
      <c r="OWJ172" s="201"/>
      <c r="OWK172" s="201"/>
      <c r="OWL172" s="201"/>
      <c r="OWM172" s="201"/>
      <c r="OWN172" s="201"/>
      <c r="OWO172" s="201"/>
      <c r="OWP172" s="201"/>
      <c r="OWQ172" s="201"/>
      <c r="OWR172" s="201"/>
      <c r="OWS172" s="201"/>
      <c r="OWT172" s="201"/>
      <c r="OWU172" s="201"/>
      <c r="OWV172" s="201"/>
      <c r="OWW172" s="201"/>
      <c r="OWX172" s="201"/>
      <c r="OWY172" s="201"/>
      <c r="OWZ172" s="201"/>
      <c r="OXA172" s="201"/>
      <c r="OXB172" s="201"/>
      <c r="OXC172" s="201"/>
      <c r="OXD172" s="201"/>
      <c r="OXE172" s="201"/>
      <c r="OXF172" s="201"/>
      <c r="OXG172" s="201"/>
      <c r="OXH172" s="201"/>
      <c r="OXI172" s="201"/>
      <c r="OXJ172" s="201"/>
      <c r="OXK172" s="201"/>
      <c r="OXL172" s="201"/>
      <c r="OXM172" s="201"/>
      <c r="OXN172" s="201"/>
      <c r="OXO172" s="201"/>
      <c r="OXP172" s="201"/>
      <c r="OXQ172" s="201"/>
      <c r="OXR172" s="201"/>
      <c r="OXS172" s="201"/>
      <c r="OXT172" s="201"/>
      <c r="OXU172" s="201"/>
      <c r="OXV172" s="201"/>
      <c r="OXW172" s="201"/>
      <c r="OXX172" s="201"/>
      <c r="OXY172" s="201"/>
      <c r="OXZ172" s="201"/>
      <c r="OYA172" s="201"/>
      <c r="OYB172" s="201"/>
      <c r="OYC172" s="201"/>
      <c r="OYD172" s="201"/>
      <c r="OYE172" s="201"/>
      <c r="OYF172" s="201"/>
      <c r="OYG172" s="201"/>
      <c r="OYH172" s="201"/>
      <c r="OYI172" s="201"/>
      <c r="OYJ172" s="201"/>
      <c r="OYK172" s="201"/>
      <c r="OYL172" s="201"/>
      <c r="OYM172" s="201"/>
      <c r="OYN172" s="201"/>
      <c r="OYO172" s="201"/>
      <c r="OYP172" s="201"/>
      <c r="OYQ172" s="201"/>
      <c r="OYR172" s="201"/>
      <c r="OYS172" s="201"/>
      <c r="OYT172" s="201"/>
      <c r="OYU172" s="201"/>
      <c r="OYV172" s="201"/>
      <c r="OYW172" s="201"/>
      <c r="OYX172" s="201"/>
      <c r="OYY172" s="201"/>
      <c r="OYZ172" s="201"/>
      <c r="OZA172" s="201"/>
      <c r="OZB172" s="201"/>
      <c r="OZC172" s="201"/>
      <c r="OZD172" s="201"/>
      <c r="OZE172" s="201"/>
      <c r="OZF172" s="201"/>
      <c r="OZG172" s="201"/>
      <c r="OZH172" s="201"/>
      <c r="OZI172" s="201"/>
      <c r="OZJ172" s="201"/>
      <c r="OZK172" s="201"/>
      <c r="OZL172" s="201"/>
      <c r="OZM172" s="201"/>
      <c r="OZN172" s="201"/>
      <c r="OZO172" s="201"/>
      <c r="OZP172" s="201"/>
      <c r="OZQ172" s="201"/>
      <c r="OZR172" s="201"/>
      <c r="OZS172" s="201"/>
      <c r="OZT172" s="201"/>
      <c r="OZU172" s="201"/>
      <c r="OZV172" s="201"/>
      <c r="OZW172" s="201"/>
      <c r="OZX172" s="201"/>
      <c r="OZY172" s="201"/>
      <c r="OZZ172" s="201"/>
      <c r="PAA172" s="201"/>
      <c r="PAB172" s="201"/>
      <c r="PAC172" s="201"/>
      <c r="PAD172" s="201"/>
      <c r="PAE172" s="201"/>
      <c r="PAF172" s="201"/>
      <c r="PAG172" s="201"/>
      <c r="PAH172" s="201"/>
      <c r="PAI172" s="201"/>
      <c r="PAJ172" s="201"/>
      <c r="PAK172" s="201"/>
      <c r="PAL172" s="201"/>
      <c r="PAM172" s="201"/>
      <c r="PAN172" s="201"/>
      <c r="PAO172" s="201"/>
      <c r="PAP172" s="201"/>
      <c r="PAQ172" s="201"/>
      <c r="PAR172" s="201"/>
      <c r="PAS172" s="201"/>
      <c r="PAT172" s="201"/>
      <c r="PAU172" s="201"/>
      <c r="PAV172" s="201"/>
      <c r="PAW172" s="201"/>
      <c r="PAX172" s="201"/>
      <c r="PAY172" s="201"/>
      <c r="PAZ172" s="201"/>
      <c r="PBA172" s="201"/>
      <c r="PBB172" s="201"/>
      <c r="PBC172" s="201"/>
      <c r="PBD172" s="201"/>
      <c r="PBE172" s="201"/>
      <c r="PBF172" s="201"/>
      <c r="PBG172" s="201"/>
      <c r="PBH172" s="201"/>
      <c r="PBI172" s="201"/>
      <c r="PBJ172" s="201"/>
      <c r="PBK172" s="201"/>
      <c r="PBL172" s="201"/>
      <c r="PBM172" s="201"/>
      <c r="PBN172" s="201"/>
      <c r="PBO172" s="201"/>
      <c r="PBP172" s="201"/>
      <c r="PBQ172" s="201"/>
      <c r="PBR172" s="201"/>
      <c r="PBS172" s="201"/>
      <c r="PBT172" s="201"/>
      <c r="PBU172" s="201"/>
      <c r="PBV172" s="201"/>
      <c r="PBW172" s="201"/>
      <c r="PBX172" s="201"/>
      <c r="PBY172" s="201"/>
      <c r="PBZ172" s="201"/>
      <c r="PCA172" s="201"/>
      <c r="PCB172" s="201"/>
      <c r="PCC172" s="201"/>
      <c r="PCD172" s="201"/>
      <c r="PCE172" s="201"/>
      <c r="PCF172" s="201"/>
      <c r="PCG172" s="201"/>
      <c r="PCH172" s="201"/>
      <c r="PCI172" s="201"/>
      <c r="PCJ172" s="201"/>
      <c r="PCK172" s="201"/>
      <c r="PCL172" s="201"/>
      <c r="PCM172" s="201"/>
      <c r="PCN172" s="201"/>
      <c r="PCO172" s="201"/>
      <c r="PCP172" s="201"/>
      <c r="PCQ172" s="201"/>
      <c r="PCR172" s="201"/>
      <c r="PCS172" s="201"/>
      <c r="PCT172" s="201"/>
      <c r="PCU172" s="201"/>
      <c r="PCV172" s="201"/>
      <c r="PCW172" s="201"/>
      <c r="PCX172" s="201"/>
      <c r="PCY172" s="201"/>
      <c r="PCZ172" s="201"/>
      <c r="PDA172" s="201"/>
      <c r="PDB172" s="201"/>
      <c r="PDC172" s="201"/>
      <c r="PDD172" s="201"/>
      <c r="PDE172" s="201"/>
      <c r="PDF172" s="201"/>
      <c r="PDG172" s="201"/>
      <c r="PDH172" s="201"/>
      <c r="PDI172" s="201"/>
      <c r="PDJ172" s="201"/>
      <c r="PDK172" s="201"/>
      <c r="PDL172" s="201"/>
      <c r="PDM172" s="201"/>
      <c r="PDN172" s="201"/>
      <c r="PDO172" s="201"/>
      <c r="PDP172" s="201"/>
      <c r="PDQ172" s="201"/>
      <c r="PDR172" s="201"/>
      <c r="PDS172" s="201"/>
      <c r="PDT172" s="201"/>
      <c r="PDU172" s="201"/>
      <c r="PDV172" s="201"/>
      <c r="PDW172" s="201"/>
      <c r="PDX172" s="201"/>
      <c r="PDY172" s="201"/>
      <c r="PDZ172" s="201"/>
      <c r="PEA172" s="201"/>
      <c r="PEB172" s="201"/>
      <c r="PEC172" s="201"/>
      <c r="PED172" s="201"/>
      <c r="PEE172" s="201"/>
      <c r="PEF172" s="201"/>
      <c r="PEG172" s="201"/>
      <c r="PEH172" s="201"/>
      <c r="PEI172" s="201"/>
      <c r="PEJ172" s="201"/>
      <c r="PEK172" s="201"/>
      <c r="PEL172" s="201"/>
      <c r="PEM172" s="201"/>
      <c r="PEN172" s="201"/>
      <c r="PEO172" s="201"/>
      <c r="PEP172" s="201"/>
      <c r="PEQ172" s="201"/>
      <c r="PER172" s="201"/>
      <c r="PES172" s="201"/>
      <c r="PET172" s="201"/>
      <c r="PEU172" s="201"/>
      <c r="PEV172" s="201"/>
      <c r="PEW172" s="201"/>
      <c r="PEX172" s="201"/>
      <c r="PEY172" s="201"/>
      <c r="PEZ172" s="201"/>
      <c r="PFA172" s="201"/>
      <c r="PFB172" s="201"/>
      <c r="PFC172" s="201"/>
      <c r="PFD172" s="201"/>
      <c r="PFE172" s="201"/>
      <c r="PFF172" s="201"/>
      <c r="PFG172" s="201"/>
      <c r="PFH172" s="201"/>
      <c r="PFI172" s="201"/>
      <c r="PFJ172" s="201"/>
      <c r="PFK172" s="201"/>
      <c r="PFL172" s="201"/>
      <c r="PFM172" s="201"/>
      <c r="PFN172" s="201"/>
      <c r="PFO172" s="201"/>
      <c r="PFP172" s="201"/>
      <c r="PFQ172" s="201"/>
      <c r="PFR172" s="201"/>
      <c r="PFS172" s="201"/>
      <c r="PFT172" s="201"/>
      <c r="PFU172" s="201"/>
      <c r="PFV172" s="201"/>
      <c r="PFW172" s="201"/>
      <c r="PFX172" s="201"/>
      <c r="PFY172" s="201"/>
      <c r="PFZ172" s="201"/>
      <c r="PGA172" s="201"/>
      <c r="PGB172" s="201"/>
      <c r="PGC172" s="201"/>
      <c r="PGD172" s="201"/>
      <c r="PGE172" s="201"/>
      <c r="PGF172" s="201"/>
      <c r="PGG172" s="201"/>
      <c r="PGH172" s="201"/>
      <c r="PGI172" s="201"/>
      <c r="PGJ172" s="201"/>
      <c r="PGK172" s="201"/>
      <c r="PGL172" s="201"/>
      <c r="PGM172" s="201"/>
      <c r="PGN172" s="201"/>
      <c r="PGO172" s="201"/>
      <c r="PGP172" s="201"/>
      <c r="PGQ172" s="201"/>
      <c r="PGR172" s="201"/>
      <c r="PGS172" s="201"/>
      <c r="PGT172" s="201"/>
      <c r="PGU172" s="201"/>
      <c r="PGV172" s="201"/>
      <c r="PGW172" s="201"/>
      <c r="PGX172" s="201"/>
      <c r="PGY172" s="201"/>
      <c r="PGZ172" s="201"/>
      <c r="PHA172" s="201"/>
      <c r="PHB172" s="201"/>
      <c r="PHC172" s="201"/>
      <c r="PHD172" s="201"/>
      <c r="PHE172" s="201"/>
      <c r="PHF172" s="201"/>
      <c r="PHG172" s="201"/>
      <c r="PHH172" s="201"/>
      <c r="PHI172" s="201"/>
      <c r="PHJ172" s="201"/>
      <c r="PHK172" s="201"/>
      <c r="PHL172" s="201"/>
      <c r="PHM172" s="201"/>
      <c r="PHN172" s="201"/>
      <c r="PHO172" s="201"/>
      <c r="PHP172" s="201"/>
      <c r="PHQ172" s="201"/>
      <c r="PHR172" s="201"/>
      <c r="PHS172" s="201"/>
      <c r="PHT172" s="201"/>
      <c r="PHU172" s="201"/>
      <c r="PHV172" s="201"/>
      <c r="PHW172" s="201"/>
      <c r="PHX172" s="201"/>
      <c r="PHY172" s="201"/>
      <c r="PHZ172" s="201"/>
      <c r="PIA172" s="201"/>
      <c r="PIB172" s="201"/>
      <c r="PIC172" s="201"/>
      <c r="PID172" s="201"/>
      <c r="PIE172" s="201"/>
      <c r="PIF172" s="201"/>
      <c r="PIG172" s="201"/>
      <c r="PIH172" s="201"/>
      <c r="PII172" s="201"/>
      <c r="PIJ172" s="201"/>
      <c r="PIK172" s="201"/>
      <c r="PIL172" s="201"/>
      <c r="PIM172" s="201"/>
      <c r="PIN172" s="201"/>
      <c r="PIO172" s="201"/>
      <c r="PIP172" s="201"/>
      <c r="PIQ172" s="201"/>
      <c r="PIR172" s="201"/>
      <c r="PIS172" s="201"/>
      <c r="PIT172" s="201"/>
      <c r="PIU172" s="201"/>
      <c r="PIV172" s="201"/>
      <c r="PIW172" s="201"/>
      <c r="PIX172" s="201"/>
      <c r="PIY172" s="201"/>
      <c r="PIZ172" s="201"/>
      <c r="PJA172" s="201"/>
      <c r="PJB172" s="201"/>
      <c r="PJC172" s="201"/>
      <c r="PJD172" s="201"/>
      <c r="PJE172" s="201"/>
      <c r="PJF172" s="201"/>
      <c r="PJG172" s="201"/>
      <c r="PJH172" s="201"/>
      <c r="PJI172" s="201"/>
      <c r="PJJ172" s="201"/>
      <c r="PJK172" s="201"/>
      <c r="PJL172" s="201"/>
      <c r="PJM172" s="201"/>
      <c r="PJN172" s="201"/>
      <c r="PJO172" s="201"/>
      <c r="PJP172" s="201"/>
      <c r="PJQ172" s="201"/>
      <c r="PJR172" s="201"/>
      <c r="PJS172" s="201"/>
      <c r="PJT172" s="201"/>
      <c r="PJU172" s="201"/>
      <c r="PJV172" s="201"/>
      <c r="PJW172" s="201"/>
      <c r="PJX172" s="201"/>
      <c r="PJY172" s="201"/>
      <c r="PJZ172" s="201"/>
      <c r="PKA172" s="201"/>
      <c r="PKB172" s="201"/>
      <c r="PKC172" s="201"/>
      <c r="PKD172" s="201"/>
      <c r="PKE172" s="201"/>
      <c r="PKF172" s="201"/>
      <c r="PKG172" s="201"/>
      <c r="PKH172" s="201"/>
      <c r="PKI172" s="201"/>
      <c r="PKJ172" s="201"/>
      <c r="PKK172" s="201"/>
      <c r="PKL172" s="201"/>
      <c r="PKM172" s="201"/>
      <c r="PKN172" s="201"/>
      <c r="PKO172" s="201"/>
      <c r="PKP172" s="201"/>
      <c r="PKQ172" s="201"/>
      <c r="PKR172" s="201"/>
      <c r="PKS172" s="201"/>
      <c r="PKT172" s="201"/>
      <c r="PKU172" s="201"/>
      <c r="PKV172" s="201"/>
      <c r="PKW172" s="201"/>
      <c r="PKX172" s="201"/>
      <c r="PKY172" s="201"/>
      <c r="PKZ172" s="201"/>
      <c r="PLA172" s="201"/>
      <c r="PLB172" s="201"/>
      <c r="PLC172" s="201"/>
      <c r="PLD172" s="201"/>
      <c r="PLE172" s="201"/>
      <c r="PLF172" s="201"/>
      <c r="PLG172" s="201"/>
      <c r="PLH172" s="201"/>
      <c r="PLI172" s="201"/>
      <c r="PLJ172" s="201"/>
      <c r="PLK172" s="201"/>
      <c r="PLL172" s="201"/>
      <c r="PLM172" s="201"/>
      <c r="PLN172" s="201"/>
      <c r="PLO172" s="201"/>
      <c r="PLP172" s="201"/>
      <c r="PLQ172" s="201"/>
      <c r="PLR172" s="201"/>
      <c r="PLS172" s="201"/>
      <c r="PLT172" s="201"/>
      <c r="PLU172" s="201"/>
      <c r="PLV172" s="201"/>
      <c r="PLW172" s="201"/>
      <c r="PLX172" s="201"/>
      <c r="PLY172" s="201"/>
      <c r="PLZ172" s="201"/>
      <c r="PMA172" s="201"/>
      <c r="PMB172" s="201"/>
      <c r="PMC172" s="201"/>
      <c r="PMD172" s="201"/>
      <c r="PME172" s="201"/>
      <c r="PMF172" s="201"/>
      <c r="PMG172" s="201"/>
      <c r="PMH172" s="201"/>
      <c r="PMI172" s="201"/>
      <c r="PMJ172" s="201"/>
      <c r="PMK172" s="201"/>
      <c r="PML172" s="201"/>
      <c r="PMM172" s="201"/>
      <c r="PMN172" s="201"/>
      <c r="PMO172" s="201"/>
      <c r="PMP172" s="201"/>
      <c r="PMQ172" s="201"/>
      <c r="PMR172" s="201"/>
      <c r="PMS172" s="201"/>
      <c r="PMT172" s="201"/>
      <c r="PMU172" s="201"/>
      <c r="PMV172" s="201"/>
      <c r="PMW172" s="201"/>
      <c r="PMX172" s="201"/>
      <c r="PMY172" s="201"/>
      <c r="PMZ172" s="201"/>
      <c r="PNA172" s="201"/>
      <c r="PNB172" s="201"/>
      <c r="PNC172" s="201"/>
      <c r="PND172" s="201"/>
      <c r="PNE172" s="201"/>
      <c r="PNF172" s="201"/>
      <c r="PNG172" s="201"/>
      <c r="PNH172" s="201"/>
      <c r="PNI172" s="201"/>
      <c r="PNJ172" s="201"/>
      <c r="PNK172" s="201"/>
      <c r="PNL172" s="201"/>
      <c r="PNM172" s="201"/>
      <c r="PNN172" s="201"/>
      <c r="PNO172" s="201"/>
      <c r="PNP172" s="201"/>
      <c r="PNQ172" s="201"/>
      <c r="PNR172" s="201"/>
      <c r="PNS172" s="201"/>
      <c r="PNT172" s="201"/>
      <c r="PNU172" s="201"/>
      <c r="PNV172" s="201"/>
      <c r="PNW172" s="201"/>
      <c r="PNX172" s="201"/>
      <c r="PNY172" s="201"/>
      <c r="PNZ172" s="201"/>
      <c r="POA172" s="201"/>
      <c r="POB172" s="201"/>
      <c r="POC172" s="201"/>
      <c r="POD172" s="201"/>
      <c r="POE172" s="201"/>
      <c r="POF172" s="201"/>
      <c r="POG172" s="201"/>
      <c r="POH172" s="201"/>
      <c r="POI172" s="201"/>
      <c r="POJ172" s="201"/>
      <c r="POK172" s="201"/>
      <c r="POL172" s="201"/>
      <c r="POM172" s="201"/>
      <c r="PON172" s="201"/>
      <c r="POO172" s="201"/>
      <c r="POP172" s="201"/>
      <c r="POQ172" s="201"/>
      <c r="POR172" s="201"/>
      <c r="POS172" s="201"/>
      <c r="POT172" s="201"/>
      <c r="POU172" s="201"/>
      <c r="POV172" s="201"/>
      <c r="POW172" s="201"/>
      <c r="POX172" s="201"/>
      <c r="POY172" s="201"/>
      <c r="POZ172" s="201"/>
      <c r="PPA172" s="201"/>
      <c r="PPB172" s="201"/>
      <c r="PPC172" s="201"/>
      <c r="PPD172" s="201"/>
      <c r="PPE172" s="201"/>
      <c r="PPF172" s="201"/>
      <c r="PPG172" s="201"/>
      <c r="PPH172" s="201"/>
      <c r="PPI172" s="201"/>
      <c r="PPJ172" s="201"/>
      <c r="PPK172" s="201"/>
      <c r="PPL172" s="201"/>
      <c r="PPM172" s="201"/>
      <c r="PPN172" s="201"/>
      <c r="PPO172" s="201"/>
      <c r="PPP172" s="201"/>
      <c r="PPQ172" s="201"/>
      <c r="PPR172" s="201"/>
      <c r="PPS172" s="201"/>
      <c r="PPT172" s="201"/>
      <c r="PPU172" s="201"/>
      <c r="PPV172" s="201"/>
      <c r="PPW172" s="201"/>
      <c r="PPX172" s="201"/>
      <c r="PPY172" s="201"/>
      <c r="PPZ172" s="201"/>
      <c r="PQA172" s="201"/>
      <c r="PQB172" s="201"/>
      <c r="PQC172" s="201"/>
      <c r="PQD172" s="201"/>
      <c r="PQE172" s="201"/>
      <c r="PQF172" s="201"/>
      <c r="PQG172" s="201"/>
      <c r="PQH172" s="201"/>
      <c r="PQI172" s="201"/>
      <c r="PQJ172" s="201"/>
      <c r="PQK172" s="201"/>
      <c r="PQL172" s="201"/>
      <c r="PQM172" s="201"/>
      <c r="PQN172" s="201"/>
      <c r="PQO172" s="201"/>
      <c r="PQP172" s="201"/>
      <c r="PQQ172" s="201"/>
      <c r="PQR172" s="201"/>
      <c r="PQS172" s="201"/>
      <c r="PQT172" s="201"/>
      <c r="PQU172" s="201"/>
      <c r="PQV172" s="201"/>
      <c r="PQW172" s="201"/>
      <c r="PQX172" s="201"/>
      <c r="PQY172" s="201"/>
      <c r="PQZ172" s="201"/>
      <c r="PRA172" s="201"/>
      <c r="PRB172" s="201"/>
      <c r="PRC172" s="201"/>
      <c r="PRD172" s="201"/>
      <c r="PRE172" s="201"/>
      <c r="PRF172" s="201"/>
      <c r="PRG172" s="201"/>
      <c r="PRH172" s="201"/>
      <c r="PRI172" s="201"/>
      <c r="PRJ172" s="201"/>
      <c r="PRK172" s="201"/>
      <c r="PRL172" s="201"/>
      <c r="PRM172" s="201"/>
      <c r="PRN172" s="201"/>
      <c r="PRO172" s="201"/>
      <c r="PRP172" s="201"/>
      <c r="PRQ172" s="201"/>
      <c r="PRR172" s="201"/>
      <c r="PRS172" s="201"/>
      <c r="PRT172" s="201"/>
      <c r="PRU172" s="201"/>
      <c r="PRV172" s="201"/>
      <c r="PRW172" s="201"/>
      <c r="PRX172" s="201"/>
      <c r="PRY172" s="201"/>
      <c r="PRZ172" s="201"/>
      <c r="PSA172" s="201"/>
      <c r="PSB172" s="201"/>
      <c r="PSC172" s="201"/>
      <c r="PSD172" s="201"/>
      <c r="PSE172" s="201"/>
      <c r="PSF172" s="201"/>
      <c r="PSG172" s="201"/>
      <c r="PSH172" s="201"/>
      <c r="PSI172" s="201"/>
      <c r="PSJ172" s="201"/>
      <c r="PSK172" s="201"/>
      <c r="PSL172" s="201"/>
      <c r="PSM172" s="201"/>
      <c r="PSN172" s="201"/>
      <c r="PSO172" s="201"/>
      <c r="PSP172" s="201"/>
      <c r="PSQ172" s="201"/>
      <c r="PSR172" s="201"/>
      <c r="PSS172" s="201"/>
      <c r="PST172" s="201"/>
      <c r="PSU172" s="201"/>
      <c r="PSV172" s="201"/>
      <c r="PSW172" s="201"/>
      <c r="PSX172" s="201"/>
      <c r="PSY172" s="201"/>
      <c r="PSZ172" s="201"/>
      <c r="PTA172" s="201"/>
      <c r="PTB172" s="201"/>
      <c r="PTC172" s="201"/>
      <c r="PTD172" s="201"/>
      <c r="PTE172" s="201"/>
      <c r="PTF172" s="201"/>
      <c r="PTG172" s="201"/>
      <c r="PTH172" s="201"/>
      <c r="PTI172" s="201"/>
      <c r="PTJ172" s="201"/>
      <c r="PTK172" s="201"/>
      <c r="PTL172" s="201"/>
      <c r="PTM172" s="201"/>
      <c r="PTN172" s="201"/>
      <c r="PTO172" s="201"/>
      <c r="PTP172" s="201"/>
      <c r="PTQ172" s="201"/>
      <c r="PTR172" s="201"/>
      <c r="PTS172" s="201"/>
      <c r="PTT172" s="201"/>
      <c r="PTU172" s="201"/>
      <c r="PTV172" s="201"/>
      <c r="PTW172" s="201"/>
      <c r="PTX172" s="201"/>
      <c r="PTY172" s="201"/>
      <c r="PTZ172" s="201"/>
      <c r="PUA172" s="201"/>
      <c r="PUB172" s="201"/>
      <c r="PUC172" s="201"/>
      <c r="PUD172" s="201"/>
      <c r="PUE172" s="201"/>
      <c r="PUF172" s="201"/>
      <c r="PUG172" s="201"/>
      <c r="PUH172" s="201"/>
      <c r="PUI172" s="201"/>
      <c r="PUJ172" s="201"/>
      <c r="PUK172" s="201"/>
      <c r="PUL172" s="201"/>
      <c r="PUM172" s="201"/>
      <c r="PUN172" s="201"/>
      <c r="PUO172" s="201"/>
      <c r="PUP172" s="201"/>
      <c r="PUQ172" s="201"/>
      <c r="PUR172" s="201"/>
      <c r="PUS172" s="201"/>
      <c r="PUT172" s="201"/>
      <c r="PUU172" s="201"/>
      <c r="PUV172" s="201"/>
      <c r="PUW172" s="201"/>
      <c r="PUX172" s="201"/>
      <c r="PUY172" s="201"/>
      <c r="PUZ172" s="201"/>
      <c r="PVA172" s="201"/>
      <c r="PVB172" s="201"/>
      <c r="PVC172" s="201"/>
      <c r="PVD172" s="201"/>
      <c r="PVE172" s="201"/>
      <c r="PVF172" s="201"/>
      <c r="PVG172" s="201"/>
      <c r="PVH172" s="201"/>
      <c r="PVI172" s="201"/>
      <c r="PVJ172" s="201"/>
      <c r="PVK172" s="201"/>
      <c r="PVL172" s="201"/>
      <c r="PVM172" s="201"/>
      <c r="PVN172" s="201"/>
      <c r="PVO172" s="201"/>
      <c r="PVP172" s="201"/>
      <c r="PVQ172" s="201"/>
      <c r="PVR172" s="201"/>
      <c r="PVS172" s="201"/>
      <c r="PVT172" s="201"/>
      <c r="PVU172" s="201"/>
      <c r="PVV172" s="201"/>
      <c r="PVW172" s="201"/>
      <c r="PVX172" s="201"/>
      <c r="PVY172" s="201"/>
      <c r="PVZ172" s="201"/>
      <c r="PWA172" s="201"/>
      <c r="PWB172" s="201"/>
      <c r="PWC172" s="201"/>
      <c r="PWD172" s="201"/>
      <c r="PWE172" s="201"/>
      <c r="PWF172" s="201"/>
      <c r="PWG172" s="201"/>
      <c r="PWH172" s="201"/>
      <c r="PWI172" s="201"/>
      <c r="PWJ172" s="201"/>
      <c r="PWK172" s="201"/>
      <c r="PWL172" s="201"/>
      <c r="PWM172" s="201"/>
      <c r="PWN172" s="201"/>
      <c r="PWO172" s="201"/>
      <c r="PWP172" s="201"/>
      <c r="PWQ172" s="201"/>
      <c r="PWR172" s="201"/>
      <c r="PWS172" s="201"/>
      <c r="PWT172" s="201"/>
      <c r="PWU172" s="201"/>
      <c r="PWV172" s="201"/>
      <c r="PWW172" s="201"/>
      <c r="PWX172" s="201"/>
      <c r="PWY172" s="201"/>
      <c r="PWZ172" s="201"/>
      <c r="PXA172" s="201"/>
      <c r="PXB172" s="201"/>
      <c r="PXC172" s="201"/>
      <c r="PXD172" s="201"/>
      <c r="PXE172" s="201"/>
      <c r="PXF172" s="201"/>
      <c r="PXG172" s="201"/>
      <c r="PXH172" s="201"/>
      <c r="PXI172" s="201"/>
      <c r="PXJ172" s="201"/>
      <c r="PXK172" s="201"/>
      <c r="PXL172" s="201"/>
      <c r="PXM172" s="201"/>
      <c r="PXN172" s="201"/>
      <c r="PXO172" s="201"/>
      <c r="PXP172" s="201"/>
      <c r="PXQ172" s="201"/>
      <c r="PXR172" s="201"/>
      <c r="PXS172" s="201"/>
      <c r="PXT172" s="201"/>
      <c r="PXU172" s="201"/>
      <c r="PXV172" s="201"/>
      <c r="PXW172" s="201"/>
      <c r="PXX172" s="201"/>
      <c r="PXY172" s="201"/>
      <c r="PXZ172" s="201"/>
      <c r="PYA172" s="201"/>
      <c r="PYB172" s="201"/>
      <c r="PYC172" s="201"/>
      <c r="PYD172" s="201"/>
      <c r="PYE172" s="201"/>
      <c r="PYF172" s="201"/>
      <c r="PYG172" s="201"/>
      <c r="PYH172" s="201"/>
      <c r="PYI172" s="201"/>
      <c r="PYJ172" s="201"/>
      <c r="PYK172" s="201"/>
      <c r="PYL172" s="201"/>
      <c r="PYM172" s="201"/>
      <c r="PYN172" s="201"/>
      <c r="PYO172" s="201"/>
      <c r="PYP172" s="201"/>
      <c r="PYQ172" s="201"/>
      <c r="PYR172" s="201"/>
      <c r="PYS172" s="201"/>
      <c r="PYT172" s="201"/>
      <c r="PYU172" s="201"/>
      <c r="PYV172" s="201"/>
      <c r="PYW172" s="201"/>
      <c r="PYX172" s="201"/>
      <c r="PYY172" s="201"/>
      <c r="PYZ172" s="201"/>
      <c r="PZA172" s="201"/>
      <c r="PZB172" s="201"/>
      <c r="PZC172" s="201"/>
      <c r="PZD172" s="201"/>
      <c r="PZE172" s="201"/>
      <c r="PZF172" s="201"/>
      <c r="PZG172" s="201"/>
      <c r="PZH172" s="201"/>
      <c r="PZI172" s="201"/>
      <c r="PZJ172" s="201"/>
      <c r="PZK172" s="201"/>
      <c r="PZL172" s="201"/>
      <c r="PZM172" s="201"/>
      <c r="PZN172" s="201"/>
      <c r="PZO172" s="201"/>
      <c r="PZP172" s="201"/>
      <c r="PZQ172" s="201"/>
      <c r="PZR172" s="201"/>
      <c r="PZS172" s="201"/>
      <c r="PZT172" s="201"/>
      <c r="PZU172" s="201"/>
      <c r="PZV172" s="201"/>
      <c r="PZW172" s="201"/>
      <c r="PZX172" s="201"/>
      <c r="PZY172" s="201"/>
      <c r="PZZ172" s="201"/>
      <c r="QAA172" s="201"/>
      <c r="QAB172" s="201"/>
      <c r="QAC172" s="201"/>
      <c r="QAD172" s="201"/>
      <c r="QAE172" s="201"/>
      <c r="QAF172" s="201"/>
      <c r="QAG172" s="201"/>
      <c r="QAH172" s="201"/>
      <c r="QAI172" s="201"/>
      <c r="QAJ172" s="201"/>
      <c r="QAK172" s="201"/>
      <c r="QAL172" s="201"/>
      <c r="QAM172" s="201"/>
      <c r="QAN172" s="201"/>
      <c r="QAO172" s="201"/>
      <c r="QAP172" s="201"/>
      <c r="QAQ172" s="201"/>
      <c r="QAR172" s="201"/>
      <c r="QAS172" s="201"/>
      <c r="QAT172" s="201"/>
      <c r="QAU172" s="201"/>
      <c r="QAV172" s="201"/>
      <c r="QAW172" s="201"/>
      <c r="QAX172" s="201"/>
      <c r="QAY172" s="201"/>
      <c r="QAZ172" s="201"/>
      <c r="QBA172" s="201"/>
      <c r="QBB172" s="201"/>
      <c r="QBC172" s="201"/>
      <c r="QBD172" s="201"/>
      <c r="QBE172" s="201"/>
      <c r="QBF172" s="201"/>
      <c r="QBG172" s="201"/>
      <c r="QBH172" s="201"/>
      <c r="QBI172" s="201"/>
      <c r="QBJ172" s="201"/>
      <c r="QBK172" s="201"/>
      <c r="QBL172" s="201"/>
      <c r="QBM172" s="201"/>
      <c r="QBN172" s="201"/>
      <c r="QBO172" s="201"/>
      <c r="QBP172" s="201"/>
      <c r="QBQ172" s="201"/>
      <c r="QBR172" s="201"/>
      <c r="QBS172" s="201"/>
      <c r="QBT172" s="201"/>
      <c r="QBU172" s="201"/>
      <c r="QBV172" s="201"/>
      <c r="QBW172" s="201"/>
      <c r="QBX172" s="201"/>
      <c r="QBY172" s="201"/>
      <c r="QBZ172" s="201"/>
      <c r="QCA172" s="201"/>
      <c r="QCB172" s="201"/>
      <c r="QCC172" s="201"/>
      <c r="QCD172" s="201"/>
      <c r="QCE172" s="201"/>
      <c r="QCF172" s="201"/>
      <c r="QCG172" s="201"/>
      <c r="QCH172" s="201"/>
      <c r="QCI172" s="201"/>
      <c r="QCJ172" s="201"/>
      <c r="QCK172" s="201"/>
      <c r="QCL172" s="201"/>
      <c r="QCM172" s="201"/>
      <c r="QCN172" s="201"/>
      <c r="QCO172" s="201"/>
      <c r="QCP172" s="201"/>
      <c r="QCQ172" s="201"/>
      <c r="QCR172" s="201"/>
      <c r="QCS172" s="201"/>
      <c r="QCT172" s="201"/>
      <c r="QCU172" s="201"/>
      <c r="QCV172" s="201"/>
      <c r="QCW172" s="201"/>
      <c r="QCX172" s="201"/>
      <c r="QCY172" s="201"/>
      <c r="QCZ172" s="201"/>
      <c r="QDA172" s="201"/>
      <c r="QDB172" s="201"/>
      <c r="QDC172" s="201"/>
      <c r="QDD172" s="201"/>
      <c r="QDE172" s="201"/>
      <c r="QDF172" s="201"/>
      <c r="QDG172" s="201"/>
      <c r="QDH172" s="201"/>
      <c r="QDI172" s="201"/>
      <c r="QDJ172" s="201"/>
      <c r="QDK172" s="201"/>
      <c r="QDL172" s="201"/>
      <c r="QDM172" s="201"/>
      <c r="QDN172" s="201"/>
      <c r="QDO172" s="201"/>
      <c r="QDP172" s="201"/>
      <c r="QDQ172" s="201"/>
      <c r="QDR172" s="201"/>
      <c r="QDS172" s="201"/>
      <c r="QDT172" s="201"/>
      <c r="QDU172" s="201"/>
      <c r="QDV172" s="201"/>
      <c r="QDW172" s="201"/>
      <c r="QDX172" s="201"/>
      <c r="QDY172" s="201"/>
      <c r="QDZ172" s="201"/>
      <c r="QEA172" s="201"/>
      <c r="QEB172" s="201"/>
      <c r="QEC172" s="201"/>
      <c r="QED172" s="201"/>
      <c r="QEE172" s="201"/>
      <c r="QEF172" s="201"/>
      <c r="QEG172" s="201"/>
      <c r="QEH172" s="201"/>
      <c r="QEI172" s="201"/>
      <c r="QEJ172" s="201"/>
      <c r="QEK172" s="201"/>
      <c r="QEL172" s="201"/>
      <c r="QEM172" s="201"/>
      <c r="QEN172" s="201"/>
      <c r="QEO172" s="201"/>
      <c r="QEP172" s="201"/>
      <c r="QEQ172" s="201"/>
      <c r="QER172" s="201"/>
      <c r="QES172" s="201"/>
      <c r="QET172" s="201"/>
      <c r="QEU172" s="201"/>
      <c r="QEV172" s="201"/>
      <c r="QEW172" s="201"/>
      <c r="QEX172" s="201"/>
      <c r="QEY172" s="201"/>
      <c r="QEZ172" s="201"/>
      <c r="QFA172" s="201"/>
      <c r="QFB172" s="201"/>
      <c r="QFC172" s="201"/>
      <c r="QFD172" s="201"/>
      <c r="QFE172" s="201"/>
      <c r="QFF172" s="201"/>
      <c r="QFG172" s="201"/>
      <c r="QFH172" s="201"/>
      <c r="QFI172" s="201"/>
      <c r="QFJ172" s="201"/>
      <c r="QFK172" s="201"/>
      <c r="QFL172" s="201"/>
      <c r="QFM172" s="201"/>
      <c r="QFN172" s="201"/>
      <c r="QFO172" s="201"/>
      <c r="QFP172" s="201"/>
      <c r="QFQ172" s="201"/>
      <c r="QFR172" s="201"/>
      <c r="QFS172" s="201"/>
      <c r="QFT172" s="201"/>
      <c r="QFU172" s="201"/>
      <c r="QFV172" s="201"/>
      <c r="QFW172" s="201"/>
      <c r="QFX172" s="201"/>
      <c r="QFY172" s="201"/>
      <c r="QFZ172" s="201"/>
      <c r="QGA172" s="201"/>
      <c r="QGB172" s="201"/>
      <c r="QGC172" s="201"/>
      <c r="QGD172" s="201"/>
      <c r="QGE172" s="201"/>
      <c r="QGF172" s="201"/>
      <c r="QGG172" s="201"/>
      <c r="QGH172" s="201"/>
      <c r="QGI172" s="201"/>
      <c r="QGJ172" s="201"/>
      <c r="QGK172" s="201"/>
      <c r="QGL172" s="201"/>
      <c r="QGM172" s="201"/>
      <c r="QGN172" s="201"/>
      <c r="QGO172" s="201"/>
      <c r="QGP172" s="201"/>
      <c r="QGQ172" s="201"/>
      <c r="QGR172" s="201"/>
      <c r="QGS172" s="201"/>
      <c r="QGT172" s="201"/>
      <c r="QGU172" s="201"/>
      <c r="QGV172" s="201"/>
      <c r="QGW172" s="201"/>
      <c r="QGX172" s="201"/>
      <c r="QGY172" s="201"/>
      <c r="QGZ172" s="201"/>
      <c r="QHA172" s="201"/>
      <c r="QHB172" s="201"/>
      <c r="QHC172" s="201"/>
      <c r="QHD172" s="201"/>
      <c r="QHE172" s="201"/>
      <c r="QHF172" s="201"/>
      <c r="QHG172" s="201"/>
      <c r="QHH172" s="201"/>
      <c r="QHI172" s="201"/>
      <c r="QHJ172" s="201"/>
      <c r="QHK172" s="201"/>
      <c r="QHL172" s="201"/>
      <c r="QHM172" s="201"/>
      <c r="QHN172" s="201"/>
      <c r="QHO172" s="201"/>
      <c r="QHP172" s="201"/>
      <c r="QHQ172" s="201"/>
      <c r="QHR172" s="201"/>
      <c r="QHS172" s="201"/>
      <c r="QHT172" s="201"/>
      <c r="QHU172" s="201"/>
      <c r="QHV172" s="201"/>
      <c r="QHW172" s="201"/>
      <c r="QHX172" s="201"/>
      <c r="QHY172" s="201"/>
      <c r="QHZ172" s="201"/>
      <c r="QIA172" s="201"/>
      <c r="QIB172" s="201"/>
      <c r="QIC172" s="201"/>
      <c r="QID172" s="201"/>
      <c r="QIE172" s="201"/>
      <c r="QIF172" s="201"/>
      <c r="QIG172" s="201"/>
      <c r="QIH172" s="201"/>
      <c r="QII172" s="201"/>
      <c r="QIJ172" s="201"/>
      <c r="QIK172" s="201"/>
      <c r="QIL172" s="201"/>
      <c r="QIM172" s="201"/>
      <c r="QIN172" s="201"/>
      <c r="QIO172" s="201"/>
      <c r="QIP172" s="201"/>
      <c r="QIQ172" s="201"/>
      <c r="QIR172" s="201"/>
      <c r="QIS172" s="201"/>
      <c r="QIT172" s="201"/>
      <c r="QIU172" s="201"/>
      <c r="QIV172" s="201"/>
      <c r="QIW172" s="201"/>
      <c r="QIX172" s="201"/>
      <c r="QIY172" s="201"/>
      <c r="QIZ172" s="201"/>
      <c r="QJA172" s="201"/>
      <c r="QJB172" s="201"/>
      <c r="QJC172" s="201"/>
      <c r="QJD172" s="201"/>
      <c r="QJE172" s="201"/>
      <c r="QJF172" s="201"/>
      <c r="QJG172" s="201"/>
      <c r="QJH172" s="201"/>
      <c r="QJI172" s="201"/>
      <c r="QJJ172" s="201"/>
      <c r="QJK172" s="201"/>
      <c r="QJL172" s="201"/>
      <c r="QJM172" s="201"/>
      <c r="QJN172" s="201"/>
      <c r="QJO172" s="201"/>
      <c r="QJP172" s="201"/>
      <c r="QJQ172" s="201"/>
      <c r="QJR172" s="201"/>
      <c r="QJS172" s="201"/>
      <c r="QJT172" s="201"/>
      <c r="QJU172" s="201"/>
      <c r="QJV172" s="201"/>
      <c r="QJW172" s="201"/>
      <c r="QJX172" s="201"/>
      <c r="QJY172" s="201"/>
      <c r="QJZ172" s="201"/>
      <c r="QKA172" s="201"/>
      <c r="QKB172" s="201"/>
      <c r="QKC172" s="201"/>
      <c r="QKD172" s="201"/>
      <c r="QKE172" s="201"/>
      <c r="QKF172" s="201"/>
      <c r="QKG172" s="201"/>
      <c r="QKH172" s="201"/>
      <c r="QKI172" s="201"/>
      <c r="QKJ172" s="201"/>
      <c r="QKK172" s="201"/>
      <c r="QKL172" s="201"/>
      <c r="QKM172" s="201"/>
      <c r="QKN172" s="201"/>
      <c r="QKO172" s="201"/>
      <c r="QKP172" s="201"/>
      <c r="QKQ172" s="201"/>
      <c r="QKR172" s="201"/>
      <c r="QKS172" s="201"/>
      <c r="QKT172" s="201"/>
      <c r="QKU172" s="201"/>
      <c r="QKV172" s="201"/>
      <c r="QKW172" s="201"/>
      <c r="QKX172" s="201"/>
      <c r="QKY172" s="201"/>
      <c r="QKZ172" s="201"/>
      <c r="QLA172" s="201"/>
      <c r="QLB172" s="201"/>
      <c r="QLC172" s="201"/>
      <c r="QLD172" s="201"/>
      <c r="QLE172" s="201"/>
      <c r="QLF172" s="201"/>
      <c r="QLG172" s="201"/>
      <c r="QLH172" s="201"/>
      <c r="QLI172" s="201"/>
      <c r="QLJ172" s="201"/>
      <c r="QLK172" s="201"/>
      <c r="QLL172" s="201"/>
      <c r="QLM172" s="201"/>
      <c r="QLN172" s="201"/>
      <c r="QLO172" s="201"/>
      <c r="QLP172" s="201"/>
      <c r="QLQ172" s="201"/>
      <c r="QLR172" s="201"/>
      <c r="QLS172" s="201"/>
      <c r="QLT172" s="201"/>
      <c r="QLU172" s="201"/>
      <c r="QLV172" s="201"/>
      <c r="QLW172" s="201"/>
      <c r="QLX172" s="201"/>
      <c r="QLY172" s="201"/>
      <c r="QLZ172" s="201"/>
      <c r="QMA172" s="201"/>
      <c r="QMB172" s="201"/>
      <c r="QMC172" s="201"/>
      <c r="QMD172" s="201"/>
      <c r="QME172" s="201"/>
      <c r="QMF172" s="201"/>
      <c r="QMG172" s="201"/>
      <c r="QMH172" s="201"/>
      <c r="QMI172" s="201"/>
      <c r="QMJ172" s="201"/>
      <c r="QMK172" s="201"/>
      <c r="QML172" s="201"/>
      <c r="QMM172" s="201"/>
      <c r="QMN172" s="201"/>
      <c r="QMO172" s="201"/>
      <c r="QMP172" s="201"/>
      <c r="QMQ172" s="201"/>
      <c r="QMR172" s="201"/>
      <c r="QMS172" s="201"/>
      <c r="QMT172" s="201"/>
      <c r="QMU172" s="201"/>
      <c r="QMV172" s="201"/>
      <c r="QMW172" s="201"/>
      <c r="QMX172" s="201"/>
      <c r="QMY172" s="201"/>
      <c r="QMZ172" s="201"/>
      <c r="QNA172" s="201"/>
      <c r="QNB172" s="201"/>
      <c r="QNC172" s="201"/>
      <c r="QND172" s="201"/>
      <c r="QNE172" s="201"/>
      <c r="QNF172" s="201"/>
      <c r="QNG172" s="201"/>
      <c r="QNH172" s="201"/>
      <c r="QNI172" s="201"/>
      <c r="QNJ172" s="201"/>
      <c r="QNK172" s="201"/>
      <c r="QNL172" s="201"/>
      <c r="QNM172" s="201"/>
      <c r="QNN172" s="201"/>
      <c r="QNO172" s="201"/>
      <c r="QNP172" s="201"/>
      <c r="QNQ172" s="201"/>
      <c r="QNR172" s="201"/>
      <c r="QNS172" s="201"/>
      <c r="QNT172" s="201"/>
      <c r="QNU172" s="201"/>
      <c r="QNV172" s="201"/>
      <c r="QNW172" s="201"/>
      <c r="QNX172" s="201"/>
      <c r="QNY172" s="201"/>
      <c r="QNZ172" s="201"/>
      <c r="QOA172" s="201"/>
      <c r="QOB172" s="201"/>
      <c r="QOC172" s="201"/>
      <c r="QOD172" s="201"/>
      <c r="QOE172" s="201"/>
      <c r="QOF172" s="201"/>
      <c r="QOG172" s="201"/>
      <c r="QOH172" s="201"/>
      <c r="QOI172" s="201"/>
      <c r="QOJ172" s="201"/>
      <c r="QOK172" s="201"/>
      <c r="QOL172" s="201"/>
      <c r="QOM172" s="201"/>
      <c r="QON172" s="201"/>
      <c r="QOO172" s="201"/>
      <c r="QOP172" s="201"/>
      <c r="QOQ172" s="201"/>
      <c r="QOR172" s="201"/>
      <c r="QOS172" s="201"/>
      <c r="QOT172" s="201"/>
      <c r="QOU172" s="201"/>
      <c r="QOV172" s="201"/>
      <c r="QOW172" s="201"/>
      <c r="QOX172" s="201"/>
      <c r="QOY172" s="201"/>
      <c r="QOZ172" s="201"/>
      <c r="QPA172" s="201"/>
      <c r="QPB172" s="201"/>
      <c r="QPC172" s="201"/>
      <c r="QPD172" s="201"/>
      <c r="QPE172" s="201"/>
      <c r="QPF172" s="201"/>
      <c r="QPG172" s="201"/>
      <c r="QPH172" s="201"/>
      <c r="QPI172" s="201"/>
      <c r="QPJ172" s="201"/>
      <c r="QPK172" s="201"/>
      <c r="QPL172" s="201"/>
      <c r="QPM172" s="201"/>
      <c r="QPN172" s="201"/>
      <c r="QPO172" s="201"/>
      <c r="QPP172" s="201"/>
      <c r="QPQ172" s="201"/>
      <c r="QPR172" s="201"/>
      <c r="QPS172" s="201"/>
      <c r="QPT172" s="201"/>
      <c r="QPU172" s="201"/>
      <c r="QPV172" s="201"/>
      <c r="QPW172" s="201"/>
      <c r="QPX172" s="201"/>
      <c r="QPY172" s="201"/>
      <c r="QPZ172" s="201"/>
      <c r="QQA172" s="201"/>
      <c r="QQB172" s="201"/>
      <c r="QQC172" s="201"/>
      <c r="QQD172" s="201"/>
      <c r="QQE172" s="201"/>
      <c r="QQF172" s="201"/>
      <c r="QQG172" s="201"/>
      <c r="QQH172" s="201"/>
      <c r="QQI172" s="201"/>
      <c r="QQJ172" s="201"/>
      <c r="QQK172" s="201"/>
      <c r="QQL172" s="201"/>
      <c r="QQM172" s="201"/>
      <c r="QQN172" s="201"/>
      <c r="QQO172" s="201"/>
      <c r="QQP172" s="201"/>
      <c r="QQQ172" s="201"/>
      <c r="QQR172" s="201"/>
      <c r="QQS172" s="201"/>
      <c r="QQT172" s="201"/>
      <c r="QQU172" s="201"/>
      <c r="QQV172" s="201"/>
      <c r="QQW172" s="201"/>
      <c r="QQX172" s="201"/>
      <c r="QQY172" s="201"/>
      <c r="QQZ172" s="201"/>
      <c r="QRA172" s="201"/>
      <c r="QRB172" s="201"/>
      <c r="QRC172" s="201"/>
      <c r="QRD172" s="201"/>
      <c r="QRE172" s="201"/>
      <c r="QRF172" s="201"/>
      <c r="QRG172" s="201"/>
      <c r="QRH172" s="201"/>
      <c r="QRI172" s="201"/>
      <c r="QRJ172" s="201"/>
      <c r="QRK172" s="201"/>
      <c r="QRL172" s="201"/>
      <c r="QRM172" s="201"/>
      <c r="QRN172" s="201"/>
      <c r="QRO172" s="201"/>
      <c r="QRP172" s="201"/>
      <c r="QRQ172" s="201"/>
      <c r="QRR172" s="201"/>
      <c r="QRS172" s="201"/>
      <c r="QRT172" s="201"/>
      <c r="QRU172" s="201"/>
      <c r="QRV172" s="201"/>
      <c r="QRW172" s="201"/>
      <c r="QRX172" s="201"/>
      <c r="QRY172" s="201"/>
      <c r="QRZ172" s="201"/>
      <c r="QSA172" s="201"/>
      <c r="QSB172" s="201"/>
      <c r="QSC172" s="201"/>
      <c r="QSD172" s="201"/>
      <c r="QSE172" s="201"/>
      <c r="QSF172" s="201"/>
      <c r="QSG172" s="201"/>
      <c r="QSH172" s="201"/>
      <c r="QSI172" s="201"/>
      <c r="QSJ172" s="201"/>
      <c r="QSK172" s="201"/>
      <c r="QSL172" s="201"/>
      <c r="QSM172" s="201"/>
      <c r="QSN172" s="201"/>
      <c r="QSO172" s="201"/>
      <c r="QSP172" s="201"/>
      <c r="QSQ172" s="201"/>
      <c r="QSR172" s="201"/>
      <c r="QSS172" s="201"/>
      <c r="QST172" s="201"/>
      <c r="QSU172" s="201"/>
      <c r="QSV172" s="201"/>
      <c r="QSW172" s="201"/>
      <c r="QSX172" s="201"/>
      <c r="QSY172" s="201"/>
      <c r="QSZ172" s="201"/>
      <c r="QTA172" s="201"/>
      <c r="QTB172" s="201"/>
      <c r="QTC172" s="201"/>
      <c r="QTD172" s="201"/>
      <c r="QTE172" s="201"/>
      <c r="QTF172" s="201"/>
      <c r="QTG172" s="201"/>
      <c r="QTH172" s="201"/>
      <c r="QTI172" s="201"/>
      <c r="QTJ172" s="201"/>
      <c r="QTK172" s="201"/>
      <c r="QTL172" s="201"/>
      <c r="QTM172" s="201"/>
      <c r="QTN172" s="201"/>
      <c r="QTO172" s="201"/>
      <c r="QTP172" s="201"/>
      <c r="QTQ172" s="201"/>
      <c r="QTR172" s="201"/>
      <c r="QTS172" s="201"/>
      <c r="QTT172" s="201"/>
      <c r="QTU172" s="201"/>
      <c r="QTV172" s="201"/>
      <c r="QTW172" s="201"/>
      <c r="QTX172" s="201"/>
      <c r="QTY172" s="201"/>
      <c r="QTZ172" s="201"/>
      <c r="QUA172" s="201"/>
      <c r="QUB172" s="201"/>
      <c r="QUC172" s="201"/>
      <c r="QUD172" s="201"/>
      <c r="QUE172" s="201"/>
      <c r="QUF172" s="201"/>
      <c r="QUG172" s="201"/>
      <c r="QUH172" s="201"/>
      <c r="QUI172" s="201"/>
      <c r="QUJ172" s="201"/>
      <c r="QUK172" s="201"/>
      <c r="QUL172" s="201"/>
      <c r="QUM172" s="201"/>
      <c r="QUN172" s="201"/>
      <c r="QUO172" s="201"/>
      <c r="QUP172" s="201"/>
      <c r="QUQ172" s="201"/>
      <c r="QUR172" s="201"/>
      <c r="QUS172" s="201"/>
      <c r="QUT172" s="201"/>
      <c r="QUU172" s="201"/>
      <c r="QUV172" s="201"/>
      <c r="QUW172" s="201"/>
      <c r="QUX172" s="201"/>
      <c r="QUY172" s="201"/>
      <c r="QUZ172" s="201"/>
      <c r="QVA172" s="201"/>
      <c r="QVB172" s="201"/>
      <c r="QVC172" s="201"/>
      <c r="QVD172" s="201"/>
      <c r="QVE172" s="201"/>
      <c r="QVF172" s="201"/>
      <c r="QVG172" s="201"/>
      <c r="QVH172" s="201"/>
      <c r="QVI172" s="201"/>
      <c r="QVJ172" s="201"/>
      <c r="QVK172" s="201"/>
      <c r="QVL172" s="201"/>
      <c r="QVM172" s="201"/>
      <c r="QVN172" s="201"/>
      <c r="QVO172" s="201"/>
      <c r="QVP172" s="201"/>
      <c r="QVQ172" s="201"/>
      <c r="QVR172" s="201"/>
      <c r="QVS172" s="201"/>
      <c r="QVT172" s="201"/>
      <c r="QVU172" s="201"/>
      <c r="QVV172" s="201"/>
      <c r="QVW172" s="201"/>
      <c r="QVX172" s="201"/>
      <c r="QVY172" s="201"/>
      <c r="QVZ172" s="201"/>
      <c r="QWA172" s="201"/>
      <c r="QWB172" s="201"/>
      <c r="QWC172" s="201"/>
      <c r="QWD172" s="201"/>
      <c r="QWE172" s="201"/>
      <c r="QWF172" s="201"/>
      <c r="QWG172" s="201"/>
      <c r="QWH172" s="201"/>
      <c r="QWI172" s="201"/>
      <c r="QWJ172" s="201"/>
      <c r="QWK172" s="201"/>
      <c r="QWL172" s="201"/>
      <c r="QWM172" s="201"/>
      <c r="QWN172" s="201"/>
      <c r="QWO172" s="201"/>
      <c r="QWP172" s="201"/>
      <c r="QWQ172" s="201"/>
      <c r="QWR172" s="201"/>
      <c r="QWS172" s="201"/>
      <c r="QWT172" s="201"/>
      <c r="QWU172" s="201"/>
      <c r="QWV172" s="201"/>
      <c r="QWW172" s="201"/>
      <c r="QWX172" s="201"/>
      <c r="QWY172" s="201"/>
      <c r="QWZ172" s="201"/>
      <c r="QXA172" s="201"/>
      <c r="QXB172" s="201"/>
      <c r="QXC172" s="201"/>
      <c r="QXD172" s="201"/>
      <c r="QXE172" s="201"/>
      <c r="QXF172" s="201"/>
      <c r="QXG172" s="201"/>
      <c r="QXH172" s="201"/>
      <c r="QXI172" s="201"/>
      <c r="QXJ172" s="201"/>
      <c r="QXK172" s="201"/>
      <c r="QXL172" s="201"/>
      <c r="QXM172" s="201"/>
      <c r="QXN172" s="201"/>
      <c r="QXO172" s="201"/>
      <c r="QXP172" s="201"/>
      <c r="QXQ172" s="201"/>
      <c r="QXR172" s="201"/>
      <c r="QXS172" s="201"/>
      <c r="QXT172" s="201"/>
      <c r="QXU172" s="201"/>
      <c r="QXV172" s="201"/>
      <c r="QXW172" s="201"/>
      <c r="QXX172" s="201"/>
      <c r="QXY172" s="201"/>
      <c r="QXZ172" s="201"/>
      <c r="QYA172" s="201"/>
      <c r="QYB172" s="201"/>
      <c r="QYC172" s="201"/>
      <c r="QYD172" s="201"/>
      <c r="QYE172" s="201"/>
      <c r="QYF172" s="201"/>
      <c r="QYG172" s="201"/>
      <c r="QYH172" s="201"/>
      <c r="QYI172" s="201"/>
      <c r="QYJ172" s="201"/>
      <c r="QYK172" s="201"/>
      <c r="QYL172" s="201"/>
      <c r="QYM172" s="201"/>
      <c r="QYN172" s="201"/>
      <c r="QYO172" s="201"/>
      <c r="QYP172" s="201"/>
      <c r="QYQ172" s="201"/>
      <c r="QYR172" s="201"/>
      <c r="QYS172" s="201"/>
      <c r="QYT172" s="201"/>
      <c r="QYU172" s="201"/>
      <c r="QYV172" s="201"/>
      <c r="QYW172" s="201"/>
      <c r="QYX172" s="201"/>
      <c r="QYY172" s="201"/>
      <c r="QYZ172" s="201"/>
      <c r="QZA172" s="201"/>
      <c r="QZB172" s="201"/>
      <c r="QZC172" s="201"/>
      <c r="QZD172" s="201"/>
      <c r="QZE172" s="201"/>
      <c r="QZF172" s="201"/>
      <c r="QZG172" s="201"/>
      <c r="QZH172" s="201"/>
      <c r="QZI172" s="201"/>
      <c r="QZJ172" s="201"/>
      <c r="QZK172" s="201"/>
      <c r="QZL172" s="201"/>
      <c r="QZM172" s="201"/>
      <c r="QZN172" s="201"/>
      <c r="QZO172" s="201"/>
      <c r="QZP172" s="201"/>
      <c r="QZQ172" s="201"/>
      <c r="QZR172" s="201"/>
      <c r="QZS172" s="201"/>
      <c r="QZT172" s="201"/>
      <c r="QZU172" s="201"/>
      <c r="QZV172" s="201"/>
      <c r="QZW172" s="201"/>
      <c r="QZX172" s="201"/>
      <c r="QZY172" s="201"/>
      <c r="QZZ172" s="201"/>
      <c r="RAA172" s="201"/>
      <c r="RAB172" s="201"/>
      <c r="RAC172" s="201"/>
      <c r="RAD172" s="201"/>
      <c r="RAE172" s="201"/>
      <c r="RAF172" s="201"/>
      <c r="RAG172" s="201"/>
      <c r="RAH172" s="201"/>
      <c r="RAI172" s="201"/>
      <c r="RAJ172" s="201"/>
      <c r="RAK172" s="201"/>
      <c r="RAL172" s="201"/>
      <c r="RAM172" s="201"/>
      <c r="RAN172" s="201"/>
      <c r="RAO172" s="201"/>
      <c r="RAP172" s="201"/>
      <c r="RAQ172" s="201"/>
      <c r="RAR172" s="201"/>
      <c r="RAS172" s="201"/>
      <c r="RAT172" s="201"/>
      <c r="RAU172" s="201"/>
      <c r="RAV172" s="201"/>
      <c r="RAW172" s="201"/>
      <c r="RAX172" s="201"/>
      <c r="RAY172" s="201"/>
      <c r="RAZ172" s="201"/>
      <c r="RBA172" s="201"/>
      <c r="RBB172" s="201"/>
      <c r="RBC172" s="201"/>
      <c r="RBD172" s="201"/>
      <c r="RBE172" s="201"/>
      <c r="RBF172" s="201"/>
      <c r="RBG172" s="201"/>
      <c r="RBH172" s="201"/>
      <c r="RBI172" s="201"/>
      <c r="RBJ172" s="201"/>
      <c r="RBK172" s="201"/>
      <c r="RBL172" s="201"/>
      <c r="RBM172" s="201"/>
      <c r="RBN172" s="201"/>
      <c r="RBO172" s="201"/>
      <c r="RBP172" s="201"/>
      <c r="RBQ172" s="201"/>
      <c r="RBR172" s="201"/>
      <c r="RBS172" s="201"/>
      <c r="RBT172" s="201"/>
      <c r="RBU172" s="201"/>
      <c r="RBV172" s="201"/>
      <c r="RBW172" s="201"/>
      <c r="RBX172" s="201"/>
      <c r="RBY172" s="201"/>
      <c r="RBZ172" s="201"/>
      <c r="RCA172" s="201"/>
      <c r="RCB172" s="201"/>
      <c r="RCC172" s="201"/>
      <c r="RCD172" s="201"/>
      <c r="RCE172" s="201"/>
      <c r="RCF172" s="201"/>
      <c r="RCG172" s="201"/>
      <c r="RCH172" s="201"/>
      <c r="RCI172" s="201"/>
      <c r="RCJ172" s="201"/>
      <c r="RCK172" s="201"/>
      <c r="RCL172" s="201"/>
      <c r="RCM172" s="201"/>
      <c r="RCN172" s="201"/>
      <c r="RCO172" s="201"/>
      <c r="RCP172" s="201"/>
      <c r="RCQ172" s="201"/>
      <c r="RCR172" s="201"/>
      <c r="RCS172" s="201"/>
      <c r="RCT172" s="201"/>
      <c r="RCU172" s="201"/>
      <c r="RCV172" s="201"/>
      <c r="RCW172" s="201"/>
      <c r="RCX172" s="201"/>
      <c r="RCY172" s="201"/>
      <c r="RCZ172" s="201"/>
      <c r="RDA172" s="201"/>
      <c r="RDB172" s="201"/>
      <c r="RDC172" s="201"/>
      <c r="RDD172" s="201"/>
      <c r="RDE172" s="201"/>
      <c r="RDF172" s="201"/>
      <c r="RDG172" s="201"/>
      <c r="RDH172" s="201"/>
      <c r="RDI172" s="201"/>
      <c r="RDJ172" s="201"/>
      <c r="RDK172" s="201"/>
      <c r="RDL172" s="201"/>
      <c r="RDM172" s="201"/>
      <c r="RDN172" s="201"/>
      <c r="RDO172" s="201"/>
      <c r="RDP172" s="201"/>
      <c r="RDQ172" s="201"/>
      <c r="RDR172" s="201"/>
      <c r="RDS172" s="201"/>
      <c r="RDT172" s="201"/>
      <c r="RDU172" s="201"/>
      <c r="RDV172" s="201"/>
      <c r="RDW172" s="201"/>
      <c r="RDX172" s="201"/>
      <c r="RDY172" s="201"/>
      <c r="RDZ172" s="201"/>
      <c r="REA172" s="201"/>
      <c r="REB172" s="201"/>
      <c r="REC172" s="201"/>
      <c r="RED172" s="201"/>
      <c r="REE172" s="201"/>
      <c r="REF172" s="201"/>
      <c r="REG172" s="201"/>
      <c r="REH172" s="201"/>
      <c r="REI172" s="201"/>
      <c r="REJ172" s="201"/>
      <c r="REK172" s="201"/>
      <c r="REL172" s="201"/>
      <c r="REM172" s="201"/>
      <c r="REN172" s="201"/>
      <c r="REO172" s="201"/>
      <c r="REP172" s="201"/>
      <c r="REQ172" s="201"/>
      <c r="RER172" s="201"/>
      <c r="RES172" s="201"/>
      <c r="RET172" s="201"/>
      <c r="REU172" s="201"/>
      <c r="REV172" s="201"/>
      <c r="REW172" s="201"/>
      <c r="REX172" s="201"/>
      <c r="REY172" s="201"/>
      <c r="REZ172" s="201"/>
      <c r="RFA172" s="201"/>
      <c r="RFB172" s="201"/>
      <c r="RFC172" s="201"/>
      <c r="RFD172" s="201"/>
      <c r="RFE172" s="201"/>
      <c r="RFF172" s="201"/>
      <c r="RFG172" s="201"/>
      <c r="RFH172" s="201"/>
      <c r="RFI172" s="201"/>
      <c r="RFJ172" s="201"/>
      <c r="RFK172" s="201"/>
      <c r="RFL172" s="201"/>
      <c r="RFM172" s="201"/>
      <c r="RFN172" s="201"/>
      <c r="RFO172" s="201"/>
      <c r="RFP172" s="201"/>
      <c r="RFQ172" s="201"/>
      <c r="RFR172" s="201"/>
      <c r="RFS172" s="201"/>
      <c r="RFT172" s="201"/>
      <c r="RFU172" s="201"/>
      <c r="RFV172" s="201"/>
      <c r="RFW172" s="201"/>
      <c r="RFX172" s="201"/>
      <c r="RFY172" s="201"/>
      <c r="RFZ172" s="201"/>
      <c r="RGA172" s="201"/>
      <c r="RGB172" s="201"/>
      <c r="RGC172" s="201"/>
      <c r="RGD172" s="201"/>
      <c r="RGE172" s="201"/>
      <c r="RGF172" s="201"/>
      <c r="RGG172" s="201"/>
      <c r="RGH172" s="201"/>
      <c r="RGI172" s="201"/>
      <c r="RGJ172" s="201"/>
      <c r="RGK172" s="201"/>
      <c r="RGL172" s="201"/>
      <c r="RGM172" s="201"/>
      <c r="RGN172" s="201"/>
      <c r="RGO172" s="201"/>
      <c r="RGP172" s="201"/>
      <c r="RGQ172" s="201"/>
      <c r="RGR172" s="201"/>
      <c r="RGS172" s="201"/>
      <c r="RGT172" s="201"/>
      <c r="RGU172" s="201"/>
      <c r="RGV172" s="201"/>
      <c r="RGW172" s="201"/>
      <c r="RGX172" s="201"/>
      <c r="RGY172" s="201"/>
      <c r="RGZ172" s="201"/>
      <c r="RHA172" s="201"/>
      <c r="RHB172" s="201"/>
      <c r="RHC172" s="201"/>
      <c r="RHD172" s="201"/>
      <c r="RHE172" s="201"/>
      <c r="RHF172" s="201"/>
      <c r="RHG172" s="201"/>
      <c r="RHH172" s="201"/>
      <c r="RHI172" s="201"/>
      <c r="RHJ172" s="201"/>
      <c r="RHK172" s="201"/>
      <c r="RHL172" s="201"/>
      <c r="RHM172" s="201"/>
      <c r="RHN172" s="201"/>
      <c r="RHO172" s="201"/>
      <c r="RHP172" s="201"/>
      <c r="RHQ172" s="201"/>
      <c r="RHR172" s="201"/>
      <c r="RHS172" s="201"/>
      <c r="RHT172" s="201"/>
      <c r="RHU172" s="201"/>
      <c r="RHV172" s="201"/>
      <c r="RHW172" s="201"/>
      <c r="RHX172" s="201"/>
      <c r="RHY172" s="201"/>
      <c r="RHZ172" s="201"/>
      <c r="RIA172" s="201"/>
      <c r="RIB172" s="201"/>
      <c r="RIC172" s="201"/>
      <c r="RID172" s="201"/>
      <c r="RIE172" s="201"/>
      <c r="RIF172" s="201"/>
      <c r="RIG172" s="201"/>
      <c r="RIH172" s="201"/>
      <c r="RII172" s="201"/>
      <c r="RIJ172" s="201"/>
      <c r="RIK172" s="201"/>
      <c r="RIL172" s="201"/>
      <c r="RIM172" s="201"/>
      <c r="RIN172" s="201"/>
      <c r="RIO172" s="201"/>
      <c r="RIP172" s="201"/>
      <c r="RIQ172" s="201"/>
      <c r="RIR172" s="201"/>
      <c r="RIS172" s="201"/>
      <c r="RIT172" s="201"/>
      <c r="RIU172" s="201"/>
      <c r="RIV172" s="201"/>
      <c r="RIW172" s="201"/>
      <c r="RIX172" s="201"/>
      <c r="RIY172" s="201"/>
      <c r="RIZ172" s="201"/>
      <c r="RJA172" s="201"/>
      <c r="RJB172" s="201"/>
      <c r="RJC172" s="201"/>
      <c r="RJD172" s="201"/>
      <c r="RJE172" s="201"/>
      <c r="RJF172" s="201"/>
      <c r="RJG172" s="201"/>
      <c r="RJH172" s="201"/>
      <c r="RJI172" s="201"/>
      <c r="RJJ172" s="201"/>
      <c r="RJK172" s="201"/>
      <c r="RJL172" s="201"/>
      <c r="RJM172" s="201"/>
      <c r="RJN172" s="201"/>
      <c r="RJO172" s="201"/>
      <c r="RJP172" s="201"/>
      <c r="RJQ172" s="201"/>
      <c r="RJR172" s="201"/>
      <c r="RJS172" s="201"/>
      <c r="RJT172" s="201"/>
      <c r="RJU172" s="201"/>
      <c r="RJV172" s="201"/>
      <c r="RJW172" s="201"/>
      <c r="RJX172" s="201"/>
      <c r="RJY172" s="201"/>
      <c r="RJZ172" s="201"/>
      <c r="RKA172" s="201"/>
      <c r="RKB172" s="201"/>
      <c r="RKC172" s="201"/>
      <c r="RKD172" s="201"/>
      <c r="RKE172" s="201"/>
      <c r="RKF172" s="201"/>
      <c r="RKG172" s="201"/>
      <c r="RKH172" s="201"/>
      <c r="RKI172" s="201"/>
      <c r="RKJ172" s="201"/>
      <c r="RKK172" s="201"/>
      <c r="RKL172" s="201"/>
      <c r="RKM172" s="201"/>
      <c r="RKN172" s="201"/>
      <c r="RKO172" s="201"/>
      <c r="RKP172" s="201"/>
      <c r="RKQ172" s="201"/>
      <c r="RKR172" s="201"/>
      <c r="RKS172" s="201"/>
      <c r="RKT172" s="201"/>
      <c r="RKU172" s="201"/>
      <c r="RKV172" s="201"/>
      <c r="RKW172" s="201"/>
      <c r="RKX172" s="201"/>
      <c r="RKY172" s="201"/>
      <c r="RKZ172" s="201"/>
      <c r="RLA172" s="201"/>
      <c r="RLB172" s="201"/>
      <c r="RLC172" s="201"/>
      <c r="RLD172" s="201"/>
      <c r="RLE172" s="201"/>
      <c r="RLF172" s="201"/>
      <c r="RLG172" s="201"/>
      <c r="RLH172" s="201"/>
      <c r="RLI172" s="201"/>
      <c r="RLJ172" s="201"/>
      <c r="RLK172" s="201"/>
      <c r="RLL172" s="201"/>
      <c r="RLM172" s="201"/>
      <c r="RLN172" s="201"/>
      <c r="RLO172" s="201"/>
      <c r="RLP172" s="201"/>
      <c r="RLQ172" s="201"/>
      <c r="RLR172" s="201"/>
      <c r="RLS172" s="201"/>
      <c r="RLT172" s="201"/>
      <c r="RLU172" s="201"/>
      <c r="RLV172" s="201"/>
      <c r="RLW172" s="201"/>
      <c r="RLX172" s="201"/>
      <c r="RLY172" s="201"/>
      <c r="RLZ172" s="201"/>
      <c r="RMA172" s="201"/>
      <c r="RMB172" s="201"/>
      <c r="RMC172" s="201"/>
      <c r="RMD172" s="201"/>
      <c r="RME172" s="201"/>
      <c r="RMF172" s="201"/>
      <c r="RMG172" s="201"/>
      <c r="RMH172" s="201"/>
      <c r="RMI172" s="201"/>
      <c r="RMJ172" s="201"/>
      <c r="RMK172" s="201"/>
      <c r="RML172" s="201"/>
      <c r="RMM172" s="201"/>
      <c r="RMN172" s="201"/>
      <c r="RMO172" s="201"/>
      <c r="RMP172" s="201"/>
      <c r="RMQ172" s="201"/>
      <c r="RMR172" s="201"/>
      <c r="RMS172" s="201"/>
      <c r="RMT172" s="201"/>
      <c r="RMU172" s="201"/>
      <c r="RMV172" s="201"/>
      <c r="RMW172" s="201"/>
      <c r="RMX172" s="201"/>
      <c r="RMY172" s="201"/>
      <c r="RMZ172" s="201"/>
      <c r="RNA172" s="201"/>
      <c r="RNB172" s="201"/>
      <c r="RNC172" s="201"/>
      <c r="RND172" s="201"/>
      <c r="RNE172" s="201"/>
      <c r="RNF172" s="201"/>
      <c r="RNG172" s="201"/>
      <c r="RNH172" s="201"/>
      <c r="RNI172" s="201"/>
      <c r="RNJ172" s="201"/>
      <c r="RNK172" s="201"/>
      <c r="RNL172" s="201"/>
      <c r="RNM172" s="201"/>
      <c r="RNN172" s="201"/>
      <c r="RNO172" s="201"/>
      <c r="RNP172" s="201"/>
      <c r="RNQ172" s="201"/>
      <c r="RNR172" s="201"/>
      <c r="RNS172" s="201"/>
      <c r="RNT172" s="201"/>
      <c r="RNU172" s="201"/>
      <c r="RNV172" s="201"/>
      <c r="RNW172" s="201"/>
      <c r="RNX172" s="201"/>
      <c r="RNY172" s="201"/>
      <c r="RNZ172" s="201"/>
      <c r="ROA172" s="201"/>
      <c r="ROB172" s="201"/>
      <c r="ROC172" s="201"/>
      <c r="ROD172" s="201"/>
      <c r="ROE172" s="201"/>
      <c r="ROF172" s="201"/>
      <c r="ROG172" s="201"/>
      <c r="ROH172" s="201"/>
      <c r="ROI172" s="201"/>
      <c r="ROJ172" s="201"/>
      <c r="ROK172" s="201"/>
      <c r="ROL172" s="201"/>
      <c r="ROM172" s="201"/>
      <c r="RON172" s="201"/>
      <c r="ROO172" s="201"/>
      <c r="ROP172" s="201"/>
      <c r="ROQ172" s="201"/>
      <c r="ROR172" s="201"/>
      <c r="ROS172" s="201"/>
      <c r="ROT172" s="201"/>
      <c r="ROU172" s="201"/>
      <c r="ROV172" s="201"/>
      <c r="ROW172" s="201"/>
      <c r="ROX172" s="201"/>
      <c r="ROY172" s="201"/>
      <c r="ROZ172" s="201"/>
      <c r="RPA172" s="201"/>
      <c r="RPB172" s="201"/>
      <c r="RPC172" s="201"/>
      <c r="RPD172" s="201"/>
      <c r="RPE172" s="201"/>
      <c r="RPF172" s="201"/>
      <c r="RPG172" s="201"/>
      <c r="RPH172" s="201"/>
      <c r="RPI172" s="201"/>
      <c r="RPJ172" s="201"/>
      <c r="RPK172" s="201"/>
      <c r="RPL172" s="201"/>
      <c r="RPM172" s="201"/>
      <c r="RPN172" s="201"/>
      <c r="RPO172" s="201"/>
      <c r="RPP172" s="201"/>
      <c r="RPQ172" s="201"/>
      <c r="RPR172" s="201"/>
      <c r="RPS172" s="201"/>
      <c r="RPT172" s="201"/>
      <c r="RPU172" s="201"/>
      <c r="RPV172" s="201"/>
      <c r="RPW172" s="201"/>
      <c r="RPX172" s="201"/>
      <c r="RPY172" s="201"/>
      <c r="RPZ172" s="201"/>
      <c r="RQA172" s="201"/>
      <c r="RQB172" s="201"/>
      <c r="RQC172" s="201"/>
      <c r="RQD172" s="201"/>
      <c r="RQE172" s="201"/>
      <c r="RQF172" s="201"/>
      <c r="RQG172" s="201"/>
      <c r="RQH172" s="201"/>
      <c r="RQI172" s="201"/>
      <c r="RQJ172" s="201"/>
      <c r="RQK172" s="201"/>
      <c r="RQL172" s="201"/>
      <c r="RQM172" s="201"/>
      <c r="RQN172" s="201"/>
      <c r="RQO172" s="201"/>
      <c r="RQP172" s="201"/>
      <c r="RQQ172" s="201"/>
      <c r="RQR172" s="201"/>
      <c r="RQS172" s="201"/>
      <c r="RQT172" s="201"/>
      <c r="RQU172" s="201"/>
      <c r="RQV172" s="201"/>
      <c r="RQW172" s="201"/>
      <c r="RQX172" s="201"/>
      <c r="RQY172" s="201"/>
      <c r="RQZ172" s="201"/>
      <c r="RRA172" s="201"/>
      <c r="RRB172" s="201"/>
      <c r="RRC172" s="201"/>
      <c r="RRD172" s="201"/>
      <c r="RRE172" s="201"/>
      <c r="RRF172" s="201"/>
      <c r="RRG172" s="201"/>
      <c r="RRH172" s="201"/>
      <c r="RRI172" s="201"/>
      <c r="RRJ172" s="201"/>
      <c r="RRK172" s="201"/>
      <c r="RRL172" s="201"/>
      <c r="RRM172" s="201"/>
      <c r="RRN172" s="201"/>
      <c r="RRO172" s="201"/>
      <c r="RRP172" s="201"/>
      <c r="RRQ172" s="201"/>
      <c r="RRR172" s="201"/>
      <c r="RRS172" s="201"/>
      <c r="RRT172" s="201"/>
      <c r="RRU172" s="201"/>
      <c r="RRV172" s="201"/>
      <c r="RRW172" s="201"/>
      <c r="RRX172" s="201"/>
      <c r="RRY172" s="201"/>
      <c r="RRZ172" s="201"/>
      <c r="RSA172" s="201"/>
      <c r="RSB172" s="201"/>
      <c r="RSC172" s="201"/>
      <c r="RSD172" s="201"/>
      <c r="RSE172" s="201"/>
      <c r="RSF172" s="201"/>
      <c r="RSG172" s="201"/>
      <c r="RSH172" s="201"/>
      <c r="RSI172" s="201"/>
      <c r="RSJ172" s="201"/>
      <c r="RSK172" s="201"/>
      <c r="RSL172" s="201"/>
      <c r="RSM172" s="201"/>
      <c r="RSN172" s="201"/>
      <c r="RSO172" s="201"/>
      <c r="RSP172" s="201"/>
      <c r="RSQ172" s="201"/>
      <c r="RSR172" s="201"/>
      <c r="RSS172" s="201"/>
      <c r="RST172" s="201"/>
      <c r="RSU172" s="201"/>
      <c r="RSV172" s="201"/>
      <c r="RSW172" s="201"/>
      <c r="RSX172" s="201"/>
      <c r="RSY172" s="201"/>
      <c r="RSZ172" s="201"/>
      <c r="RTA172" s="201"/>
      <c r="RTB172" s="201"/>
      <c r="RTC172" s="201"/>
      <c r="RTD172" s="201"/>
      <c r="RTE172" s="201"/>
      <c r="RTF172" s="201"/>
      <c r="RTG172" s="201"/>
      <c r="RTH172" s="201"/>
      <c r="RTI172" s="201"/>
      <c r="RTJ172" s="201"/>
      <c r="RTK172" s="201"/>
      <c r="RTL172" s="201"/>
      <c r="RTM172" s="201"/>
      <c r="RTN172" s="201"/>
      <c r="RTO172" s="201"/>
      <c r="RTP172" s="201"/>
      <c r="RTQ172" s="201"/>
      <c r="RTR172" s="201"/>
      <c r="RTS172" s="201"/>
      <c r="RTT172" s="201"/>
      <c r="RTU172" s="201"/>
      <c r="RTV172" s="201"/>
      <c r="RTW172" s="201"/>
      <c r="RTX172" s="201"/>
      <c r="RTY172" s="201"/>
      <c r="RTZ172" s="201"/>
      <c r="RUA172" s="201"/>
      <c r="RUB172" s="201"/>
      <c r="RUC172" s="201"/>
      <c r="RUD172" s="201"/>
      <c r="RUE172" s="201"/>
      <c r="RUF172" s="201"/>
      <c r="RUG172" s="201"/>
      <c r="RUH172" s="201"/>
      <c r="RUI172" s="201"/>
      <c r="RUJ172" s="201"/>
      <c r="RUK172" s="201"/>
      <c r="RUL172" s="201"/>
      <c r="RUM172" s="201"/>
      <c r="RUN172" s="201"/>
      <c r="RUO172" s="201"/>
      <c r="RUP172" s="201"/>
      <c r="RUQ172" s="201"/>
      <c r="RUR172" s="201"/>
      <c r="RUS172" s="201"/>
      <c r="RUT172" s="201"/>
      <c r="RUU172" s="201"/>
      <c r="RUV172" s="201"/>
      <c r="RUW172" s="201"/>
      <c r="RUX172" s="201"/>
      <c r="RUY172" s="201"/>
      <c r="RUZ172" s="201"/>
      <c r="RVA172" s="201"/>
      <c r="RVB172" s="201"/>
      <c r="RVC172" s="201"/>
      <c r="RVD172" s="201"/>
      <c r="RVE172" s="201"/>
      <c r="RVF172" s="201"/>
      <c r="RVG172" s="201"/>
      <c r="RVH172" s="201"/>
      <c r="RVI172" s="201"/>
      <c r="RVJ172" s="201"/>
      <c r="RVK172" s="201"/>
      <c r="RVL172" s="201"/>
      <c r="RVM172" s="201"/>
      <c r="RVN172" s="201"/>
      <c r="RVO172" s="201"/>
      <c r="RVP172" s="201"/>
      <c r="RVQ172" s="201"/>
      <c r="RVR172" s="201"/>
      <c r="RVS172" s="201"/>
      <c r="RVT172" s="201"/>
      <c r="RVU172" s="201"/>
      <c r="RVV172" s="201"/>
      <c r="RVW172" s="201"/>
      <c r="RVX172" s="201"/>
      <c r="RVY172" s="201"/>
      <c r="RVZ172" s="201"/>
      <c r="RWA172" s="201"/>
      <c r="RWB172" s="201"/>
      <c r="RWC172" s="201"/>
      <c r="RWD172" s="201"/>
      <c r="RWE172" s="201"/>
      <c r="RWF172" s="201"/>
      <c r="RWG172" s="201"/>
      <c r="RWH172" s="201"/>
      <c r="RWI172" s="201"/>
      <c r="RWJ172" s="201"/>
      <c r="RWK172" s="201"/>
      <c r="RWL172" s="201"/>
      <c r="RWM172" s="201"/>
      <c r="RWN172" s="201"/>
      <c r="RWO172" s="201"/>
      <c r="RWP172" s="201"/>
      <c r="RWQ172" s="201"/>
      <c r="RWR172" s="201"/>
      <c r="RWS172" s="201"/>
      <c r="RWT172" s="201"/>
      <c r="RWU172" s="201"/>
      <c r="RWV172" s="201"/>
      <c r="RWW172" s="201"/>
      <c r="RWX172" s="201"/>
      <c r="RWY172" s="201"/>
      <c r="RWZ172" s="201"/>
      <c r="RXA172" s="201"/>
      <c r="RXB172" s="201"/>
      <c r="RXC172" s="201"/>
      <c r="RXD172" s="201"/>
      <c r="RXE172" s="201"/>
      <c r="RXF172" s="201"/>
      <c r="RXG172" s="201"/>
      <c r="RXH172" s="201"/>
      <c r="RXI172" s="201"/>
      <c r="RXJ172" s="201"/>
      <c r="RXK172" s="201"/>
      <c r="RXL172" s="201"/>
      <c r="RXM172" s="201"/>
      <c r="RXN172" s="201"/>
      <c r="RXO172" s="201"/>
      <c r="RXP172" s="201"/>
      <c r="RXQ172" s="201"/>
      <c r="RXR172" s="201"/>
      <c r="RXS172" s="201"/>
      <c r="RXT172" s="201"/>
      <c r="RXU172" s="201"/>
      <c r="RXV172" s="201"/>
      <c r="RXW172" s="201"/>
      <c r="RXX172" s="201"/>
      <c r="RXY172" s="201"/>
      <c r="RXZ172" s="201"/>
      <c r="RYA172" s="201"/>
      <c r="RYB172" s="201"/>
      <c r="RYC172" s="201"/>
      <c r="RYD172" s="201"/>
      <c r="RYE172" s="201"/>
      <c r="RYF172" s="201"/>
      <c r="RYG172" s="201"/>
      <c r="RYH172" s="201"/>
      <c r="RYI172" s="201"/>
      <c r="RYJ172" s="201"/>
      <c r="RYK172" s="201"/>
      <c r="RYL172" s="201"/>
      <c r="RYM172" s="201"/>
      <c r="RYN172" s="201"/>
      <c r="RYO172" s="201"/>
      <c r="RYP172" s="201"/>
      <c r="RYQ172" s="201"/>
      <c r="RYR172" s="201"/>
      <c r="RYS172" s="201"/>
      <c r="RYT172" s="201"/>
      <c r="RYU172" s="201"/>
      <c r="RYV172" s="201"/>
      <c r="RYW172" s="201"/>
      <c r="RYX172" s="201"/>
      <c r="RYY172" s="201"/>
      <c r="RYZ172" s="201"/>
      <c r="RZA172" s="201"/>
      <c r="RZB172" s="201"/>
      <c r="RZC172" s="201"/>
      <c r="RZD172" s="201"/>
      <c r="RZE172" s="201"/>
      <c r="RZF172" s="201"/>
      <c r="RZG172" s="201"/>
      <c r="RZH172" s="201"/>
      <c r="RZI172" s="201"/>
      <c r="RZJ172" s="201"/>
      <c r="RZK172" s="201"/>
      <c r="RZL172" s="201"/>
      <c r="RZM172" s="201"/>
      <c r="RZN172" s="201"/>
      <c r="RZO172" s="201"/>
      <c r="RZP172" s="201"/>
      <c r="RZQ172" s="201"/>
      <c r="RZR172" s="201"/>
      <c r="RZS172" s="201"/>
      <c r="RZT172" s="201"/>
      <c r="RZU172" s="201"/>
      <c r="RZV172" s="201"/>
      <c r="RZW172" s="201"/>
      <c r="RZX172" s="201"/>
      <c r="RZY172" s="201"/>
      <c r="RZZ172" s="201"/>
      <c r="SAA172" s="201"/>
      <c r="SAB172" s="201"/>
      <c r="SAC172" s="201"/>
      <c r="SAD172" s="201"/>
      <c r="SAE172" s="201"/>
      <c r="SAF172" s="201"/>
      <c r="SAG172" s="201"/>
      <c r="SAH172" s="201"/>
      <c r="SAI172" s="201"/>
      <c r="SAJ172" s="201"/>
      <c r="SAK172" s="201"/>
      <c r="SAL172" s="201"/>
      <c r="SAM172" s="201"/>
      <c r="SAN172" s="201"/>
      <c r="SAO172" s="201"/>
      <c r="SAP172" s="201"/>
      <c r="SAQ172" s="201"/>
      <c r="SAR172" s="201"/>
      <c r="SAS172" s="201"/>
      <c r="SAT172" s="201"/>
      <c r="SAU172" s="201"/>
      <c r="SAV172" s="201"/>
      <c r="SAW172" s="201"/>
      <c r="SAX172" s="201"/>
      <c r="SAY172" s="201"/>
      <c r="SAZ172" s="201"/>
      <c r="SBA172" s="201"/>
      <c r="SBB172" s="201"/>
      <c r="SBC172" s="201"/>
      <c r="SBD172" s="201"/>
      <c r="SBE172" s="201"/>
      <c r="SBF172" s="201"/>
      <c r="SBG172" s="201"/>
      <c r="SBH172" s="201"/>
      <c r="SBI172" s="201"/>
      <c r="SBJ172" s="201"/>
      <c r="SBK172" s="201"/>
      <c r="SBL172" s="201"/>
      <c r="SBM172" s="201"/>
      <c r="SBN172" s="201"/>
      <c r="SBO172" s="201"/>
      <c r="SBP172" s="201"/>
      <c r="SBQ172" s="201"/>
      <c r="SBR172" s="201"/>
      <c r="SBS172" s="201"/>
      <c r="SBT172" s="201"/>
      <c r="SBU172" s="201"/>
      <c r="SBV172" s="201"/>
      <c r="SBW172" s="201"/>
      <c r="SBX172" s="201"/>
      <c r="SBY172" s="201"/>
      <c r="SBZ172" s="201"/>
      <c r="SCA172" s="201"/>
      <c r="SCB172" s="201"/>
      <c r="SCC172" s="201"/>
      <c r="SCD172" s="201"/>
      <c r="SCE172" s="201"/>
      <c r="SCF172" s="201"/>
      <c r="SCG172" s="201"/>
      <c r="SCH172" s="201"/>
      <c r="SCI172" s="201"/>
      <c r="SCJ172" s="201"/>
      <c r="SCK172" s="201"/>
      <c r="SCL172" s="201"/>
      <c r="SCM172" s="201"/>
      <c r="SCN172" s="201"/>
      <c r="SCO172" s="201"/>
      <c r="SCP172" s="201"/>
      <c r="SCQ172" s="201"/>
      <c r="SCR172" s="201"/>
      <c r="SCS172" s="201"/>
      <c r="SCT172" s="201"/>
      <c r="SCU172" s="201"/>
      <c r="SCV172" s="201"/>
      <c r="SCW172" s="201"/>
      <c r="SCX172" s="201"/>
      <c r="SCY172" s="201"/>
      <c r="SCZ172" s="201"/>
      <c r="SDA172" s="201"/>
      <c r="SDB172" s="201"/>
      <c r="SDC172" s="201"/>
      <c r="SDD172" s="201"/>
      <c r="SDE172" s="201"/>
      <c r="SDF172" s="201"/>
      <c r="SDG172" s="201"/>
      <c r="SDH172" s="201"/>
      <c r="SDI172" s="201"/>
      <c r="SDJ172" s="201"/>
      <c r="SDK172" s="201"/>
      <c r="SDL172" s="201"/>
      <c r="SDM172" s="201"/>
      <c r="SDN172" s="201"/>
      <c r="SDO172" s="201"/>
      <c r="SDP172" s="201"/>
      <c r="SDQ172" s="201"/>
      <c r="SDR172" s="201"/>
      <c r="SDS172" s="201"/>
      <c r="SDT172" s="201"/>
      <c r="SDU172" s="201"/>
      <c r="SDV172" s="201"/>
      <c r="SDW172" s="201"/>
      <c r="SDX172" s="201"/>
      <c r="SDY172" s="201"/>
      <c r="SDZ172" s="201"/>
      <c r="SEA172" s="201"/>
      <c r="SEB172" s="201"/>
      <c r="SEC172" s="201"/>
      <c r="SED172" s="201"/>
      <c r="SEE172" s="201"/>
      <c r="SEF172" s="201"/>
      <c r="SEG172" s="201"/>
      <c r="SEH172" s="201"/>
      <c r="SEI172" s="201"/>
      <c r="SEJ172" s="201"/>
      <c r="SEK172" s="201"/>
      <c r="SEL172" s="201"/>
      <c r="SEM172" s="201"/>
      <c r="SEN172" s="201"/>
      <c r="SEO172" s="201"/>
      <c r="SEP172" s="201"/>
      <c r="SEQ172" s="201"/>
      <c r="SER172" s="201"/>
      <c r="SES172" s="201"/>
      <c r="SET172" s="201"/>
      <c r="SEU172" s="201"/>
      <c r="SEV172" s="201"/>
      <c r="SEW172" s="201"/>
      <c r="SEX172" s="201"/>
      <c r="SEY172" s="201"/>
      <c r="SEZ172" s="201"/>
      <c r="SFA172" s="201"/>
      <c r="SFB172" s="201"/>
      <c r="SFC172" s="201"/>
      <c r="SFD172" s="201"/>
      <c r="SFE172" s="201"/>
      <c r="SFF172" s="201"/>
      <c r="SFG172" s="201"/>
      <c r="SFH172" s="201"/>
      <c r="SFI172" s="201"/>
      <c r="SFJ172" s="201"/>
      <c r="SFK172" s="201"/>
      <c r="SFL172" s="201"/>
      <c r="SFM172" s="201"/>
      <c r="SFN172" s="201"/>
      <c r="SFO172" s="201"/>
      <c r="SFP172" s="201"/>
      <c r="SFQ172" s="201"/>
      <c r="SFR172" s="201"/>
      <c r="SFS172" s="201"/>
      <c r="SFT172" s="201"/>
      <c r="SFU172" s="201"/>
      <c r="SFV172" s="201"/>
      <c r="SFW172" s="201"/>
      <c r="SFX172" s="201"/>
      <c r="SFY172" s="201"/>
      <c r="SFZ172" s="201"/>
      <c r="SGA172" s="201"/>
      <c r="SGB172" s="201"/>
      <c r="SGC172" s="201"/>
      <c r="SGD172" s="201"/>
      <c r="SGE172" s="201"/>
      <c r="SGF172" s="201"/>
      <c r="SGG172" s="201"/>
      <c r="SGH172" s="201"/>
      <c r="SGI172" s="201"/>
      <c r="SGJ172" s="201"/>
      <c r="SGK172" s="201"/>
      <c r="SGL172" s="201"/>
      <c r="SGM172" s="201"/>
      <c r="SGN172" s="201"/>
      <c r="SGO172" s="201"/>
      <c r="SGP172" s="201"/>
      <c r="SGQ172" s="201"/>
      <c r="SGR172" s="201"/>
      <c r="SGS172" s="201"/>
      <c r="SGT172" s="201"/>
      <c r="SGU172" s="201"/>
      <c r="SGV172" s="201"/>
      <c r="SGW172" s="201"/>
      <c r="SGX172" s="201"/>
      <c r="SGY172" s="201"/>
      <c r="SGZ172" s="201"/>
      <c r="SHA172" s="201"/>
      <c r="SHB172" s="201"/>
      <c r="SHC172" s="201"/>
      <c r="SHD172" s="201"/>
      <c r="SHE172" s="201"/>
      <c r="SHF172" s="201"/>
      <c r="SHG172" s="201"/>
      <c r="SHH172" s="201"/>
      <c r="SHI172" s="201"/>
      <c r="SHJ172" s="201"/>
      <c r="SHK172" s="201"/>
      <c r="SHL172" s="201"/>
      <c r="SHM172" s="201"/>
      <c r="SHN172" s="201"/>
      <c r="SHO172" s="201"/>
      <c r="SHP172" s="201"/>
      <c r="SHQ172" s="201"/>
      <c r="SHR172" s="201"/>
      <c r="SHS172" s="201"/>
      <c r="SHT172" s="201"/>
      <c r="SHU172" s="201"/>
      <c r="SHV172" s="201"/>
      <c r="SHW172" s="201"/>
      <c r="SHX172" s="201"/>
      <c r="SHY172" s="201"/>
      <c r="SHZ172" s="201"/>
      <c r="SIA172" s="201"/>
      <c r="SIB172" s="201"/>
      <c r="SIC172" s="201"/>
      <c r="SID172" s="201"/>
      <c r="SIE172" s="201"/>
      <c r="SIF172" s="201"/>
      <c r="SIG172" s="201"/>
      <c r="SIH172" s="201"/>
      <c r="SII172" s="201"/>
      <c r="SIJ172" s="201"/>
      <c r="SIK172" s="201"/>
      <c r="SIL172" s="201"/>
      <c r="SIM172" s="201"/>
      <c r="SIN172" s="201"/>
      <c r="SIO172" s="201"/>
      <c r="SIP172" s="201"/>
      <c r="SIQ172" s="201"/>
      <c r="SIR172" s="201"/>
      <c r="SIS172" s="201"/>
      <c r="SIT172" s="201"/>
      <c r="SIU172" s="201"/>
      <c r="SIV172" s="201"/>
      <c r="SIW172" s="201"/>
      <c r="SIX172" s="201"/>
      <c r="SIY172" s="201"/>
      <c r="SIZ172" s="201"/>
      <c r="SJA172" s="201"/>
      <c r="SJB172" s="201"/>
      <c r="SJC172" s="201"/>
      <c r="SJD172" s="201"/>
      <c r="SJE172" s="201"/>
      <c r="SJF172" s="201"/>
      <c r="SJG172" s="201"/>
      <c r="SJH172" s="201"/>
      <c r="SJI172" s="201"/>
      <c r="SJJ172" s="201"/>
      <c r="SJK172" s="201"/>
      <c r="SJL172" s="201"/>
      <c r="SJM172" s="201"/>
      <c r="SJN172" s="201"/>
      <c r="SJO172" s="201"/>
      <c r="SJP172" s="201"/>
      <c r="SJQ172" s="201"/>
      <c r="SJR172" s="201"/>
      <c r="SJS172" s="201"/>
      <c r="SJT172" s="201"/>
      <c r="SJU172" s="201"/>
      <c r="SJV172" s="201"/>
      <c r="SJW172" s="201"/>
      <c r="SJX172" s="201"/>
      <c r="SJY172" s="201"/>
      <c r="SJZ172" s="201"/>
      <c r="SKA172" s="201"/>
      <c r="SKB172" s="201"/>
      <c r="SKC172" s="201"/>
      <c r="SKD172" s="201"/>
      <c r="SKE172" s="201"/>
      <c r="SKF172" s="201"/>
      <c r="SKG172" s="201"/>
      <c r="SKH172" s="201"/>
      <c r="SKI172" s="201"/>
      <c r="SKJ172" s="201"/>
      <c r="SKK172" s="201"/>
      <c r="SKL172" s="201"/>
      <c r="SKM172" s="201"/>
      <c r="SKN172" s="201"/>
      <c r="SKO172" s="201"/>
      <c r="SKP172" s="201"/>
      <c r="SKQ172" s="201"/>
      <c r="SKR172" s="201"/>
      <c r="SKS172" s="201"/>
      <c r="SKT172" s="201"/>
      <c r="SKU172" s="201"/>
      <c r="SKV172" s="201"/>
      <c r="SKW172" s="201"/>
      <c r="SKX172" s="201"/>
      <c r="SKY172" s="201"/>
      <c r="SKZ172" s="201"/>
      <c r="SLA172" s="201"/>
      <c r="SLB172" s="201"/>
      <c r="SLC172" s="201"/>
      <c r="SLD172" s="201"/>
      <c r="SLE172" s="201"/>
      <c r="SLF172" s="201"/>
      <c r="SLG172" s="201"/>
      <c r="SLH172" s="201"/>
      <c r="SLI172" s="201"/>
      <c r="SLJ172" s="201"/>
      <c r="SLK172" s="201"/>
      <c r="SLL172" s="201"/>
      <c r="SLM172" s="201"/>
      <c r="SLN172" s="201"/>
      <c r="SLO172" s="201"/>
      <c r="SLP172" s="201"/>
      <c r="SLQ172" s="201"/>
      <c r="SLR172" s="201"/>
      <c r="SLS172" s="201"/>
      <c r="SLT172" s="201"/>
      <c r="SLU172" s="201"/>
      <c r="SLV172" s="201"/>
      <c r="SLW172" s="201"/>
      <c r="SLX172" s="201"/>
      <c r="SLY172" s="201"/>
      <c r="SLZ172" s="201"/>
      <c r="SMA172" s="201"/>
      <c r="SMB172" s="201"/>
      <c r="SMC172" s="201"/>
      <c r="SMD172" s="201"/>
      <c r="SME172" s="201"/>
      <c r="SMF172" s="201"/>
      <c r="SMG172" s="201"/>
      <c r="SMH172" s="201"/>
      <c r="SMI172" s="201"/>
      <c r="SMJ172" s="201"/>
      <c r="SMK172" s="201"/>
      <c r="SML172" s="201"/>
      <c r="SMM172" s="201"/>
      <c r="SMN172" s="201"/>
      <c r="SMO172" s="201"/>
      <c r="SMP172" s="201"/>
      <c r="SMQ172" s="201"/>
      <c r="SMR172" s="201"/>
      <c r="SMS172" s="201"/>
      <c r="SMT172" s="201"/>
      <c r="SMU172" s="201"/>
      <c r="SMV172" s="201"/>
      <c r="SMW172" s="201"/>
      <c r="SMX172" s="201"/>
      <c r="SMY172" s="201"/>
      <c r="SMZ172" s="201"/>
      <c r="SNA172" s="201"/>
      <c r="SNB172" s="201"/>
      <c r="SNC172" s="201"/>
      <c r="SND172" s="201"/>
      <c r="SNE172" s="201"/>
      <c r="SNF172" s="201"/>
      <c r="SNG172" s="201"/>
      <c r="SNH172" s="201"/>
      <c r="SNI172" s="201"/>
      <c r="SNJ172" s="201"/>
      <c r="SNK172" s="201"/>
      <c r="SNL172" s="201"/>
      <c r="SNM172" s="201"/>
      <c r="SNN172" s="201"/>
      <c r="SNO172" s="201"/>
      <c r="SNP172" s="201"/>
      <c r="SNQ172" s="201"/>
      <c r="SNR172" s="201"/>
      <c r="SNS172" s="201"/>
      <c r="SNT172" s="201"/>
      <c r="SNU172" s="201"/>
      <c r="SNV172" s="201"/>
      <c r="SNW172" s="201"/>
      <c r="SNX172" s="201"/>
      <c r="SNY172" s="201"/>
      <c r="SNZ172" s="201"/>
      <c r="SOA172" s="201"/>
      <c r="SOB172" s="201"/>
      <c r="SOC172" s="201"/>
      <c r="SOD172" s="201"/>
      <c r="SOE172" s="201"/>
      <c r="SOF172" s="201"/>
      <c r="SOG172" s="201"/>
      <c r="SOH172" s="201"/>
      <c r="SOI172" s="201"/>
      <c r="SOJ172" s="201"/>
      <c r="SOK172" s="201"/>
      <c r="SOL172" s="201"/>
      <c r="SOM172" s="201"/>
      <c r="SON172" s="201"/>
      <c r="SOO172" s="201"/>
      <c r="SOP172" s="201"/>
      <c r="SOQ172" s="201"/>
      <c r="SOR172" s="201"/>
      <c r="SOS172" s="201"/>
      <c r="SOT172" s="201"/>
      <c r="SOU172" s="201"/>
      <c r="SOV172" s="201"/>
      <c r="SOW172" s="201"/>
      <c r="SOX172" s="201"/>
      <c r="SOY172" s="201"/>
      <c r="SOZ172" s="201"/>
      <c r="SPA172" s="201"/>
      <c r="SPB172" s="201"/>
      <c r="SPC172" s="201"/>
      <c r="SPD172" s="201"/>
      <c r="SPE172" s="201"/>
      <c r="SPF172" s="201"/>
      <c r="SPG172" s="201"/>
      <c r="SPH172" s="201"/>
      <c r="SPI172" s="201"/>
      <c r="SPJ172" s="201"/>
      <c r="SPK172" s="201"/>
      <c r="SPL172" s="201"/>
      <c r="SPM172" s="201"/>
      <c r="SPN172" s="201"/>
      <c r="SPO172" s="201"/>
      <c r="SPP172" s="201"/>
      <c r="SPQ172" s="201"/>
      <c r="SPR172" s="201"/>
      <c r="SPS172" s="201"/>
      <c r="SPT172" s="201"/>
      <c r="SPU172" s="201"/>
      <c r="SPV172" s="201"/>
      <c r="SPW172" s="201"/>
      <c r="SPX172" s="201"/>
      <c r="SPY172" s="201"/>
      <c r="SPZ172" s="201"/>
      <c r="SQA172" s="201"/>
      <c r="SQB172" s="201"/>
      <c r="SQC172" s="201"/>
      <c r="SQD172" s="201"/>
      <c r="SQE172" s="201"/>
      <c r="SQF172" s="201"/>
      <c r="SQG172" s="201"/>
      <c r="SQH172" s="201"/>
      <c r="SQI172" s="201"/>
      <c r="SQJ172" s="201"/>
      <c r="SQK172" s="201"/>
      <c r="SQL172" s="201"/>
      <c r="SQM172" s="201"/>
      <c r="SQN172" s="201"/>
      <c r="SQO172" s="201"/>
      <c r="SQP172" s="201"/>
      <c r="SQQ172" s="201"/>
      <c r="SQR172" s="201"/>
      <c r="SQS172" s="201"/>
      <c r="SQT172" s="201"/>
      <c r="SQU172" s="201"/>
      <c r="SQV172" s="201"/>
      <c r="SQW172" s="201"/>
      <c r="SQX172" s="201"/>
      <c r="SQY172" s="201"/>
      <c r="SQZ172" s="201"/>
      <c r="SRA172" s="201"/>
      <c r="SRB172" s="201"/>
      <c r="SRC172" s="201"/>
      <c r="SRD172" s="201"/>
      <c r="SRE172" s="201"/>
      <c r="SRF172" s="201"/>
      <c r="SRG172" s="201"/>
      <c r="SRH172" s="201"/>
      <c r="SRI172" s="201"/>
      <c r="SRJ172" s="201"/>
      <c r="SRK172" s="201"/>
      <c r="SRL172" s="201"/>
      <c r="SRM172" s="201"/>
      <c r="SRN172" s="201"/>
      <c r="SRO172" s="201"/>
      <c r="SRP172" s="201"/>
      <c r="SRQ172" s="201"/>
      <c r="SRR172" s="201"/>
      <c r="SRS172" s="201"/>
      <c r="SRT172" s="201"/>
      <c r="SRU172" s="201"/>
      <c r="SRV172" s="201"/>
      <c r="SRW172" s="201"/>
      <c r="SRX172" s="201"/>
      <c r="SRY172" s="201"/>
      <c r="SRZ172" s="201"/>
      <c r="SSA172" s="201"/>
      <c r="SSB172" s="201"/>
      <c r="SSC172" s="201"/>
      <c r="SSD172" s="201"/>
      <c r="SSE172" s="201"/>
      <c r="SSF172" s="201"/>
      <c r="SSG172" s="201"/>
      <c r="SSH172" s="201"/>
      <c r="SSI172" s="201"/>
      <c r="SSJ172" s="201"/>
      <c r="SSK172" s="201"/>
      <c r="SSL172" s="201"/>
      <c r="SSM172" s="201"/>
      <c r="SSN172" s="201"/>
      <c r="SSO172" s="201"/>
      <c r="SSP172" s="201"/>
      <c r="SSQ172" s="201"/>
      <c r="SSR172" s="201"/>
      <c r="SSS172" s="201"/>
      <c r="SST172" s="201"/>
      <c r="SSU172" s="201"/>
      <c r="SSV172" s="201"/>
      <c r="SSW172" s="201"/>
      <c r="SSX172" s="201"/>
      <c r="SSY172" s="201"/>
      <c r="SSZ172" s="201"/>
      <c r="STA172" s="201"/>
      <c r="STB172" s="201"/>
      <c r="STC172" s="201"/>
      <c r="STD172" s="201"/>
      <c r="STE172" s="201"/>
      <c r="STF172" s="201"/>
      <c r="STG172" s="201"/>
      <c r="STH172" s="201"/>
      <c r="STI172" s="201"/>
      <c r="STJ172" s="201"/>
      <c r="STK172" s="201"/>
      <c r="STL172" s="201"/>
      <c r="STM172" s="201"/>
      <c r="STN172" s="201"/>
      <c r="STO172" s="201"/>
      <c r="STP172" s="201"/>
      <c r="STQ172" s="201"/>
      <c r="STR172" s="201"/>
      <c r="STS172" s="201"/>
      <c r="STT172" s="201"/>
      <c r="STU172" s="201"/>
      <c r="STV172" s="201"/>
      <c r="STW172" s="201"/>
      <c r="STX172" s="201"/>
      <c r="STY172" s="201"/>
      <c r="STZ172" s="201"/>
      <c r="SUA172" s="201"/>
      <c r="SUB172" s="201"/>
      <c r="SUC172" s="201"/>
      <c r="SUD172" s="201"/>
      <c r="SUE172" s="201"/>
      <c r="SUF172" s="201"/>
      <c r="SUG172" s="201"/>
      <c r="SUH172" s="201"/>
      <c r="SUI172" s="201"/>
      <c r="SUJ172" s="201"/>
      <c r="SUK172" s="201"/>
      <c r="SUL172" s="201"/>
      <c r="SUM172" s="201"/>
      <c r="SUN172" s="201"/>
      <c r="SUO172" s="201"/>
      <c r="SUP172" s="201"/>
      <c r="SUQ172" s="201"/>
      <c r="SUR172" s="201"/>
      <c r="SUS172" s="201"/>
      <c r="SUT172" s="201"/>
      <c r="SUU172" s="201"/>
      <c r="SUV172" s="201"/>
      <c r="SUW172" s="201"/>
      <c r="SUX172" s="201"/>
      <c r="SUY172" s="201"/>
      <c r="SUZ172" s="201"/>
      <c r="SVA172" s="201"/>
      <c r="SVB172" s="201"/>
      <c r="SVC172" s="201"/>
      <c r="SVD172" s="201"/>
      <c r="SVE172" s="201"/>
      <c r="SVF172" s="201"/>
      <c r="SVG172" s="201"/>
      <c r="SVH172" s="201"/>
      <c r="SVI172" s="201"/>
      <c r="SVJ172" s="201"/>
      <c r="SVK172" s="201"/>
      <c r="SVL172" s="201"/>
      <c r="SVM172" s="201"/>
      <c r="SVN172" s="201"/>
      <c r="SVO172" s="201"/>
      <c r="SVP172" s="201"/>
      <c r="SVQ172" s="201"/>
      <c r="SVR172" s="201"/>
      <c r="SVS172" s="201"/>
      <c r="SVT172" s="201"/>
      <c r="SVU172" s="201"/>
      <c r="SVV172" s="201"/>
      <c r="SVW172" s="201"/>
      <c r="SVX172" s="201"/>
      <c r="SVY172" s="201"/>
      <c r="SVZ172" s="201"/>
      <c r="SWA172" s="201"/>
      <c r="SWB172" s="201"/>
      <c r="SWC172" s="201"/>
      <c r="SWD172" s="201"/>
      <c r="SWE172" s="201"/>
      <c r="SWF172" s="201"/>
      <c r="SWG172" s="201"/>
      <c r="SWH172" s="201"/>
      <c r="SWI172" s="201"/>
      <c r="SWJ172" s="201"/>
      <c r="SWK172" s="201"/>
      <c r="SWL172" s="201"/>
      <c r="SWM172" s="201"/>
      <c r="SWN172" s="201"/>
      <c r="SWO172" s="201"/>
      <c r="SWP172" s="201"/>
      <c r="SWQ172" s="201"/>
      <c r="SWR172" s="201"/>
      <c r="SWS172" s="201"/>
      <c r="SWT172" s="201"/>
      <c r="SWU172" s="201"/>
      <c r="SWV172" s="201"/>
      <c r="SWW172" s="201"/>
      <c r="SWX172" s="201"/>
      <c r="SWY172" s="201"/>
      <c r="SWZ172" s="201"/>
      <c r="SXA172" s="201"/>
      <c r="SXB172" s="201"/>
      <c r="SXC172" s="201"/>
      <c r="SXD172" s="201"/>
      <c r="SXE172" s="201"/>
      <c r="SXF172" s="201"/>
      <c r="SXG172" s="201"/>
      <c r="SXH172" s="201"/>
      <c r="SXI172" s="201"/>
      <c r="SXJ172" s="201"/>
      <c r="SXK172" s="201"/>
      <c r="SXL172" s="201"/>
      <c r="SXM172" s="201"/>
      <c r="SXN172" s="201"/>
      <c r="SXO172" s="201"/>
      <c r="SXP172" s="201"/>
      <c r="SXQ172" s="201"/>
      <c r="SXR172" s="201"/>
      <c r="SXS172" s="201"/>
      <c r="SXT172" s="201"/>
      <c r="SXU172" s="201"/>
      <c r="SXV172" s="201"/>
      <c r="SXW172" s="201"/>
      <c r="SXX172" s="201"/>
      <c r="SXY172" s="201"/>
      <c r="SXZ172" s="201"/>
      <c r="SYA172" s="201"/>
      <c r="SYB172" s="201"/>
      <c r="SYC172" s="201"/>
      <c r="SYD172" s="201"/>
      <c r="SYE172" s="201"/>
      <c r="SYF172" s="201"/>
      <c r="SYG172" s="201"/>
      <c r="SYH172" s="201"/>
      <c r="SYI172" s="201"/>
      <c r="SYJ172" s="201"/>
      <c r="SYK172" s="201"/>
      <c r="SYL172" s="201"/>
      <c r="SYM172" s="201"/>
      <c r="SYN172" s="201"/>
      <c r="SYO172" s="201"/>
      <c r="SYP172" s="201"/>
      <c r="SYQ172" s="201"/>
      <c r="SYR172" s="201"/>
      <c r="SYS172" s="201"/>
      <c r="SYT172" s="201"/>
      <c r="SYU172" s="201"/>
      <c r="SYV172" s="201"/>
      <c r="SYW172" s="201"/>
      <c r="SYX172" s="201"/>
      <c r="SYY172" s="201"/>
      <c r="SYZ172" s="201"/>
      <c r="SZA172" s="201"/>
      <c r="SZB172" s="201"/>
      <c r="SZC172" s="201"/>
      <c r="SZD172" s="201"/>
      <c r="SZE172" s="201"/>
      <c r="SZF172" s="201"/>
      <c r="SZG172" s="201"/>
      <c r="SZH172" s="201"/>
      <c r="SZI172" s="201"/>
      <c r="SZJ172" s="201"/>
      <c r="SZK172" s="201"/>
      <c r="SZL172" s="201"/>
      <c r="SZM172" s="201"/>
      <c r="SZN172" s="201"/>
      <c r="SZO172" s="201"/>
      <c r="SZP172" s="201"/>
      <c r="SZQ172" s="201"/>
      <c r="SZR172" s="201"/>
      <c r="SZS172" s="201"/>
      <c r="SZT172" s="201"/>
      <c r="SZU172" s="201"/>
      <c r="SZV172" s="201"/>
      <c r="SZW172" s="201"/>
      <c r="SZX172" s="201"/>
      <c r="SZY172" s="201"/>
      <c r="SZZ172" s="201"/>
      <c r="TAA172" s="201"/>
      <c r="TAB172" s="201"/>
      <c r="TAC172" s="201"/>
      <c r="TAD172" s="201"/>
      <c r="TAE172" s="201"/>
      <c r="TAF172" s="201"/>
      <c r="TAG172" s="201"/>
      <c r="TAH172" s="201"/>
      <c r="TAI172" s="201"/>
      <c r="TAJ172" s="201"/>
      <c r="TAK172" s="201"/>
      <c r="TAL172" s="201"/>
      <c r="TAM172" s="201"/>
      <c r="TAN172" s="201"/>
      <c r="TAO172" s="201"/>
      <c r="TAP172" s="201"/>
      <c r="TAQ172" s="201"/>
      <c r="TAR172" s="201"/>
      <c r="TAS172" s="201"/>
      <c r="TAT172" s="201"/>
      <c r="TAU172" s="201"/>
      <c r="TAV172" s="201"/>
      <c r="TAW172" s="201"/>
      <c r="TAX172" s="201"/>
      <c r="TAY172" s="201"/>
      <c r="TAZ172" s="201"/>
      <c r="TBA172" s="201"/>
      <c r="TBB172" s="201"/>
      <c r="TBC172" s="201"/>
      <c r="TBD172" s="201"/>
      <c r="TBE172" s="201"/>
      <c r="TBF172" s="201"/>
      <c r="TBG172" s="201"/>
      <c r="TBH172" s="201"/>
      <c r="TBI172" s="201"/>
      <c r="TBJ172" s="201"/>
      <c r="TBK172" s="201"/>
      <c r="TBL172" s="201"/>
      <c r="TBM172" s="201"/>
      <c r="TBN172" s="201"/>
      <c r="TBO172" s="201"/>
      <c r="TBP172" s="201"/>
      <c r="TBQ172" s="201"/>
      <c r="TBR172" s="201"/>
      <c r="TBS172" s="201"/>
      <c r="TBT172" s="201"/>
      <c r="TBU172" s="201"/>
      <c r="TBV172" s="201"/>
      <c r="TBW172" s="201"/>
      <c r="TBX172" s="201"/>
      <c r="TBY172" s="201"/>
      <c r="TBZ172" s="201"/>
      <c r="TCA172" s="201"/>
      <c r="TCB172" s="201"/>
      <c r="TCC172" s="201"/>
      <c r="TCD172" s="201"/>
      <c r="TCE172" s="201"/>
      <c r="TCF172" s="201"/>
      <c r="TCG172" s="201"/>
      <c r="TCH172" s="201"/>
      <c r="TCI172" s="201"/>
      <c r="TCJ172" s="201"/>
      <c r="TCK172" s="201"/>
      <c r="TCL172" s="201"/>
      <c r="TCM172" s="201"/>
      <c r="TCN172" s="201"/>
      <c r="TCO172" s="201"/>
      <c r="TCP172" s="201"/>
      <c r="TCQ172" s="201"/>
      <c r="TCR172" s="201"/>
      <c r="TCS172" s="201"/>
      <c r="TCT172" s="201"/>
      <c r="TCU172" s="201"/>
      <c r="TCV172" s="201"/>
      <c r="TCW172" s="201"/>
      <c r="TCX172" s="201"/>
      <c r="TCY172" s="201"/>
      <c r="TCZ172" s="201"/>
      <c r="TDA172" s="201"/>
      <c r="TDB172" s="201"/>
      <c r="TDC172" s="201"/>
      <c r="TDD172" s="201"/>
      <c r="TDE172" s="201"/>
      <c r="TDF172" s="201"/>
      <c r="TDG172" s="201"/>
      <c r="TDH172" s="201"/>
      <c r="TDI172" s="201"/>
      <c r="TDJ172" s="201"/>
      <c r="TDK172" s="201"/>
      <c r="TDL172" s="201"/>
      <c r="TDM172" s="201"/>
      <c r="TDN172" s="201"/>
      <c r="TDO172" s="201"/>
      <c r="TDP172" s="201"/>
      <c r="TDQ172" s="201"/>
      <c r="TDR172" s="201"/>
      <c r="TDS172" s="201"/>
      <c r="TDT172" s="201"/>
      <c r="TDU172" s="201"/>
      <c r="TDV172" s="201"/>
      <c r="TDW172" s="201"/>
      <c r="TDX172" s="201"/>
      <c r="TDY172" s="201"/>
      <c r="TDZ172" s="201"/>
      <c r="TEA172" s="201"/>
      <c r="TEB172" s="201"/>
      <c r="TEC172" s="201"/>
      <c r="TED172" s="201"/>
      <c r="TEE172" s="201"/>
      <c r="TEF172" s="201"/>
      <c r="TEG172" s="201"/>
      <c r="TEH172" s="201"/>
      <c r="TEI172" s="201"/>
      <c r="TEJ172" s="201"/>
      <c r="TEK172" s="201"/>
      <c r="TEL172" s="201"/>
      <c r="TEM172" s="201"/>
      <c r="TEN172" s="201"/>
      <c r="TEO172" s="201"/>
      <c r="TEP172" s="201"/>
      <c r="TEQ172" s="201"/>
      <c r="TER172" s="201"/>
      <c r="TES172" s="201"/>
      <c r="TET172" s="201"/>
      <c r="TEU172" s="201"/>
      <c r="TEV172" s="201"/>
      <c r="TEW172" s="201"/>
      <c r="TEX172" s="201"/>
      <c r="TEY172" s="201"/>
      <c r="TEZ172" s="201"/>
      <c r="TFA172" s="201"/>
      <c r="TFB172" s="201"/>
      <c r="TFC172" s="201"/>
      <c r="TFD172" s="201"/>
      <c r="TFE172" s="201"/>
      <c r="TFF172" s="201"/>
      <c r="TFG172" s="201"/>
      <c r="TFH172" s="201"/>
      <c r="TFI172" s="201"/>
      <c r="TFJ172" s="201"/>
      <c r="TFK172" s="201"/>
      <c r="TFL172" s="201"/>
      <c r="TFM172" s="201"/>
      <c r="TFN172" s="201"/>
      <c r="TFO172" s="201"/>
      <c r="TFP172" s="201"/>
      <c r="TFQ172" s="201"/>
      <c r="TFR172" s="201"/>
      <c r="TFS172" s="201"/>
      <c r="TFT172" s="201"/>
      <c r="TFU172" s="201"/>
      <c r="TFV172" s="201"/>
      <c r="TFW172" s="201"/>
      <c r="TFX172" s="201"/>
      <c r="TFY172" s="201"/>
      <c r="TFZ172" s="201"/>
      <c r="TGA172" s="201"/>
      <c r="TGB172" s="201"/>
      <c r="TGC172" s="201"/>
      <c r="TGD172" s="201"/>
      <c r="TGE172" s="201"/>
      <c r="TGF172" s="201"/>
      <c r="TGG172" s="201"/>
      <c r="TGH172" s="201"/>
      <c r="TGI172" s="201"/>
      <c r="TGJ172" s="201"/>
      <c r="TGK172" s="201"/>
      <c r="TGL172" s="201"/>
      <c r="TGM172" s="201"/>
      <c r="TGN172" s="201"/>
      <c r="TGO172" s="201"/>
      <c r="TGP172" s="201"/>
      <c r="TGQ172" s="201"/>
      <c r="TGR172" s="201"/>
      <c r="TGS172" s="201"/>
      <c r="TGT172" s="201"/>
      <c r="TGU172" s="201"/>
      <c r="TGV172" s="201"/>
      <c r="TGW172" s="201"/>
      <c r="TGX172" s="201"/>
      <c r="TGY172" s="201"/>
      <c r="TGZ172" s="201"/>
      <c r="THA172" s="201"/>
      <c r="THB172" s="201"/>
      <c r="THC172" s="201"/>
      <c r="THD172" s="201"/>
      <c r="THE172" s="201"/>
      <c r="THF172" s="201"/>
      <c r="THG172" s="201"/>
      <c r="THH172" s="201"/>
      <c r="THI172" s="201"/>
      <c r="THJ172" s="201"/>
      <c r="THK172" s="201"/>
      <c r="THL172" s="201"/>
      <c r="THM172" s="201"/>
      <c r="THN172" s="201"/>
      <c r="THO172" s="201"/>
      <c r="THP172" s="201"/>
      <c r="THQ172" s="201"/>
      <c r="THR172" s="201"/>
      <c r="THS172" s="201"/>
      <c r="THT172" s="201"/>
      <c r="THU172" s="201"/>
      <c r="THV172" s="201"/>
      <c r="THW172" s="201"/>
      <c r="THX172" s="201"/>
      <c r="THY172" s="201"/>
      <c r="THZ172" s="201"/>
      <c r="TIA172" s="201"/>
      <c r="TIB172" s="201"/>
      <c r="TIC172" s="201"/>
      <c r="TID172" s="201"/>
      <c r="TIE172" s="201"/>
      <c r="TIF172" s="201"/>
      <c r="TIG172" s="201"/>
      <c r="TIH172" s="201"/>
      <c r="TII172" s="201"/>
      <c r="TIJ172" s="201"/>
      <c r="TIK172" s="201"/>
      <c r="TIL172" s="201"/>
      <c r="TIM172" s="201"/>
      <c r="TIN172" s="201"/>
      <c r="TIO172" s="201"/>
      <c r="TIP172" s="201"/>
      <c r="TIQ172" s="201"/>
      <c r="TIR172" s="201"/>
      <c r="TIS172" s="201"/>
      <c r="TIT172" s="201"/>
      <c r="TIU172" s="201"/>
      <c r="TIV172" s="201"/>
      <c r="TIW172" s="201"/>
      <c r="TIX172" s="201"/>
      <c r="TIY172" s="201"/>
      <c r="TIZ172" s="201"/>
      <c r="TJA172" s="201"/>
      <c r="TJB172" s="201"/>
      <c r="TJC172" s="201"/>
      <c r="TJD172" s="201"/>
      <c r="TJE172" s="201"/>
      <c r="TJF172" s="201"/>
      <c r="TJG172" s="201"/>
      <c r="TJH172" s="201"/>
      <c r="TJI172" s="201"/>
      <c r="TJJ172" s="201"/>
      <c r="TJK172" s="201"/>
      <c r="TJL172" s="201"/>
      <c r="TJM172" s="201"/>
      <c r="TJN172" s="201"/>
      <c r="TJO172" s="201"/>
      <c r="TJP172" s="201"/>
      <c r="TJQ172" s="201"/>
      <c r="TJR172" s="201"/>
      <c r="TJS172" s="201"/>
      <c r="TJT172" s="201"/>
      <c r="TJU172" s="201"/>
      <c r="TJV172" s="201"/>
      <c r="TJW172" s="201"/>
      <c r="TJX172" s="201"/>
      <c r="TJY172" s="201"/>
      <c r="TJZ172" s="201"/>
      <c r="TKA172" s="201"/>
      <c r="TKB172" s="201"/>
      <c r="TKC172" s="201"/>
      <c r="TKD172" s="201"/>
      <c r="TKE172" s="201"/>
      <c r="TKF172" s="201"/>
      <c r="TKG172" s="201"/>
      <c r="TKH172" s="201"/>
      <c r="TKI172" s="201"/>
      <c r="TKJ172" s="201"/>
      <c r="TKK172" s="201"/>
      <c r="TKL172" s="201"/>
      <c r="TKM172" s="201"/>
      <c r="TKN172" s="201"/>
      <c r="TKO172" s="201"/>
      <c r="TKP172" s="201"/>
      <c r="TKQ172" s="201"/>
      <c r="TKR172" s="201"/>
      <c r="TKS172" s="201"/>
      <c r="TKT172" s="201"/>
      <c r="TKU172" s="201"/>
      <c r="TKV172" s="201"/>
      <c r="TKW172" s="201"/>
      <c r="TKX172" s="201"/>
      <c r="TKY172" s="201"/>
      <c r="TKZ172" s="201"/>
      <c r="TLA172" s="201"/>
      <c r="TLB172" s="201"/>
      <c r="TLC172" s="201"/>
      <c r="TLD172" s="201"/>
      <c r="TLE172" s="201"/>
      <c r="TLF172" s="201"/>
      <c r="TLG172" s="201"/>
      <c r="TLH172" s="201"/>
      <c r="TLI172" s="201"/>
      <c r="TLJ172" s="201"/>
      <c r="TLK172" s="201"/>
      <c r="TLL172" s="201"/>
      <c r="TLM172" s="201"/>
      <c r="TLN172" s="201"/>
      <c r="TLO172" s="201"/>
      <c r="TLP172" s="201"/>
      <c r="TLQ172" s="201"/>
      <c r="TLR172" s="201"/>
      <c r="TLS172" s="201"/>
      <c r="TLT172" s="201"/>
      <c r="TLU172" s="201"/>
      <c r="TLV172" s="201"/>
      <c r="TLW172" s="201"/>
      <c r="TLX172" s="201"/>
      <c r="TLY172" s="201"/>
      <c r="TLZ172" s="201"/>
      <c r="TMA172" s="201"/>
      <c r="TMB172" s="201"/>
      <c r="TMC172" s="201"/>
      <c r="TMD172" s="201"/>
      <c r="TME172" s="201"/>
      <c r="TMF172" s="201"/>
      <c r="TMG172" s="201"/>
      <c r="TMH172" s="201"/>
      <c r="TMI172" s="201"/>
      <c r="TMJ172" s="201"/>
      <c r="TMK172" s="201"/>
      <c r="TML172" s="201"/>
      <c r="TMM172" s="201"/>
      <c r="TMN172" s="201"/>
      <c r="TMO172" s="201"/>
      <c r="TMP172" s="201"/>
      <c r="TMQ172" s="201"/>
      <c r="TMR172" s="201"/>
      <c r="TMS172" s="201"/>
      <c r="TMT172" s="201"/>
      <c r="TMU172" s="201"/>
      <c r="TMV172" s="201"/>
      <c r="TMW172" s="201"/>
      <c r="TMX172" s="201"/>
      <c r="TMY172" s="201"/>
      <c r="TMZ172" s="201"/>
      <c r="TNA172" s="201"/>
      <c r="TNB172" s="201"/>
      <c r="TNC172" s="201"/>
      <c r="TND172" s="201"/>
      <c r="TNE172" s="201"/>
      <c r="TNF172" s="201"/>
      <c r="TNG172" s="201"/>
      <c r="TNH172" s="201"/>
      <c r="TNI172" s="201"/>
      <c r="TNJ172" s="201"/>
      <c r="TNK172" s="201"/>
      <c r="TNL172" s="201"/>
      <c r="TNM172" s="201"/>
      <c r="TNN172" s="201"/>
      <c r="TNO172" s="201"/>
      <c r="TNP172" s="201"/>
      <c r="TNQ172" s="201"/>
      <c r="TNR172" s="201"/>
      <c r="TNS172" s="201"/>
      <c r="TNT172" s="201"/>
      <c r="TNU172" s="201"/>
      <c r="TNV172" s="201"/>
      <c r="TNW172" s="201"/>
      <c r="TNX172" s="201"/>
      <c r="TNY172" s="201"/>
      <c r="TNZ172" s="201"/>
      <c r="TOA172" s="201"/>
      <c r="TOB172" s="201"/>
      <c r="TOC172" s="201"/>
      <c r="TOD172" s="201"/>
      <c r="TOE172" s="201"/>
      <c r="TOF172" s="201"/>
      <c r="TOG172" s="201"/>
      <c r="TOH172" s="201"/>
      <c r="TOI172" s="201"/>
      <c r="TOJ172" s="201"/>
      <c r="TOK172" s="201"/>
      <c r="TOL172" s="201"/>
      <c r="TOM172" s="201"/>
      <c r="TON172" s="201"/>
      <c r="TOO172" s="201"/>
      <c r="TOP172" s="201"/>
      <c r="TOQ172" s="201"/>
      <c r="TOR172" s="201"/>
      <c r="TOS172" s="201"/>
      <c r="TOT172" s="201"/>
      <c r="TOU172" s="201"/>
      <c r="TOV172" s="201"/>
      <c r="TOW172" s="201"/>
      <c r="TOX172" s="201"/>
      <c r="TOY172" s="201"/>
      <c r="TOZ172" s="201"/>
      <c r="TPA172" s="201"/>
      <c r="TPB172" s="201"/>
      <c r="TPC172" s="201"/>
      <c r="TPD172" s="201"/>
      <c r="TPE172" s="201"/>
      <c r="TPF172" s="201"/>
      <c r="TPG172" s="201"/>
      <c r="TPH172" s="201"/>
      <c r="TPI172" s="201"/>
      <c r="TPJ172" s="201"/>
      <c r="TPK172" s="201"/>
      <c r="TPL172" s="201"/>
      <c r="TPM172" s="201"/>
      <c r="TPN172" s="201"/>
      <c r="TPO172" s="201"/>
      <c r="TPP172" s="201"/>
      <c r="TPQ172" s="201"/>
      <c r="TPR172" s="201"/>
      <c r="TPS172" s="201"/>
      <c r="TPT172" s="201"/>
      <c r="TPU172" s="201"/>
      <c r="TPV172" s="201"/>
      <c r="TPW172" s="201"/>
      <c r="TPX172" s="201"/>
      <c r="TPY172" s="201"/>
      <c r="TPZ172" s="201"/>
      <c r="TQA172" s="201"/>
      <c r="TQB172" s="201"/>
      <c r="TQC172" s="201"/>
      <c r="TQD172" s="201"/>
      <c r="TQE172" s="201"/>
      <c r="TQF172" s="201"/>
      <c r="TQG172" s="201"/>
      <c r="TQH172" s="201"/>
      <c r="TQI172" s="201"/>
      <c r="TQJ172" s="201"/>
      <c r="TQK172" s="201"/>
      <c r="TQL172" s="201"/>
      <c r="TQM172" s="201"/>
      <c r="TQN172" s="201"/>
      <c r="TQO172" s="201"/>
      <c r="TQP172" s="201"/>
      <c r="TQQ172" s="201"/>
      <c r="TQR172" s="201"/>
      <c r="TQS172" s="201"/>
      <c r="TQT172" s="201"/>
      <c r="TQU172" s="201"/>
      <c r="TQV172" s="201"/>
      <c r="TQW172" s="201"/>
      <c r="TQX172" s="201"/>
      <c r="TQY172" s="201"/>
      <c r="TQZ172" s="201"/>
      <c r="TRA172" s="201"/>
      <c r="TRB172" s="201"/>
      <c r="TRC172" s="201"/>
      <c r="TRD172" s="201"/>
      <c r="TRE172" s="201"/>
      <c r="TRF172" s="201"/>
      <c r="TRG172" s="201"/>
      <c r="TRH172" s="201"/>
      <c r="TRI172" s="201"/>
      <c r="TRJ172" s="201"/>
      <c r="TRK172" s="201"/>
      <c r="TRL172" s="201"/>
      <c r="TRM172" s="201"/>
      <c r="TRN172" s="201"/>
      <c r="TRO172" s="201"/>
      <c r="TRP172" s="201"/>
      <c r="TRQ172" s="201"/>
      <c r="TRR172" s="201"/>
      <c r="TRS172" s="201"/>
      <c r="TRT172" s="201"/>
      <c r="TRU172" s="201"/>
      <c r="TRV172" s="201"/>
      <c r="TRW172" s="201"/>
      <c r="TRX172" s="201"/>
      <c r="TRY172" s="201"/>
      <c r="TRZ172" s="201"/>
      <c r="TSA172" s="201"/>
      <c r="TSB172" s="201"/>
      <c r="TSC172" s="201"/>
      <c r="TSD172" s="201"/>
      <c r="TSE172" s="201"/>
      <c r="TSF172" s="201"/>
      <c r="TSG172" s="201"/>
      <c r="TSH172" s="201"/>
      <c r="TSI172" s="201"/>
      <c r="TSJ172" s="201"/>
      <c r="TSK172" s="201"/>
      <c r="TSL172" s="201"/>
      <c r="TSM172" s="201"/>
      <c r="TSN172" s="201"/>
      <c r="TSO172" s="201"/>
      <c r="TSP172" s="201"/>
      <c r="TSQ172" s="201"/>
      <c r="TSR172" s="201"/>
      <c r="TSS172" s="201"/>
      <c r="TST172" s="201"/>
      <c r="TSU172" s="201"/>
      <c r="TSV172" s="201"/>
      <c r="TSW172" s="201"/>
      <c r="TSX172" s="201"/>
      <c r="TSY172" s="201"/>
      <c r="TSZ172" s="201"/>
      <c r="TTA172" s="201"/>
      <c r="TTB172" s="201"/>
      <c r="TTC172" s="201"/>
      <c r="TTD172" s="201"/>
      <c r="TTE172" s="201"/>
      <c r="TTF172" s="201"/>
      <c r="TTG172" s="201"/>
      <c r="TTH172" s="201"/>
      <c r="TTI172" s="201"/>
      <c r="TTJ172" s="201"/>
      <c r="TTK172" s="201"/>
      <c r="TTL172" s="201"/>
      <c r="TTM172" s="201"/>
      <c r="TTN172" s="201"/>
      <c r="TTO172" s="201"/>
      <c r="TTP172" s="201"/>
      <c r="TTQ172" s="201"/>
      <c r="TTR172" s="201"/>
      <c r="TTS172" s="201"/>
      <c r="TTT172" s="201"/>
      <c r="TTU172" s="201"/>
      <c r="TTV172" s="201"/>
      <c r="TTW172" s="201"/>
      <c r="TTX172" s="201"/>
      <c r="TTY172" s="201"/>
      <c r="TTZ172" s="201"/>
      <c r="TUA172" s="201"/>
      <c r="TUB172" s="201"/>
      <c r="TUC172" s="201"/>
      <c r="TUD172" s="201"/>
      <c r="TUE172" s="201"/>
      <c r="TUF172" s="201"/>
      <c r="TUG172" s="201"/>
      <c r="TUH172" s="201"/>
      <c r="TUI172" s="201"/>
      <c r="TUJ172" s="201"/>
      <c r="TUK172" s="201"/>
      <c r="TUL172" s="201"/>
      <c r="TUM172" s="201"/>
      <c r="TUN172" s="201"/>
      <c r="TUO172" s="201"/>
      <c r="TUP172" s="201"/>
      <c r="TUQ172" s="201"/>
      <c r="TUR172" s="201"/>
      <c r="TUS172" s="201"/>
      <c r="TUT172" s="201"/>
      <c r="TUU172" s="201"/>
      <c r="TUV172" s="201"/>
      <c r="TUW172" s="201"/>
      <c r="TUX172" s="201"/>
      <c r="TUY172" s="201"/>
      <c r="TUZ172" s="201"/>
      <c r="TVA172" s="201"/>
      <c r="TVB172" s="201"/>
      <c r="TVC172" s="201"/>
      <c r="TVD172" s="201"/>
      <c r="TVE172" s="201"/>
      <c r="TVF172" s="201"/>
      <c r="TVG172" s="201"/>
      <c r="TVH172" s="201"/>
      <c r="TVI172" s="201"/>
      <c r="TVJ172" s="201"/>
      <c r="TVK172" s="201"/>
      <c r="TVL172" s="201"/>
      <c r="TVM172" s="201"/>
      <c r="TVN172" s="201"/>
      <c r="TVO172" s="201"/>
      <c r="TVP172" s="201"/>
      <c r="TVQ172" s="201"/>
      <c r="TVR172" s="201"/>
      <c r="TVS172" s="201"/>
      <c r="TVT172" s="201"/>
      <c r="TVU172" s="201"/>
      <c r="TVV172" s="201"/>
      <c r="TVW172" s="201"/>
      <c r="TVX172" s="201"/>
      <c r="TVY172" s="201"/>
      <c r="TVZ172" s="201"/>
      <c r="TWA172" s="201"/>
      <c r="TWB172" s="201"/>
      <c r="TWC172" s="201"/>
      <c r="TWD172" s="201"/>
      <c r="TWE172" s="201"/>
      <c r="TWF172" s="201"/>
      <c r="TWG172" s="201"/>
      <c r="TWH172" s="201"/>
      <c r="TWI172" s="201"/>
      <c r="TWJ172" s="201"/>
      <c r="TWK172" s="201"/>
      <c r="TWL172" s="201"/>
      <c r="TWM172" s="201"/>
      <c r="TWN172" s="201"/>
      <c r="TWO172" s="201"/>
      <c r="TWP172" s="201"/>
      <c r="TWQ172" s="201"/>
      <c r="TWR172" s="201"/>
      <c r="TWS172" s="201"/>
      <c r="TWT172" s="201"/>
      <c r="TWU172" s="201"/>
      <c r="TWV172" s="201"/>
      <c r="TWW172" s="201"/>
      <c r="TWX172" s="201"/>
      <c r="TWY172" s="201"/>
      <c r="TWZ172" s="201"/>
      <c r="TXA172" s="201"/>
      <c r="TXB172" s="201"/>
      <c r="TXC172" s="201"/>
      <c r="TXD172" s="201"/>
      <c r="TXE172" s="201"/>
      <c r="TXF172" s="201"/>
      <c r="TXG172" s="201"/>
      <c r="TXH172" s="201"/>
      <c r="TXI172" s="201"/>
      <c r="TXJ172" s="201"/>
      <c r="TXK172" s="201"/>
      <c r="TXL172" s="201"/>
      <c r="TXM172" s="201"/>
      <c r="TXN172" s="201"/>
      <c r="TXO172" s="201"/>
      <c r="TXP172" s="201"/>
      <c r="TXQ172" s="201"/>
      <c r="TXR172" s="201"/>
      <c r="TXS172" s="201"/>
      <c r="TXT172" s="201"/>
      <c r="TXU172" s="201"/>
      <c r="TXV172" s="201"/>
      <c r="TXW172" s="201"/>
      <c r="TXX172" s="201"/>
      <c r="TXY172" s="201"/>
      <c r="TXZ172" s="201"/>
      <c r="TYA172" s="201"/>
      <c r="TYB172" s="201"/>
      <c r="TYC172" s="201"/>
      <c r="TYD172" s="201"/>
      <c r="TYE172" s="201"/>
      <c r="TYF172" s="201"/>
      <c r="TYG172" s="201"/>
      <c r="TYH172" s="201"/>
      <c r="TYI172" s="201"/>
      <c r="TYJ172" s="201"/>
      <c r="TYK172" s="201"/>
      <c r="TYL172" s="201"/>
      <c r="TYM172" s="201"/>
      <c r="TYN172" s="201"/>
      <c r="TYO172" s="201"/>
      <c r="TYP172" s="201"/>
      <c r="TYQ172" s="201"/>
      <c r="TYR172" s="201"/>
      <c r="TYS172" s="201"/>
      <c r="TYT172" s="201"/>
      <c r="TYU172" s="201"/>
      <c r="TYV172" s="201"/>
      <c r="TYW172" s="201"/>
      <c r="TYX172" s="201"/>
      <c r="TYY172" s="201"/>
      <c r="TYZ172" s="201"/>
      <c r="TZA172" s="201"/>
      <c r="TZB172" s="201"/>
      <c r="TZC172" s="201"/>
      <c r="TZD172" s="201"/>
      <c r="TZE172" s="201"/>
      <c r="TZF172" s="201"/>
      <c r="TZG172" s="201"/>
      <c r="TZH172" s="201"/>
      <c r="TZI172" s="201"/>
      <c r="TZJ172" s="201"/>
      <c r="TZK172" s="201"/>
      <c r="TZL172" s="201"/>
      <c r="TZM172" s="201"/>
      <c r="TZN172" s="201"/>
      <c r="TZO172" s="201"/>
      <c r="TZP172" s="201"/>
      <c r="TZQ172" s="201"/>
      <c r="TZR172" s="201"/>
      <c r="TZS172" s="201"/>
      <c r="TZT172" s="201"/>
      <c r="TZU172" s="201"/>
      <c r="TZV172" s="201"/>
      <c r="TZW172" s="201"/>
      <c r="TZX172" s="201"/>
      <c r="TZY172" s="201"/>
      <c r="TZZ172" s="201"/>
      <c r="UAA172" s="201"/>
      <c r="UAB172" s="201"/>
      <c r="UAC172" s="201"/>
      <c r="UAD172" s="201"/>
      <c r="UAE172" s="201"/>
      <c r="UAF172" s="201"/>
      <c r="UAG172" s="201"/>
      <c r="UAH172" s="201"/>
      <c r="UAI172" s="201"/>
      <c r="UAJ172" s="201"/>
      <c r="UAK172" s="201"/>
      <c r="UAL172" s="201"/>
      <c r="UAM172" s="201"/>
      <c r="UAN172" s="201"/>
      <c r="UAO172" s="201"/>
      <c r="UAP172" s="201"/>
      <c r="UAQ172" s="201"/>
      <c r="UAR172" s="201"/>
      <c r="UAS172" s="201"/>
      <c r="UAT172" s="201"/>
      <c r="UAU172" s="201"/>
      <c r="UAV172" s="201"/>
      <c r="UAW172" s="201"/>
      <c r="UAX172" s="201"/>
      <c r="UAY172" s="201"/>
      <c r="UAZ172" s="201"/>
      <c r="UBA172" s="201"/>
      <c r="UBB172" s="201"/>
      <c r="UBC172" s="201"/>
      <c r="UBD172" s="201"/>
      <c r="UBE172" s="201"/>
      <c r="UBF172" s="201"/>
      <c r="UBG172" s="201"/>
      <c r="UBH172" s="201"/>
      <c r="UBI172" s="201"/>
      <c r="UBJ172" s="201"/>
      <c r="UBK172" s="201"/>
      <c r="UBL172" s="201"/>
      <c r="UBM172" s="201"/>
      <c r="UBN172" s="201"/>
      <c r="UBO172" s="201"/>
      <c r="UBP172" s="201"/>
      <c r="UBQ172" s="201"/>
      <c r="UBR172" s="201"/>
      <c r="UBS172" s="201"/>
      <c r="UBT172" s="201"/>
      <c r="UBU172" s="201"/>
      <c r="UBV172" s="201"/>
      <c r="UBW172" s="201"/>
      <c r="UBX172" s="201"/>
      <c r="UBY172" s="201"/>
      <c r="UBZ172" s="201"/>
      <c r="UCA172" s="201"/>
      <c r="UCB172" s="201"/>
      <c r="UCC172" s="201"/>
      <c r="UCD172" s="201"/>
      <c r="UCE172" s="201"/>
      <c r="UCF172" s="201"/>
      <c r="UCG172" s="201"/>
      <c r="UCH172" s="201"/>
      <c r="UCI172" s="201"/>
      <c r="UCJ172" s="201"/>
      <c r="UCK172" s="201"/>
      <c r="UCL172" s="201"/>
      <c r="UCM172" s="201"/>
      <c r="UCN172" s="201"/>
      <c r="UCO172" s="201"/>
      <c r="UCP172" s="201"/>
      <c r="UCQ172" s="201"/>
      <c r="UCR172" s="201"/>
      <c r="UCS172" s="201"/>
      <c r="UCT172" s="201"/>
      <c r="UCU172" s="201"/>
      <c r="UCV172" s="201"/>
      <c r="UCW172" s="201"/>
      <c r="UCX172" s="201"/>
      <c r="UCY172" s="201"/>
      <c r="UCZ172" s="201"/>
      <c r="UDA172" s="201"/>
      <c r="UDB172" s="201"/>
      <c r="UDC172" s="201"/>
      <c r="UDD172" s="201"/>
      <c r="UDE172" s="201"/>
      <c r="UDF172" s="201"/>
      <c r="UDG172" s="201"/>
      <c r="UDH172" s="201"/>
      <c r="UDI172" s="201"/>
      <c r="UDJ172" s="201"/>
      <c r="UDK172" s="201"/>
      <c r="UDL172" s="201"/>
      <c r="UDM172" s="201"/>
      <c r="UDN172" s="201"/>
      <c r="UDO172" s="201"/>
      <c r="UDP172" s="201"/>
      <c r="UDQ172" s="201"/>
      <c r="UDR172" s="201"/>
      <c r="UDS172" s="201"/>
      <c r="UDT172" s="201"/>
      <c r="UDU172" s="201"/>
      <c r="UDV172" s="201"/>
      <c r="UDW172" s="201"/>
      <c r="UDX172" s="201"/>
      <c r="UDY172" s="201"/>
      <c r="UDZ172" s="201"/>
      <c r="UEA172" s="201"/>
      <c r="UEB172" s="201"/>
      <c r="UEC172" s="201"/>
      <c r="UED172" s="201"/>
      <c r="UEE172" s="201"/>
      <c r="UEF172" s="201"/>
      <c r="UEG172" s="201"/>
      <c r="UEH172" s="201"/>
      <c r="UEI172" s="201"/>
      <c r="UEJ172" s="201"/>
      <c r="UEK172" s="201"/>
      <c r="UEL172" s="201"/>
      <c r="UEM172" s="201"/>
      <c r="UEN172" s="201"/>
      <c r="UEO172" s="201"/>
      <c r="UEP172" s="201"/>
      <c r="UEQ172" s="201"/>
      <c r="UER172" s="201"/>
      <c r="UES172" s="201"/>
      <c r="UET172" s="201"/>
      <c r="UEU172" s="201"/>
      <c r="UEV172" s="201"/>
      <c r="UEW172" s="201"/>
      <c r="UEX172" s="201"/>
      <c r="UEY172" s="201"/>
      <c r="UEZ172" s="201"/>
      <c r="UFA172" s="201"/>
      <c r="UFB172" s="201"/>
      <c r="UFC172" s="201"/>
      <c r="UFD172" s="201"/>
      <c r="UFE172" s="201"/>
      <c r="UFF172" s="201"/>
      <c r="UFG172" s="201"/>
      <c r="UFH172" s="201"/>
      <c r="UFI172" s="201"/>
      <c r="UFJ172" s="201"/>
      <c r="UFK172" s="201"/>
      <c r="UFL172" s="201"/>
      <c r="UFM172" s="201"/>
      <c r="UFN172" s="201"/>
      <c r="UFO172" s="201"/>
      <c r="UFP172" s="201"/>
      <c r="UFQ172" s="201"/>
      <c r="UFR172" s="201"/>
      <c r="UFS172" s="201"/>
      <c r="UFT172" s="201"/>
      <c r="UFU172" s="201"/>
      <c r="UFV172" s="201"/>
      <c r="UFW172" s="201"/>
      <c r="UFX172" s="201"/>
      <c r="UFY172" s="201"/>
      <c r="UFZ172" s="201"/>
      <c r="UGA172" s="201"/>
      <c r="UGB172" s="201"/>
      <c r="UGC172" s="201"/>
      <c r="UGD172" s="201"/>
      <c r="UGE172" s="201"/>
      <c r="UGF172" s="201"/>
      <c r="UGG172" s="201"/>
      <c r="UGH172" s="201"/>
      <c r="UGI172" s="201"/>
      <c r="UGJ172" s="201"/>
      <c r="UGK172" s="201"/>
      <c r="UGL172" s="201"/>
      <c r="UGM172" s="201"/>
      <c r="UGN172" s="201"/>
      <c r="UGO172" s="201"/>
      <c r="UGP172" s="201"/>
      <c r="UGQ172" s="201"/>
      <c r="UGR172" s="201"/>
      <c r="UGS172" s="201"/>
      <c r="UGT172" s="201"/>
      <c r="UGU172" s="201"/>
      <c r="UGV172" s="201"/>
      <c r="UGW172" s="201"/>
      <c r="UGX172" s="201"/>
      <c r="UGY172" s="201"/>
      <c r="UGZ172" s="201"/>
      <c r="UHA172" s="201"/>
      <c r="UHB172" s="201"/>
      <c r="UHC172" s="201"/>
      <c r="UHD172" s="201"/>
      <c r="UHE172" s="201"/>
      <c r="UHF172" s="201"/>
      <c r="UHG172" s="201"/>
      <c r="UHH172" s="201"/>
      <c r="UHI172" s="201"/>
      <c r="UHJ172" s="201"/>
      <c r="UHK172" s="201"/>
      <c r="UHL172" s="201"/>
      <c r="UHM172" s="201"/>
      <c r="UHN172" s="201"/>
      <c r="UHO172" s="201"/>
      <c r="UHP172" s="201"/>
      <c r="UHQ172" s="201"/>
      <c r="UHR172" s="201"/>
      <c r="UHS172" s="201"/>
      <c r="UHT172" s="201"/>
      <c r="UHU172" s="201"/>
      <c r="UHV172" s="201"/>
      <c r="UHW172" s="201"/>
      <c r="UHX172" s="201"/>
      <c r="UHY172" s="201"/>
      <c r="UHZ172" s="201"/>
      <c r="UIA172" s="201"/>
      <c r="UIB172" s="201"/>
      <c r="UIC172" s="201"/>
      <c r="UID172" s="201"/>
      <c r="UIE172" s="201"/>
      <c r="UIF172" s="201"/>
      <c r="UIG172" s="201"/>
      <c r="UIH172" s="201"/>
      <c r="UII172" s="201"/>
      <c r="UIJ172" s="201"/>
      <c r="UIK172" s="201"/>
      <c r="UIL172" s="201"/>
      <c r="UIM172" s="201"/>
      <c r="UIN172" s="201"/>
      <c r="UIO172" s="201"/>
      <c r="UIP172" s="201"/>
      <c r="UIQ172" s="201"/>
      <c r="UIR172" s="201"/>
      <c r="UIS172" s="201"/>
      <c r="UIT172" s="201"/>
      <c r="UIU172" s="201"/>
      <c r="UIV172" s="201"/>
      <c r="UIW172" s="201"/>
      <c r="UIX172" s="201"/>
      <c r="UIY172" s="201"/>
      <c r="UIZ172" s="201"/>
      <c r="UJA172" s="201"/>
      <c r="UJB172" s="201"/>
      <c r="UJC172" s="201"/>
      <c r="UJD172" s="201"/>
      <c r="UJE172" s="201"/>
      <c r="UJF172" s="201"/>
      <c r="UJG172" s="201"/>
      <c r="UJH172" s="201"/>
      <c r="UJI172" s="201"/>
      <c r="UJJ172" s="201"/>
      <c r="UJK172" s="201"/>
      <c r="UJL172" s="201"/>
      <c r="UJM172" s="201"/>
      <c r="UJN172" s="201"/>
      <c r="UJO172" s="201"/>
      <c r="UJP172" s="201"/>
      <c r="UJQ172" s="201"/>
      <c r="UJR172" s="201"/>
      <c r="UJS172" s="201"/>
      <c r="UJT172" s="201"/>
      <c r="UJU172" s="201"/>
      <c r="UJV172" s="201"/>
      <c r="UJW172" s="201"/>
      <c r="UJX172" s="201"/>
      <c r="UJY172" s="201"/>
      <c r="UJZ172" s="201"/>
      <c r="UKA172" s="201"/>
      <c r="UKB172" s="201"/>
      <c r="UKC172" s="201"/>
      <c r="UKD172" s="201"/>
      <c r="UKE172" s="201"/>
      <c r="UKF172" s="201"/>
      <c r="UKG172" s="201"/>
      <c r="UKH172" s="201"/>
      <c r="UKI172" s="201"/>
      <c r="UKJ172" s="201"/>
      <c r="UKK172" s="201"/>
      <c r="UKL172" s="201"/>
      <c r="UKM172" s="201"/>
      <c r="UKN172" s="201"/>
      <c r="UKO172" s="201"/>
      <c r="UKP172" s="201"/>
      <c r="UKQ172" s="201"/>
      <c r="UKR172" s="201"/>
      <c r="UKS172" s="201"/>
      <c r="UKT172" s="201"/>
      <c r="UKU172" s="201"/>
      <c r="UKV172" s="201"/>
      <c r="UKW172" s="201"/>
      <c r="UKX172" s="201"/>
      <c r="UKY172" s="201"/>
      <c r="UKZ172" s="201"/>
      <c r="ULA172" s="201"/>
      <c r="ULB172" s="201"/>
      <c r="ULC172" s="201"/>
      <c r="ULD172" s="201"/>
      <c r="ULE172" s="201"/>
      <c r="ULF172" s="201"/>
      <c r="ULG172" s="201"/>
      <c r="ULH172" s="201"/>
      <c r="ULI172" s="201"/>
      <c r="ULJ172" s="201"/>
      <c r="ULK172" s="201"/>
      <c r="ULL172" s="201"/>
      <c r="ULM172" s="201"/>
      <c r="ULN172" s="201"/>
      <c r="ULO172" s="201"/>
      <c r="ULP172" s="201"/>
      <c r="ULQ172" s="201"/>
      <c r="ULR172" s="201"/>
      <c r="ULS172" s="201"/>
      <c r="ULT172" s="201"/>
      <c r="ULU172" s="201"/>
      <c r="ULV172" s="201"/>
      <c r="ULW172" s="201"/>
      <c r="ULX172" s="201"/>
      <c r="ULY172" s="201"/>
      <c r="ULZ172" s="201"/>
      <c r="UMA172" s="201"/>
      <c r="UMB172" s="201"/>
      <c r="UMC172" s="201"/>
      <c r="UMD172" s="201"/>
      <c r="UME172" s="201"/>
      <c r="UMF172" s="201"/>
      <c r="UMG172" s="201"/>
      <c r="UMH172" s="201"/>
      <c r="UMI172" s="201"/>
      <c r="UMJ172" s="201"/>
      <c r="UMK172" s="201"/>
      <c r="UML172" s="201"/>
      <c r="UMM172" s="201"/>
      <c r="UMN172" s="201"/>
      <c r="UMO172" s="201"/>
      <c r="UMP172" s="201"/>
      <c r="UMQ172" s="201"/>
      <c r="UMR172" s="201"/>
      <c r="UMS172" s="201"/>
      <c r="UMT172" s="201"/>
      <c r="UMU172" s="201"/>
      <c r="UMV172" s="201"/>
      <c r="UMW172" s="201"/>
      <c r="UMX172" s="201"/>
      <c r="UMY172" s="201"/>
      <c r="UMZ172" s="201"/>
      <c r="UNA172" s="201"/>
      <c r="UNB172" s="201"/>
      <c r="UNC172" s="201"/>
      <c r="UND172" s="201"/>
      <c r="UNE172" s="201"/>
      <c r="UNF172" s="201"/>
      <c r="UNG172" s="201"/>
      <c r="UNH172" s="201"/>
      <c r="UNI172" s="201"/>
      <c r="UNJ172" s="201"/>
      <c r="UNK172" s="201"/>
      <c r="UNL172" s="201"/>
      <c r="UNM172" s="201"/>
      <c r="UNN172" s="201"/>
      <c r="UNO172" s="201"/>
      <c r="UNP172" s="201"/>
      <c r="UNQ172" s="201"/>
      <c r="UNR172" s="201"/>
      <c r="UNS172" s="201"/>
      <c r="UNT172" s="201"/>
      <c r="UNU172" s="201"/>
      <c r="UNV172" s="201"/>
      <c r="UNW172" s="201"/>
      <c r="UNX172" s="201"/>
      <c r="UNY172" s="201"/>
      <c r="UNZ172" s="201"/>
      <c r="UOA172" s="201"/>
      <c r="UOB172" s="201"/>
      <c r="UOC172" s="201"/>
      <c r="UOD172" s="201"/>
      <c r="UOE172" s="201"/>
      <c r="UOF172" s="201"/>
      <c r="UOG172" s="201"/>
      <c r="UOH172" s="201"/>
      <c r="UOI172" s="201"/>
      <c r="UOJ172" s="201"/>
      <c r="UOK172" s="201"/>
      <c r="UOL172" s="201"/>
      <c r="UOM172" s="201"/>
      <c r="UON172" s="201"/>
      <c r="UOO172" s="201"/>
      <c r="UOP172" s="201"/>
      <c r="UOQ172" s="201"/>
      <c r="UOR172" s="201"/>
      <c r="UOS172" s="201"/>
      <c r="UOT172" s="201"/>
      <c r="UOU172" s="201"/>
      <c r="UOV172" s="201"/>
      <c r="UOW172" s="201"/>
      <c r="UOX172" s="201"/>
      <c r="UOY172" s="201"/>
      <c r="UOZ172" s="201"/>
      <c r="UPA172" s="201"/>
      <c r="UPB172" s="201"/>
      <c r="UPC172" s="201"/>
      <c r="UPD172" s="201"/>
      <c r="UPE172" s="201"/>
      <c r="UPF172" s="201"/>
      <c r="UPG172" s="201"/>
      <c r="UPH172" s="201"/>
      <c r="UPI172" s="201"/>
      <c r="UPJ172" s="201"/>
      <c r="UPK172" s="201"/>
      <c r="UPL172" s="201"/>
      <c r="UPM172" s="201"/>
      <c r="UPN172" s="201"/>
      <c r="UPO172" s="201"/>
      <c r="UPP172" s="201"/>
      <c r="UPQ172" s="201"/>
      <c r="UPR172" s="201"/>
      <c r="UPS172" s="201"/>
      <c r="UPT172" s="201"/>
      <c r="UPU172" s="201"/>
      <c r="UPV172" s="201"/>
      <c r="UPW172" s="201"/>
      <c r="UPX172" s="201"/>
      <c r="UPY172" s="201"/>
      <c r="UPZ172" s="201"/>
      <c r="UQA172" s="201"/>
      <c r="UQB172" s="201"/>
      <c r="UQC172" s="201"/>
      <c r="UQD172" s="201"/>
      <c r="UQE172" s="201"/>
      <c r="UQF172" s="201"/>
      <c r="UQG172" s="201"/>
      <c r="UQH172" s="201"/>
      <c r="UQI172" s="201"/>
      <c r="UQJ172" s="201"/>
      <c r="UQK172" s="201"/>
      <c r="UQL172" s="201"/>
      <c r="UQM172" s="201"/>
      <c r="UQN172" s="201"/>
      <c r="UQO172" s="201"/>
      <c r="UQP172" s="201"/>
      <c r="UQQ172" s="201"/>
      <c r="UQR172" s="201"/>
      <c r="UQS172" s="201"/>
      <c r="UQT172" s="201"/>
      <c r="UQU172" s="201"/>
      <c r="UQV172" s="201"/>
      <c r="UQW172" s="201"/>
      <c r="UQX172" s="201"/>
      <c r="UQY172" s="201"/>
      <c r="UQZ172" s="201"/>
      <c r="URA172" s="201"/>
      <c r="URB172" s="201"/>
      <c r="URC172" s="201"/>
      <c r="URD172" s="201"/>
      <c r="URE172" s="201"/>
      <c r="URF172" s="201"/>
      <c r="URG172" s="201"/>
      <c r="URH172" s="201"/>
      <c r="URI172" s="201"/>
      <c r="URJ172" s="201"/>
      <c r="URK172" s="201"/>
      <c r="URL172" s="201"/>
      <c r="URM172" s="201"/>
      <c r="URN172" s="201"/>
      <c r="URO172" s="201"/>
      <c r="URP172" s="201"/>
      <c r="URQ172" s="201"/>
      <c r="URR172" s="201"/>
      <c r="URS172" s="201"/>
      <c r="URT172" s="201"/>
      <c r="URU172" s="201"/>
      <c r="URV172" s="201"/>
      <c r="URW172" s="201"/>
      <c r="URX172" s="201"/>
      <c r="URY172" s="201"/>
      <c r="URZ172" s="201"/>
      <c r="USA172" s="201"/>
      <c r="USB172" s="201"/>
      <c r="USC172" s="201"/>
      <c r="USD172" s="201"/>
      <c r="USE172" s="201"/>
      <c r="USF172" s="201"/>
      <c r="USG172" s="201"/>
      <c r="USH172" s="201"/>
      <c r="USI172" s="201"/>
      <c r="USJ172" s="201"/>
      <c r="USK172" s="201"/>
      <c r="USL172" s="201"/>
      <c r="USM172" s="201"/>
      <c r="USN172" s="201"/>
      <c r="USO172" s="201"/>
      <c r="USP172" s="201"/>
      <c r="USQ172" s="201"/>
      <c r="USR172" s="201"/>
      <c r="USS172" s="201"/>
      <c r="UST172" s="201"/>
      <c r="USU172" s="201"/>
      <c r="USV172" s="201"/>
      <c r="USW172" s="201"/>
      <c r="USX172" s="201"/>
      <c r="USY172" s="201"/>
      <c r="USZ172" s="201"/>
      <c r="UTA172" s="201"/>
      <c r="UTB172" s="201"/>
      <c r="UTC172" s="201"/>
      <c r="UTD172" s="201"/>
      <c r="UTE172" s="201"/>
      <c r="UTF172" s="201"/>
      <c r="UTG172" s="201"/>
      <c r="UTH172" s="201"/>
      <c r="UTI172" s="201"/>
      <c r="UTJ172" s="201"/>
      <c r="UTK172" s="201"/>
      <c r="UTL172" s="201"/>
      <c r="UTM172" s="201"/>
      <c r="UTN172" s="201"/>
      <c r="UTO172" s="201"/>
      <c r="UTP172" s="201"/>
      <c r="UTQ172" s="201"/>
      <c r="UTR172" s="201"/>
      <c r="UTS172" s="201"/>
      <c r="UTT172" s="201"/>
      <c r="UTU172" s="201"/>
      <c r="UTV172" s="201"/>
      <c r="UTW172" s="201"/>
      <c r="UTX172" s="201"/>
      <c r="UTY172" s="201"/>
      <c r="UTZ172" s="201"/>
      <c r="UUA172" s="201"/>
      <c r="UUB172" s="201"/>
      <c r="UUC172" s="201"/>
      <c r="UUD172" s="201"/>
      <c r="UUE172" s="201"/>
      <c r="UUF172" s="201"/>
      <c r="UUG172" s="201"/>
      <c r="UUH172" s="201"/>
      <c r="UUI172" s="201"/>
      <c r="UUJ172" s="201"/>
      <c r="UUK172" s="201"/>
      <c r="UUL172" s="201"/>
      <c r="UUM172" s="201"/>
      <c r="UUN172" s="201"/>
      <c r="UUO172" s="201"/>
      <c r="UUP172" s="201"/>
      <c r="UUQ172" s="201"/>
      <c r="UUR172" s="201"/>
      <c r="UUS172" s="201"/>
      <c r="UUT172" s="201"/>
      <c r="UUU172" s="201"/>
      <c r="UUV172" s="201"/>
      <c r="UUW172" s="201"/>
      <c r="UUX172" s="201"/>
      <c r="UUY172" s="201"/>
      <c r="UUZ172" s="201"/>
      <c r="UVA172" s="201"/>
      <c r="UVB172" s="201"/>
      <c r="UVC172" s="201"/>
      <c r="UVD172" s="201"/>
      <c r="UVE172" s="201"/>
      <c r="UVF172" s="201"/>
      <c r="UVG172" s="201"/>
      <c r="UVH172" s="201"/>
      <c r="UVI172" s="201"/>
      <c r="UVJ172" s="201"/>
      <c r="UVK172" s="201"/>
      <c r="UVL172" s="201"/>
      <c r="UVM172" s="201"/>
      <c r="UVN172" s="201"/>
      <c r="UVO172" s="201"/>
      <c r="UVP172" s="201"/>
      <c r="UVQ172" s="201"/>
      <c r="UVR172" s="201"/>
      <c r="UVS172" s="201"/>
      <c r="UVT172" s="201"/>
      <c r="UVU172" s="201"/>
      <c r="UVV172" s="201"/>
      <c r="UVW172" s="201"/>
      <c r="UVX172" s="201"/>
      <c r="UVY172" s="201"/>
      <c r="UVZ172" s="201"/>
      <c r="UWA172" s="201"/>
      <c r="UWB172" s="201"/>
      <c r="UWC172" s="201"/>
      <c r="UWD172" s="201"/>
      <c r="UWE172" s="201"/>
      <c r="UWF172" s="201"/>
      <c r="UWG172" s="201"/>
      <c r="UWH172" s="201"/>
      <c r="UWI172" s="201"/>
      <c r="UWJ172" s="201"/>
      <c r="UWK172" s="201"/>
      <c r="UWL172" s="201"/>
      <c r="UWM172" s="201"/>
      <c r="UWN172" s="201"/>
      <c r="UWO172" s="201"/>
      <c r="UWP172" s="201"/>
      <c r="UWQ172" s="201"/>
      <c r="UWR172" s="201"/>
      <c r="UWS172" s="201"/>
      <c r="UWT172" s="201"/>
      <c r="UWU172" s="201"/>
      <c r="UWV172" s="201"/>
      <c r="UWW172" s="201"/>
      <c r="UWX172" s="201"/>
      <c r="UWY172" s="201"/>
      <c r="UWZ172" s="201"/>
      <c r="UXA172" s="201"/>
      <c r="UXB172" s="201"/>
      <c r="UXC172" s="201"/>
      <c r="UXD172" s="201"/>
      <c r="UXE172" s="201"/>
      <c r="UXF172" s="201"/>
      <c r="UXG172" s="201"/>
      <c r="UXH172" s="201"/>
      <c r="UXI172" s="201"/>
      <c r="UXJ172" s="201"/>
      <c r="UXK172" s="201"/>
      <c r="UXL172" s="201"/>
      <c r="UXM172" s="201"/>
      <c r="UXN172" s="201"/>
      <c r="UXO172" s="201"/>
      <c r="UXP172" s="201"/>
      <c r="UXQ172" s="201"/>
      <c r="UXR172" s="201"/>
      <c r="UXS172" s="201"/>
      <c r="UXT172" s="201"/>
      <c r="UXU172" s="201"/>
      <c r="UXV172" s="201"/>
      <c r="UXW172" s="201"/>
      <c r="UXX172" s="201"/>
      <c r="UXY172" s="201"/>
      <c r="UXZ172" s="201"/>
      <c r="UYA172" s="201"/>
      <c r="UYB172" s="201"/>
      <c r="UYC172" s="201"/>
      <c r="UYD172" s="201"/>
      <c r="UYE172" s="201"/>
      <c r="UYF172" s="201"/>
      <c r="UYG172" s="201"/>
      <c r="UYH172" s="201"/>
      <c r="UYI172" s="201"/>
      <c r="UYJ172" s="201"/>
      <c r="UYK172" s="201"/>
      <c r="UYL172" s="201"/>
      <c r="UYM172" s="201"/>
      <c r="UYN172" s="201"/>
      <c r="UYO172" s="201"/>
      <c r="UYP172" s="201"/>
      <c r="UYQ172" s="201"/>
      <c r="UYR172" s="201"/>
      <c r="UYS172" s="201"/>
      <c r="UYT172" s="201"/>
      <c r="UYU172" s="201"/>
      <c r="UYV172" s="201"/>
      <c r="UYW172" s="201"/>
      <c r="UYX172" s="201"/>
      <c r="UYY172" s="201"/>
      <c r="UYZ172" s="201"/>
      <c r="UZA172" s="201"/>
      <c r="UZB172" s="201"/>
      <c r="UZC172" s="201"/>
      <c r="UZD172" s="201"/>
      <c r="UZE172" s="201"/>
      <c r="UZF172" s="201"/>
      <c r="UZG172" s="201"/>
      <c r="UZH172" s="201"/>
      <c r="UZI172" s="201"/>
      <c r="UZJ172" s="201"/>
      <c r="UZK172" s="201"/>
      <c r="UZL172" s="201"/>
      <c r="UZM172" s="201"/>
      <c r="UZN172" s="201"/>
      <c r="UZO172" s="201"/>
      <c r="UZP172" s="201"/>
      <c r="UZQ172" s="201"/>
      <c r="UZR172" s="201"/>
      <c r="UZS172" s="201"/>
      <c r="UZT172" s="201"/>
      <c r="UZU172" s="201"/>
      <c r="UZV172" s="201"/>
      <c r="UZW172" s="201"/>
      <c r="UZX172" s="201"/>
      <c r="UZY172" s="201"/>
      <c r="UZZ172" s="201"/>
      <c r="VAA172" s="201"/>
      <c r="VAB172" s="201"/>
      <c r="VAC172" s="201"/>
      <c r="VAD172" s="201"/>
      <c r="VAE172" s="201"/>
      <c r="VAF172" s="201"/>
      <c r="VAG172" s="201"/>
      <c r="VAH172" s="201"/>
      <c r="VAI172" s="201"/>
      <c r="VAJ172" s="201"/>
      <c r="VAK172" s="201"/>
      <c r="VAL172" s="201"/>
      <c r="VAM172" s="201"/>
      <c r="VAN172" s="201"/>
      <c r="VAO172" s="201"/>
      <c r="VAP172" s="201"/>
      <c r="VAQ172" s="201"/>
      <c r="VAR172" s="201"/>
      <c r="VAS172" s="201"/>
      <c r="VAT172" s="201"/>
      <c r="VAU172" s="201"/>
      <c r="VAV172" s="201"/>
      <c r="VAW172" s="201"/>
      <c r="VAX172" s="201"/>
      <c r="VAY172" s="201"/>
      <c r="VAZ172" s="201"/>
      <c r="VBA172" s="201"/>
      <c r="VBB172" s="201"/>
      <c r="VBC172" s="201"/>
      <c r="VBD172" s="201"/>
      <c r="VBE172" s="201"/>
      <c r="VBF172" s="201"/>
      <c r="VBG172" s="201"/>
      <c r="VBH172" s="201"/>
      <c r="VBI172" s="201"/>
      <c r="VBJ172" s="201"/>
      <c r="VBK172" s="201"/>
      <c r="VBL172" s="201"/>
      <c r="VBM172" s="201"/>
      <c r="VBN172" s="201"/>
      <c r="VBO172" s="201"/>
      <c r="VBP172" s="201"/>
      <c r="VBQ172" s="201"/>
      <c r="VBR172" s="201"/>
      <c r="VBS172" s="201"/>
      <c r="VBT172" s="201"/>
      <c r="VBU172" s="201"/>
      <c r="VBV172" s="201"/>
      <c r="VBW172" s="201"/>
      <c r="VBX172" s="201"/>
      <c r="VBY172" s="201"/>
      <c r="VBZ172" s="201"/>
      <c r="VCA172" s="201"/>
      <c r="VCB172" s="201"/>
      <c r="VCC172" s="201"/>
      <c r="VCD172" s="201"/>
      <c r="VCE172" s="201"/>
      <c r="VCF172" s="201"/>
      <c r="VCG172" s="201"/>
      <c r="VCH172" s="201"/>
      <c r="VCI172" s="201"/>
      <c r="VCJ172" s="201"/>
      <c r="VCK172" s="201"/>
      <c r="VCL172" s="201"/>
      <c r="VCM172" s="201"/>
      <c r="VCN172" s="201"/>
      <c r="VCO172" s="201"/>
      <c r="VCP172" s="201"/>
      <c r="VCQ172" s="201"/>
      <c r="VCR172" s="201"/>
      <c r="VCS172" s="201"/>
      <c r="VCT172" s="201"/>
      <c r="VCU172" s="201"/>
      <c r="VCV172" s="201"/>
      <c r="VCW172" s="201"/>
      <c r="VCX172" s="201"/>
      <c r="VCY172" s="201"/>
      <c r="VCZ172" s="201"/>
      <c r="VDA172" s="201"/>
      <c r="VDB172" s="201"/>
      <c r="VDC172" s="201"/>
      <c r="VDD172" s="201"/>
      <c r="VDE172" s="201"/>
      <c r="VDF172" s="201"/>
      <c r="VDG172" s="201"/>
      <c r="VDH172" s="201"/>
      <c r="VDI172" s="201"/>
      <c r="VDJ172" s="201"/>
      <c r="VDK172" s="201"/>
      <c r="VDL172" s="201"/>
      <c r="VDM172" s="201"/>
      <c r="VDN172" s="201"/>
      <c r="VDO172" s="201"/>
      <c r="VDP172" s="201"/>
      <c r="VDQ172" s="201"/>
      <c r="VDR172" s="201"/>
      <c r="VDS172" s="201"/>
      <c r="VDT172" s="201"/>
      <c r="VDU172" s="201"/>
      <c r="VDV172" s="201"/>
      <c r="VDW172" s="201"/>
      <c r="VDX172" s="201"/>
      <c r="VDY172" s="201"/>
      <c r="VDZ172" s="201"/>
      <c r="VEA172" s="201"/>
      <c r="VEB172" s="201"/>
      <c r="VEC172" s="201"/>
      <c r="VED172" s="201"/>
      <c r="VEE172" s="201"/>
      <c r="VEF172" s="201"/>
      <c r="VEG172" s="201"/>
      <c r="VEH172" s="201"/>
      <c r="VEI172" s="201"/>
      <c r="VEJ172" s="201"/>
      <c r="VEK172" s="201"/>
      <c r="VEL172" s="201"/>
      <c r="VEM172" s="201"/>
      <c r="VEN172" s="201"/>
      <c r="VEO172" s="201"/>
      <c r="VEP172" s="201"/>
      <c r="VEQ172" s="201"/>
      <c r="VER172" s="201"/>
      <c r="VES172" s="201"/>
      <c r="VET172" s="201"/>
      <c r="VEU172" s="201"/>
      <c r="VEV172" s="201"/>
      <c r="VEW172" s="201"/>
      <c r="VEX172" s="201"/>
      <c r="VEY172" s="201"/>
      <c r="VEZ172" s="201"/>
      <c r="VFA172" s="201"/>
      <c r="VFB172" s="201"/>
      <c r="VFC172" s="201"/>
      <c r="VFD172" s="201"/>
      <c r="VFE172" s="201"/>
      <c r="VFF172" s="201"/>
      <c r="VFG172" s="201"/>
      <c r="VFH172" s="201"/>
      <c r="VFI172" s="201"/>
      <c r="VFJ172" s="201"/>
      <c r="VFK172" s="201"/>
      <c r="VFL172" s="201"/>
      <c r="VFM172" s="201"/>
      <c r="VFN172" s="201"/>
      <c r="VFO172" s="201"/>
      <c r="VFP172" s="201"/>
      <c r="VFQ172" s="201"/>
      <c r="VFR172" s="201"/>
      <c r="VFS172" s="201"/>
      <c r="VFT172" s="201"/>
      <c r="VFU172" s="201"/>
      <c r="VFV172" s="201"/>
      <c r="VFW172" s="201"/>
      <c r="VFX172" s="201"/>
      <c r="VFY172" s="201"/>
      <c r="VFZ172" s="201"/>
      <c r="VGA172" s="201"/>
      <c r="VGB172" s="201"/>
      <c r="VGC172" s="201"/>
      <c r="VGD172" s="201"/>
      <c r="VGE172" s="201"/>
      <c r="VGF172" s="201"/>
      <c r="VGG172" s="201"/>
      <c r="VGH172" s="201"/>
      <c r="VGI172" s="201"/>
      <c r="VGJ172" s="201"/>
      <c r="VGK172" s="201"/>
      <c r="VGL172" s="201"/>
      <c r="VGM172" s="201"/>
      <c r="VGN172" s="201"/>
      <c r="VGO172" s="201"/>
      <c r="VGP172" s="201"/>
      <c r="VGQ172" s="201"/>
      <c r="VGR172" s="201"/>
      <c r="VGS172" s="201"/>
      <c r="VGT172" s="201"/>
      <c r="VGU172" s="201"/>
      <c r="VGV172" s="201"/>
      <c r="VGW172" s="201"/>
      <c r="VGX172" s="201"/>
      <c r="VGY172" s="201"/>
      <c r="VGZ172" s="201"/>
      <c r="VHA172" s="201"/>
      <c r="VHB172" s="201"/>
      <c r="VHC172" s="201"/>
      <c r="VHD172" s="201"/>
      <c r="VHE172" s="201"/>
      <c r="VHF172" s="201"/>
      <c r="VHG172" s="201"/>
      <c r="VHH172" s="201"/>
      <c r="VHI172" s="201"/>
      <c r="VHJ172" s="201"/>
      <c r="VHK172" s="201"/>
      <c r="VHL172" s="201"/>
      <c r="VHM172" s="201"/>
      <c r="VHN172" s="201"/>
      <c r="VHO172" s="201"/>
      <c r="VHP172" s="201"/>
      <c r="VHQ172" s="201"/>
      <c r="VHR172" s="201"/>
      <c r="VHS172" s="201"/>
      <c r="VHT172" s="201"/>
      <c r="VHU172" s="201"/>
      <c r="VHV172" s="201"/>
      <c r="VHW172" s="201"/>
      <c r="VHX172" s="201"/>
      <c r="VHY172" s="201"/>
      <c r="VHZ172" s="201"/>
      <c r="VIA172" s="201"/>
      <c r="VIB172" s="201"/>
      <c r="VIC172" s="201"/>
      <c r="VID172" s="201"/>
      <c r="VIE172" s="201"/>
      <c r="VIF172" s="201"/>
      <c r="VIG172" s="201"/>
      <c r="VIH172" s="201"/>
      <c r="VII172" s="201"/>
      <c r="VIJ172" s="201"/>
      <c r="VIK172" s="201"/>
      <c r="VIL172" s="201"/>
      <c r="VIM172" s="201"/>
      <c r="VIN172" s="201"/>
      <c r="VIO172" s="201"/>
      <c r="VIP172" s="201"/>
      <c r="VIQ172" s="201"/>
      <c r="VIR172" s="201"/>
      <c r="VIS172" s="201"/>
      <c r="VIT172" s="201"/>
      <c r="VIU172" s="201"/>
      <c r="VIV172" s="201"/>
      <c r="VIW172" s="201"/>
      <c r="VIX172" s="201"/>
      <c r="VIY172" s="201"/>
      <c r="VIZ172" s="201"/>
      <c r="VJA172" s="201"/>
      <c r="VJB172" s="201"/>
      <c r="VJC172" s="201"/>
      <c r="VJD172" s="201"/>
      <c r="VJE172" s="201"/>
      <c r="VJF172" s="201"/>
      <c r="VJG172" s="201"/>
      <c r="VJH172" s="201"/>
      <c r="VJI172" s="201"/>
      <c r="VJJ172" s="201"/>
      <c r="VJK172" s="201"/>
      <c r="VJL172" s="201"/>
      <c r="VJM172" s="201"/>
      <c r="VJN172" s="201"/>
      <c r="VJO172" s="201"/>
      <c r="VJP172" s="201"/>
      <c r="VJQ172" s="201"/>
      <c r="VJR172" s="201"/>
      <c r="VJS172" s="201"/>
      <c r="VJT172" s="201"/>
      <c r="VJU172" s="201"/>
      <c r="VJV172" s="201"/>
      <c r="VJW172" s="201"/>
      <c r="VJX172" s="201"/>
      <c r="VJY172" s="201"/>
      <c r="VJZ172" s="201"/>
      <c r="VKA172" s="201"/>
      <c r="VKB172" s="201"/>
      <c r="VKC172" s="201"/>
      <c r="VKD172" s="201"/>
      <c r="VKE172" s="201"/>
      <c r="VKF172" s="201"/>
      <c r="VKG172" s="201"/>
      <c r="VKH172" s="201"/>
      <c r="VKI172" s="201"/>
      <c r="VKJ172" s="201"/>
      <c r="VKK172" s="201"/>
      <c r="VKL172" s="201"/>
      <c r="VKM172" s="201"/>
      <c r="VKN172" s="201"/>
      <c r="VKO172" s="201"/>
      <c r="VKP172" s="201"/>
      <c r="VKQ172" s="201"/>
      <c r="VKR172" s="201"/>
      <c r="VKS172" s="201"/>
      <c r="VKT172" s="201"/>
      <c r="VKU172" s="201"/>
      <c r="VKV172" s="201"/>
      <c r="VKW172" s="201"/>
      <c r="VKX172" s="201"/>
      <c r="VKY172" s="201"/>
      <c r="VKZ172" s="201"/>
      <c r="VLA172" s="201"/>
      <c r="VLB172" s="201"/>
      <c r="VLC172" s="201"/>
      <c r="VLD172" s="201"/>
      <c r="VLE172" s="201"/>
      <c r="VLF172" s="201"/>
      <c r="VLG172" s="201"/>
      <c r="VLH172" s="201"/>
      <c r="VLI172" s="201"/>
      <c r="VLJ172" s="201"/>
      <c r="VLK172" s="201"/>
      <c r="VLL172" s="201"/>
      <c r="VLM172" s="201"/>
      <c r="VLN172" s="201"/>
      <c r="VLO172" s="201"/>
      <c r="VLP172" s="201"/>
      <c r="VLQ172" s="201"/>
      <c r="VLR172" s="201"/>
      <c r="VLS172" s="201"/>
      <c r="VLT172" s="201"/>
      <c r="VLU172" s="201"/>
      <c r="VLV172" s="201"/>
      <c r="VLW172" s="201"/>
      <c r="VLX172" s="201"/>
      <c r="VLY172" s="201"/>
      <c r="VLZ172" s="201"/>
      <c r="VMA172" s="201"/>
      <c r="VMB172" s="201"/>
      <c r="VMC172" s="201"/>
      <c r="VMD172" s="201"/>
      <c r="VME172" s="201"/>
      <c r="VMF172" s="201"/>
      <c r="VMG172" s="201"/>
      <c r="VMH172" s="201"/>
      <c r="VMI172" s="201"/>
      <c r="VMJ172" s="201"/>
      <c r="VMK172" s="201"/>
      <c r="VML172" s="201"/>
      <c r="VMM172" s="201"/>
      <c r="VMN172" s="201"/>
      <c r="VMO172" s="201"/>
      <c r="VMP172" s="201"/>
      <c r="VMQ172" s="201"/>
      <c r="VMR172" s="201"/>
      <c r="VMS172" s="201"/>
      <c r="VMT172" s="201"/>
      <c r="VMU172" s="201"/>
      <c r="VMV172" s="201"/>
      <c r="VMW172" s="201"/>
      <c r="VMX172" s="201"/>
      <c r="VMY172" s="201"/>
      <c r="VMZ172" s="201"/>
      <c r="VNA172" s="201"/>
      <c r="VNB172" s="201"/>
      <c r="VNC172" s="201"/>
      <c r="VND172" s="201"/>
      <c r="VNE172" s="201"/>
      <c r="VNF172" s="201"/>
      <c r="VNG172" s="201"/>
      <c r="VNH172" s="201"/>
      <c r="VNI172" s="201"/>
      <c r="VNJ172" s="201"/>
      <c r="VNK172" s="201"/>
      <c r="VNL172" s="201"/>
      <c r="VNM172" s="201"/>
      <c r="VNN172" s="201"/>
      <c r="VNO172" s="201"/>
      <c r="VNP172" s="201"/>
      <c r="VNQ172" s="201"/>
      <c r="VNR172" s="201"/>
      <c r="VNS172" s="201"/>
      <c r="VNT172" s="201"/>
      <c r="VNU172" s="201"/>
      <c r="VNV172" s="201"/>
      <c r="VNW172" s="201"/>
      <c r="VNX172" s="201"/>
      <c r="VNY172" s="201"/>
      <c r="VNZ172" s="201"/>
      <c r="VOA172" s="201"/>
      <c r="VOB172" s="201"/>
      <c r="VOC172" s="201"/>
      <c r="VOD172" s="201"/>
      <c r="VOE172" s="201"/>
      <c r="VOF172" s="201"/>
      <c r="VOG172" s="201"/>
      <c r="VOH172" s="201"/>
      <c r="VOI172" s="201"/>
      <c r="VOJ172" s="201"/>
      <c r="VOK172" s="201"/>
      <c r="VOL172" s="201"/>
      <c r="VOM172" s="201"/>
      <c r="VON172" s="201"/>
      <c r="VOO172" s="201"/>
      <c r="VOP172" s="201"/>
      <c r="VOQ172" s="201"/>
      <c r="VOR172" s="201"/>
      <c r="VOS172" s="201"/>
      <c r="VOT172" s="201"/>
      <c r="VOU172" s="201"/>
      <c r="VOV172" s="201"/>
      <c r="VOW172" s="201"/>
      <c r="VOX172" s="201"/>
      <c r="VOY172" s="201"/>
      <c r="VOZ172" s="201"/>
      <c r="VPA172" s="201"/>
      <c r="VPB172" s="201"/>
      <c r="VPC172" s="201"/>
      <c r="VPD172" s="201"/>
      <c r="VPE172" s="201"/>
      <c r="VPF172" s="201"/>
      <c r="VPG172" s="201"/>
      <c r="VPH172" s="201"/>
      <c r="VPI172" s="201"/>
      <c r="VPJ172" s="201"/>
      <c r="VPK172" s="201"/>
      <c r="VPL172" s="201"/>
      <c r="VPM172" s="201"/>
      <c r="VPN172" s="201"/>
      <c r="VPO172" s="201"/>
      <c r="VPP172" s="201"/>
      <c r="VPQ172" s="201"/>
      <c r="VPR172" s="201"/>
      <c r="VPS172" s="201"/>
      <c r="VPT172" s="201"/>
      <c r="VPU172" s="201"/>
      <c r="VPV172" s="201"/>
      <c r="VPW172" s="201"/>
      <c r="VPX172" s="201"/>
      <c r="VPY172" s="201"/>
      <c r="VPZ172" s="201"/>
      <c r="VQA172" s="201"/>
      <c r="VQB172" s="201"/>
      <c r="VQC172" s="201"/>
      <c r="VQD172" s="201"/>
      <c r="VQE172" s="201"/>
      <c r="VQF172" s="201"/>
      <c r="VQG172" s="201"/>
      <c r="VQH172" s="201"/>
      <c r="VQI172" s="201"/>
      <c r="VQJ172" s="201"/>
      <c r="VQK172" s="201"/>
      <c r="VQL172" s="201"/>
      <c r="VQM172" s="201"/>
      <c r="VQN172" s="201"/>
      <c r="VQO172" s="201"/>
      <c r="VQP172" s="201"/>
      <c r="VQQ172" s="201"/>
      <c r="VQR172" s="201"/>
      <c r="VQS172" s="201"/>
      <c r="VQT172" s="201"/>
      <c r="VQU172" s="201"/>
      <c r="VQV172" s="201"/>
      <c r="VQW172" s="201"/>
      <c r="VQX172" s="201"/>
      <c r="VQY172" s="201"/>
      <c r="VQZ172" s="201"/>
      <c r="VRA172" s="201"/>
      <c r="VRB172" s="201"/>
      <c r="VRC172" s="201"/>
      <c r="VRD172" s="201"/>
      <c r="VRE172" s="201"/>
      <c r="VRF172" s="201"/>
      <c r="VRG172" s="201"/>
      <c r="VRH172" s="201"/>
      <c r="VRI172" s="201"/>
      <c r="VRJ172" s="201"/>
      <c r="VRK172" s="201"/>
      <c r="VRL172" s="201"/>
      <c r="VRM172" s="201"/>
      <c r="VRN172" s="201"/>
      <c r="VRO172" s="201"/>
      <c r="VRP172" s="201"/>
      <c r="VRQ172" s="201"/>
      <c r="VRR172" s="201"/>
      <c r="VRS172" s="201"/>
      <c r="VRT172" s="201"/>
      <c r="VRU172" s="201"/>
      <c r="VRV172" s="201"/>
      <c r="VRW172" s="201"/>
      <c r="VRX172" s="201"/>
      <c r="VRY172" s="201"/>
      <c r="VRZ172" s="201"/>
      <c r="VSA172" s="201"/>
      <c r="VSB172" s="201"/>
      <c r="VSC172" s="201"/>
      <c r="VSD172" s="201"/>
      <c r="VSE172" s="201"/>
      <c r="VSF172" s="201"/>
      <c r="VSG172" s="201"/>
      <c r="VSH172" s="201"/>
      <c r="VSI172" s="201"/>
      <c r="VSJ172" s="201"/>
      <c r="VSK172" s="201"/>
      <c r="VSL172" s="201"/>
      <c r="VSM172" s="201"/>
      <c r="VSN172" s="201"/>
      <c r="VSO172" s="201"/>
      <c r="VSP172" s="201"/>
      <c r="VSQ172" s="201"/>
      <c r="VSR172" s="201"/>
      <c r="VSS172" s="201"/>
      <c r="VST172" s="201"/>
      <c r="VSU172" s="201"/>
      <c r="VSV172" s="201"/>
      <c r="VSW172" s="201"/>
      <c r="VSX172" s="201"/>
      <c r="VSY172" s="201"/>
      <c r="VSZ172" s="201"/>
      <c r="VTA172" s="201"/>
      <c r="VTB172" s="201"/>
      <c r="VTC172" s="201"/>
      <c r="VTD172" s="201"/>
      <c r="VTE172" s="201"/>
      <c r="VTF172" s="201"/>
      <c r="VTG172" s="201"/>
      <c r="VTH172" s="201"/>
      <c r="VTI172" s="201"/>
      <c r="VTJ172" s="201"/>
      <c r="VTK172" s="201"/>
      <c r="VTL172" s="201"/>
      <c r="VTM172" s="201"/>
      <c r="VTN172" s="201"/>
      <c r="VTO172" s="201"/>
      <c r="VTP172" s="201"/>
      <c r="VTQ172" s="201"/>
      <c r="VTR172" s="201"/>
      <c r="VTS172" s="201"/>
      <c r="VTT172" s="201"/>
      <c r="VTU172" s="201"/>
      <c r="VTV172" s="201"/>
      <c r="VTW172" s="201"/>
      <c r="VTX172" s="201"/>
      <c r="VTY172" s="201"/>
      <c r="VTZ172" s="201"/>
      <c r="VUA172" s="201"/>
      <c r="VUB172" s="201"/>
      <c r="VUC172" s="201"/>
      <c r="VUD172" s="201"/>
      <c r="VUE172" s="201"/>
      <c r="VUF172" s="201"/>
      <c r="VUG172" s="201"/>
      <c r="VUH172" s="201"/>
      <c r="VUI172" s="201"/>
      <c r="VUJ172" s="201"/>
      <c r="VUK172" s="201"/>
      <c r="VUL172" s="201"/>
      <c r="VUM172" s="201"/>
      <c r="VUN172" s="201"/>
      <c r="VUO172" s="201"/>
      <c r="VUP172" s="201"/>
      <c r="VUQ172" s="201"/>
      <c r="VUR172" s="201"/>
      <c r="VUS172" s="201"/>
      <c r="VUT172" s="201"/>
      <c r="VUU172" s="201"/>
      <c r="VUV172" s="201"/>
      <c r="VUW172" s="201"/>
      <c r="VUX172" s="201"/>
      <c r="VUY172" s="201"/>
      <c r="VUZ172" s="201"/>
      <c r="VVA172" s="201"/>
      <c r="VVB172" s="201"/>
      <c r="VVC172" s="201"/>
      <c r="VVD172" s="201"/>
      <c r="VVE172" s="201"/>
      <c r="VVF172" s="201"/>
      <c r="VVG172" s="201"/>
      <c r="VVH172" s="201"/>
      <c r="VVI172" s="201"/>
      <c r="VVJ172" s="201"/>
      <c r="VVK172" s="201"/>
      <c r="VVL172" s="201"/>
      <c r="VVM172" s="201"/>
      <c r="VVN172" s="201"/>
      <c r="VVO172" s="201"/>
      <c r="VVP172" s="201"/>
      <c r="VVQ172" s="201"/>
      <c r="VVR172" s="201"/>
      <c r="VVS172" s="201"/>
      <c r="VVT172" s="201"/>
      <c r="VVU172" s="201"/>
      <c r="VVV172" s="201"/>
      <c r="VVW172" s="201"/>
      <c r="VVX172" s="201"/>
      <c r="VVY172" s="201"/>
      <c r="VVZ172" s="201"/>
      <c r="VWA172" s="201"/>
      <c r="VWB172" s="201"/>
      <c r="VWC172" s="201"/>
      <c r="VWD172" s="201"/>
      <c r="VWE172" s="201"/>
      <c r="VWF172" s="201"/>
      <c r="VWG172" s="201"/>
      <c r="VWH172" s="201"/>
      <c r="VWI172" s="201"/>
      <c r="VWJ172" s="201"/>
      <c r="VWK172" s="201"/>
      <c r="VWL172" s="201"/>
      <c r="VWM172" s="201"/>
      <c r="VWN172" s="201"/>
      <c r="VWO172" s="201"/>
      <c r="VWP172" s="201"/>
      <c r="VWQ172" s="201"/>
      <c r="VWR172" s="201"/>
      <c r="VWS172" s="201"/>
      <c r="VWT172" s="201"/>
      <c r="VWU172" s="201"/>
      <c r="VWV172" s="201"/>
      <c r="VWW172" s="201"/>
      <c r="VWX172" s="201"/>
      <c r="VWY172" s="201"/>
      <c r="VWZ172" s="201"/>
      <c r="VXA172" s="201"/>
      <c r="VXB172" s="201"/>
      <c r="VXC172" s="201"/>
      <c r="VXD172" s="201"/>
      <c r="VXE172" s="201"/>
      <c r="VXF172" s="201"/>
      <c r="VXG172" s="201"/>
      <c r="VXH172" s="201"/>
      <c r="VXI172" s="201"/>
      <c r="VXJ172" s="201"/>
      <c r="VXK172" s="201"/>
      <c r="VXL172" s="201"/>
      <c r="VXM172" s="201"/>
      <c r="VXN172" s="201"/>
      <c r="VXO172" s="201"/>
      <c r="VXP172" s="201"/>
      <c r="VXQ172" s="201"/>
      <c r="VXR172" s="201"/>
      <c r="VXS172" s="201"/>
      <c r="VXT172" s="201"/>
      <c r="VXU172" s="201"/>
      <c r="VXV172" s="201"/>
      <c r="VXW172" s="201"/>
      <c r="VXX172" s="201"/>
      <c r="VXY172" s="201"/>
      <c r="VXZ172" s="201"/>
      <c r="VYA172" s="201"/>
      <c r="VYB172" s="201"/>
      <c r="VYC172" s="201"/>
      <c r="VYD172" s="201"/>
      <c r="VYE172" s="201"/>
      <c r="VYF172" s="201"/>
      <c r="VYG172" s="201"/>
      <c r="VYH172" s="201"/>
      <c r="VYI172" s="201"/>
      <c r="VYJ172" s="201"/>
      <c r="VYK172" s="201"/>
      <c r="VYL172" s="201"/>
      <c r="VYM172" s="201"/>
      <c r="VYN172" s="201"/>
      <c r="VYO172" s="201"/>
      <c r="VYP172" s="201"/>
      <c r="VYQ172" s="201"/>
      <c r="VYR172" s="201"/>
      <c r="VYS172" s="201"/>
      <c r="VYT172" s="201"/>
      <c r="VYU172" s="201"/>
      <c r="VYV172" s="201"/>
      <c r="VYW172" s="201"/>
      <c r="VYX172" s="201"/>
      <c r="VYY172" s="201"/>
      <c r="VYZ172" s="201"/>
      <c r="VZA172" s="201"/>
      <c r="VZB172" s="201"/>
      <c r="VZC172" s="201"/>
      <c r="VZD172" s="201"/>
      <c r="VZE172" s="201"/>
      <c r="VZF172" s="201"/>
      <c r="VZG172" s="201"/>
      <c r="VZH172" s="201"/>
      <c r="VZI172" s="201"/>
      <c r="VZJ172" s="201"/>
      <c r="VZK172" s="201"/>
      <c r="VZL172" s="201"/>
      <c r="VZM172" s="201"/>
      <c r="VZN172" s="201"/>
      <c r="VZO172" s="201"/>
      <c r="VZP172" s="201"/>
      <c r="VZQ172" s="201"/>
      <c r="VZR172" s="201"/>
      <c r="VZS172" s="201"/>
      <c r="VZT172" s="201"/>
      <c r="VZU172" s="201"/>
      <c r="VZV172" s="201"/>
      <c r="VZW172" s="201"/>
      <c r="VZX172" s="201"/>
      <c r="VZY172" s="201"/>
      <c r="VZZ172" s="201"/>
      <c r="WAA172" s="201"/>
      <c r="WAB172" s="201"/>
      <c r="WAC172" s="201"/>
      <c r="WAD172" s="201"/>
      <c r="WAE172" s="201"/>
      <c r="WAF172" s="201"/>
      <c r="WAG172" s="201"/>
      <c r="WAH172" s="201"/>
      <c r="WAI172" s="201"/>
      <c r="WAJ172" s="201"/>
      <c r="WAK172" s="201"/>
      <c r="WAL172" s="201"/>
      <c r="WAM172" s="201"/>
      <c r="WAN172" s="201"/>
      <c r="WAO172" s="201"/>
      <c r="WAP172" s="201"/>
      <c r="WAQ172" s="201"/>
      <c r="WAR172" s="201"/>
      <c r="WAS172" s="201"/>
      <c r="WAT172" s="201"/>
      <c r="WAU172" s="201"/>
      <c r="WAV172" s="201"/>
      <c r="WAW172" s="201"/>
      <c r="WAX172" s="201"/>
      <c r="WAY172" s="201"/>
      <c r="WAZ172" s="201"/>
      <c r="WBA172" s="201"/>
      <c r="WBB172" s="201"/>
      <c r="WBC172" s="201"/>
      <c r="WBD172" s="201"/>
      <c r="WBE172" s="201"/>
      <c r="WBF172" s="201"/>
      <c r="WBG172" s="201"/>
      <c r="WBH172" s="201"/>
      <c r="WBI172" s="201"/>
      <c r="WBJ172" s="201"/>
      <c r="WBK172" s="201"/>
      <c r="WBL172" s="201"/>
      <c r="WBM172" s="201"/>
      <c r="WBN172" s="201"/>
      <c r="WBO172" s="201"/>
      <c r="WBP172" s="201"/>
      <c r="WBQ172" s="201"/>
      <c r="WBR172" s="201"/>
      <c r="WBS172" s="201"/>
      <c r="WBT172" s="201"/>
      <c r="WBU172" s="201"/>
      <c r="WBV172" s="201"/>
      <c r="WBW172" s="201"/>
      <c r="WBX172" s="201"/>
      <c r="WBY172" s="201"/>
      <c r="WBZ172" s="201"/>
      <c r="WCA172" s="201"/>
      <c r="WCB172" s="201"/>
      <c r="WCC172" s="201"/>
      <c r="WCD172" s="201"/>
      <c r="WCE172" s="201"/>
      <c r="WCF172" s="201"/>
      <c r="WCG172" s="201"/>
      <c r="WCH172" s="201"/>
      <c r="WCI172" s="201"/>
      <c r="WCJ172" s="201"/>
      <c r="WCK172" s="201"/>
      <c r="WCL172" s="201"/>
      <c r="WCM172" s="201"/>
      <c r="WCN172" s="201"/>
      <c r="WCO172" s="201"/>
      <c r="WCP172" s="201"/>
      <c r="WCQ172" s="201"/>
      <c r="WCR172" s="201"/>
      <c r="WCS172" s="201"/>
      <c r="WCT172" s="201"/>
      <c r="WCU172" s="201"/>
      <c r="WCV172" s="201"/>
      <c r="WCW172" s="201"/>
      <c r="WCX172" s="201"/>
      <c r="WCY172" s="201"/>
      <c r="WCZ172" s="201"/>
      <c r="WDA172" s="201"/>
      <c r="WDB172" s="201"/>
      <c r="WDC172" s="201"/>
      <c r="WDD172" s="201"/>
      <c r="WDE172" s="201"/>
      <c r="WDF172" s="201"/>
      <c r="WDG172" s="201"/>
      <c r="WDH172" s="201"/>
      <c r="WDI172" s="201"/>
      <c r="WDJ172" s="201"/>
      <c r="WDK172" s="201"/>
      <c r="WDL172" s="201"/>
      <c r="WDM172" s="201"/>
      <c r="WDN172" s="201"/>
      <c r="WDO172" s="201"/>
      <c r="WDP172" s="201"/>
      <c r="WDQ172" s="201"/>
      <c r="WDR172" s="201"/>
      <c r="WDS172" s="201"/>
      <c r="WDT172" s="201"/>
      <c r="WDU172" s="201"/>
      <c r="WDV172" s="201"/>
      <c r="WDW172" s="201"/>
      <c r="WDX172" s="201"/>
      <c r="WDY172" s="201"/>
      <c r="WDZ172" s="201"/>
      <c r="WEA172" s="201"/>
      <c r="WEB172" s="201"/>
      <c r="WEC172" s="201"/>
      <c r="WED172" s="201"/>
      <c r="WEE172" s="201"/>
      <c r="WEF172" s="201"/>
      <c r="WEG172" s="201"/>
      <c r="WEH172" s="201"/>
      <c r="WEI172" s="201"/>
      <c r="WEJ172" s="201"/>
      <c r="WEK172" s="201"/>
      <c r="WEL172" s="201"/>
      <c r="WEM172" s="201"/>
      <c r="WEN172" s="201"/>
      <c r="WEO172" s="201"/>
      <c r="WEP172" s="201"/>
      <c r="WEQ172" s="201"/>
      <c r="WER172" s="201"/>
      <c r="WES172" s="201"/>
      <c r="WET172" s="201"/>
      <c r="WEU172" s="201"/>
      <c r="WEV172" s="201"/>
      <c r="WEW172" s="201"/>
      <c r="WEX172" s="201"/>
      <c r="WEY172" s="201"/>
      <c r="WEZ172" s="201"/>
      <c r="WFA172" s="201"/>
      <c r="WFB172" s="201"/>
      <c r="WFC172" s="201"/>
      <c r="WFD172" s="201"/>
      <c r="WFE172" s="201"/>
      <c r="WFF172" s="201"/>
      <c r="WFG172" s="201"/>
      <c r="WFH172" s="201"/>
      <c r="WFI172" s="201"/>
      <c r="WFJ172" s="201"/>
      <c r="WFK172" s="201"/>
      <c r="WFL172" s="201"/>
      <c r="WFM172" s="201"/>
      <c r="WFN172" s="201"/>
      <c r="WFO172" s="201"/>
      <c r="WFP172" s="201"/>
      <c r="WFQ172" s="201"/>
      <c r="WFR172" s="201"/>
      <c r="WFS172" s="201"/>
      <c r="WFT172" s="201"/>
      <c r="WFU172" s="201"/>
      <c r="WFV172" s="201"/>
      <c r="WFW172" s="201"/>
      <c r="WFX172" s="201"/>
      <c r="WFY172" s="201"/>
      <c r="WFZ172" s="201"/>
      <c r="WGA172" s="201"/>
      <c r="WGB172" s="201"/>
      <c r="WGC172" s="201"/>
      <c r="WGD172" s="201"/>
      <c r="WGE172" s="201"/>
      <c r="WGF172" s="201"/>
      <c r="WGG172" s="201"/>
      <c r="WGH172" s="201"/>
      <c r="WGI172" s="201"/>
      <c r="WGJ172" s="201"/>
      <c r="WGK172" s="201"/>
      <c r="WGL172" s="201"/>
      <c r="WGM172" s="201"/>
      <c r="WGN172" s="201"/>
      <c r="WGO172" s="201"/>
      <c r="WGP172" s="201"/>
      <c r="WGQ172" s="201"/>
      <c r="WGR172" s="201"/>
      <c r="WGS172" s="201"/>
      <c r="WGT172" s="201"/>
      <c r="WGU172" s="201"/>
      <c r="WGV172" s="201"/>
      <c r="WGW172" s="201"/>
      <c r="WGX172" s="201"/>
      <c r="WGY172" s="201"/>
      <c r="WGZ172" s="201"/>
      <c r="WHA172" s="201"/>
      <c r="WHB172" s="201"/>
      <c r="WHC172" s="201"/>
      <c r="WHD172" s="201"/>
      <c r="WHE172" s="201"/>
      <c r="WHF172" s="201"/>
      <c r="WHG172" s="201"/>
      <c r="WHH172" s="201"/>
      <c r="WHI172" s="201"/>
      <c r="WHJ172" s="201"/>
      <c r="WHK172" s="201"/>
      <c r="WHL172" s="201"/>
      <c r="WHM172" s="201"/>
      <c r="WHN172" s="201"/>
      <c r="WHO172" s="201"/>
      <c r="WHP172" s="201"/>
      <c r="WHQ172" s="201"/>
      <c r="WHR172" s="201"/>
      <c r="WHS172" s="201"/>
      <c r="WHT172" s="201"/>
      <c r="WHU172" s="201"/>
      <c r="WHV172" s="201"/>
      <c r="WHW172" s="201"/>
      <c r="WHX172" s="201"/>
      <c r="WHY172" s="201"/>
      <c r="WHZ172" s="201"/>
      <c r="WIA172" s="201"/>
      <c r="WIB172" s="201"/>
      <c r="WIC172" s="201"/>
      <c r="WID172" s="201"/>
      <c r="WIE172" s="201"/>
      <c r="WIF172" s="201"/>
      <c r="WIG172" s="201"/>
      <c r="WIH172" s="201"/>
      <c r="WII172" s="201"/>
      <c r="WIJ172" s="201"/>
      <c r="WIK172" s="201"/>
      <c r="WIL172" s="201"/>
      <c r="WIM172" s="201"/>
      <c r="WIN172" s="201"/>
      <c r="WIO172" s="201"/>
      <c r="WIP172" s="201"/>
      <c r="WIQ172" s="201"/>
      <c r="WIR172" s="201"/>
      <c r="WIS172" s="201"/>
      <c r="WIT172" s="201"/>
      <c r="WIU172" s="201"/>
      <c r="WIV172" s="201"/>
      <c r="WIW172" s="201"/>
      <c r="WIX172" s="201"/>
      <c r="WIY172" s="201"/>
      <c r="WIZ172" s="201"/>
      <c r="WJA172" s="201"/>
      <c r="WJB172" s="201"/>
      <c r="WJC172" s="201"/>
      <c r="WJD172" s="201"/>
      <c r="WJE172" s="201"/>
      <c r="WJF172" s="201"/>
      <c r="WJG172" s="201"/>
      <c r="WJH172" s="201"/>
      <c r="WJI172" s="201"/>
      <c r="WJJ172" s="201"/>
      <c r="WJK172" s="201"/>
      <c r="WJL172" s="201"/>
      <c r="WJM172" s="201"/>
      <c r="WJN172" s="201"/>
      <c r="WJO172" s="201"/>
      <c r="WJP172" s="201"/>
      <c r="WJQ172" s="201"/>
      <c r="WJR172" s="201"/>
      <c r="WJS172" s="201"/>
      <c r="WJT172" s="201"/>
      <c r="WJU172" s="201"/>
      <c r="WJV172" s="201"/>
      <c r="WJW172" s="201"/>
      <c r="WJX172" s="201"/>
      <c r="WJY172" s="201"/>
      <c r="WJZ172" s="201"/>
      <c r="WKA172" s="201"/>
      <c r="WKB172" s="201"/>
      <c r="WKC172" s="201"/>
      <c r="WKD172" s="201"/>
      <c r="WKE172" s="201"/>
      <c r="WKF172" s="201"/>
      <c r="WKG172" s="201"/>
      <c r="WKH172" s="201"/>
      <c r="WKI172" s="201"/>
      <c r="WKJ172" s="201"/>
      <c r="WKK172" s="201"/>
      <c r="WKL172" s="201"/>
      <c r="WKM172" s="201"/>
      <c r="WKN172" s="201"/>
      <c r="WKO172" s="201"/>
      <c r="WKP172" s="201"/>
      <c r="WKQ172" s="201"/>
      <c r="WKR172" s="201"/>
      <c r="WKS172" s="201"/>
      <c r="WKT172" s="201"/>
      <c r="WKU172" s="201"/>
      <c r="WKV172" s="201"/>
      <c r="WKW172" s="201"/>
      <c r="WKX172" s="201"/>
      <c r="WKY172" s="201"/>
      <c r="WKZ172" s="201"/>
      <c r="WLA172" s="201"/>
      <c r="WLB172" s="201"/>
      <c r="WLC172" s="201"/>
      <c r="WLD172" s="201"/>
      <c r="WLE172" s="201"/>
      <c r="WLF172" s="201"/>
      <c r="WLG172" s="201"/>
      <c r="WLH172" s="201"/>
      <c r="WLI172" s="201"/>
      <c r="WLJ172" s="201"/>
      <c r="WLK172" s="201"/>
      <c r="WLL172" s="201"/>
      <c r="WLM172" s="201"/>
      <c r="WLN172" s="201"/>
      <c r="WLO172" s="201"/>
      <c r="WLP172" s="201"/>
      <c r="WLQ172" s="201"/>
      <c r="WLR172" s="201"/>
      <c r="WLS172" s="201"/>
      <c r="WLT172" s="201"/>
      <c r="WLU172" s="201"/>
      <c r="WLV172" s="201"/>
      <c r="WLW172" s="201"/>
      <c r="WLX172" s="201"/>
      <c r="WLY172" s="201"/>
      <c r="WLZ172" s="201"/>
      <c r="WMA172" s="201"/>
      <c r="WMB172" s="201"/>
      <c r="WMC172" s="201"/>
      <c r="WMD172" s="201"/>
      <c r="WME172" s="201"/>
      <c r="WMF172" s="201"/>
      <c r="WMG172" s="201"/>
      <c r="WMH172" s="201"/>
      <c r="WMI172" s="201"/>
      <c r="WMJ172" s="201"/>
      <c r="WMK172" s="201"/>
      <c r="WML172" s="201"/>
      <c r="WMM172" s="201"/>
      <c r="WMN172" s="201"/>
      <c r="WMO172" s="201"/>
      <c r="WMP172" s="201"/>
      <c r="WMQ172" s="201"/>
      <c r="WMR172" s="201"/>
      <c r="WMS172" s="201"/>
      <c r="WMT172" s="201"/>
      <c r="WMU172" s="201"/>
      <c r="WMV172" s="201"/>
      <c r="WMW172" s="201"/>
      <c r="WMX172" s="201"/>
      <c r="WMY172" s="201"/>
      <c r="WMZ172" s="201"/>
      <c r="WNA172" s="201"/>
      <c r="WNB172" s="201"/>
      <c r="WNC172" s="201"/>
      <c r="WND172" s="201"/>
      <c r="WNE172" s="201"/>
      <c r="WNF172" s="201"/>
      <c r="WNG172" s="201"/>
      <c r="WNH172" s="201"/>
      <c r="WNI172" s="201"/>
      <c r="WNJ172" s="201"/>
      <c r="WNK172" s="201"/>
      <c r="WNL172" s="201"/>
      <c r="WNM172" s="201"/>
      <c r="WNN172" s="201"/>
      <c r="WNO172" s="201"/>
      <c r="WNP172" s="201"/>
      <c r="WNQ172" s="201"/>
      <c r="WNR172" s="201"/>
      <c r="WNS172" s="201"/>
      <c r="WNT172" s="201"/>
      <c r="WNU172" s="201"/>
      <c r="WNV172" s="201"/>
      <c r="WNW172" s="201"/>
      <c r="WNX172" s="201"/>
      <c r="WNY172" s="201"/>
      <c r="WNZ172" s="201"/>
      <c r="WOA172" s="201"/>
      <c r="WOB172" s="201"/>
      <c r="WOC172" s="201"/>
      <c r="WOD172" s="201"/>
      <c r="WOE172" s="201"/>
      <c r="WOF172" s="201"/>
      <c r="WOG172" s="201"/>
      <c r="WOH172" s="201"/>
      <c r="WOI172" s="201"/>
      <c r="WOJ172" s="201"/>
      <c r="WOK172" s="201"/>
      <c r="WOL172" s="201"/>
      <c r="WOM172" s="201"/>
      <c r="WON172" s="201"/>
      <c r="WOO172" s="201"/>
      <c r="WOP172" s="201"/>
      <c r="WOQ172" s="201"/>
      <c r="WOR172" s="201"/>
      <c r="WOS172" s="201"/>
      <c r="WOT172" s="201"/>
      <c r="WOU172" s="201"/>
      <c r="WOV172" s="201"/>
      <c r="WOW172" s="201"/>
      <c r="WOX172" s="201"/>
      <c r="WOY172" s="201"/>
      <c r="WOZ172" s="201"/>
      <c r="WPA172" s="201"/>
      <c r="WPB172" s="201"/>
      <c r="WPC172" s="201"/>
      <c r="WPD172" s="201"/>
      <c r="WPE172" s="201"/>
      <c r="WPF172" s="201"/>
      <c r="WPG172" s="201"/>
      <c r="WPH172" s="201"/>
      <c r="WPI172" s="201"/>
      <c r="WPJ172" s="201"/>
      <c r="WPK172" s="201"/>
      <c r="WPL172" s="201"/>
      <c r="WPM172" s="201"/>
      <c r="WPN172" s="201"/>
      <c r="WPO172" s="201"/>
      <c r="WPP172" s="201"/>
      <c r="WPQ172" s="201"/>
      <c r="WPR172" s="201"/>
      <c r="WPS172" s="201"/>
      <c r="WPT172" s="201"/>
      <c r="WPU172" s="201"/>
      <c r="WPV172" s="201"/>
      <c r="WPW172" s="201"/>
      <c r="WPX172" s="201"/>
      <c r="WPY172" s="201"/>
      <c r="WPZ172" s="201"/>
      <c r="WQA172" s="201"/>
      <c r="WQB172" s="201"/>
      <c r="WQC172" s="201"/>
      <c r="WQD172" s="201"/>
      <c r="WQE172" s="201"/>
      <c r="WQF172" s="201"/>
      <c r="WQG172" s="201"/>
      <c r="WQH172" s="201"/>
      <c r="WQI172" s="201"/>
      <c r="WQJ172" s="201"/>
      <c r="WQK172" s="201"/>
      <c r="WQL172" s="201"/>
      <c r="WQM172" s="201"/>
      <c r="WQN172" s="201"/>
      <c r="WQO172" s="201"/>
      <c r="WQP172" s="201"/>
      <c r="WQQ172" s="201"/>
      <c r="WQR172" s="201"/>
      <c r="WQS172" s="201"/>
      <c r="WQT172" s="201"/>
      <c r="WQU172" s="201"/>
      <c r="WQV172" s="201"/>
      <c r="WQW172" s="201"/>
      <c r="WQX172" s="201"/>
      <c r="WQY172" s="201"/>
      <c r="WQZ172" s="201"/>
      <c r="WRA172" s="201"/>
      <c r="WRB172" s="201"/>
      <c r="WRC172" s="201"/>
      <c r="WRD172" s="201"/>
      <c r="WRE172" s="201"/>
      <c r="WRF172" s="201"/>
      <c r="WRG172" s="201"/>
      <c r="WRH172" s="201"/>
      <c r="WRI172" s="201"/>
      <c r="WRJ172" s="201"/>
      <c r="WRK172" s="201"/>
      <c r="WRL172" s="201"/>
      <c r="WRM172" s="201"/>
      <c r="WRN172" s="201"/>
      <c r="WRO172" s="201"/>
      <c r="WRP172" s="201"/>
      <c r="WRQ172" s="201"/>
      <c r="WRR172" s="201"/>
      <c r="WRS172" s="201"/>
      <c r="WRT172" s="201"/>
      <c r="WRU172" s="201"/>
      <c r="WRV172" s="201"/>
      <c r="WRW172" s="201"/>
      <c r="WRX172" s="201"/>
      <c r="WRY172" s="201"/>
      <c r="WRZ172" s="201"/>
      <c r="WSA172" s="201"/>
      <c r="WSB172" s="201"/>
      <c r="WSC172" s="201"/>
      <c r="WSD172" s="201"/>
      <c r="WSE172" s="201"/>
      <c r="WSF172" s="201"/>
      <c r="WSG172" s="201"/>
      <c r="WSH172" s="201"/>
      <c r="WSI172" s="201"/>
      <c r="WSJ172" s="201"/>
      <c r="WSK172" s="201"/>
      <c r="WSL172" s="201"/>
      <c r="WSM172" s="201"/>
      <c r="WSN172" s="201"/>
      <c r="WSO172" s="201"/>
      <c r="WSP172" s="201"/>
      <c r="WSQ172" s="201"/>
      <c r="WSR172" s="201"/>
      <c r="WSS172" s="201"/>
      <c r="WST172" s="201"/>
      <c r="WSU172" s="201"/>
      <c r="WSV172" s="201"/>
      <c r="WSW172" s="201"/>
      <c r="WSX172" s="201"/>
      <c r="WSY172" s="201"/>
      <c r="WSZ172" s="201"/>
      <c r="WTA172" s="201"/>
      <c r="WTB172" s="201"/>
      <c r="WTC172" s="201"/>
      <c r="WTD172" s="201"/>
      <c r="WTE172" s="201"/>
      <c r="WTF172" s="201"/>
      <c r="WTG172" s="201"/>
      <c r="WTH172" s="201"/>
      <c r="WTI172" s="201"/>
      <c r="WTJ172" s="201"/>
      <c r="WTK172" s="201"/>
      <c r="WTL172" s="201"/>
      <c r="WTM172" s="201"/>
      <c r="WTN172" s="201"/>
      <c r="WTO172" s="201"/>
      <c r="WTP172" s="201"/>
      <c r="WTQ172" s="201"/>
      <c r="WTR172" s="201"/>
      <c r="WTS172" s="201"/>
      <c r="WTT172" s="201"/>
      <c r="WTU172" s="201"/>
      <c r="WTV172" s="201"/>
      <c r="WTW172" s="201"/>
      <c r="WTX172" s="201"/>
      <c r="WTY172" s="201"/>
      <c r="WTZ172" s="201"/>
      <c r="WUA172" s="201"/>
      <c r="WUB172" s="201"/>
      <c r="WUC172" s="201"/>
      <c r="WUD172" s="201"/>
      <c r="WUE172" s="201"/>
      <c r="WUF172" s="201"/>
      <c r="WUG172" s="201"/>
      <c r="WUH172" s="201"/>
      <c r="WUI172" s="201"/>
      <c r="WUJ172" s="201"/>
      <c r="WUK172" s="201"/>
      <c r="WUL172" s="201"/>
      <c r="WUM172" s="201"/>
      <c r="WUN172" s="201"/>
      <c r="WUO172" s="201"/>
      <c r="WUP172" s="201"/>
      <c r="WUQ172" s="201"/>
      <c r="WUR172" s="201"/>
      <c r="WUS172" s="201"/>
      <c r="WUT172" s="201"/>
      <c r="WUU172" s="201"/>
      <c r="WUV172" s="201"/>
      <c r="WUW172" s="201"/>
      <c r="WUX172" s="201"/>
      <c r="WUY172" s="201"/>
      <c r="WUZ172" s="201"/>
      <c r="WVA172" s="201"/>
      <c r="WVB172" s="201"/>
      <c r="WVC172" s="201"/>
      <c r="WVD172" s="201"/>
      <c r="WVE172" s="201"/>
      <c r="WVF172" s="201"/>
      <c r="WVG172" s="201"/>
      <c r="WVH172" s="201"/>
      <c r="WVI172" s="201"/>
      <c r="WVJ172" s="201"/>
      <c r="WVK172" s="201"/>
      <c r="WVL172" s="201"/>
      <c r="WVM172" s="201"/>
      <c r="WVN172" s="201"/>
      <c r="WVO172" s="201"/>
      <c r="WVP172" s="201"/>
      <c r="WVQ172" s="201"/>
      <c r="WVR172" s="201"/>
      <c r="WVS172" s="201"/>
      <c r="WVT172" s="201"/>
      <c r="WVU172" s="201"/>
      <c r="WVV172" s="201"/>
      <c r="WVW172" s="201"/>
      <c r="WVX172" s="201"/>
      <c r="WVY172" s="201"/>
      <c r="WVZ172" s="201"/>
      <c r="WWA172" s="201"/>
      <c r="WWB172" s="201"/>
      <c r="WWC172" s="201"/>
      <c r="WWD172" s="201"/>
      <c r="WWE172" s="201"/>
      <c r="WWF172" s="201"/>
      <c r="WWG172" s="201"/>
      <c r="WWH172" s="201"/>
      <c r="WWI172" s="201"/>
      <c r="WWJ172" s="201"/>
      <c r="WWK172" s="201"/>
      <c r="WWL172" s="201"/>
      <c r="WWM172" s="201"/>
      <c r="WWN172" s="201"/>
      <c r="WWO172" s="201"/>
      <c r="WWP172" s="201"/>
      <c r="WWQ172" s="201"/>
      <c r="WWR172" s="201"/>
      <c r="WWS172" s="201"/>
      <c r="WWT172" s="201"/>
      <c r="WWU172" s="201"/>
      <c r="WWV172" s="201"/>
      <c r="WWW172" s="201"/>
      <c r="WWX172" s="201"/>
      <c r="WWY172" s="201"/>
      <c r="WWZ172" s="201"/>
      <c r="WXA172" s="201"/>
      <c r="WXB172" s="201"/>
      <c r="WXC172" s="201"/>
      <c r="WXD172" s="201"/>
      <c r="WXE172" s="201"/>
      <c r="WXF172" s="201"/>
      <c r="WXG172" s="201"/>
      <c r="WXH172" s="201"/>
      <c r="WXI172" s="201"/>
      <c r="WXJ172" s="201"/>
      <c r="WXK172" s="201"/>
      <c r="WXL172" s="201"/>
      <c r="WXM172" s="201"/>
      <c r="WXN172" s="201"/>
      <c r="WXO172" s="201"/>
      <c r="WXP172" s="201"/>
      <c r="WXQ172" s="201"/>
      <c r="WXR172" s="201"/>
      <c r="WXS172" s="201"/>
      <c r="WXT172" s="201"/>
      <c r="WXU172" s="201"/>
      <c r="WXV172" s="201"/>
      <c r="WXW172" s="201"/>
      <c r="WXX172" s="201"/>
      <c r="WXY172" s="201"/>
      <c r="WXZ172" s="201"/>
      <c r="WYA172" s="201"/>
      <c r="WYB172" s="201"/>
      <c r="WYC172" s="201"/>
      <c r="WYD172" s="201"/>
      <c r="WYE172" s="201"/>
      <c r="WYF172" s="201"/>
      <c r="WYG172" s="201"/>
      <c r="WYH172" s="201"/>
      <c r="WYI172" s="201"/>
      <c r="WYJ172" s="201"/>
      <c r="WYK172" s="201"/>
      <c r="WYL172" s="201"/>
      <c r="WYM172" s="201"/>
      <c r="WYN172" s="201"/>
      <c r="WYO172" s="201"/>
      <c r="WYP172" s="201"/>
      <c r="WYQ172" s="201"/>
      <c r="WYR172" s="201"/>
      <c r="WYS172" s="201"/>
      <c r="WYT172" s="201"/>
      <c r="WYU172" s="201"/>
      <c r="WYV172" s="201"/>
      <c r="WYW172" s="201"/>
      <c r="WYX172" s="201"/>
      <c r="WYY172" s="201"/>
      <c r="WYZ172" s="201"/>
      <c r="WZA172" s="201"/>
      <c r="WZB172" s="201"/>
      <c r="WZC172" s="201"/>
      <c r="WZD172" s="201"/>
      <c r="WZE172" s="201"/>
      <c r="WZF172" s="201"/>
      <c r="WZG172" s="201"/>
      <c r="WZH172" s="201"/>
      <c r="WZI172" s="201"/>
      <c r="WZJ172" s="201"/>
      <c r="WZK172" s="201"/>
      <c r="WZL172" s="201"/>
      <c r="WZM172" s="201"/>
      <c r="WZN172" s="201"/>
      <c r="WZO172" s="201"/>
      <c r="WZP172" s="201"/>
      <c r="WZQ172" s="201"/>
      <c r="WZR172" s="201"/>
      <c r="WZS172" s="201"/>
      <c r="WZT172" s="201"/>
      <c r="WZU172" s="201"/>
      <c r="WZV172" s="201"/>
      <c r="WZW172" s="201"/>
      <c r="WZX172" s="201"/>
      <c r="WZY172" s="201"/>
      <c r="WZZ172" s="201"/>
      <c r="XAA172" s="201"/>
      <c r="XAB172" s="201"/>
      <c r="XAC172" s="201"/>
      <c r="XAD172" s="201"/>
      <c r="XAE172" s="201"/>
      <c r="XAF172" s="201"/>
      <c r="XAG172" s="201"/>
      <c r="XAH172" s="201"/>
      <c r="XAI172" s="201"/>
      <c r="XAJ172" s="201"/>
      <c r="XAK172" s="201"/>
      <c r="XAL172" s="201"/>
      <c r="XAM172" s="201"/>
      <c r="XAN172" s="201"/>
      <c r="XAO172" s="201"/>
      <c r="XAP172" s="201"/>
      <c r="XAQ172" s="201"/>
      <c r="XAR172" s="201"/>
      <c r="XAS172" s="201"/>
      <c r="XAT172" s="201"/>
      <c r="XAU172" s="201"/>
      <c r="XAV172" s="201"/>
      <c r="XAW172" s="201"/>
      <c r="XAX172" s="201"/>
      <c r="XAY172" s="201"/>
      <c r="XAZ172" s="201"/>
      <c r="XBA172" s="201"/>
      <c r="XBB172" s="201"/>
      <c r="XBC172" s="201"/>
      <c r="XBD172" s="201"/>
      <c r="XBE172" s="201"/>
      <c r="XBF172" s="201"/>
      <c r="XBG172" s="201"/>
      <c r="XBH172" s="201"/>
      <c r="XBI172" s="201"/>
      <c r="XBJ172" s="201"/>
      <c r="XBK172" s="201"/>
      <c r="XBL172" s="201"/>
      <c r="XBM172" s="201"/>
      <c r="XBN172" s="201"/>
      <c r="XBO172" s="201"/>
      <c r="XBP172" s="201"/>
      <c r="XBQ172" s="201"/>
      <c r="XBR172" s="201"/>
      <c r="XBS172" s="201"/>
      <c r="XBT172" s="201"/>
      <c r="XBU172" s="201"/>
      <c r="XBV172" s="201"/>
      <c r="XBW172" s="201"/>
      <c r="XBX172" s="201"/>
      <c r="XBY172" s="201"/>
      <c r="XBZ172" s="201"/>
      <c r="XCA172" s="201"/>
      <c r="XCB172" s="201"/>
      <c r="XCC172" s="201"/>
      <c r="XCD172" s="201"/>
      <c r="XCE172" s="201"/>
      <c r="XCF172" s="201"/>
      <c r="XCG172" s="201"/>
      <c r="XCH172" s="201"/>
      <c r="XCI172" s="201"/>
      <c r="XCJ172" s="201"/>
      <c r="XCK172" s="201"/>
      <c r="XCL172" s="201"/>
      <c r="XCM172" s="201"/>
      <c r="XCN172" s="201"/>
      <c r="XCO172" s="201"/>
      <c r="XCP172" s="201"/>
      <c r="XCQ172" s="201"/>
      <c r="XCR172" s="201"/>
      <c r="XCS172" s="201"/>
      <c r="XCT172" s="201"/>
      <c r="XCU172" s="201"/>
      <c r="XCV172" s="201"/>
      <c r="XCW172" s="201"/>
      <c r="XCX172" s="201"/>
      <c r="XCY172" s="201"/>
      <c r="XCZ172" s="201"/>
      <c r="XDA172" s="201"/>
      <c r="XDB172" s="201"/>
      <c r="XDC172" s="201"/>
      <c r="XDD172" s="201"/>
      <c r="XDE172" s="201"/>
      <c r="XDF172" s="201"/>
      <c r="XDG172" s="201"/>
      <c r="XDH172" s="201"/>
      <c r="XDI172" s="201"/>
      <c r="XDJ172" s="201"/>
      <c r="XDK172" s="201"/>
      <c r="XDL172" s="201"/>
      <c r="XDM172" s="201"/>
      <c r="XDN172" s="201"/>
      <c r="XDO172" s="201"/>
      <c r="XDP172" s="201"/>
      <c r="XDQ172" s="201"/>
      <c r="XDR172" s="201"/>
      <c r="XDS172" s="201"/>
      <c r="XDT172" s="201"/>
      <c r="XDU172" s="201"/>
      <c r="XDV172" s="201"/>
      <c r="XDW172" s="201"/>
      <c r="XDX172" s="201"/>
      <c r="XDY172" s="201"/>
      <c r="XDZ172" s="201"/>
      <c r="XEA172" s="201"/>
      <c r="XEB172" s="201"/>
      <c r="XEC172" s="201"/>
      <c r="XED172" s="201"/>
      <c r="XEE172" s="201"/>
      <c r="XEF172" s="201"/>
      <c r="XEG172" s="201"/>
      <c r="XEH172" s="201"/>
      <c r="XEI172" s="201"/>
      <c r="XEJ172" s="201"/>
      <c r="XEK172" s="201"/>
      <c r="XEL172" s="201"/>
      <c r="XEM172" s="201"/>
      <c r="XEN172" s="201"/>
      <c r="XEO172" s="201"/>
      <c r="XEP172" s="201"/>
      <c r="XEQ172" s="201"/>
      <c r="XER172" s="201"/>
      <c r="XES172" s="201"/>
      <c r="XET172" s="201"/>
      <c r="XEU172" s="201"/>
      <c r="XEV172" s="201"/>
      <c r="XEW172" s="201"/>
      <c r="XEX172" s="201"/>
      <c r="XEY172" s="201"/>
      <c r="XEZ172" s="201"/>
      <c r="XFA172" s="201"/>
      <c r="XFB172" s="201"/>
      <c r="XFC172" s="201"/>
      <c r="XFD172" s="201"/>
    </row>
    <row r="173" spans="1:16384" outlineLevel="1" x14ac:dyDescent="0.3">
      <c r="A173" s="185" t="s">
        <v>125</v>
      </c>
      <c r="B173" s="200" t="s">
        <v>126</v>
      </c>
      <c r="C173" s="203" t="s">
        <v>199</v>
      </c>
      <c r="D173" s="185" t="s">
        <v>128</v>
      </c>
      <c r="E173" s="213" t="s">
        <v>129</v>
      </c>
      <c r="F173" s="214" t="s">
        <v>130</v>
      </c>
      <c r="G173" s="200" t="s">
        <v>131</v>
      </c>
      <c r="H173" s="200"/>
      <c r="I173" s="200"/>
    </row>
    <row r="174" spans="1:16384" s="24" customFormat="1" ht="60" customHeight="1" outlineLevel="1" x14ac:dyDescent="0.25">
      <c r="A174" s="185"/>
      <c r="B174" s="200"/>
      <c r="C174" s="203"/>
      <c r="D174" s="185"/>
      <c r="E174" s="213"/>
      <c r="F174" s="214"/>
      <c r="G174" s="86" t="s">
        <v>112</v>
      </c>
      <c r="H174" s="86" t="s">
        <v>110</v>
      </c>
      <c r="I174" s="86" t="s">
        <v>111</v>
      </c>
    </row>
    <row r="175" spans="1:16384" s="24" customFormat="1" ht="60" customHeight="1" outlineLevel="1" x14ac:dyDescent="0.25">
      <c r="A175" s="34" t="s">
        <v>271</v>
      </c>
      <c r="B175" s="35" t="e">
        <f>IF(ПРИЛОЖЕНИЕ!$A172=0,SUMIFS('итог '!M:M,'итог '!$B:$B,ПРИЛОЖЕНИЕ!$A171),SUMIFS('итог '!M:M,'итог '!$B:$B,ПРИЛОЖЕНИЕ!$A171,'итог '!$D:$D,ПРИЛОЖЕНИЕ!$A172))</f>
        <v>#REF!</v>
      </c>
      <c r="C175" s="34">
        <f>IF(ПРИЛОЖЕНИЕ!$A172=0,SUMIFS('итог '!Q:Q,'итог '!$B:$B,ПРИЛОЖЕНИЕ!$A171),SUMIFS('итог '!Q:Q,'итог '!$B:$B,ПРИЛОЖЕНИЕ!$A171,'итог '!$D:$D,ПРИЛОЖЕНИЕ!$A172))</f>
        <v>103.25</v>
      </c>
      <c r="D175" s="34">
        <f>IF(ПРИЛОЖЕНИЕ!$A172=0,SUMIFS('итог '!S:S,'итог '!$B:$B,ПРИЛОЖЕНИЕ!$A171),SUMIFS('итог '!S:S,'итог '!$B:$B,ПРИЛОЖЕНИЕ!$A171,'итог '!$D:$D,ПРИЛОЖЕНИЕ!$A172))</f>
        <v>1</v>
      </c>
      <c r="E175" s="36" t="e">
        <f>IF(ПРИЛОЖЕНИЕ!$A172=0,SUMIFS('итог '!T:T,'итог '!$B:$B,ПРИЛОЖЕНИЕ!$A171),SUMIFS('итог '!T:T,'итог '!$B:$B,ПРИЛОЖЕНИЕ!$A171,'итог '!$D:$D,ПРИЛОЖЕНИЕ!$A172))</f>
        <v>#REF!</v>
      </c>
      <c r="F175" s="35" t="e">
        <f>IF(ПРИЛОЖЕНИЕ!$A172=0,SUMIFS('итог '!V:V,'итог '!$B:$B,ПРИЛОЖЕНИЕ!$A171),SUMIFS('итог '!V:V,'итог '!$B:$B,ПРИЛОЖЕНИЕ!$A171,'итог '!$D:$D,ПРИЛОЖЕНИЕ!$A172))</f>
        <v>#REF!</v>
      </c>
      <c r="G175" s="35">
        <f>IF(ПРИЛОЖЕНИЕ!$A172=0,SUMIFS('итог '!W:W,'итог '!$B:$B,ПРИЛОЖЕНИЕ!$A171),SUMIFS('итог '!W:W,'итог '!$B:$B,ПРИЛОЖЕНИЕ!$A171,'итог '!$D:$D,ПРИЛОЖЕНИЕ!$A172))</f>
        <v>56258000</v>
      </c>
      <c r="H175" s="35">
        <f>IF(ПРИЛОЖЕНИЕ!$A172=0,SUMIFS('итог '!X:X,'итог '!$B:$B,ПРИЛОЖЕНИЕ!$A171),SUMIFS('итог '!X:X,'итог '!$B:$B,ПРИЛОЖЕНИЕ!$A171,'итог '!$D:$D,ПРИЛОЖЕНИЕ!$A172))</f>
        <v>56658398</v>
      </c>
      <c r="I175" s="35">
        <f>IF(ПРИЛОЖЕНИЕ!$A172=0,SUMIFS('итог '!Y:Y,'итог '!$B:$B,ПРИЛОЖЕНИЕ!$A171),SUMIFS('итог '!Y:Y,'итог '!$B:$B,ПРИЛОЖЕНИЕ!$A171,'итог '!$D:$D,ПРИЛОЖЕНИЕ!$A172))</f>
        <v>-400398</v>
      </c>
    </row>
    <row r="176" spans="1:16384" ht="24" customHeight="1" outlineLevel="1" x14ac:dyDescent="0.3">
      <c r="A176" s="37"/>
      <c r="B176" s="38"/>
      <c r="C176" s="37"/>
      <c r="D176" s="37"/>
      <c r="E176" s="39"/>
      <c r="F176" s="38"/>
      <c r="G176" s="38"/>
      <c r="H176" s="38"/>
      <c r="I176" s="38"/>
    </row>
    <row r="177" spans="1:9" outlineLevel="1" x14ac:dyDescent="0.3">
      <c r="A177" s="87" t="s">
        <v>198</v>
      </c>
      <c r="C177" s="37"/>
      <c r="D177" s="37"/>
      <c r="E177" s="39"/>
      <c r="F177" s="38"/>
      <c r="G177" s="38"/>
      <c r="H177" s="38"/>
      <c r="I177" s="38"/>
    </row>
    <row r="178" spans="1:9" outlineLevel="1" x14ac:dyDescent="0.3">
      <c r="A178" s="38" t="s">
        <v>135</v>
      </c>
      <c r="C178" s="37"/>
      <c r="D178" s="37"/>
      <c r="E178" s="39"/>
      <c r="F178" s="38"/>
      <c r="G178" s="41"/>
      <c r="H178" s="38" t="s">
        <v>136</v>
      </c>
      <c r="I178" s="38"/>
    </row>
    <row r="179" spans="1:9" outlineLevel="1" x14ac:dyDescent="0.3">
      <c r="A179" s="38"/>
      <c r="C179" s="37"/>
      <c r="D179" s="37"/>
      <c r="E179" s="39"/>
      <c r="F179" s="38"/>
      <c r="G179" s="47"/>
      <c r="H179" s="38"/>
      <c r="I179" s="38"/>
    </row>
    <row r="180" spans="1:9" outlineLevel="1" x14ac:dyDescent="0.3">
      <c r="A180" s="38"/>
      <c r="C180" s="37"/>
      <c r="D180" s="37"/>
      <c r="E180" s="39"/>
      <c r="F180" s="38"/>
      <c r="G180" s="47"/>
      <c r="H180" s="38"/>
      <c r="I180" s="38"/>
    </row>
    <row r="181" spans="1:9" outlineLevel="1" x14ac:dyDescent="0.3">
      <c r="I181" s="88" t="str">
        <f>IF(I187&lt;0,"Приложение №1","")</f>
        <v/>
      </c>
    </row>
    <row r="182" spans="1:9" ht="30" customHeight="1" outlineLevel="1" x14ac:dyDescent="0.3">
      <c r="A182" s="201" t="s">
        <v>132</v>
      </c>
      <c r="B182" s="201"/>
      <c r="C182" s="201"/>
      <c r="D182" s="201"/>
      <c r="E182" s="201"/>
      <c r="F182" s="201"/>
      <c r="G182" s="201"/>
      <c r="H182" s="201"/>
      <c r="I182" s="201"/>
    </row>
    <row r="183" spans="1:9" ht="30" customHeight="1" outlineLevel="1" x14ac:dyDescent="0.3">
      <c r="A183" s="201" t="s">
        <v>39</v>
      </c>
      <c r="B183" s="201"/>
      <c r="C183" s="201"/>
      <c r="D183" s="201"/>
      <c r="E183" s="201"/>
      <c r="F183" s="201"/>
      <c r="G183" s="201"/>
      <c r="H183" s="201"/>
      <c r="I183" s="201"/>
    </row>
    <row r="184" spans="1:9" ht="23.25" customHeight="1" outlineLevel="1" x14ac:dyDescent="0.35">
      <c r="A184" s="216">
        <v>30</v>
      </c>
      <c r="B184" s="216"/>
      <c r="C184" s="216"/>
      <c r="D184" s="216"/>
      <c r="E184" s="216"/>
      <c r="F184" s="216"/>
      <c r="G184" s="216"/>
      <c r="H184" s="216"/>
      <c r="I184" s="216"/>
    </row>
    <row r="185" spans="1:9" ht="60" customHeight="1" outlineLevel="1" x14ac:dyDescent="0.3">
      <c r="A185" s="185" t="s">
        <v>125</v>
      </c>
      <c r="B185" s="200" t="s">
        <v>126</v>
      </c>
      <c r="C185" s="203" t="s">
        <v>199</v>
      </c>
      <c r="D185" s="185" t="s">
        <v>128</v>
      </c>
      <c r="E185" s="213" t="s">
        <v>129</v>
      </c>
      <c r="F185" s="214" t="s">
        <v>130</v>
      </c>
      <c r="G185" s="200" t="s">
        <v>131</v>
      </c>
      <c r="H185" s="200"/>
      <c r="I185" s="200"/>
    </row>
    <row r="186" spans="1:9" ht="60" customHeight="1" outlineLevel="1" x14ac:dyDescent="0.3">
      <c r="A186" s="185"/>
      <c r="B186" s="200"/>
      <c r="C186" s="203"/>
      <c r="D186" s="185"/>
      <c r="E186" s="213"/>
      <c r="F186" s="214"/>
      <c r="G186" s="126" t="s">
        <v>112</v>
      </c>
      <c r="H186" s="126" t="s">
        <v>110</v>
      </c>
      <c r="I186" s="126" t="s">
        <v>111</v>
      </c>
    </row>
    <row r="187" spans="1:9" ht="30" customHeight="1" outlineLevel="1" x14ac:dyDescent="0.3">
      <c r="A187" s="34" t="e">
        <f>IF(ПРИЛОЖЕНИЕ!$A184=0,SUMIFS('итог '!L:L,'итог '!$B:$B,ПРИЛОЖЕНИЕ!$A183),SUMIFS('итог '!L:L,'итог '!$B:$B,ПРИЛОЖЕНИЕ!$A183,'итог '!$D:$D,ПРИЛОЖЕНИЕ!$A184))</f>
        <v>#REF!</v>
      </c>
      <c r="B187" s="35" t="e">
        <f>IF(ПРИЛОЖЕНИЕ!$A184=0,SUMIFS('итог '!M:M,'итог '!$B:$B,ПРИЛОЖЕНИЕ!$A183),SUMIFS('итог '!M:M,'итог '!$B:$B,ПРИЛОЖЕНИЕ!$A183,'итог '!$D:$D,ПРИЛОЖЕНИЕ!$A184))</f>
        <v>#REF!</v>
      </c>
      <c r="C187" s="34">
        <f>IF(ПРИЛОЖЕНИЕ!$A184=0,SUMIFS('итог '!Q:Q,'итог '!$B:$B,ПРИЛОЖЕНИЕ!$A183),SUMIFS('итог '!Q:Q,'итог '!$B:$B,ПРИЛОЖЕНИЕ!$A183,'итог '!$D:$D,ПРИЛОЖЕНИЕ!$A184))</f>
        <v>27.669999999999998</v>
      </c>
      <c r="D187" s="34">
        <f>IF(ПРИЛОЖЕНИЕ!$A184=0,SUMIFS('итог '!S:S,'итог '!$B:$B,ПРИЛОЖЕНИЕ!$A183),SUMIFS('итог '!S:S,'итог '!$B:$B,ПРИЛОЖЕНИЕ!$A183,'итог '!$D:$D,ПРИЛОЖЕНИЕ!$A184))</f>
        <v>1.07</v>
      </c>
      <c r="E187" s="36" t="e">
        <f>IF(ПРИЛОЖЕНИЕ!$A184=0,SUMIFS('итог '!T:T,'итог '!$B:$B,ПРИЛОЖЕНИЕ!$A183),SUMIFS('итог '!T:T,'итог '!$B:$B,ПРИЛОЖЕНИЕ!$A183,'итог '!$D:$D,ПРИЛОЖЕНИЕ!$A184))</f>
        <v>#REF!</v>
      </c>
      <c r="F187" s="35" t="e">
        <f>IF(ПРИЛОЖЕНИЕ!$A184=0,SUMIFS('итог '!V:V,'итог '!$B:$B,ПРИЛОЖЕНИЕ!$A183),SUMIFS('итог '!V:V,'итог '!$B:$B,ПРИЛОЖЕНИЕ!$A183,'итог '!$D:$D,ПРИЛОЖЕНИЕ!$A184))</f>
        <v>#REF!</v>
      </c>
      <c r="G187" s="35">
        <f>IF(ПРИЛОЖЕНИЕ!$A184=0,SUMIFS('итог '!W:W,'итог '!$B:$B,ПРИЛОЖЕНИЕ!$A183),SUMIFS('итог '!W:W,'итог '!$B:$B,ПРИЛОЖЕНИЕ!$A183,'итог '!$D:$D,ПРИЛОЖЕНИЕ!$A184))</f>
        <v>16082976</v>
      </c>
      <c r="H187" s="35">
        <f>IF(ПРИЛОЖЕНИЕ!$A184=0,SUMIFS('итог '!X:X,'итог '!$B:$B,ПРИЛОЖЕНИЕ!$A183),SUMIFS('итог '!X:X,'итог '!$B:$B,ПРИЛОЖЕНИЕ!$A183,'итог '!$D:$D,ПРИЛОЖЕНИЕ!$A184))</f>
        <v>15035787.824978674</v>
      </c>
      <c r="I187" s="35">
        <f>IF(ПРИЛОЖЕНИЕ!$A184=0,SUMIFS('итог '!Y:Y,'итог '!$B:$B,ПРИЛОЖЕНИЕ!$A183),SUMIFS('итог '!Y:Y,'итог '!$B:$B,ПРИЛОЖЕНИЕ!$A183,'итог '!$D:$D,ПРИЛОЖЕНИЕ!$A184))</f>
        <v>1047188.1750213262</v>
      </c>
    </row>
    <row r="188" spans="1:9" outlineLevel="1" x14ac:dyDescent="0.3">
      <c r="A188" s="37"/>
      <c r="B188" s="38"/>
      <c r="C188" s="37"/>
      <c r="D188" s="37"/>
      <c r="E188" s="39"/>
      <c r="F188" s="38"/>
      <c r="G188" s="38"/>
      <c r="H188" s="38"/>
      <c r="I188" s="38"/>
    </row>
    <row r="189" spans="1:9" outlineLevel="1" x14ac:dyDescent="0.3">
      <c r="A189" s="87" t="s">
        <v>270</v>
      </c>
      <c r="C189" s="37"/>
      <c r="D189" s="37"/>
      <c r="E189" s="39"/>
      <c r="F189" s="38"/>
      <c r="G189" s="38"/>
      <c r="H189" s="38"/>
      <c r="I189" s="38"/>
    </row>
    <row r="190" spans="1:9" outlineLevel="1" x14ac:dyDescent="0.3">
      <c r="A190" s="38" t="s">
        <v>135</v>
      </c>
      <c r="C190" s="37"/>
      <c r="D190" s="37"/>
      <c r="E190" s="39"/>
      <c r="F190" s="38"/>
      <c r="G190" s="41"/>
      <c r="H190" s="38" t="s">
        <v>136</v>
      </c>
      <c r="I190" s="38"/>
    </row>
    <row r="191" spans="1:9" outlineLevel="1" x14ac:dyDescent="0.3">
      <c r="A191" s="38"/>
      <c r="C191" s="37"/>
      <c r="D191" s="37"/>
      <c r="E191" s="39"/>
      <c r="F191" s="38"/>
      <c r="G191" s="47"/>
      <c r="H191" s="38"/>
      <c r="I191" s="38"/>
    </row>
    <row r="192" spans="1:9" outlineLevel="1" x14ac:dyDescent="0.3">
      <c r="A192" s="38"/>
      <c r="C192" s="37"/>
      <c r="D192" s="37"/>
      <c r="E192" s="39"/>
      <c r="F192" s="38"/>
      <c r="G192" s="47"/>
      <c r="H192" s="38"/>
      <c r="I192" s="38"/>
    </row>
    <row r="193" spans="1:10" outlineLevel="1" x14ac:dyDescent="0.3">
      <c r="A193" s="38"/>
      <c r="C193" s="37"/>
      <c r="D193" s="37"/>
      <c r="E193" s="39"/>
      <c r="F193" s="38"/>
      <c r="G193" s="47"/>
      <c r="H193" s="38"/>
      <c r="I193" s="38"/>
    </row>
    <row r="194" spans="1:10" outlineLevel="1" x14ac:dyDescent="0.3"/>
    <row r="195" spans="1:10" x14ac:dyDescent="0.3">
      <c r="J195" s="37" t="s">
        <v>197</v>
      </c>
    </row>
    <row r="196" spans="1:10" x14ac:dyDescent="0.3">
      <c r="I196" s="45" t="str">
        <f>IF(J202&lt;0,"Приложение №1","")</f>
        <v/>
      </c>
    </row>
    <row r="197" spans="1:10" ht="25.5" x14ac:dyDescent="0.3">
      <c r="A197" s="201" t="s">
        <v>132</v>
      </c>
      <c r="B197" s="201"/>
      <c r="C197" s="201"/>
      <c r="D197" s="201"/>
      <c r="E197" s="201"/>
      <c r="F197" s="201"/>
      <c r="G197" s="201"/>
      <c r="H197" s="201"/>
      <c r="I197" s="201"/>
      <c r="J197" s="201"/>
    </row>
    <row r="198" spans="1:10" ht="25.5" x14ac:dyDescent="0.3">
      <c r="A198" s="201" t="s">
        <v>138</v>
      </c>
      <c r="B198" s="201"/>
      <c r="C198" s="201"/>
      <c r="D198" s="201"/>
      <c r="E198" s="201"/>
      <c r="F198" s="201"/>
      <c r="G198" s="201"/>
      <c r="H198" s="201"/>
      <c r="I198" s="201"/>
      <c r="J198" s="201"/>
    </row>
    <row r="199" spans="1:10" x14ac:dyDescent="0.3">
      <c r="A199" s="202"/>
      <c r="B199" s="202"/>
      <c r="C199" s="202"/>
      <c r="D199" s="202"/>
      <c r="E199" s="202"/>
      <c r="F199" s="202"/>
      <c r="G199" s="202"/>
      <c r="H199" s="202"/>
      <c r="I199" s="202"/>
    </row>
    <row r="200" spans="1:10" s="24" customFormat="1" ht="60" customHeight="1" x14ac:dyDescent="0.25">
      <c r="A200" s="190" t="s">
        <v>200</v>
      </c>
      <c r="B200" s="190" t="s">
        <v>125</v>
      </c>
      <c r="C200" s="186" t="s">
        <v>126</v>
      </c>
      <c r="D200" s="188" t="s">
        <v>199</v>
      </c>
      <c r="E200" s="190" t="s">
        <v>128</v>
      </c>
      <c r="F200" s="192" t="s">
        <v>129</v>
      </c>
      <c r="G200" s="198" t="s">
        <v>130</v>
      </c>
      <c r="H200" s="194" t="s">
        <v>131</v>
      </c>
      <c r="I200" s="195"/>
      <c r="J200" s="196"/>
    </row>
    <row r="201" spans="1:10" s="24" customFormat="1" ht="60" customHeight="1" x14ac:dyDescent="0.25">
      <c r="A201" s="191"/>
      <c r="B201" s="191"/>
      <c r="C201" s="187"/>
      <c r="D201" s="189"/>
      <c r="E201" s="191"/>
      <c r="F201" s="193"/>
      <c r="G201" s="199"/>
      <c r="H201" s="98" t="s">
        <v>112</v>
      </c>
      <c r="I201" s="98" t="s">
        <v>110</v>
      </c>
      <c r="J201" s="98" t="s">
        <v>111</v>
      </c>
    </row>
    <row r="202" spans="1:10" ht="30" customHeight="1" x14ac:dyDescent="0.3">
      <c r="A202" s="98" t="s">
        <v>201</v>
      </c>
      <c r="B202" s="34" t="e">
        <f>IF(ПРИЛОЖЕНИЕ!$A199=0,SUMIFS('итог '!L:L,'итог '!$B:$B,ПРИЛОЖЕНИЕ!$A198),SUMIFS('итог '!L:L,'итог '!$B:$B,ПРИЛОЖЕНИЕ!$A198,'итог '!$D:$D,ПРИЛОЖЕНИЕ!$A199))</f>
        <v>#REF!</v>
      </c>
      <c r="C202" s="35" t="e">
        <f>IF(ПРИЛОЖЕНИЕ!$A199=0,SUMIFS('итог '!M:M,'итог '!$B:$B,ПРИЛОЖЕНИЕ!$A198),SUMIFS('итог '!M:M,'итог '!$B:$B,ПРИЛОЖЕНИЕ!$A198,'итог '!$D:$D,ПРИЛОЖЕНИЕ!$A199))</f>
        <v>#REF!</v>
      </c>
      <c r="D202" s="34">
        <f>IF(ПРИЛОЖЕНИЕ!$A199=0,SUMIFS('итог '!Q:Q,'итог '!$B:$B,ПРИЛОЖЕНИЕ!$A198),SUMIFS('итог '!Q:Q,'итог '!$B:$B,ПРИЛОЖЕНИЕ!$A198,'итог '!$D:$D,ПРИЛОЖЕНИЕ!$A199))</f>
        <v>360.26</v>
      </c>
      <c r="E202" s="34">
        <f>IF(ПРИЛОЖЕНИЕ!$A199=0,SUMIFS('итог '!S:S,'итог '!$B:$B,ПРИЛОЖЕНИЕ!$A198),SUMIFS('итог '!S:S,'итог '!$B:$B,ПРИЛОЖЕНИЕ!$A198,'итог '!$D:$D,ПРИЛОЖЕНИЕ!$A199))</f>
        <v>1</v>
      </c>
      <c r="F202" s="36" t="e">
        <f>IF(ПРИЛОЖЕНИЕ!$A199=0,SUMIFS('итог '!T:T,'итог '!$B:$B,ПРИЛОЖЕНИЕ!$A198),SUMIFS('итог '!T:T,'итог '!$B:$B,ПРИЛОЖЕНИЕ!$A198,'итог '!$D:$D,ПРИЛОЖЕНИЕ!$A199))</f>
        <v>#REF!</v>
      </c>
      <c r="G202" s="35" t="e">
        <f>IF(ПРИЛОЖЕНИЕ!$A199=0,SUMIFS('итог '!V:V,'итог '!$B:$B,ПРИЛОЖЕНИЕ!$A198),SUMIFS('итог '!V:V,'итог '!$B:$B,ПРИЛОЖЕНИЕ!$A198,'итог '!$D:$D,ПРИЛОЖЕНИЕ!$A199))</f>
        <v>#REF!</v>
      </c>
      <c r="H202" s="35">
        <f>IF(ПРИЛОЖЕНИЕ!$A199=0,SUMIFS('итог '!W:W,'итог '!$B:$B,ПРИЛОЖЕНИЕ!$A198),SUMIFS('итог '!W:W,'итог '!$B:$B,ПРИЛОЖЕНИЕ!$A198,'итог '!$D:$D,ПРИЛОЖЕНИЕ!$A199))</f>
        <v>226053072</v>
      </c>
      <c r="I202" s="35">
        <f>IF(ПРИЛОЖЕНИЕ!$A199=0,SUMIFS('итог '!X:X,'итог '!$B:$B,ПРИЛОЖЕНИЕ!$A198),SUMIFS('итог '!X:X,'итог '!$B:$B,ПРИЛОЖЕНИЕ!$A198,'итог '!$D:$D,ПРИЛОЖЕНИЕ!$A199))</f>
        <v>215214620</v>
      </c>
      <c r="J202" s="35">
        <f>IF(ПРИЛОЖЕНИЕ!$A199=0,SUMIFS('итог '!Y:Y,'итог '!$B:$B,ПРИЛОЖЕНИЕ!$A198),SUMIFS('итог '!Y:Y,'итог '!$B:$B,ПРИЛОЖЕНИЕ!$A198,'итог '!$D:$D,ПРИЛОЖЕНИЕ!$A199))</f>
        <v>10838452</v>
      </c>
    </row>
    <row r="203" spans="1:10" ht="30" customHeight="1" x14ac:dyDescent="0.3">
      <c r="A203" s="98" t="s">
        <v>202</v>
      </c>
      <c r="B203" s="34" t="e">
        <f>B202</f>
        <v>#REF!</v>
      </c>
      <c r="C203" s="34" t="e">
        <f>C202</f>
        <v>#REF!</v>
      </c>
      <c r="D203" s="34">
        <v>337.14</v>
      </c>
      <c r="E203" s="34">
        <f>D203/344</f>
        <v>0.98005813953488363</v>
      </c>
      <c r="F203" s="104" t="e">
        <f>IF(ПРИЛОЖЕНИЕ!$A199=0,SUMIFS('итог '!U:U,'итог '!$B:$B,ПРИЛОЖЕНИЕ!$A198),SUMIFS('итог '!U:U,'итог '!$B:$B,ПРИЛОЖЕНИЕ!$A198,'итог '!$D:$D,ПРИЛОЖЕНИЕ!$A199))</f>
        <v>#REF!</v>
      </c>
      <c r="G203" s="35" t="e">
        <f>G202*(H203/H202)</f>
        <v>#REF!</v>
      </c>
      <c r="H203" s="35">
        <f>215286.8*1000</f>
        <v>215286800</v>
      </c>
      <c r="I203" s="35">
        <f>I202</f>
        <v>215214620</v>
      </c>
      <c r="J203" s="35">
        <f>H203-I203</f>
        <v>72180</v>
      </c>
    </row>
    <row r="204" spans="1:10" ht="33.75" customHeight="1" x14ac:dyDescent="0.3">
      <c r="A204" s="37"/>
      <c r="B204" s="40" t="s">
        <v>134</v>
      </c>
      <c r="C204" s="37"/>
      <c r="D204" s="37"/>
      <c r="E204" s="39"/>
      <c r="F204" s="38"/>
      <c r="G204" s="38"/>
      <c r="H204" s="38"/>
      <c r="I204" s="38"/>
    </row>
    <row r="205" spans="1:10" ht="33.75" customHeight="1" x14ac:dyDescent="0.3">
      <c r="A205" s="37"/>
      <c r="B205" s="38" t="s">
        <v>135</v>
      </c>
      <c r="C205" s="37"/>
      <c r="D205" s="37"/>
      <c r="E205" s="39"/>
      <c r="F205" s="38"/>
      <c r="G205" s="41"/>
      <c r="H205" s="38" t="s">
        <v>136</v>
      </c>
      <c r="I205" s="38"/>
    </row>
    <row r="207" spans="1:10" x14ac:dyDescent="0.3">
      <c r="I207" s="45" t="str">
        <f>IF(J213&lt;0,"Приложение №1","")</f>
        <v/>
      </c>
      <c r="J207" s="37" t="s">
        <v>197</v>
      </c>
    </row>
    <row r="208" spans="1:10" s="84" customFormat="1" ht="26.25" x14ac:dyDescent="0.4">
      <c r="A208" s="201" t="s">
        <v>132</v>
      </c>
      <c r="B208" s="201"/>
      <c r="C208" s="201"/>
      <c r="D208" s="201"/>
      <c r="E208" s="201"/>
      <c r="F208" s="201"/>
      <c r="G208" s="201"/>
      <c r="H208" s="201"/>
      <c r="I208" s="201"/>
      <c r="J208" s="201"/>
    </row>
    <row r="209" spans="1:10" s="84" customFormat="1" ht="26.25" x14ac:dyDescent="0.4">
      <c r="A209" s="201" t="s">
        <v>139</v>
      </c>
      <c r="B209" s="201"/>
      <c r="C209" s="201"/>
      <c r="D209" s="201"/>
      <c r="E209" s="201"/>
      <c r="F209" s="201"/>
      <c r="G209" s="201"/>
      <c r="H209" s="201"/>
      <c r="I209" s="201"/>
      <c r="J209" s="201"/>
    </row>
    <row r="210" spans="1:10" x14ac:dyDescent="0.3">
      <c r="A210" s="217">
        <v>15</v>
      </c>
      <c r="B210" s="217"/>
      <c r="C210" s="217"/>
      <c r="D210" s="217"/>
      <c r="E210" s="217"/>
      <c r="F210" s="217"/>
      <c r="G210" s="217"/>
      <c r="H210" s="217"/>
      <c r="I210" s="217"/>
      <c r="J210" s="217"/>
    </row>
    <row r="211" spans="1:10" s="24" customFormat="1" ht="60" customHeight="1" x14ac:dyDescent="0.25">
      <c r="A211" s="190" t="s">
        <v>200</v>
      </c>
      <c r="B211" s="185" t="s">
        <v>125</v>
      </c>
      <c r="C211" s="186" t="s">
        <v>126</v>
      </c>
      <c r="D211" s="188" t="s">
        <v>199</v>
      </c>
      <c r="E211" s="190" t="s">
        <v>128</v>
      </c>
      <c r="F211" s="192" t="s">
        <v>129</v>
      </c>
      <c r="G211" s="198" t="s">
        <v>130</v>
      </c>
      <c r="H211" s="194" t="s">
        <v>131</v>
      </c>
      <c r="I211" s="195"/>
      <c r="J211" s="196"/>
    </row>
    <row r="212" spans="1:10" s="24" customFormat="1" ht="60" customHeight="1" x14ac:dyDescent="0.25">
      <c r="A212" s="191"/>
      <c r="B212" s="185"/>
      <c r="C212" s="187"/>
      <c r="D212" s="189"/>
      <c r="E212" s="191"/>
      <c r="F212" s="193"/>
      <c r="G212" s="199"/>
      <c r="H212" s="98" t="s">
        <v>112</v>
      </c>
      <c r="I212" s="98" t="s">
        <v>110</v>
      </c>
      <c r="J212" s="98" t="s">
        <v>111</v>
      </c>
    </row>
    <row r="213" spans="1:10" ht="30" customHeight="1" x14ac:dyDescent="0.3">
      <c r="A213" s="98" t="s">
        <v>201</v>
      </c>
      <c r="B213" s="34" t="e">
        <f>IF(ПРИЛОЖЕНИЕ!$A210=0,SUMIFS('итог '!L:L,'итог '!$B:$B,ПРИЛОЖЕНИЕ!$A209),SUMIFS('итог '!L:L,'итог '!$B:$B,ПРИЛОЖЕНИЕ!$A209,'итог '!$D:$D,ПРИЛОЖЕНИЕ!$A210))</f>
        <v>#REF!</v>
      </c>
      <c r="C213" s="35" t="e">
        <f>IF(ПРИЛОЖЕНИЕ!$A210=0,SUMIFS('итог '!M:M,'итог '!$B:$B,ПРИЛОЖЕНИЕ!$A209),SUMIFS('итог '!M:M,'итог '!$B:$B,ПРИЛОЖЕНИЕ!$A209,'итог '!$D:$D,ПРИЛОЖЕНИЕ!$A210))</f>
        <v>#REF!</v>
      </c>
      <c r="D213" s="34">
        <f>IF(ПРИЛОЖЕНИЕ!$A210=0,SUMIFS('итог '!Q:Q,'итог '!$B:$B,ПРИЛОЖЕНИЕ!$A209),SUMIFS('итог '!Q:Q,'итог '!$B:$B,ПРИЛОЖЕНИЕ!$A209,'итог '!$D:$D,ПРИЛОЖЕНИЕ!$A210))</f>
        <v>79.260000000000005</v>
      </c>
      <c r="E213" s="34">
        <f>IF(ПРИЛОЖЕНИЕ!$A210=0,SUMIFS('итог '!S:S,'итог '!$B:$B,ПРИЛОЖЕНИЕ!$A209),SUMIFS('итог '!S:S,'итог '!$B:$B,ПРИЛОЖЕНИЕ!$A209,'итог '!$D:$D,ПРИЛОЖЕНИЕ!$A210))</f>
        <v>1</v>
      </c>
      <c r="F213" s="36" t="e">
        <f>IF(ПРИЛОЖЕНИЕ!$A210=0,SUMIFS('итог '!T:T,'итог '!$B:$B,ПРИЛОЖЕНИЕ!$A209),SUMIFS('итог '!T:T,'итог '!$B:$B,ПРИЛОЖЕНИЕ!$A209,'итог '!$D:$D,ПРИЛОЖЕНИЕ!$A210))</f>
        <v>#REF!</v>
      </c>
      <c r="G213" s="35" t="e">
        <f>IF(ПРИЛОЖЕНИЕ!$A210=0,SUMIFS('итог '!V:V,'итог '!$B:$B,ПРИЛОЖЕНИЕ!$A209),SUMIFS('итог '!V:V,'итог '!$B:$B,ПРИЛОЖЕНИЕ!$A209,'итог '!$D:$D,ПРИЛОЖЕНИЕ!$A210))</f>
        <v>#REF!</v>
      </c>
      <c r="H213" s="35">
        <f>IF(ПРИЛОЖЕНИЕ!$A210=0,SUMIFS('итог '!W:W,'итог '!$B:$B,ПРИЛОЖЕНИЕ!$A209),SUMIFS('итог '!W:W,'итог '!$B:$B,ПРИЛОЖЕНИЕ!$A209,'итог '!$D:$D,ПРИЛОЖЕНИЕ!$A210))</f>
        <v>46139184</v>
      </c>
      <c r="I213" s="35">
        <f>IF(ПРИЛОЖЕНИЕ!$A210=0,SUMIFS('итог '!X:X,'итог '!$B:$B,ПРИЛОЖЕНИЕ!$A209),SUMIFS('итог '!X:X,'итог '!$B:$B,ПРИЛОЖЕНИЕ!$A209,'итог '!$D:$D,ПРИЛОЖЕНИЕ!$A210))</f>
        <v>43422133</v>
      </c>
      <c r="J213" s="35">
        <f>IF(ПРИЛОЖЕНИЕ!$A210=0,SUMIFS('итог '!Y:Y,'итог '!$B:$B,ПРИЛОЖЕНИЕ!$A209),SUMIFS('итог '!Y:Y,'итог '!$B:$B,ПРИЛОЖЕНИЕ!$A209,'итог '!$D:$D,ПРИЛОЖЕНИЕ!$A210))</f>
        <v>2717051</v>
      </c>
    </row>
    <row r="214" spans="1:10" ht="30" customHeight="1" x14ac:dyDescent="0.3">
      <c r="A214" s="98" t="s">
        <v>202</v>
      </c>
      <c r="B214" s="34" t="e">
        <f>B213</f>
        <v>#REF!</v>
      </c>
      <c r="C214" s="34" t="e">
        <f>C213</f>
        <v>#REF!</v>
      </c>
      <c r="D214" s="34">
        <v>72.61</v>
      </c>
      <c r="E214" s="34">
        <f>72.61/77</f>
        <v>0.94298701298701293</v>
      </c>
      <c r="F214" s="104" t="e">
        <f>IF(ПРИЛОЖЕНИЕ!$A210=0,SUMIFS('итог '!U:U,'итог '!$B:$B,ПРИЛОЖЕНИЕ!$A209),SUMIFS('итог '!U:U,'итог '!$B:$B,ПРИЛОЖЕНИЕ!$A209,'итог '!$D:$D,ПРИЛОЖЕНИЕ!$A210))</f>
        <v>#REF!</v>
      </c>
      <c r="G214" s="35" t="e">
        <f>G213*(H214/H213)</f>
        <v>#REF!</v>
      </c>
      <c r="H214" s="103">
        <f>42950.8*1000</f>
        <v>42950800</v>
      </c>
      <c r="I214" s="103">
        <f>I213</f>
        <v>43422133</v>
      </c>
      <c r="J214" s="103">
        <f>H214-I214</f>
        <v>-471333</v>
      </c>
    </row>
    <row r="215" spans="1:10" ht="36.75" customHeight="1" x14ac:dyDescent="0.3">
      <c r="A215" s="40" t="s">
        <v>203</v>
      </c>
      <c r="B215" s="40"/>
      <c r="C215" s="37"/>
      <c r="D215" s="37"/>
      <c r="E215" s="39"/>
      <c r="F215" s="38"/>
      <c r="G215" s="38"/>
      <c r="H215" s="38"/>
      <c r="I215" s="38"/>
    </row>
    <row r="216" spans="1:10" ht="39.75" customHeight="1" x14ac:dyDescent="0.3">
      <c r="A216" s="38" t="s">
        <v>135</v>
      </c>
      <c r="C216" s="37"/>
      <c r="D216" s="37"/>
      <c r="E216" s="39"/>
      <c r="F216" s="38"/>
      <c r="G216" s="41"/>
      <c r="H216" s="38" t="s">
        <v>136</v>
      </c>
    </row>
    <row r="218" spans="1:10" x14ac:dyDescent="0.3">
      <c r="J218" s="85" t="s">
        <v>197</v>
      </c>
    </row>
    <row r="219" spans="1:10" s="84" customFormat="1" ht="30" customHeight="1" x14ac:dyDescent="0.4">
      <c r="A219" s="201" t="s">
        <v>132</v>
      </c>
      <c r="B219" s="201"/>
      <c r="C219" s="201"/>
      <c r="D219" s="201"/>
      <c r="E219" s="201"/>
      <c r="F219" s="201"/>
      <c r="G219" s="201"/>
      <c r="H219" s="201"/>
      <c r="I219" s="201"/>
    </row>
    <row r="220" spans="1:10" s="84" customFormat="1" ht="30" customHeight="1" x14ac:dyDescent="0.4">
      <c r="A220" s="201" t="s">
        <v>139</v>
      </c>
      <c r="B220" s="201"/>
      <c r="C220" s="201"/>
      <c r="D220" s="201"/>
      <c r="E220" s="201"/>
      <c r="F220" s="201"/>
      <c r="G220" s="201"/>
      <c r="H220" s="201"/>
      <c r="I220" s="201"/>
    </row>
    <row r="221" spans="1:10" x14ac:dyDescent="0.3">
      <c r="A221" s="202">
        <v>24</v>
      </c>
      <c r="B221" s="202"/>
      <c r="C221" s="202"/>
      <c r="D221" s="202"/>
      <c r="E221" s="202"/>
      <c r="F221" s="202"/>
      <c r="G221" s="202"/>
      <c r="H221" s="202"/>
      <c r="I221" s="202"/>
    </row>
    <row r="222" spans="1:10" s="24" customFormat="1" ht="60" customHeight="1" x14ac:dyDescent="0.25">
      <c r="A222" s="190" t="s">
        <v>200</v>
      </c>
      <c r="B222" s="185" t="s">
        <v>125</v>
      </c>
      <c r="C222" s="186" t="s">
        <v>126</v>
      </c>
      <c r="D222" s="188" t="s">
        <v>199</v>
      </c>
      <c r="E222" s="190" t="s">
        <v>128</v>
      </c>
      <c r="F222" s="192" t="s">
        <v>129</v>
      </c>
      <c r="G222" s="198" t="s">
        <v>130</v>
      </c>
      <c r="H222" s="194" t="s">
        <v>131</v>
      </c>
      <c r="I222" s="195"/>
      <c r="J222" s="196"/>
    </row>
    <row r="223" spans="1:10" s="24" customFormat="1" ht="60" customHeight="1" x14ac:dyDescent="0.25">
      <c r="A223" s="191"/>
      <c r="B223" s="185"/>
      <c r="C223" s="187"/>
      <c r="D223" s="189"/>
      <c r="E223" s="191"/>
      <c r="F223" s="193"/>
      <c r="G223" s="199"/>
      <c r="H223" s="98" t="s">
        <v>112</v>
      </c>
      <c r="I223" s="98" t="s">
        <v>110</v>
      </c>
      <c r="J223" s="98" t="s">
        <v>111</v>
      </c>
    </row>
    <row r="224" spans="1:10" ht="30" customHeight="1" x14ac:dyDescent="0.3">
      <c r="A224" s="98" t="s">
        <v>201</v>
      </c>
      <c r="B224" s="34" t="e">
        <f>IF(ПРИЛОЖЕНИЕ!$A221=0,SUMIFS('итог '!L:L,'итог '!$B:$B,ПРИЛОЖЕНИЕ!$A220),SUMIFS('итог '!L:L,'итог '!$B:$B,ПРИЛОЖЕНИЕ!$A220,'итог '!$D:$D,ПРИЛОЖЕНИЕ!$A221))</f>
        <v>#REF!</v>
      </c>
      <c r="C224" s="35" t="e">
        <f>IF(ПРИЛОЖЕНИЕ!$A221=0,SUMIFS('итог '!M:M,'итог '!$B:$B,ПРИЛОЖЕНИЕ!$A220),SUMIFS('итог '!M:M,'итог '!$B:$B,ПРИЛОЖЕНИЕ!$A220,'итог '!$D:$D,ПРИЛОЖЕНИЕ!$A221))</f>
        <v>#REF!</v>
      </c>
      <c r="D224" s="34">
        <f>IF(ПРИЛОЖЕНИЕ!$A221=0,SUMIFS('итог '!Q:Q,'итог '!$B:$B,ПРИЛОЖЕНИЕ!$A220),SUMIFS('итог '!Q:Q,'итог '!$B:$B,ПРИЛОЖЕНИЕ!$A220,'итог '!$D:$D,ПРИЛОЖЕНИЕ!$A221))</f>
        <v>142</v>
      </c>
      <c r="E224" s="34">
        <f>IF(ПРИЛОЖЕНИЕ!$A221=0,SUMIFS('итог '!S:S,'итог '!$B:$B,ПРИЛОЖЕНИЕ!$A220),SUMIFS('итог '!S:S,'итог '!$B:$B,ПРИЛОЖЕНИЕ!$A220,'итог '!$D:$D,ПРИЛОЖЕНИЕ!$A221))</f>
        <v>1.01</v>
      </c>
      <c r="F224" s="36" t="e">
        <f>IF(ПРИЛОЖЕНИЕ!$A221=0,SUMIFS('итог '!T:T,'итог '!$B:$B,ПРИЛОЖЕНИЕ!$A220),SUMIFS('итог '!T:T,'итог '!$B:$B,ПРИЛОЖЕНИЕ!$A220,'итог '!$D:$D,ПРИЛОЖЕНИЕ!$A221))</f>
        <v>#REF!</v>
      </c>
      <c r="G224" s="35" t="e">
        <f>IF(ПРИЛОЖЕНИЕ!$A221=0,SUMIFS('итог '!V:V,'итог '!$B:$B,ПРИЛОЖЕНИЕ!$A220),SUMIFS('итог '!V:V,'итог '!$B:$B,ПРИЛОЖЕНИЕ!$A220,'итог '!$D:$D,ПРИЛОЖЕНИЕ!$A221))</f>
        <v>#REF!</v>
      </c>
      <c r="H224" s="35">
        <f>IF(ПРИЛОЖЕНИЕ!$A221=0,SUMIFS('итог '!W:W,'итог '!$B:$B,ПРИЛОЖЕНИЕ!$A220),SUMIFS('итог '!W:W,'итог '!$B:$B,ПРИЛОЖЕНИЕ!$A220,'итог '!$D:$D,ПРИЛОЖЕНИЕ!$A221))</f>
        <v>83496000</v>
      </c>
      <c r="I224" s="35">
        <f>IF(ПРИЛОЖЕНИЕ!$A221=0,SUMIFS('итог '!X:X,'итог '!$B:$B,ПРИЛОЖЕНИЕ!$A220),SUMIFS('итог '!X:X,'итог '!$B:$B,ПРИЛОЖЕНИЕ!$A220,'итог '!$D:$D,ПРИЛОЖЕНИЕ!$A221))</f>
        <v>79905533</v>
      </c>
      <c r="J224" s="35">
        <f>IF(ПРИЛОЖЕНИЕ!$A221=0,SUMIFS('итог '!Y:Y,'итог '!$B:$B,ПРИЛОЖЕНИЕ!$A220),SUMIFS('итог '!Y:Y,'итог '!$B:$B,ПРИЛОЖЕНИЕ!$A220,'итог '!$D:$D,ПРИЛОЖЕНИЕ!$A221))</f>
        <v>3590467</v>
      </c>
    </row>
    <row r="225" spans="1:10" ht="30" customHeight="1" x14ac:dyDescent="0.3">
      <c r="A225" s="98" t="s">
        <v>202</v>
      </c>
      <c r="B225" s="34" t="e">
        <f>B224</f>
        <v>#REF!</v>
      </c>
      <c r="C225" s="34" t="e">
        <f>C224</f>
        <v>#REF!</v>
      </c>
      <c r="D225" s="34">
        <v>128.28</v>
      </c>
      <c r="E225" s="34">
        <f>D225/139</f>
        <v>0.92287769784172657</v>
      </c>
      <c r="F225" s="104" t="e">
        <f>IF(ПРИЛОЖЕНИЕ!$A221=0,SUMIFS('итог '!U:U,'итог '!$B:$B,ПРИЛОЖЕНИЕ!$A220),SUMIFS('итог '!U:U,'итог '!$B:$B,ПРИЛОЖЕНИЕ!$A220,'итог '!$D:$D,ПРИЛОЖЕНИЕ!$A221))</f>
        <v>#REF!</v>
      </c>
      <c r="G225" s="35" t="e">
        <f>G224*(H225/H224)</f>
        <v>#REF!</v>
      </c>
      <c r="H225" s="103">
        <f>75428.6*1000</f>
        <v>75428600</v>
      </c>
      <c r="I225" s="103">
        <f>I224</f>
        <v>79905533</v>
      </c>
      <c r="J225" s="103">
        <f>H225-I225</f>
        <v>-4476933</v>
      </c>
    </row>
    <row r="226" spans="1:10" ht="29.25" customHeight="1" x14ac:dyDescent="0.3">
      <c r="A226" s="40" t="s">
        <v>203</v>
      </c>
      <c r="B226" s="32"/>
      <c r="C226" s="37"/>
      <c r="D226" s="37"/>
      <c r="E226" s="39"/>
      <c r="F226" s="38"/>
      <c r="G226" s="38"/>
      <c r="H226" s="38"/>
      <c r="I226" s="38"/>
    </row>
    <row r="227" spans="1:10" ht="27" customHeight="1" x14ac:dyDescent="0.3">
      <c r="A227" s="38" t="s">
        <v>135</v>
      </c>
      <c r="B227" s="32"/>
      <c r="C227" s="37"/>
      <c r="D227" s="37"/>
      <c r="E227" s="39"/>
      <c r="F227" s="38"/>
      <c r="G227" s="41"/>
      <c r="H227" s="38" t="s">
        <v>136</v>
      </c>
      <c r="I227" s="38"/>
    </row>
    <row r="228" spans="1:10" outlineLevel="1" x14ac:dyDescent="0.3"/>
    <row r="229" spans="1:10" outlineLevel="1" x14ac:dyDescent="0.3">
      <c r="I229" s="45" t="str">
        <f>IF(I235&lt;0,"Приложение №1","")</f>
        <v/>
      </c>
    </row>
    <row r="230" spans="1:10" ht="25.5" outlineLevel="1" x14ac:dyDescent="0.3">
      <c r="A230" s="201" t="s">
        <v>132</v>
      </c>
      <c r="B230" s="201"/>
      <c r="C230" s="201"/>
      <c r="D230" s="201"/>
      <c r="E230" s="201"/>
      <c r="F230" s="201"/>
      <c r="G230" s="201"/>
      <c r="H230" s="201"/>
      <c r="I230" s="201"/>
    </row>
    <row r="231" spans="1:10" ht="25.5" outlineLevel="1" x14ac:dyDescent="0.3">
      <c r="A231" s="201" t="s">
        <v>140</v>
      </c>
      <c r="B231" s="201"/>
      <c r="C231" s="201"/>
      <c r="D231" s="201"/>
      <c r="E231" s="201"/>
      <c r="F231" s="201"/>
      <c r="G231" s="201"/>
      <c r="H231" s="201"/>
      <c r="I231" s="201"/>
    </row>
    <row r="232" spans="1:10" outlineLevel="1" x14ac:dyDescent="0.3">
      <c r="A232" s="218">
        <v>31</v>
      </c>
      <c r="B232" s="218"/>
      <c r="C232" s="218"/>
      <c r="D232" s="218"/>
      <c r="E232" s="218"/>
      <c r="F232" s="218"/>
      <c r="G232" s="218"/>
      <c r="H232" s="218"/>
      <c r="I232" s="218"/>
    </row>
    <row r="233" spans="1:10" s="24" customFormat="1" ht="60" customHeight="1" outlineLevel="1" x14ac:dyDescent="0.25">
      <c r="A233" s="185" t="s">
        <v>125</v>
      </c>
      <c r="B233" s="200" t="s">
        <v>126</v>
      </c>
      <c r="C233" s="203" t="s">
        <v>199</v>
      </c>
      <c r="D233" s="185" t="s">
        <v>128</v>
      </c>
      <c r="E233" s="213" t="s">
        <v>129</v>
      </c>
      <c r="F233" s="214" t="s">
        <v>130</v>
      </c>
      <c r="G233" s="200" t="s">
        <v>131</v>
      </c>
      <c r="H233" s="200"/>
      <c r="I233" s="200"/>
    </row>
    <row r="234" spans="1:10" s="24" customFormat="1" ht="60" customHeight="1" outlineLevel="1" x14ac:dyDescent="0.25">
      <c r="A234" s="185"/>
      <c r="B234" s="200"/>
      <c r="C234" s="203"/>
      <c r="D234" s="185"/>
      <c r="E234" s="213"/>
      <c r="F234" s="214"/>
      <c r="G234" s="49" t="s">
        <v>112</v>
      </c>
      <c r="H234" s="49" t="s">
        <v>110</v>
      </c>
      <c r="I234" s="49" t="s">
        <v>111</v>
      </c>
    </row>
    <row r="235" spans="1:10" ht="24" customHeight="1" outlineLevel="1" x14ac:dyDescent="0.3">
      <c r="A235" s="34" t="e">
        <f>IF(ПРИЛОЖЕНИЕ!$A232=0,SUMIFS('итог '!L:L,'итог '!$B:$B,ПРИЛОЖЕНИЕ!$A231),SUMIFS('итог '!L:L,'итог '!$B:$B,ПРИЛОЖЕНИЕ!$A231,'итог '!$D:$D,ПРИЛОЖЕНИЕ!$A232))</f>
        <v>#REF!</v>
      </c>
      <c r="B235" s="35" t="e">
        <f>IF(ПРИЛОЖЕНИЕ!$A232=0,SUMIFS('итог '!M:M,'итог '!$B:$B,ПРИЛОЖЕНИЕ!$A231),SUMIFS('итог '!M:M,'итог '!$B:$B,ПРИЛОЖЕНИЕ!$A231,'итог '!$D:$D,ПРИЛОЖЕНИЕ!$A232))</f>
        <v>#REF!</v>
      </c>
      <c r="C235" s="34">
        <f>IF(ПРИЛОЖЕНИЕ!$A232=0,SUMIFS('итог '!Q:Q,'итог '!$B:$B,ПРИЛОЖЕНИЕ!$A231),SUMIFS('итог '!Q:Q,'итог '!$B:$B,ПРИЛОЖЕНИЕ!$A231,'итог '!$D:$D,ПРИЛОЖЕНИЕ!$A232))</f>
        <v>153.58000000000001</v>
      </c>
      <c r="D235" s="34">
        <f>IF(ПРИЛОЖЕНИЕ!$A232=0,SUMIFS('итог '!S:S,'итог '!$B:$B,ПРИЛОЖЕНИЕ!$A231),SUMIFS('итог '!S:S,'итог '!$B:$B,ПРИЛОЖЕНИЕ!$A231,'итог '!$D:$D,ПРИЛОЖЕНИЕ!$A232))</f>
        <v>1.02</v>
      </c>
      <c r="E235" s="36" t="e">
        <f>IF(ПРИЛОЖЕНИЕ!$A232=0,SUMIFS('итог '!T:T,'итог '!$B:$B,ПРИЛОЖЕНИЕ!$A231),SUMIFS('итог '!T:T,'итог '!$B:$B,ПРИЛОЖЕНИЕ!$A231,'итог '!$D:$D,ПРИЛОЖЕНИЕ!$A232))</f>
        <v>#REF!</v>
      </c>
      <c r="F235" s="35" t="e">
        <f>IF(ПРИЛОЖЕНИЕ!$A232=0,SUMIFS('итог '!V:V,'итог '!$B:$B,ПРИЛОЖЕНИЕ!$A231),SUMIFS('итог '!V:V,'итог '!$B:$B,ПРИЛОЖЕНИЕ!$A231,'итог '!$D:$D,ПРИЛОЖЕНИЕ!$A232))</f>
        <v>#REF!</v>
      </c>
      <c r="G235" s="35">
        <f>IF(ПРИЛОЖЕНИЕ!$A232=0,SUMIFS('итог '!W:W,'итог '!$B:$B,ПРИЛОЖЕНИЕ!$A231),SUMIFS('итог '!W:W,'итог '!$B:$B,ПРИЛОЖЕНИЕ!$A231,'итог '!$D:$D,ПРИЛОЖЕНИЕ!$A232))</f>
        <v>86635920</v>
      </c>
      <c r="H235" s="35">
        <f>IF(ПРИЛОЖЕНИЕ!$A232=0,SUMIFS('итог '!X:X,'итог '!$B:$B,ПРИЛОЖЕНИЕ!$A231),SUMIFS('итог '!X:X,'итог '!$B:$B,ПРИЛОЖЕНИЕ!$A231,'итог '!$D:$D,ПРИЛОЖЕНИЕ!$A232))</f>
        <v>83689630.358408138</v>
      </c>
      <c r="I235" s="35">
        <f>IF(ПРИЛОЖЕНИЕ!$A232=0,SUMIFS('итог '!Y:Y,'итог '!$B:$B,ПРИЛОЖЕНИЕ!$A231),SUMIFS('итог '!Y:Y,'итог '!$B:$B,ПРИЛОЖЕНИЕ!$A231,'итог '!$D:$D,ПРИЛОЖЕНИЕ!$A232))</f>
        <v>2946289.6415918618</v>
      </c>
    </row>
    <row r="236" spans="1:10" outlineLevel="1" x14ac:dyDescent="0.3">
      <c r="A236" s="37"/>
      <c r="B236" s="38"/>
      <c r="C236" s="37"/>
      <c r="D236" s="37"/>
      <c r="E236" s="39"/>
      <c r="F236" s="38"/>
      <c r="G236" s="38"/>
      <c r="H236" s="38"/>
      <c r="I236" s="38"/>
    </row>
    <row r="237" spans="1:10" outlineLevel="1" x14ac:dyDescent="0.3">
      <c r="A237" s="37"/>
      <c r="B237" s="40" t="s">
        <v>134</v>
      </c>
      <c r="C237" s="37"/>
      <c r="D237" s="37"/>
      <c r="E237" s="39"/>
      <c r="F237" s="38"/>
      <c r="G237" s="38"/>
      <c r="H237" s="38"/>
      <c r="I237" s="38"/>
    </row>
    <row r="238" spans="1:10" ht="36.75" customHeight="1" outlineLevel="1" x14ac:dyDescent="0.3">
      <c r="A238" s="37"/>
      <c r="B238" s="38" t="s">
        <v>135</v>
      </c>
      <c r="C238" s="37"/>
      <c r="D238" s="37"/>
      <c r="E238" s="39"/>
      <c r="F238" s="38"/>
      <c r="G238" s="41"/>
      <c r="H238" s="38" t="s">
        <v>136</v>
      </c>
      <c r="I238" s="38"/>
    </row>
    <row r="240" spans="1:10" x14ac:dyDescent="0.3">
      <c r="J240" s="85" t="str">
        <f>IF(J246&lt;0,"Приложение №1","")</f>
        <v>Приложение №1</v>
      </c>
    </row>
    <row r="241" spans="1:10" ht="25.5" x14ac:dyDescent="0.3">
      <c r="A241" s="201" t="s">
        <v>132</v>
      </c>
      <c r="B241" s="201"/>
      <c r="C241" s="201"/>
      <c r="D241" s="201"/>
      <c r="E241" s="201"/>
      <c r="F241" s="201"/>
      <c r="G241" s="201"/>
      <c r="H241" s="201"/>
      <c r="I241" s="201"/>
      <c r="J241" s="201"/>
    </row>
    <row r="242" spans="1:10" ht="25.5" x14ac:dyDescent="0.3">
      <c r="A242" s="201" t="s">
        <v>140</v>
      </c>
      <c r="B242" s="201"/>
      <c r="C242" s="201"/>
      <c r="D242" s="201"/>
      <c r="E242" s="201"/>
      <c r="F242" s="201"/>
      <c r="G242" s="201"/>
      <c r="H242" s="201"/>
      <c r="I242" s="201"/>
      <c r="J242" s="201"/>
    </row>
    <row r="243" spans="1:10" x14ac:dyDescent="0.3">
      <c r="A243" s="219">
        <v>54</v>
      </c>
      <c r="B243" s="219"/>
      <c r="C243" s="219"/>
      <c r="D243" s="219"/>
      <c r="E243" s="219"/>
      <c r="F243" s="219"/>
      <c r="G243" s="219"/>
      <c r="H243" s="219"/>
      <c r="I243" s="219"/>
      <c r="J243" s="219"/>
    </row>
    <row r="244" spans="1:10" s="24" customFormat="1" ht="60" customHeight="1" x14ac:dyDescent="0.25">
      <c r="A244" s="190" t="s">
        <v>200</v>
      </c>
      <c r="B244" s="185" t="s">
        <v>125</v>
      </c>
      <c r="C244" s="186" t="s">
        <v>126</v>
      </c>
      <c r="D244" s="188" t="s">
        <v>199</v>
      </c>
      <c r="E244" s="190" t="s">
        <v>128</v>
      </c>
      <c r="F244" s="192" t="s">
        <v>129</v>
      </c>
      <c r="G244" s="198" t="s">
        <v>130</v>
      </c>
      <c r="H244" s="194" t="s">
        <v>131</v>
      </c>
      <c r="I244" s="195"/>
      <c r="J244" s="196"/>
    </row>
    <row r="245" spans="1:10" s="24" customFormat="1" ht="60" customHeight="1" x14ac:dyDescent="0.25">
      <c r="A245" s="191"/>
      <c r="B245" s="185"/>
      <c r="C245" s="187"/>
      <c r="D245" s="189"/>
      <c r="E245" s="191"/>
      <c r="F245" s="193"/>
      <c r="G245" s="199"/>
      <c r="H245" s="98" t="s">
        <v>112</v>
      </c>
      <c r="I245" s="98" t="s">
        <v>110</v>
      </c>
      <c r="J245" s="98" t="s">
        <v>111</v>
      </c>
    </row>
    <row r="246" spans="1:10" ht="30" customHeight="1" x14ac:dyDescent="0.3">
      <c r="A246" s="98" t="s">
        <v>201</v>
      </c>
      <c r="B246" s="34" t="e">
        <f>IF(ПРИЛОЖЕНИЕ!$A243=0,SUMIFS('итог '!L:L,'итог '!$B:$B,ПРИЛОЖЕНИЕ!$A242),SUMIFS('итог '!L:L,'итог '!$B:$B,ПРИЛОЖЕНИЕ!$A242,'итог '!$D:$D,ПРИЛОЖЕНИЕ!$A243))</f>
        <v>#REF!</v>
      </c>
      <c r="C246" s="35" t="e">
        <f>IF(ПРИЛОЖЕНИЕ!$A243=0,SUMIFS('итог '!M:M,'итог '!$B:$B,ПРИЛОЖЕНИЕ!$A242),SUMIFS('итог '!M:M,'итог '!$B:$B,ПРИЛОЖЕНИЕ!$A242,'итог '!$D:$D,ПРИЛОЖЕНИЕ!$A243))</f>
        <v>#REF!</v>
      </c>
      <c r="D246" s="34">
        <f>IF(ПРИЛОЖЕНИЕ!$A243=0,SUMIFS('итог '!Q:Q,'итог '!$B:$B,ПРИЛОЖЕНИЕ!$A242),SUMIFS('итог '!Q:Q,'итог '!$B:$B,ПРИЛОЖЕНИЕ!$A242,'итог '!$D:$D,ПРИЛОЖЕНИЕ!$A243))</f>
        <v>93.84</v>
      </c>
      <c r="E246" s="34">
        <f>IF(ПРИЛОЖЕНИЕ!$A243=0,SUMIFS('итог '!S:S,'итог '!$B:$B,ПРИЛОЖЕНИЕ!$A242),SUMIFS('итог '!S:S,'итог '!$B:$B,ПРИЛОЖЕНИЕ!$A242,'итог '!$D:$D,ПРИЛОЖЕНИЕ!$A243))</f>
        <v>1</v>
      </c>
      <c r="F246" s="36" t="e">
        <f>IF(ПРИЛОЖЕНИЕ!$A243=0,SUMIFS('итог '!T:T,'итог '!$B:$B,ПРИЛОЖЕНИЕ!$A242),SUMIFS('итог '!T:T,'итог '!$B:$B,ПРИЛОЖЕНИЕ!$A242,'итог '!$D:$D,ПРИЛОЖЕНИЕ!$A243))</f>
        <v>#REF!</v>
      </c>
      <c r="G246" s="35" t="e">
        <f>IF(ПРИЛОЖЕНИЕ!$A243=0,SUMIFS('итог '!V:V,'итог '!$B:$B,ПРИЛОЖЕНИЕ!$A242),SUMIFS('итог '!V:V,'итог '!$B:$B,ПРИЛОЖЕНИЕ!$A242,'итог '!$D:$D,ПРИЛОЖЕНИЕ!$A243))</f>
        <v>#REF!</v>
      </c>
      <c r="H246" s="35">
        <f>IF(ПРИЛОЖЕНИЕ!$A243=0,SUMIFS('итог '!W:W,'итог '!$B:$B,ПРИЛОЖЕНИЕ!$A242),SUMIFS('итог '!W:W,'итог '!$B:$B,ПРИЛОЖЕНИЕ!$A242,'итог '!$D:$D,ПРИЛОЖЕНИЕ!$A243))</f>
        <v>58002672</v>
      </c>
      <c r="I246" s="35">
        <f>IF(ПРИЛОЖЕНИЕ!$A243=0,SUMIFS('итог '!X:X,'итог '!$B:$B,ПРИЛОЖЕНИЕ!$A242),SUMIFS('итог '!X:X,'итог '!$B:$B,ПРИЛОЖЕНИЕ!$A242,'итог '!$D:$D,ПРИЛОЖЕНИЕ!$A243))</f>
        <v>60546434.496163942</v>
      </c>
      <c r="J246" s="35">
        <f>IF(ПРИЛОЖЕНИЕ!$A243=0,SUMIFS('итог '!Y:Y,'итог '!$B:$B,ПРИЛОЖЕНИЕ!$A242),SUMIFS('итог '!Y:Y,'итог '!$B:$B,ПРИЛОЖЕНИЕ!$A242,'итог '!$D:$D,ПРИЛОЖЕНИЕ!$A243))</f>
        <v>-2543762.4961639419</v>
      </c>
    </row>
    <row r="247" spans="1:10" ht="30" customHeight="1" x14ac:dyDescent="0.3">
      <c r="A247" s="98" t="s">
        <v>202</v>
      </c>
      <c r="B247" s="105" t="e">
        <f>B246</f>
        <v>#REF!</v>
      </c>
      <c r="C247" s="105" t="e">
        <f>C246</f>
        <v>#REF!</v>
      </c>
      <c r="D247" s="106">
        <v>85.14</v>
      </c>
      <c r="E247" s="109">
        <f>D247/91</f>
        <v>0.93560439560439557</v>
      </c>
      <c r="F247" s="104" t="e">
        <f>IF(ПРИЛОЖЕНИЕ!$A243=0,SUMIFS('итог '!U:U,'итог '!$B:$B,ПРИЛОЖЕНИЕ!$A242),SUMIFS('итог '!U:U,'итог '!$B:$B,ПРИЛОЖЕНИЕ!$A242,'итог '!$D:$D,ПРИЛОЖЕНИЕ!$A243))</f>
        <v>#REF!</v>
      </c>
      <c r="G247" s="105" t="e">
        <f>G246*(H247/H246)</f>
        <v>#REF!</v>
      </c>
      <c r="H247" s="105">
        <f>54267.6*1000</f>
        <v>54267600</v>
      </c>
      <c r="I247" s="105">
        <f>I246</f>
        <v>60546434.496163942</v>
      </c>
      <c r="J247" s="108">
        <f>H247-I247</f>
        <v>-6278834.4961639419</v>
      </c>
    </row>
    <row r="248" spans="1:10" ht="30.75" customHeight="1" x14ac:dyDescent="0.3">
      <c r="A248" s="87" t="s">
        <v>198</v>
      </c>
      <c r="C248" s="37"/>
      <c r="D248" s="37"/>
      <c r="E248" s="39"/>
      <c r="F248" s="38"/>
      <c r="G248" s="38"/>
      <c r="H248" s="38"/>
      <c r="I248" s="38"/>
    </row>
    <row r="249" spans="1:10" ht="30.75" customHeight="1" x14ac:dyDescent="0.3">
      <c r="A249" s="38" t="s">
        <v>135</v>
      </c>
      <c r="C249" s="37"/>
      <c r="D249" s="37"/>
      <c r="E249" s="39"/>
      <c r="F249" s="38"/>
      <c r="G249" s="41"/>
      <c r="H249" s="38" t="s">
        <v>136</v>
      </c>
      <c r="I249" s="38"/>
    </row>
    <row r="250" spans="1:10" outlineLevel="1" x14ac:dyDescent="0.3"/>
    <row r="251" spans="1:10" outlineLevel="1" x14ac:dyDescent="0.3">
      <c r="I251" s="45" t="str">
        <f>IF(I257&lt;0,"Приложение №1","")</f>
        <v/>
      </c>
    </row>
    <row r="252" spans="1:10" ht="30" customHeight="1" outlineLevel="1" x14ac:dyDescent="0.3">
      <c r="A252" s="201" t="s">
        <v>132</v>
      </c>
      <c r="B252" s="201"/>
      <c r="C252" s="201"/>
      <c r="D252" s="201"/>
      <c r="E252" s="201"/>
      <c r="F252" s="201"/>
      <c r="G252" s="201"/>
      <c r="H252" s="201"/>
      <c r="I252" s="201"/>
    </row>
    <row r="253" spans="1:10" ht="30" customHeight="1" outlineLevel="1" x14ac:dyDescent="0.3">
      <c r="A253" s="201" t="s">
        <v>43</v>
      </c>
      <c r="B253" s="201"/>
      <c r="C253" s="201"/>
      <c r="D253" s="201"/>
      <c r="E253" s="201"/>
      <c r="F253" s="201"/>
      <c r="G253" s="201"/>
      <c r="H253" s="201"/>
      <c r="I253" s="201"/>
    </row>
    <row r="254" spans="1:10" outlineLevel="1" x14ac:dyDescent="0.3">
      <c r="A254" s="220" t="s">
        <v>11</v>
      </c>
      <c r="B254" s="220"/>
      <c r="C254" s="220"/>
      <c r="D254" s="220"/>
      <c r="E254" s="220"/>
      <c r="F254" s="220"/>
      <c r="G254" s="220"/>
      <c r="H254" s="220"/>
      <c r="I254" s="220"/>
    </row>
    <row r="255" spans="1:10" s="24" customFormat="1" ht="60" customHeight="1" outlineLevel="1" x14ac:dyDescent="0.25">
      <c r="A255" s="185" t="s">
        <v>125</v>
      </c>
      <c r="B255" s="200" t="s">
        <v>126</v>
      </c>
      <c r="C255" s="203" t="s">
        <v>199</v>
      </c>
      <c r="D255" s="185" t="s">
        <v>128</v>
      </c>
      <c r="E255" s="213" t="s">
        <v>129</v>
      </c>
      <c r="F255" s="214" t="s">
        <v>130</v>
      </c>
      <c r="G255" s="200" t="s">
        <v>131</v>
      </c>
      <c r="H255" s="200"/>
      <c r="I255" s="200"/>
    </row>
    <row r="256" spans="1:10" s="24" customFormat="1" ht="60" customHeight="1" outlineLevel="1" x14ac:dyDescent="0.25">
      <c r="A256" s="185"/>
      <c r="B256" s="200"/>
      <c r="C256" s="203"/>
      <c r="D256" s="185"/>
      <c r="E256" s="213"/>
      <c r="F256" s="214"/>
      <c r="G256" s="49" t="s">
        <v>112</v>
      </c>
      <c r="H256" s="49" t="s">
        <v>110</v>
      </c>
      <c r="I256" s="49" t="s">
        <v>111</v>
      </c>
    </row>
    <row r="257" spans="1:9" ht="24" customHeight="1" outlineLevel="1" x14ac:dyDescent="0.3">
      <c r="A257" s="34" t="e">
        <f>IF(ПРИЛОЖЕНИЕ!$A254=0,SUMIFS('итог '!L:L,'итог '!$B:$B,ПРИЛОЖЕНИЕ!$A253),SUMIFS('итог '!L:L,'итог '!$B:$B,ПРИЛОЖЕНИЕ!$A253,'итог '!$D:$D,ПРИЛОЖЕНИЕ!$A254))</f>
        <v>#REF!</v>
      </c>
      <c r="B257" s="35" t="e">
        <f>IF(ПРИЛОЖЕНИЕ!$A254=0,SUMIFS('итог '!M:M,'итог '!$B:$B,ПРИЛОЖЕНИЕ!$A253),SUMIFS('итог '!M:M,'итог '!$B:$B,ПРИЛОЖЕНИЕ!$A253,'итог '!$D:$D,ПРИЛОЖЕНИЕ!$A254))</f>
        <v>#REF!</v>
      </c>
      <c r="C257" s="34">
        <f>IF(ПРИЛОЖЕНИЕ!$A254=0,SUMIFS('итог '!Q:Q,'итог '!$B:$B,ПРИЛОЖЕНИЕ!$A253),SUMIFS('итог '!Q:Q,'итог '!$B:$B,ПРИЛОЖЕНИЕ!$A253,'итог '!$D:$D,ПРИЛОЖЕНИЕ!$A254))</f>
        <v>102.47000000000001</v>
      </c>
      <c r="D257" s="34">
        <f>IF(ПРИЛОЖЕНИЕ!$A254=0,SUMIFS('итог '!S:S,'итог '!$B:$B,ПРИЛОЖЕНИЕ!$A253),SUMIFS('итог '!S:S,'итог '!$B:$B,ПРИЛОЖЕНИЕ!$A253,'итог '!$D:$D,ПРИЛОЖЕНИЕ!$A254))</f>
        <v>1.07</v>
      </c>
      <c r="E257" s="36" t="e">
        <f>IF(ПРИЛОЖЕНИЕ!$A254=0,SUMIFS('итог '!T:T,'итог '!$B:$B,ПРИЛОЖЕНИЕ!$A253),SUMIFS('итог '!T:T,'итог '!$B:$B,ПРИЛОЖЕНИЕ!$A253,'итог '!$D:$D,ПРИЛОЖЕНИЕ!$A254))</f>
        <v>#REF!</v>
      </c>
      <c r="F257" s="35" t="e">
        <f>IF(ПРИЛОЖЕНИЕ!$A254=0,SUMIFS('итог '!V:V,'итог '!$B:$B,ПРИЛОЖЕНИЕ!$A253),SUMIFS('итог '!V:V,'итог '!$B:$B,ПРИЛОЖЕНИЕ!$A253,'итог '!$D:$D,ПРИЛОЖЕНИЕ!$A254))</f>
        <v>#REF!</v>
      </c>
      <c r="G257" s="35">
        <f>IF(ПРИЛОЖЕНИЕ!$A254=0,SUMIFS('итог '!W:W,'итог '!$B:$B,ПРИЛОЖЕНИЕ!$A253),SUMIFS('итог '!W:W,'итог '!$B:$B,ПРИЛОЖЕНИЕ!$A253,'итог '!$D:$D,ПРИЛОЖЕНИЕ!$A254))</f>
        <v>68146840</v>
      </c>
      <c r="H257" s="35">
        <f>IF(ПРИЛОЖЕНИЕ!$A254=0,SUMIFS('итог '!X:X,'итог '!$B:$B,ПРИЛОЖЕНИЕ!$A253),SUMIFS('итог '!X:X,'итог '!$B:$B,ПРИЛОЖЕНИЕ!$A253,'итог '!$D:$D,ПРИЛОЖЕНИЕ!$A254))</f>
        <v>62278918</v>
      </c>
      <c r="I257" s="35">
        <f>IF(ПРИЛОЖЕНИЕ!$A254=0,SUMIFS('итог '!Y:Y,'итог '!$B:$B,ПРИЛОЖЕНИЕ!$A253),SUMIFS('итог '!Y:Y,'итог '!$B:$B,ПРИЛОЖЕНИЕ!$A253,'итог '!$D:$D,ПРИЛОЖЕНИЕ!$A254))</f>
        <v>5867922</v>
      </c>
    </row>
    <row r="258" spans="1:9" outlineLevel="1" x14ac:dyDescent="0.3">
      <c r="A258" s="37"/>
      <c r="B258" s="38"/>
      <c r="C258" s="37"/>
      <c r="D258" s="37"/>
      <c r="E258" s="39"/>
      <c r="F258" s="38"/>
      <c r="G258" s="38"/>
      <c r="H258" s="38"/>
      <c r="I258" s="38"/>
    </row>
    <row r="259" spans="1:9" outlineLevel="1" x14ac:dyDescent="0.3">
      <c r="A259" s="37"/>
      <c r="B259" s="40" t="s">
        <v>134</v>
      </c>
      <c r="C259" s="37"/>
      <c r="D259" s="37"/>
      <c r="E259" s="39"/>
      <c r="F259" s="38"/>
      <c r="G259" s="38"/>
      <c r="H259" s="38"/>
      <c r="I259" s="38"/>
    </row>
    <row r="260" spans="1:9" outlineLevel="1" x14ac:dyDescent="0.3">
      <c r="A260" s="37"/>
      <c r="B260" s="38" t="s">
        <v>135</v>
      </c>
      <c r="C260" s="37"/>
      <c r="D260" s="37"/>
      <c r="E260" s="39"/>
      <c r="F260" s="38"/>
      <c r="G260" s="41"/>
      <c r="H260" s="38" t="s">
        <v>136</v>
      </c>
      <c r="I260" s="38"/>
    </row>
    <row r="261" spans="1:9" outlineLevel="1" x14ac:dyDescent="0.3"/>
    <row r="262" spans="1:9" outlineLevel="1" x14ac:dyDescent="0.3">
      <c r="I262" s="45" t="str">
        <f>IF(I268&lt;0,"Приложение №1","")</f>
        <v/>
      </c>
    </row>
    <row r="263" spans="1:9" ht="30" customHeight="1" outlineLevel="1" x14ac:dyDescent="0.3">
      <c r="A263" s="201" t="s">
        <v>132</v>
      </c>
      <c r="B263" s="201"/>
      <c r="C263" s="201"/>
      <c r="D263" s="201"/>
      <c r="E263" s="201"/>
      <c r="F263" s="201"/>
      <c r="G263" s="201"/>
      <c r="H263" s="201"/>
      <c r="I263" s="201"/>
    </row>
    <row r="264" spans="1:9" ht="30" customHeight="1" outlineLevel="1" x14ac:dyDescent="0.3">
      <c r="A264" s="201" t="s">
        <v>43</v>
      </c>
      <c r="B264" s="201"/>
      <c r="C264" s="201"/>
      <c r="D264" s="201"/>
      <c r="E264" s="201"/>
      <c r="F264" s="201"/>
      <c r="G264" s="201"/>
      <c r="H264" s="201"/>
      <c r="I264" s="201"/>
    </row>
    <row r="265" spans="1:9" outlineLevel="1" x14ac:dyDescent="0.3">
      <c r="A265" s="220" t="s">
        <v>12</v>
      </c>
      <c r="B265" s="220"/>
      <c r="C265" s="220"/>
      <c r="D265" s="220"/>
      <c r="E265" s="220"/>
      <c r="F265" s="220"/>
      <c r="G265" s="220"/>
      <c r="H265" s="220"/>
      <c r="I265" s="220"/>
    </row>
    <row r="266" spans="1:9" s="24" customFormat="1" ht="60" customHeight="1" outlineLevel="1" x14ac:dyDescent="0.25">
      <c r="A266" s="185" t="s">
        <v>125</v>
      </c>
      <c r="B266" s="200" t="s">
        <v>126</v>
      </c>
      <c r="C266" s="203" t="s">
        <v>199</v>
      </c>
      <c r="D266" s="185" t="s">
        <v>128</v>
      </c>
      <c r="E266" s="213" t="s">
        <v>129</v>
      </c>
      <c r="F266" s="214" t="s">
        <v>130</v>
      </c>
      <c r="G266" s="200" t="s">
        <v>131</v>
      </c>
      <c r="H266" s="200"/>
      <c r="I266" s="200"/>
    </row>
    <row r="267" spans="1:9" s="24" customFormat="1" ht="60" customHeight="1" outlineLevel="1" x14ac:dyDescent="0.25">
      <c r="A267" s="185"/>
      <c r="B267" s="200"/>
      <c r="C267" s="203"/>
      <c r="D267" s="185"/>
      <c r="E267" s="213"/>
      <c r="F267" s="214"/>
      <c r="G267" s="49" t="s">
        <v>112</v>
      </c>
      <c r="H267" s="49" t="s">
        <v>110</v>
      </c>
      <c r="I267" s="49" t="s">
        <v>111</v>
      </c>
    </row>
    <row r="268" spans="1:9" ht="24" customHeight="1" outlineLevel="1" x14ac:dyDescent="0.3">
      <c r="A268" s="34" t="e">
        <f>IF(ПРИЛОЖЕНИЕ!$A265=0,SUMIFS('итог '!L:L,'итог '!$B:$B,ПРИЛОЖЕНИЕ!$A264),SUMIFS('итог '!L:L,'итог '!$B:$B,ПРИЛОЖЕНИЕ!$A264,'итог '!$D:$D,ПРИЛОЖЕНИЕ!$A265))</f>
        <v>#REF!</v>
      </c>
      <c r="B268" s="35" t="e">
        <f>IF(ПРИЛОЖЕНИЕ!$A265=0,SUMIFS('итог '!M:M,'итог '!$B:$B,ПРИЛОЖЕНИЕ!$A264),SUMIFS('итог '!M:M,'итог '!$B:$B,ПРИЛОЖЕНИЕ!$A264,'итог '!$D:$D,ПРИЛОЖЕНИЕ!$A265))</f>
        <v>#REF!</v>
      </c>
      <c r="C268" s="34">
        <f>IF(ПРИЛОЖЕНИЕ!$A265=0,SUMIFS('итог '!Q:Q,'итог '!$B:$B,ПРИЛОЖЕНИЕ!$A264),SUMIFS('итог '!Q:Q,'итог '!$B:$B,ПРИЛОЖЕНИЕ!$A264,'итог '!$D:$D,ПРИЛОЖЕНИЕ!$A265))</f>
        <v>83.000000000000014</v>
      </c>
      <c r="D268" s="34">
        <f>IF(ПРИЛОЖЕНИЕ!$A265=0,SUMIFS('итог '!S:S,'итог '!$B:$B,ПРИЛОЖЕНИЕ!$A264),SUMIFS('итог '!S:S,'итог '!$B:$B,ПРИЛОЖЕНИЕ!$A264,'итог '!$D:$D,ПРИЛОЖЕНИЕ!$A265))</f>
        <v>1.07</v>
      </c>
      <c r="E268" s="36" t="e">
        <f>IF(ПРИЛОЖЕНИЕ!$A265=0,SUMIFS('итог '!T:T,'итог '!$B:$B,ПРИЛОЖЕНИЕ!$A264),SUMIFS('итог '!T:T,'итог '!$B:$B,ПРИЛОЖЕНИЕ!$A264,'итог '!$D:$D,ПРИЛОЖЕНИЕ!$A265))</f>
        <v>#REF!</v>
      </c>
      <c r="F268" s="35" t="e">
        <f>IF(ПРИЛОЖЕНИЕ!$A265=0,SUMIFS('итог '!V:V,'итог '!$B:$B,ПРИЛОЖЕНИЕ!$A264),SUMIFS('итог '!V:V,'итог '!$B:$B,ПРИЛОЖЕНИЕ!$A264,'итог '!$D:$D,ПРИЛОЖЕНИЕ!$A265))</f>
        <v>#REF!</v>
      </c>
      <c r="G268" s="35">
        <f>IF(ПРИЛОЖЕНИЕ!$A265=0,SUMIFS('итог '!W:W,'итог '!$B:$B,ПРИЛОЖЕНИЕ!$A264),SUMIFS('итог '!W:W,'итог '!$B:$B,ПРИЛОЖЕНИЕ!$A264,'итог '!$D:$D,ПРИЛОЖЕНИЕ!$A265))</f>
        <v>49424928</v>
      </c>
      <c r="H268" s="35">
        <f>IF(ПРИЛОЖЕНИЕ!$A265=0,SUMIFS('итог '!X:X,'итог '!$B:$B,ПРИЛОЖЕНИЕ!$A264),SUMIFS('итог '!X:X,'итог '!$B:$B,ПРИЛОЖЕНИЕ!$A264,'итог '!$D:$D,ПРИЛОЖЕНИЕ!$A265))</f>
        <v>47277588</v>
      </c>
      <c r="I268" s="35">
        <f>IF(ПРИЛОЖЕНИЕ!$A265=0,SUMIFS('итог '!Y:Y,'итог '!$B:$B,ПРИЛОЖЕНИЕ!$A264),SUMIFS('итог '!Y:Y,'итог '!$B:$B,ПРИЛОЖЕНИЕ!$A264,'итог '!$D:$D,ПРИЛОЖЕНИЕ!$A265))</f>
        <v>2147340</v>
      </c>
    </row>
    <row r="269" spans="1:9" outlineLevel="1" x14ac:dyDescent="0.3">
      <c r="A269" s="37"/>
      <c r="B269" s="38"/>
      <c r="C269" s="37"/>
      <c r="D269" s="37"/>
      <c r="E269" s="39"/>
      <c r="F269" s="38"/>
      <c r="G269" s="38"/>
      <c r="H269" s="38"/>
      <c r="I269" s="38"/>
    </row>
    <row r="270" spans="1:9" outlineLevel="1" x14ac:dyDescent="0.3">
      <c r="A270" s="37"/>
      <c r="B270" s="40" t="s">
        <v>134</v>
      </c>
      <c r="C270" s="37"/>
      <c r="D270" s="37"/>
      <c r="E270" s="39"/>
      <c r="F270" s="38"/>
      <c r="G270" s="38"/>
      <c r="H270" s="38"/>
      <c r="I270" s="38"/>
    </row>
    <row r="271" spans="1:9" outlineLevel="1" x14ac:dyDescent="0.3">
      <c r="A271" s="37"/>
      <c r="B271" s="38" t="s">
        <v>135</v>
      </c>
      <c r="C271" s="37"/>
      <c r="D271" s="37"/>
      <c r="E271" s="39"/>
      <c r="F271" s="38"/>
      <c r="G271" s="41"/>
      <c r="H271" s="38" t="s">
        <v>136</v>
      </c>
      <c r="I271" s="38"/>
    </row>
    <row r="272" spans="1:9" outlineLevel="1" x14ac:dyDescent="0.3"/>
    <row r="273" spans="1:9" outlineLevel="1" x14ac:dyDescent="0.3">
      <c r="I273" s="45" t="str">
        <f>IF(I279&lt;0,"Приложение №1","")</f>
        <v/>
      </c>
    </row>
    <row r="274" spans="1:9" ht="25.5" outlineLevel="1" x14ac:dyDescent="0.3">
      <c r="A274" s="201" t="s">
        <v>132</v>
      </c>
      <c r="B274" s="201"/>
      <c r="C274" s="201"/>
      <c r="D274" s="201"/>
      <c r="E274" s="201"/>
      <c r="F274" s="201"/>
      <c r="G274" s="201"/>
      <c r="H274" s="201"/>
      <c r="I274" s="201"/>
    </row>
    <row r="275" spans="1:9" ht="25.5" outlineLevel="1" x14ac:dyDescent="0.3">
      <c r="A275" s="201" t="s">
        <v>43</v>
      </c>
      <c r="B275" s="201"/>
      <c r="C275" s="201"/>
      <c r="D275" s="201"/>
      <c r="E275" s="201"/>
      <c r="F275" s="201"/>
      <c r="G275" s="201"/>
      <c r="H275" s="201"/>
      <c r="I275" s="201"/>
    </row>
    <row r="276" spans="1:9" outlineLevel="1" x14ac:dyDescent="0.3">
      <c r="A276" s="220" t="s">
        <v>18</v>
      </c>
      <c r="B276" s="220"/>
      <c r="C276" s="220"/>
      <c r="D276" s="220"/>
      <c r="E276" s="220"/>
      <c r="F276" s="220"/>
      <c r="G276" s="220"/>
      <c r="H276" s="220"/>
      <c r="I276" s="220"/>
    </row>
    <row r="277" spans="1:9" s="24" customFormat="1" ht="60" customHeight="1" outlineLevel="1" x14ac:dyDescent="0.25">
      <c r="A277" s="185" t="s">
        <v>125</v>
      </c>
      <c r="B277" s="200" t="s">
        <v>126</v>
      </c>
      <c r="C277" s="203" t="s">
        <v>199</v>
      </c>
      <c r="D277" s="185" t="s">
        <v>128</v>
      </c>
      <c r="E277" s="213" t="s">
        <v>129</v>
      </c>
      <c r="F277" s="214" t="s">
        <v>130</v>
      </c>
      <c r="G277" s="200" t="s">
        <v>131</v>
      </c>
      <c r="H277" s="200"/>
      <c r="I277" s="200"/>
    </row>
    <row r="278" spans="1:9" s="24" customFormat="1" ht="60" customHeight="1" outlineLevel="1" x14ac:dyDescent="0.25">
      <c r="A278" s="185"/>
      <c r="B278" s="200"/>
      <c r="C278" s="203"/>
      <c r="D278" s="185"/>
      <c r="E278" s="213"/>
      <c r="F278" s="214"/>
      <c r="G278" s="49" t="s">
        <v>112</v>
      </c>
      <c r="H278" s="49" t="s">
        <v>110</v>
      </c>
      <c r="I278" s="49" t="s">
        <v>111</v>
      </c>
    </row>
    <row r="279" spans="1:9" ht="24" customHeight="1" outlineLevel="1" x14ac:dyDescent="0.3">
      <c r="A279" s="34" t="e">
        <f>IF(ПРИЛОЖЕНИЕ!$A276=0,SUMIFS('итог '!L:L,'итог '!$B:$B,ПРИЛОЖЕНИЕ!$A275),SUMIFS('итог '!L:L,'итог '!$B:$B,ПРИЛОЖЕНИЕ!$A275,'итог '!$D:$D,ПРИЛОЖЕНИЕ!$A276))</f>
        <v>#REF!</v>
      </c>
      <c r="B279" s="35" t="e">
        <f>IF(ПРИЛОЖЕНИЕ!$A276=0,SUMIFS('итог '!M:M,'итог '!$B:$B,ПРИЛОЖЕНИЕ!$A275),SUMIFS('итог '!M:M,'итог '!$B:$B,ПРИЛОЖЕНИЕ!$A275,'итог '!$D:$D,ПРИЛОЖЕНИЕ!$A276))</f>
        <v>#REF!</v>
      </c>
      <c r="C279" s="34">
        <f>IF(ПРИЛОЖЕНИЕ!$A276=0,SUMIFS('итог '!Q:Q,'итог '!$B:$B,ПРИЛОЖЕНИЕ!$A275),SUMIFS('итог '!Q:Q,'итог '!$B:$B,ПРИЛОЖЕНИЕ!$A275,'итог '!$D:$D,ПРИЛОЖЕНИЕ!$A276))</f>
        <v>94.16</v>
      </c>
      <c r="D279" s="34">
        <f>IF(ПРИЛОЖЕНИЕ!$A276=0,SUMIFS('итог '!S:S,'итог '!$B:$B,ПРИЛОЖЕНИЕ!$A275),SUMIFS('итог '!S:S,'итог '!$B:$B,ПРИЛОЖЕНИЕ!$A275,'итог '!$D:$D,ПРИЛОЖЕНИЕ!$A276))</f>
        <v>1.02</v>
      </c>
      <c r="E279" s="36" t="e">
        <f>IF(ПРИЛОЖЕНИЕ!$A276=0,SUMIFS('итог '!T:T,'итог '!$B:$B,ПРИЛОЖЕНИЕ!$A275),SUMIFS('итог '!T:T,'итог '!$B:$B,ПРИЛОЖЕНИЕ!$A275,'итог '!$D:$D,ПРИЛОЖЕНИЕ!$A276))</f>
        <v>#REF!</v>
      </c>
      <c r="F279" s="35" t="e">
        <f>IF(ПРИЛОЖЕНИЕ!$A276=0,SUMIFS('итог '!V:V,'итог '!$B:$B,ПРИЛОЖЕНИЕ!$A275),SUMIFS('итог '!V:V,'итог '!$B:$B,ПРИЛОЖЕНИЕ!$A275,'итог '!$D:$D,ПРИЛОЖЕНИЕ!$A276))</f>
        <v>#REF!</v>
      </c>
      <c r="G279" s="35">
        <f>IF(ПРИЛОЖЕНИЕ!$A276=0,SUMIFS('итог '!W:W,'итог '!$B:$B,ПРИЛОЖЕНИЕ!$A275),SUMIFS('итог '!W:W,'итог '!$B:$B,ПРИЛОЖЕНИЕ!$A275,'итог '!$D:$D,ПРИЛОЖЕНИЕ!$A276))</f>
        <v>53296321</v>
      </c>
      <c r="H279" s="35">
        <f>IF(ПРИЛОЖЕНИЕ!$A276=0,SUMIFS('итог '!X:X,'итог '!$B:$B,ПРИЛОЖЕНИЕ!$A275),SUMIFS('итог '!X:X,'итог '!$B:$B,ПРИЛОЖЕНИЕ!$A275,'итог '!$D:$D,ПРИЛОЖЕНИЕ!$A276))</f>
        <v>49533797</v>
      </c>
      <c r="I279" s="35">
        <f>IF(ПРИЛОЖЕНИЕ!$A276=0,SUMIFS('итог '!Y:Y,'итог '!$B:$B,ПРИЛОЖЕНИЕ!$A275),SUMIFS('итог '!Y:Y,'итог '!$B:$B,ПРИЛОЖЕНИЕ!$A275,'итог '!$D:$D,ПРИЛОЖЕНИЕ!$A276))</f>
        <v>3762524</v>
      </c>
    </row>
    <row r="280" spans="1:9" outlineLevel="1" x14ac:dyDescent="0.3">
      <c r="A280" s="37"/>
      <c r="B280" s="38"/>
      <c r="C280" s="37"/>
      <c r="D280" s="37"/>
      <c r="E280" s="39"/>
      <c r="F280" s="38"/>
      <c r="G280" s="38"/>
      <c r="H280" s="38"/>
      <c r="I280" s="38"/>
    </row>
    <row r="281" spans="1:9" outlineLevel="1" x14ac:dyDescent="0.3">
      <c r="A281" s="37"/>
      <c r="B281" s="40" t="s">
        <v>134</v>
      </c>
      <c r="C281" s="37"/>
      <c r="D281" s="37"/>
      <c r="E281" s="39"/>
      <c r="F281" s="38"/>
      <c r="G281" s="38"/>
      <c r="H281" s="38"/>
      <c r="I281" s="38"/>
    </row>
    <row r="282" spans="1:9" outlineLevel="1" x14ac:dyDescent="0.3">
      <c r="A282" s="37"/>
      <c r="B282" s="38" t="s">
        <v>135</v>
      </c>
      <c r="C282" s="37"/>
      <c r="D282" s="37"/>
      <c r="E282" s="39"/>
      <c r="F282" s="38"/>
      <c r="G282" s="41"/>
      <c r="H282" s="38" t="s">
        <v>136</v>
      </c>
      <c r="I282" s="38"/>
    </row>
    <row r="283" spans="1:9" outlineLevel="1" x14ac:dyDescent="0.3">
      <c r="A283" s="37"/>
      <c r="B283" s="38"/>
      <c r="C283" s="37"/>
      <c r="D283" s="37"/>
      <c r="E283" s="39"/>
      <c r="F283" s="38"/>
      <c r="G283" s="47"/>
      <c r="H283" s="38"/>
      <c r="I283" s="38"/>
    </row>
    <row r="284" spans="1:9" outlineLevel="1" x14ac:dyDescent="0.3">
      <c r="A284" s="37"/>
      <c r="B284" s="38"/>
      <c r="C284" s="37"/>
      <c r="D284" s="37"/>
      <c r="E284" s="39"/>
      <c r="F284" s="38"/>
      <c r="G284" s="47"/>
      <c r="H284" s="38"/>
      <c r="I284" s="45" t="str">
        <f>IF(I290&lt;0,"Приложение №1","")</f>
        <v/>
      </c>
    </row>
    <row r="285" spans="1:9" ht="25.5" outlineLevel="1" x14ac:dyDescent="0.3">
      <c r="A285" s="201" t="s">
        <v>132</v>
      </c>
      <c r="B285" s="201"/>
      <c r="C285" s="201"/>
      <c r="D285" s="201"/>
      <c r="E285" s="201"/>
      <c r="F285" s="201"/>
      <c r="G285" s="201"/>
      <c r="H285" s="201"/>
      <c r="I285" s="201"/>
    </row>
    <row r="286" spans="1:9" ht="25.5" outlineLevel="1" x14ac:dyDescent="0.3">
      <c r="A286" s="201" t="s">
        <v>43</v>
      </c>
      <c r="B286" s="201"/>
      <c r="C286" s="201"/>
      <c r="D286" s="201"/>
      <c r="E286" s="201"/>
      <c r="F286" s="201"/>
      <c r="G286" s="201"/>
      <c r="H286" s="201"/>
      <c r="I286" s="201"/>
    </row>
    <row r="287" spans="1:9" outlineLevel="1" x14ac:dyDescent="0.3">
      <c r="A287" s="220" t="s">
        <v>18</v>
      </c>
      <c r="B287" s="220"/>
      <c r="C287" s="220"/>
      <c r="D287" s="220"/>
      <c r="E287" s="220"/>
      <c r="F287" s="220"/>
      <c r="G287" s="220"/>
      <c r="H287" s="220"/>
      <c r="I287" s="220"/>
    </row>
    <row r="288" spans="1:9" s="24" customFormat="1" ht="60" customHeight="1" outlineLevel="1" x14ac:dyDescent="0.25">
      <c r="A288" s="185" t="s">
        <v>125</v>
      </c>
      <c r="B288" s="200" t="s">
        <v>126</v>
      </c>
      <c r="C288" s="203" t="s">
        <v>199</v>
      </c>
      <c r="D288" s="185" t="s">
        <v>128</v>
      </c>
      <c r="E288" s="213" t="s">
        <v>129</v>
      </c>
      <c r="F288" s="214" t="s">
        <v>130</v>
      </c>
      <c r="G288" s="200" t="s">
        <v>131</v>
      </c>
      <c r="H288" s="200"/>
      <c r="I288" s="200"/>
    </row>
    <row r="289" spans="1:10" s="24" customFormat="1" ht="60" customHeight="1" outlineLevel="1" x14ac:dyDescent="0.25">
      <c r="A289" s="185"/>
      <c r="B289" s="200"/>
      <c r="C289" s="203"/>
      <c r="D289" s="185"/>
      <c r="E289" s="213"/>
      <c r="F289" s="214"/>
      <c r="G289" s="86" t="s">
        <v>112</v>
      </c>
      <c r="H289" s="86" t="s">
        <v>110</v>
      </c>
      <c r="I289" s="86" t="s">
        <v>111</v>
      </c>
    </row>
    <row r="290" spans="1:10" ht="24" customHeight="1" outlineLevel="1" x14ac:dyDescent="0.3">
      <c r="A290" s="34" t="e">
        <f>IF(ПРИЛОЖЕНИЕ!$A287=0,SUMIFS('итог '!L:L,'итог '!$B:$B,ПРИЛОЖЕНИЕ!$A286),SUMIFS('итог '!L:L,'итог '!$B:$B,ПРИЛОЖЕНИЕ!$A286,'итог '!$D:$D,ПРИЛОЖЕНИЕ!$A287))</f>
        <v>#REF!</v>
      </c>
      <c r="B290" s="35" t="e">
        <f>IF(ПРИЛОЖЕНИЕ!$A287=0,SUMIFS('итог '!M:M,'итог '!$B:$B,ПРИЛОЖЕНИЕ!$A286),SUMIFS('итог '!M:M,'итог '!$B:$B,ПРИЛОЖЕНИЕ!$A286,'итог '!$D:$D,ПРИЛОЖЕНИЕ!$A287))</f>
        <v>#REF!</v>
      </c>
      <c r="C290" s="34">
        <f>IF(ПРИЛОЖЕНИЕ!$A287=0,SUMIFS('итог '!Q:Q,'итог '!$B:$B,ПРИЛОЖЕНИЕ!$A286),SUMIFS('итог '!Q:Q,'итог '!$B:$B,ПРИЛОЖЕНИЕ!$A286,'итог '!$D:$D,ПРИЛОЖЕНИЕ!$A287))</f>
        <v>94.16</v>
      </c>
      <c r="D290" s="34">
        <f>IF(ПРИЛОЖЕНИЕ!$A287=0,SUMIFS('итог '!S:S,'итог '!$B:$B,ПРИЛОЖЕНИЕ!$A286),SUMIFS('итог '!S:S,'итог '!$B:$B,ПРИЛОЖЕНИЕ!$A286,'итог '!$D:$D,ПРИЛОЖЕНИЕ!$A287))</f>
        <v>1.02</v>
      </c>
      <c r="E290" s="36" t="e">
        <f>IF(ПРИЛОЖЕНИЕ!$A287=0,SUMIFS('итог '!T:T,'итог '!$B:$B,ПРИЛОЖЕНИЕ!$A286),SUMIFS('итог '!T:T,'итог '!$B:$B,ПРИЛОЖЕНИЕ!$A286,'итог '!$D:$D,ПРИЛОЖЕНИЕ!$A287))</f>
        <v>#REF!</v>
      </c>
      <c r="F290" s="35" t="e">
        <f>IF(ПРИЛОЖЕНИЕ!$A287=0,SUMIFS('итог '!V:V,'итог '!$B:$B,ПРИЛОЖЕНИЕ!$A286),SUMIFS('итог '!V:V,'итог '!$B:$B,ПРИЛОЖЕНИЕ!$A286,'итог '!$D:$D,ПРИЛОЖЕНИЕ!$A287))</f>
        <v>#REF!</v>
      </c>
      <c r="G290" s="35">
        <f>IF(ПРИЛОЖЕНИЕ!$A287=0,SUMIFS('итог '!W:W,'итог '!$B:$B,ПРИЛОЖЕНИЕ!$A286),SUMIFS('итог '!W:W,'итог '!$B:$B,ПРИЛОЖЕНИЕ!$A286,'итог '!$D:$D,ПРИЛОЖЕНИЕ!$A287))</f>
        <v>53296321</v>
      </c>
      <c r="H290" s="35">
        <f>IF(ПРИЛОЖЕНИЕ!$A287=0,SUMIFS('итог '!X:X,'итог '!$B:$B,ПРИЛОЖЕНИЕ!$A286),SUMIFS('итог '!X:X,'итог '!$B:$B,ПРИЛОЖЕНИЕ!$A286,'итог '!$D:$D,ПРИЛОЖЕНИЕ!$A287))</f>
        <v>49533797</v>
      </c>
      <c r="I290" s="35">
        <f>IF(ПРИЛОЖЕНИЕ!$A287=0,SUMIFS('итог '!Y:Y,'итог '!$B:$B,ПРИЛОЖЕНИЕ!$A286),SUMIFS('итог '!Y:Y,'итог '!$B:$B,ПРИЛОЖЕНИЕ!$A286,'итог '!$D:$D,ПРИЛОЖЕНИЕ!$A287))</f>
        <v>3762524</v>
      </c>
    </row>
    <row r="291" spans="1:10" outlineLevel="1" x14ac:dyDescent="0.3">
      <c r="A291" s="37"/>
      <c r="B291" s="38"/>
      <c r="C291" s="37"/>
      <c r="D291" s="37"/>
      <c r="E291" s="39"/>
      <c r="F291" s="38"/>
      <c r="G291" s="38"/>
      <c r="H291" s="38"/>
      <c r="I291" s="38"/>
    </row>
    <row r="292" spans="1:10" outlineLevel="1" x14ac:dyDescent="0.3">
      <c r="A292" s="37"/>
      <c r="B292" s="40" t="s">
        <v>134</v>
      </c>
      <c r="C292" s="37"/>
      <c r="D292" s="37"/>
      <c r="E292" s="39"/>
      <c r="F292" s="38"/>
      <c r="G292" s="38"/>
      <c r="H292" s="38"/>
      <c r="I292" s="38"/>
    </row>
    <row r="293" spans="1:10" outlineLevel="1" x14ac:dyDescent="0.3">
      <c r="A293" s="37"/>
      <c r="B293" s="38" t="s">
        <v>135</v>
      </c>
      <c r="C293" s="37"/>
      <c r="D293" s="37"/>
      <c r="E293" s="39"/>
      <c r="F293" s="38"/>
      <c r="G293" s="41"/>
      <c r="H293" s="38" t="s">
        <v>136</v>
      </c>
      <c r="I293" s="38"/>
    </row>
    <row r="294" spans="1:10" outlineLevel="1" x14ac:dyDescent="0.3"/>
    <row r="295" spans="1:10" x14ac:dyDescent="0.3">
      <c r="I295" s="45" t="str">
        <f>IF(J301&lt;0,"Приложение №1","")</f>
        <v/>
      </c>
      <c r="J295" s="37" t="s">
        <v>197</v>
      </c>
    </row>
    <row r="296" spans="1:10" ht="30.75" customHeight="1" x14ac:dyDescent="0.3">
      <c r="A296" s="201" t="s">
        <v>132</v>
      </c>
      <c r="B296" s="201"/>
      <c r="C296" s="201"/>
      <c r="D296" s="201"/>
      <c r="E296" s="201"/>
      <c r="F296" s="201"/>
      <c r="G296" s="201"/>
      <c r="H296" s="201"/>
      <c r="I296" s="201"/>
      <c r="J296" s="201"/>
    </row>
    <row r="297" spans="1:10" ht="30" customHeight="1" x14ac:dyDescent="0.3">
      <c r="A297" s="201" t="s">
        <v>47</v>
      </c>
      <c r="B297" s="201"/>
      <c r="C297" s="201"/>
      <c r="D297" s="201"/>
      <c r="E297" s="201"/>
      <c r="F297" s="201"/>
      <c r="G297" s="201"/>
      <c r="H297" s="201"/>
      <c r="I297" s="201"/>
      <c r="J297" s="201"/>
    </row>
    <row r="298" spans="1:10" ht="18" customHeight="1" x14ac:dyDescent="0.3">
      <c r="A298" s="221" t="s">
        <v>21</v>
      </c>
      <c r="B298" s="221"/>
      <c r="C298" s="221"/>
      <c r="D298" s="221"/>
      <c r="E298" s="221"/>
      <c r="F298" s="221"/>
      <c r="G298" s="221"/>
      <c r="H298" s="221"/>
      <c r="I298" s="221"/>
      <c r="J298" s="221"/>
    </row>
    <row r="299" spans="1:10" s="24" customFormat="1" ht="60" customHeight="1" x14ac:dyDescent="0.25">
      <c r="A299" s="190" t="s">
        <v>200</v>
      </c>
      <c r="B299" s="185" t="s">
        <v>125</v>
      </c>
      <c r="C299" s="186" t="s">
        <v>126</v>
      </c>
      <c r="D299" s="188" t="s">
        <v>199</v>
      </c>
      <c r="E299" s="190" t="s">
        <v>128</v>
      </c>
      <c r="F299" s="192" t="s">
        <v>129</v>
      </c>
      <c r="G299" s="192" t="s">
        <v>130</v>
      </c>
      <c r="H299" s="194" t="s">
        <v>131</v>
      </c>
      <c r="I299" s="195"/>
      <c r="J299" s="196"/>
    </row>
    <row r="300" spans="1:10" s="24" customFormat="1" ht="60" customHeight="1" x14ac:dyDescent="0.25">
      <c r="A300" s="191"/>
      <c r="B300" s="185"/>
      <c r="C300" s="187"/>
      <c r="D300" s="189"/>
      <c r="E300" s="191"/>
      <c r="F300" s="193"/>
      <c r="G300" s="193"/>
      <c r="H300" s="98" t="s">
        <v>112</v>
      </c>
      <c r="I300" s="98" t="s">
        <v>110</v>
      </c>
      <c r="J300" s="98" t="s">
        <v>111</v>
      </c>
    </row>
    <row r="301" spans="1:10" ht="30" customHeight="1" x14ac:dyDescent="0.3">
      <c r="A301" s="98" t="s">
        <v>201</v>
      </c>
      <c r="B301" s="34" t="e">
        <f>IF(ПРИЛОЖЕНИЕ!$A298=0,SUMIFS('итог '!L:L,'итог '!$B:$B,ПРИЛОЖЕНИЕ!$A297),SUMIFS('итог '!L:L,'итог '!$B:$B,ПРИЛОЖЕНИЕ!$A297,'итог '!$D:$D,ПРИЛОЖЕНИЕ!$A298))</f>
        <v>#REF!</v>
      </c>
      <c r="C301" s="35" t="e">
        <f>IF(ПРИЛОЖЕНИЕ!$A298=0,SUMIFS('итог '!M:M,'итог '!$B:$B,ПРИЛОЖЕНИЕ!$A297),SUMIFS('итог '!M:M,'итог '!$B:$B,ПРИЛОЖЕНИЕ!$A297,'итог '!$D:$D,ПРИЛОЖЕНИЕ!$A298))</f>
        <v>#REF!</v>
      </c>
      <c r="D301" s="34">
        <f>IF(ПРИЛОЖЕНИЕ!$A298=0,SUMIFS('итог '!Q:Q,'итог '!$B:$B,ПРИЛОЖЕНИЕ!$A297),SUMIFS('итог '!Q:Q,'итог '!$B:$B,ПРИЛОЖЕНИЕ!$A297,'итог '!$D:$D,ПРИЛОЖЕНИЕ!$A298))</f>
        <v>45.39</v>
      </c>
      <c r="E301" s="34">
        <f>IF(ПРИЛОЖЕНИЕ!$A298=0,SUMIFS('итог '!S:S,'итог '!$B:$B,ПРИЛОЖЕНИЕ!$A297),SUMIFS('итог '!S:S,'итог '!$B:$B,ПРИЛОЖЕНИЕ!$A297,'итог '!$D:$D,ПРИЛОЖЕНИЕ!$A298))</f>
        <v>1.03</v>
      </c>
      <c r="F301" s="36" t="e">
        <f>IF(ПРИЛОЖЕНИЕ!$A298=0,SUMIFS('итог '!T:T,'итог '!$B:$B,ПРИЛОЖЕНИЕ!$A297),SUMIFS('итог '!T:T,'итог '!$B:$B,ПРИЛОЖЕНИЕ!$A297,'итог '!$D:$D,ПРИЛОЖЕНИЕ!$A298))</f>
        <v>#REF!</v>
      </c>
      <c r="G301" s="35" t="e">
        <f>IF(ПРИЛОЖЕНИЕ!$A298=0,SUMIFS('итог '!V:V,'итог '!$B:$B,ПРИЛОЖЕНИЕ!$A297),SUMIFS('итог '!V:V,'итог '!$B:$B,ПРИЛОЖЕНИЕ!$A297,'итог '!$D:$D,ПРИЛОЖЕНИЕ!$A298))</f>
        <v>#REF!</v>
      </c>
      <c r="H301" s="35">
        <f>IF(ПРИЛОЖЕНИЕ!$A298=0,SUMIFS('итог '!W:W,'итог '!$B:$B,ПРИЛОЖЕНИЕ!$A297),SUMIFS('итог '!W:W,'итог '!$B:$B,ПРИЛОЖЕНИЕ!$A297,'итог '!$D:$D,ПРИЛОЖЕНИЕ!$A298))</f>
        <v>32281200</v>
      </c>
      <c r="I301" s="35">
        <f>IF(ПРИЛОЖЕНИЕ!$A298=0,SUMIFS('итог '!X:X,'итог '!$B:$B,ПРИЛОЖЕНИЕ!$A297),SUMIFS('итог '!X:X,'итог '!$B:$B,ПРИЛОЖЕНИЕ!$A297,'итог '!$D:$D,ПРИЛОЖЕНИЕ!$A298))</f>
        <v>28804859</v>
      </c>
      <c r="J301" s="35">
        <f>IF(ПРИЛОЖЕНИЕ!$A298=0,SUMIFS('итог '!Y:Y,'итог '!$B:$B,ПРИЛОЖЕНИЕ!$A297),SUMIFS('итог '!Y:Y,'итог '!$B:$B,ПРИЛОЖЕНИЕ!$A297,'итог '!$D:$D,ПРИЛОЖЕНИЕ!$A298))</f>
        <v>3476341</v>
      </c>
    </row>
    <row r="302" spans="1:10" ht="30" customHeight="1" x14ac:dyDescent="0.3">
      <c r="A302" s="98" t="s">
        <v>202</v>
      </c>
      <c r="B302" s="105" t="e">
        <f>B301</f>
        <v>#REF!</v>
      </c>
      <c r="C302" s="105" t="e">
        <f>C301</f>
        <v>#REF!</v>
      </c>
      <c r="D302" s="106">
        <v>43.12</v>
      </c>
      <c r="E302" s="107">
        <f>D302/48</f>
        <v>0.89833333333333332</v>
      </c>
      <c r="F302" s="104" t="e">
        <f>IF(ПРИЛОЖЕНИЕ!$A298=0,SUMIFS('итог '!U:U,'итог '!$B:$B,ПРИЛОЖЕНИЕ!$A297),SUMIFS('итог '!U:U,'итог '!$B:$B,ПРИЛОЖЕНИЕ!$A297,'итог '!$D:$D,ПРИЛОЖЕНИЕ!$A298))</f>
        <v>#REF!</v>
      </c>
      <c r="G302" s="105" t="e">
        <f>G301*(H302/H301)</f>
        <v>#REF!</v>
      </c>
      <c r="H302" s="105">
        <f>27839.3*1000</f>
        <v>27839300</v>
      </c>
      <c r="I302" s="105">
        <f>I301</f>
        <v>28804859</v>
      </c>
      <c r="J302" s="108">
        <f>H302-I302</f>
        <v>-965559</v>
      </c>
    </row>
    <row r="303" spans="1:10" ht="42.75" customHeight="1" x14ac:dyDescent="0.3">
      <c r="A303" s="40" t="s">
        <v>203</v>
      </c>
      <c r="B303" s="40"/>
      <c r="C303" s="37"/>
      <c r="D303" s="37"/>
      <c r="E303" s="39"/>
      <c r="F303" s="38"/>
      <c r="G303" s="38"/>
      <c r="H303" s="38"/>
      <c r="I303" s="38"/>
    </row>
    <row r="304" spans="1:10" ht="32.25" customHeight="1" x14ac:dyDescent="0.3">
      <c r="A304" s="38" t="s">
        <v>135</v>
      </c>
      <c r="C304" s="37"/>
      <c r="D304" s="37"/>
      <c r="E304" s="39"/>
      <c r="F304" s="38"/>
      <c r="G304" s="41"/>
      <c r="H304" s="38" t="s">
        <v>136</v>
      </c>
      <c r="I304" s="38"/>
    </row>
    <row r="306" spans="1:9" outlineLevel="1" x14ac:dyDescent="0.3">
      <c r="I306" s="45" t="str">
        <f>IF(I312&lt;0,"Приложение №1","")</f>
        <v/>
      </c>
    </row>
    <row r="307" spans="1:9" ht="25.5" outlineLevel="1" x14ac:dyDescent="0.3">
      <c r="A307" s="201" t="s">
        <v>132</v>
      </c>
      <c r="B307" s="201"/>
      <c r="C307" s="201"/>
      <c r="D307" s="201"/>
      <c r="E307" s="201"/>
      <c r="F307" s="201"/>
      <c r="G307" s="201"/>
      <c r="H307" s="201"/>
      <c r="I307" s="201"/>
    </row>
    <row r="308" spans="1:9" ht="30" customHeight="1" outlineLevel="1" x14ac:dyDescent="0.3">
      <c r="A308" s="201" t="s">
        <v>47</v>
      </c>
      <c r="B308" s="201"/>
      <c r="C308" s="201"/>
      <c r="D308" s="201"/>
      <c r="E308" s="201"/>
      <c r="F308" s="201"/>
      <c r="G308" s="201"/>
      <c r="H308" s="201"/>
      <c r="I308" s="201"/>
    </row>
    <row r="309" spans="1:9" outlineLevel="1" x14ac:dyDescent="0.3">
      <c r="A309" s="202">
        <v>27</v>
      </c>
      <c r="B309" s="202"/>
      <c r="C309" s="202"/>
      <c r="D309" s="202"/>
      <c r="E309" s="202"/>
      <c r="F309" s="202"/>
      <c r="G309" s="202"/>
      <c r="H309" s="202"/>
      <c r="I309" s="202"/>
    </row>
    <row r="310" spans="1:9" s="24" customFormat="1" ht="60" customHeight="1" outlineLevel="1" x14ac:dyDescent="0.25">
      <c r="A310" s="185" t="s">
        <v>125</v>
      </c>
      <c r="B310" s="200" t="s">
        <v>126</v>
      </c>
      <c r="C310" s="203" t="s">
        <v>199</v>
      </c>
      <c r="D310" s="185" t="s">
        <v>128</v>
      </c>
      <c r="E310" s="213" t="s">
        <v>129</v>
      </c>
      <c r="F310" s="214" t="s">
        <v>130</v>
      </c>
      <c r="G310" s="200" t="s">
        <v>131</v>
      </c>
      <c r="H310" s="200"/>
      <c r="I310" s="200"/>
    </row>
    <row r="311" spans="1:9" s="24" customFormat="1" ht="60" customHeight="1" outlineLevel="1" x14ac:dyDescent="0.25">
      <c r="A311" s="185"/>
      <c r="B311" s="200"/>
      <c r="C311" s="203"/>
      <c r="D311" s="185"/>
      <c r="E311" s="213"/>
      <c r="F311" s="214"/>
      <c r="G311" s="86" t="s">
        <v>112</v>
      </c>
      <c r="H311" s="86" t="s">
        <v>110</v>
      </c>
      <c r="I311" s="86" t="s">
        <v>111</v>
      </c>
    </row>
    <row r="312" spans="1:9" ht="20.25" customHeight="1" outlineLevel="1" x14ac:dyDescent="0.3">
      <c r="A312" s="34" t="e">
        <f>IF(ПРИЛОЖЕНИЕ!$A309=0,SUMIFS('итог '!L:L,'итог '!$B:$B,ПРИЛОЖЕНИЕ!$A308),SUMIFS('итог '!L:L,'итог '!$B:$B,ПРИЛОЖЕНИЕ!$A308,'итог '!$D:$D,ПРИЛОЖЕНИЕ!$A309))</f>
        <v>#REF!</v>
      </c>
      <c r="B312" s="35" t="e">
        <f>IF(ПРИЛОЖЕНИЕ!$A309=0,SUMIFS('итог '!M:M,'итог '!$B:$B,ПРИЛОЖЕНИЕ!$A308),SUMIFS('итог '!M:M,'итог '!$B:$B,ПРИЛОЖЕНИЕ!$A308,'итог '!$D:$D,ПРИЛОЖЕНИЕ!$A309))</f>
        <v>#REF!</v>
      </c>
      <c r="C312" s="34">
        <f>IF(ПРИЛОЖЕНИЕ!$A309=0,SUMIFS('итог '!Q:Q,'итог '!$B:$B,ПРИЛОЖЕНИЕ!$A308),SUMIFS('итог '!Q:Q,'итог '!$B:$B,ПРИЛОЖЕНИЕ!$A308,'итог '!$D:$D,ПРИЛОЖЕНИЕ!$A309))</f>
        <v>50.430000000000007</v>
      </c>
      <c r="D312" s="34">
        <f>IF(ПРИЛОЖЕНИЕ!$A309=0,SUMIFS('итог '!S:S,'итог '!$B:$B,ПРИЛОЖЕНИЕ!$A308),SUMIFS('итог '!S:S,'итог '!$B:$B,ПРИЛОЖЕНИЕ!$A308,'итог '!$D:$D,ПРИЛОЖЕНИЕ!$A309))</f>
        <v>1</v>
      </c>
      <c r="E312" s="36" t="e">
        <f>IF(ПРИЛОЖЕНИЕ!$A309=0,SUMIFS('итог '!T:T,'итог '!$B:$B,ПРИЛОЖЕНИЕ!$A308),SUMIFS('итог '!T:T,'итог '!$B:$B,ПРИЛОЖЕНИЕ!$A308,'итог '!$D:$D,ПРИЛОЖЕНИЕ!$A309))</f>
        <v>#REF!</v>
      </c>
      <c r="F312" s="35" t="e">
        <f>IF(ПРИЛОЖЕНИЕ!$A309=0,SUMIFS('итог '!V:V,'итог '!$B:$B,ПРИЛОЖЕНИЕ!$A308),SUMIFS('итог '!V:V,'итог '!$B:$B,ПРИЛОЖЕНИЕ!$A308,'итог '!$D:$D,ПРИЛОЖЕНИЕ!$A309))</f>
        <v>#REF!</v>
      </c>
      <c r="G312" s="35">
        <f>IF(ПРИЛОЖЕНИЕ!$A309=0,SUMIFS('итог '!W:W,'итог '!$B:$B,ПРИЛОЖЕНИЕ!$A308),SUMIFS('итог '!W:W,'итог '!$B:$B,ПРИЛОЖЕНИЕ!$A308,'итог '!$D:$D,ПРИЛОЖЕНИЕ!$A309))</f>
        <v>29964000</v>
      </c>
      <c r="H312" s="35">
        <f>IF(ПРИЛОЖЕНИЕ!$A309=0,SUMIFS('итог '!X:X,'итог '!$B:$B,ПРИЛОЖЕНИЕ!$A308),SUMIFS('итог '!X:X,'итог '!$B:$B,ПРИЛОЖЕНИЕ!$A308,'итог '!$D:$D,ПРИЛОЖЕНИЕ!$A309))</f>
        <v>29614920</v>
      </c>
      <c r="I312" s="35">
        <f>IF(ПРИЛОЖЕНИЕ!$A309=0,SUMIFS('итог '!Y:Y,'итог '!$B:$B,ПРИЛОЖЕНИЕ!$A308),SUMIFS('итог '!Y:Y,'итог '!$B:$B,ПРИЛОЖЕНИЕ!$A308,'итог '!$D:$D,ПРИЛОЖЕНИЕ!$A309))</f>
        <v>349080</v>
      </c>
    </row>
    <row r="313" spans="1:9" outlineLevel="1" x14ac:dyDescent="0.3">
      <c r="A313" s="37"/>
      <c r="B313" s="38"/>
      <c r="C313" s="37"/>
      <c r="D313" s="37"/>
      <c r="E313" s="39"/>
      <c r="F313" s="38"/>
      <c r="G313" s="38"/>
      <c r="H313" s="38"/>
      <c r="I313" s="38"/>
    </row>
    <row r="314" spans="1:9" ht="30" customHeight="1" outlineLevel="1" x14ac:dyDescent="0.3">
      <c r="A314" s="37"/>
      <c r="B314" s="40" t="s">
        <v>134</v>
      </c>
      <c r="C314" s="37"/>
      <c r="D314" s="37"/>
      <c r="E314" s="39"/>
      <c r="F314" s="38"/>
      <c r="G314" s="38"/>
      <c r="H314" s="38"/>
      <c r="I314" s="38"/>
    </row>
    <row r="315" spans="1:9" outlineLevel="1" x14ac:dyDescent="0.3">
      <c r="A315" s="37"/>
      <c r="B315" s="38" t="s">
        <v>135</v>
      </c>
      <c r="C315" s="37"/>
      <c r="D315" s="37"/>
      <c r="E315" s="39"/>
      <c r="F315" s="38"/>
      <c r="G315" s="41"/>
      <c r="H315" s="38" t="s">
        <v>136</v>
      </c>
      <c r="I315" s="38"/>
    </row>
    <row r="316" spans="1:9" outlineLevel="1" x14ac:dyDescent="0.3">
      <c r="A316" s="37"/>
      <c r="B316" s="42"/>
      <c r="C316" s="43"/>
      <c r="D316" s="43"/>
      <c r="E316" s="44"/>
      <c r="F316" s="38"/>
      <c r="G316" s="38"/>
      <c r="H316" s="38"/>
      <c r="I316" s="38"/>
    </row>
    <row r="317" spans="1:9" outlineLevel="1" x14ac:dyDescent="0.3">
      <c r="I317" s="45" t="str">
        <f>IF(I323&lt;0,"Приложение №1","")</f>
        <v/>
      </c>
    </row>
    <row r="318" spans="1:9" ht="30" customHeight="1" outlineLevel="1" x14ac:dyDescent="0.3">
      <c r="A318" s="201" t="s">
        <v>132</v>
      </c>
      <c r="B318" s="201"/>
      <c r="C318" s="201"/>
      <c r="D318" s="201"/>
      <c r="E318" s="201"/>
      <c r="F318" s="201"/>
      <c r="G318" s="201"/>
      <c r="H318" s="201"/>
      <c r="I318" s="201"/>
    </row>
    <row r="319" spans="1:9" ht="30" customHeight="1" outlineLevel="1" x14ac:dyDescent="0.3">
      <c r="A319" s="201" t="s">
        <v>47</v>
      </c>
      <c r="B319" s="201"/>
      <c r="C319" s="201"/>
      <c r="D319" s="201"/>
      <c r="E319" s="201"/>
      <c r="F319" s="201"/>
      <c r="G319" s="201"/>
      <c r="H319" s="201"/>
      <c r="I319" s="201"/>
    </row>
    <row r="320" spans="1:9" outlineLevel="1" x14ac:dyDescent="0.3">
      <c r="A320" s="197">
        <v>896</v>
      </c>
      <c r="B320" s="197"/>
      <c r="C320" s="197"/>
      <c r="D320" s="197"/>
      <c r="E320" s="197"/>
      <c r="F320" s="197"/>
      <c r="G320" s="197"/>
      <c r="H320" s="197"/>
      <c r="I320" s="197"/>
    </row>
    <row r="321" spans="1:9" s="24" customFormat="1" ht="60" customHeight="1" outlineLevel="1" x14ac:dyDescent="0.25">
      <c r="A321" s="185" t="s">
        <v>125</v>
      </c>
      <c r="B321" s="200" t="s">
        <v>126</v>
      </c>
      <c r="C321" s="203" t="s">
        <v>199</v>
      </c>
      <c r="D321" s="185" t="s">
        <v>128</v>
      </c>
      <c r="E321" s="213" t="s">
        <v>129</v>
      </c>
      <c r="F321" s="214" t="s">
        <v>130</v>
      </c>
      <c r="G321" s="200" t="s">
        <v>131</v>
      </c>
      <c r="H321" s="200"/>
      <c r="I321" s="200"/>
    </row>
    <row r="322" spans="1:9" s="24" customFormat="1" ht="60" customHeight="1" outlineLevel="1" x14ac:dyDescent="0.25">
      <c r="A322" s="185"/>
      <c r="B322" s="200"/>
      <c r="C322" s="203"/>
      <c r="D322" s="185"/>
      <c r="E322" s="213"/>
      <c r="F322" s="214"/>
      <c r="G322" s="86" t="s">
        <v>112</v>
      </c>
      <c r="H322" s="86" t="s">
        <v>110</v>
      </c>
      <c r="I322" s="86" t="s">
        <v>111</v>
      </c>
    </row>
    <row r="323" spans="1:9" ht="20.25" customHeight="1" outlineLevel="1" x14ac:dyDescent="0.3">
      <c r="A323" s="34" t="e">
        <f>IF(ПРИЛОЖЕНИЕ!$A320=0,SUMIFS('итог '!L:L,'итог '!$B:$B,ПРИЛОЖЕНИЕ!$A319),SUMIFS('итог '!L:L,'итог '!$B:$B,ПРИЛОЖЕНИЕ!$A319,'итог '!$D:$D,ПРИЛОЖЕНИЕ!$A320))</f>
        <v>#REF!</v>
      </c>
      <c r="B323" s="35" t="e">
        <f>IF(ПРИЛОЖЕНИЕ!$A320=0,SUMIFS('итог '!M:M,'итог '!$B:$B,ПРИЛОЖЕНИЕ!$A319),SUMIFS('итог '!M:M,'итог '!$B:$B,ПРИЛОЖЕНИЕ!$A319,'итог '!$D:$D,ПРИЛОЖЕНИЕ!$A320))</f>
        <v>#REF!</v>
      </c>
      <c r="C323" s="34">
        <f>IF(ПРИЛОЖЕНИЕ!$A320=0,SUMIFS('итог '!Q:Q,'итог '!$B:$B,ПРИЛОЖЕНИЕ!$A319),SUMIFS('итог '!Q:Q,'итог '!$B:$B,ПРИЛОЖЕНИЕ!$A319,'итог '!$D:$D,ПРИЛОЖЕНИЕ!$A320))</f>
        <v>5</v>
      </c>
      <c r="D323" s="34">
        <f>IF(ПРИЛОЖЕНИЕ!$A320=0,SUMIFS('итог '!S:S,'итог '!$B:$B,ПРИЛОЖЕНИЕ!$A319),SUMIFS('итог '!S:S,'итог '!$B:$B,ПРИЛОЖЕНИЕ!$A319,'итог '!$D:$D,ПРИЛОЖЕНИЕ!$A320))</f>
        <v>1.07</v>
      </c>
      <c r="E323" s="36" t="e">
        <f>IF(ПРИЛОЖЕНИЕ!$A320=0,SUMIFS('итог '!T:T,'итог '!$B:$B,ПРИЛОЖЕНИЕ!$A319),SUMIFS('итог '!T:T,'итог '!$B:$B,ПРИЛОЖЕНИЕ!$A319,'итог '!$D:$D,ПРИЛОЖЕНИЕ!$A320))</f>
        <v>#REF!</v>
      </c>
      <c r="F323" s="35" t="e">
        <f>IF(ПРИЛОЖЕНИЕ!$A320=0,SUMIFS('итог '!V:V,'итог '!$B:$B,ПРИЛОЖЕНИЕ!$A319),SUMIFS('итог '!V:V,'итог '!$B:$B,ПРИЛОЖЕНИЕ!$A319,'итог '!$D:$D,ПРИЛОЖЕНИЕ!$A320))</f>
        <v>#REF!</v>
      </c>
      <c r="G323" s="35">
        <f>IF(ПРИЛОЖЕНИЕ!$A320=0,SUMIFS('итог '!W:W,'итог '!$B:$B,ПРИЛОЖЕНИЕ!$A319),SUMIFS('итог '!W:W,'итог '!$B:$B,ПРИЛОЖЕНИЕ!$A319,'итог '!$D:$D,ПРИЛОЖЕНИЕ!$A320))</f>
        <v>5501640</v>
      </c>
      <c r="H323" s="35">
        <f>IF(ПРИЛОЖЕНИЕ!$A320=0,SUMIFS('итог '!X:X,'итог '!$B:$B,ПРИЛОЖЕНИЕ!$A319),SUMIFS('итог '!X:X,'итог '!$B:$B,ПРИЛОЖЕНИЕ!$A319,'итог '!$D:$D,ПРИЛОЖЕНИЕ!$A320))</f>
        <v>5485020</v>
      </c>
      <c r="I323" s="35">
        <f>IF(ПРИЛОЖЕНИЕ!$A320=0,SUMIFS('итог '!Y:Y,'итог '!$B:$B,ПРИЛОЖЕНИЕ!$A319),SUMIFS('итог '!Y:Y,'итог '!$B:$B,ПРИЛОЖЕНИЕ!$A319,'итог '!$D:$D,ПРИЛОЖЕНИЕ!$A320))</f>
        <v>16620</v>
      </c>
    </row>
    <row r="324" spans="1:9" outlineLevel="1" x14ac:dyDescent="0.3">
      <c r="A324" s="37"/>
      <c r="B324" s="38"/>
      <c r="C324" s="37"/>
      <c r="D324" s="37"/>
      <c r="E324" s="39"/>
      <c r="F324" s="38"/>
      <c r="G324" s="38"/>
      <c r="H324" s="38"/>
      <c r="I324" s="38"/>
    </row>
    <row r="325" spans="1:9" outlineLevel="1" x14ac:dyDescent="0.3">
      <c r="A325" s="37"/>
      <c r="B325" s="40" t="s">
        <v>134</v>
      </c>
      <c r="C325" s="37"/>
      <c r="D325" s="37"/>
      <c r="E325" s="39"/>
      <c r="F325" s="38"/>
      <c r="G325" s="38"/>
      <c r="H325" s="38"/>
      <c r="I325" s="38"/>
    </row>
    <row r="326" spans="1:9" outlineLevel="1" x14ac:dyDescent="0.3">
      <c r="A326" s="37"/>
      <c r="B326" s="38" t="s">
        <v>135</v>
      </c>
      <c r="C326" s="37"/>
      <c r="D326" s="37"/>
      <c r="E326" s="39"/>
      <c r="F326" s="38"/>
      <c r="G326" s="41"/>
      <c r="H326" s="38" t="s">
        <v>136</v>
      </c>
      <c r="I326" s="38"/>
    </row>
    <row r="327" spans="1:9" outlineLevel="1" x14ac:dyDescent="0.3"/>
    <row r="328" spans="1:9" outlineLevel="1" x14ac:dyDescent="0.3">
      <c r="A328" s="37"/>
      <c r="B328" s="38"/>
      <c r="C328" s="37"/>
      <c r="D328" s="37"/>
      <c r="E328" s="39"/>
      <c r="F328" s="38"/>
      <c r="G328" s="38"/>
      <c r="H328" s="38"/>
      <c r="I328" s="45" t="str">
        <f>IF(I334&lt;0,"Приложение №1","")</f>
        <v/>
      </c>
    </row>
    <row r="329" spans="1:9" ht="25.5" outlineLevel="1" x14ac:dyDescent="0.3">
      <c r="A329" s="201" t="s">
        <v>132</v>
      </c>
      <c r="B329" s="201"/>
      <c r="C329" s="201"/>
      <c r="D329" s="201"/>
      <c r="E329" s="201"/>
      <c r="F329" s="201"/>
      <c r="G329" s="201"/>
      <c r="H329" s="201"/>
      <c r="I329" s="201"/>
    </row>
    <row r="330" spans="1:9" ht="25.5" outlineLevel="1" x14ac:dyDescent="0.3">
      <c r="A330" s="201" t="s">
        <v>141</v>
      </c>
      <c r="B330" s="201"/>
      <c r="C330" s="201"/>
      <c r="D330" s="201"/>
      <c r="E330" s="201"/>
      <c r="F330" s="201"/>
      <c r="G330" s="201"/>
      <c r="H330" s="201"/>
      <c r="I330" s="201"/>
    </row>
    <row r="331" spans="1:9" outlineLevel="1" x14ac:dyDescent="0.3">
      <c r="A331" s="197"/>
      <c r="B331" s="197"/>
      <c r="C331" s="197"/>
      <c r="D331" s="197"/>
      <c r="E331" s="197"/>
      <c r="F331" s="197"/>
      <c r="G331" s="197"/>
      <c r="H331" s="197"/>
      <c r="I331" s="197"/>
    </row>
    <row r="332" spans="1:9" s="24" customFormat="1" ht="60" customHeight="1" outlineLevel="1" x14ac:dyDescent="0.25">
      <c r="A332" s="185" t="s">
        <v>125</v>
      </c>
      <c r="B332" s="200" t="s">
        <v>126</v>
      </c>
      <c r="C332" s="203" t="s">
        <v>199</v>
      </c>
      <c r="D332" s="185" t="s">
        <v>128</v>
      </c>
      <c r="E332" s="213" t="s">
        <v>129</v>
      </c>
      <c r="F332" s="214" t="s">
        <v>130</v>
      </c>
      <c r="G332" s="200" t="s">
        <v>131</v>
      </c>
      <c r="H332" s="200"/>
      <c r="I332" s="200"/>
    </row>
    <row r="333" spans="1:9" s="24" customFormat="1" ht="60" customHeight="1" outlineLevel="1" x14ac:dyDescent="0.25">
      <c r="A333" s="185"/>
      <c r="B333" s="200"/>
      <c r="C333" s="203"/>
      <c r="D333" s="185"/>
      <c r="E333" s="213"/>
      <c r="F333" s="214"/>
      <c r="G333" s="86" t="s">
        <v>112</v>
      </c>
      <c r="H333" s="86" t="s">
        <v>110</v>
      </c>
      <c r="I333" s="86" t="s">
        <v>111</v>
      </c>
    </row>
    <row r="334" spans="1:9" ht="20.25" customHeight="1" outlineLevel="1" x14ac:dyDescent="0.3">
      <c r="A334" s="34" t="e">
        <f>IF(ПРИЛОЖЕНИЕ!$A331=0,SUMIFS('итог '!L:L,'итог '!$B:$B,ПРИЛОЖЕНИЕ!$A330),SUMIFS('итог '!L:L,'итог '!$B:$B,ПРИЛОЖЕНИЕ!$A330,'итог '!$D:$D,ПРИЛОЖЕНИЕ!$A331))</f>
        <v>#REF!</v>
      </c>
      <c r="B334" s="35" t="e">
        <f>IF(ПРИЛОЖЕНИЕ!$A331=0,SUMIFS('итог '!M:M,'итог '!$B:$B,ПРИЛОЖЕНИЕ!$A330),SUMIFS('итог '!M:M,'итог '!$B:$B,ПРИЛОЖЕНИЕ!$A330,'итог '!$D:$D,ПРИЛОЖЕНИЕ!$A331))</f>
        <v>#REF!</v>
      </c>
      <c r="C334" s="34">
        <f>IF(ПРИЛОЖЕНИЕ!$A331=0,SUMIFS('итог '!Q:Q,'итог '!$B:$B,ПРИЛОЖЕНИЕ!$A330),SUMIFS('итог '!Q:Q,'итог '!$B:$B,ПРИЛОЖЕНИЕ!$A330,'итог '!$D:$D,ПРИЛОЖЕНИЕ!$A331))</f>
        <v>99.149999999999991</v>
      </c>
      <c r="D334" s="34">
        <f>IF(ПРИЛОЖЕНИЕ!$A331=0,SUMIFS('итог '!S:S,'итог '!$B:$B,ПРИЛОЖЕНИЕ!$A330),SUMIFS('итог '!S:S,'итог '!$B:$B,ПРИЛОЖЕНИЕ!$A330,'итог '!$D:$D,ПРИЛОЖЕНИЕ!$A331))</f>
        <v>1.07</v>
      </c>
      <c r="E334" s="36" t="e">
        <f>IF(ПРИЛОЖЕНИЕ!$A331=0,SUMIFS('итог '!T:T,'итог '!$B:$B,ПРИЛОЖЕНИЕ!$A330),SUMIFS('итог '!T:T,'итог '!$B:$B,ПРИЛОЖЕНИЕ!$A330,'итог '!$D:$D,ПРИЛОЖЕНИЕ!$A331))</f>
        <v>#REF!</v>
      </c>
      <c r="F334" s="35" t="e">
        <f>IF(ПРИЛОЖЕНИЕ!$A331=0,SUMIFS('итог '!V:V,'итог '!$B:$B,ПРИЛОЖЕНИЕ!$A330),SUMIFS('итог '!V:V,'итог '!$B:$B,ПРИЛОЖЕНИЕ!$A330,'итог '!$D:$D,ПРИЛОЖЕНИЕ!$A331))</f>
        <v>#REF!</v>
      </c>
      <c r="G334" s="35">
        <f>IF(ПРИЛОЖЕНИЕ!$A331=0,SUMIFS('итог '!W:W,'итог '!$B:$B,ПРИЛОЖЕНИЕ!$A330),SUMIFS('итог '!W:W,'итог '!$B:$B,ПРИЛОЖЕНИЕ!$A330,'итог '!$D:$D,ПРИЛОЖЕНИЕ!$A331))</f>
        <v>66173991</v>
      </c>
      <c r="H334" s="35">
        <f>IF(ПРИЛОЖЕНИЕ!$A331=0,SUMIFS('итог '!X:X,'итог '!$B:$B,ПРИЛОЖЕНИЕ!$A330),SUMIFS('итог '!X:X,'итог '!$B:$B,ПРИЛОЖЕНИЕ!$A330,'итог '!$D:$D,ПРИЛОЖЕНИЕ!$A331))</f>
        <v>65450929</v>
      </c>
      <c r="I334" s="35">
        <f>IF(ПРИЛОЖЕНИЕ!$A331=0,SUMIFS('итог '!Y:Y,'итог '!$B:$B,ПРИЛОЖЕНИЕ!$A330),SUMIFS('итог '!Y:Y,'итог '!$B:$B,ПРИЛОЖЕНИЕ!$A330,'итог '!$D:$D,ПРИЛОЖЕНИЕ!$A331))</f>
        <v>723062</v>
      </c>
    </row>
    <row r="335" spans="1:9" outlineLevel="1" x14ac:dyDescent="0.3">
      <c r="A335" s="37"/>
      <c r="B335" s="38"/>
      <c r="C335" s="37"/>
      <c r="D335" s="37"/>
      <c r="E335" s="39"/>
      <c r="F335" s="38"/>
      <c r="G335" s="38"/>
      <c r="H335" s="38"/>
      <c r="I335" s="38"/>
    </row>
    <row r="336" spans="1:9" outlineLevel="1" x14ac:dyDescent="0.3">
      <c r="A336" s="37"/>
      <c r="B336" s="40" t="s">
        <v>134</v>
      </c>
      <c r="C336" s="37"/>
      <c r="D336" s="37"/>
      <c r="E336" s="39"/>
      <c r="F336" s="38"/>
      <c r="G336" s="38"/>
      <c r="H336" s="38"/>
      <c r="I336" s="38"/>
    </row>
    <row r="337" spans="1:10" ht="15" customHeight="1" outlineLevel="1" x14ac:dyDescent="0.3">
      <c r="A337" s="37"/>
      <c r="B337" s="38" t="s">
        <v>135</v>
      </c>
      <c r="C337" s="37"/>
      <c r="D337" s="37"/>
      <c r="E337" s="39"/>
      <c r="F337" s="38"/>
      <c r="G337" s="41"/>
      <c r="H337" s="38" t="s">
        <v>136</v>
      </c>
      <c r="I337" s="38"/>
    </row>
    <row r="338" spans="1:10" outlineLevel="1" collapsed="1" x14ac:dyDescent="0.3">
      <c r="A338" s="37"/>
      <c r="B338" s="38"/>
      <c r="C338" s="37"/>
      <c r="D338" s="37"/>
      <c r="E338" s="39"/>
      <c r="F338" s="38"/>
      <c r="G338" s="38"/>
      <c r="H338" s="38"/>
      <c r="I338" s="38"/>
    </row>
    <row r="339" spans="1:10" outlineLevel="1" x14ac:dyDescent="0.3">
      <c r="A339" s="37"/>
      <c r="B339" s="38"/>
      <c r="C339" s="37"/>
      <c r="D339" s="37"/>
      <c r="E339" s="39"/>
      <c r="F339" s="38"/>
      <c r="G339" s="38"/>
      <c r="H339" s="38"/>
      <c r="I339" s="45" t="str">
        <f>IF(J345&lt;0,"Приложение №1","")</f>
        <v/>
      </c>
    </row>
    <row r="340" spans="1:10" ht="25.5" outlineLevel="1" x14ac:dyDescent="0.3">
      <c r="A340" s="201" t="s">
        <v>132</v>
      </c>
      <c r="B340" s="201"/>
      <c r="C340" s="201"/>
      <c r="D340" s="201"/>
      <c r="E340" s="201"/>
      <c r="F340" s="201"/>
      <c r="G340" s="201"/>
      <c r="H340" s="201"/>
      <c r="I340" s="201"/>
      <c r="J340" s="201"/>
    </row>
    <row r="341" spans="1:10" ht="25.5" outlineLevel="1" x14ac:dyDescent="0.3">
      <c r="A341" s="201" t="s">
        <v>142</v>
      </c>
      <c r="B341" s="201"/>
      <c r="C341" s="201"/>
      <c r="D341" s="201"/>
      <c r="E341" s="201"/>
      <c r="F341" s="201"/>
      <c r="G341" s="201"/>
      <c r="H341" s="201"/>
      <c r="I341" s="201"/>
      <c r="J341" s="201"/>
    </row>
    <row r="342" spans="1:10" outlineLevel="1" x14ac:dyDescent="0.3">
      <c r="A342" s="202">
        <v>28</v>
      </c>
      <c r="B342" s="202"/>
      <c r="C342" s="202"/>
      <c r="D342" s="202"/>
      <c r="E342" s="202"/>
      <c r="F342" s="202"/>
      <c r="G342" s="202"/>
      <c r="H342" s="202"/>
      <c r="I342" s="202"/>
      <c r="J342" s="202"/>
    </row>
    <row r="343" spans="1:10" s="24" customFormat="1" ht="60" customHeight="1" outlineLevel="1" x14ac:dyDescent="0.25">
      <c r="A343"/>
      <c r="B343" s="185" t="s">
        <v>125</v>
      </c>
      <c r="C343" s="98" t="s">
        <v>126</v>
      </c>
      <c r="D343" s="95" t="s">
        <v>199</v>
      </c>
      <c r="E343" s="97" t="s">
        <v>128</v>
      </c>
      <c r="F343" s="99" t="s">
        <v>129</v>
      </c>
      <c r="G343" s="100" t="s">
        <v>130</v>
      </c>
      <c r="H343" s="98" t="s">
        <v>131</v>
      </c>
      <c r="I343" s="98"/>
      <c r="J343" s="98"/>
    </row>
    <row r="344" spans="1:10" s="24" customFormat="1" ht="60" customHeight="1" outlineLevel="1" x14ac:dyDescent="0.25">
      <c r="A344"/>
      <c r="B344" s="185"/>
      <c r="C344" s="98"/>
      <c r="D344" s="95"/>
      <c r="E344" s="97"/>
      <c r="F344" s="99"/>
      <c r="G344" s="100"/>
      <c r="H344" s="98" t="s">
        <v>112</v>
      </c>
      <c r="I344" s="98" t="s">
        <v>110</v>
      </c>
      <c r="J344" s="98" t="s">
        <v>111</v>
      </c>
    </row>
    <row r="345" spans="1:10" ht="30" customHeight="1" outlineLevel="1" x14ac:dyDescent="0.3">
      <c r="A345"/>
      <c r="B345" s="34" t="e">
        <f>IF(ПРИЛОЖЕНИЕ!$A342=0,SUMIFS('итог '!L:L,'итог '!$B:$B,ПРИЛОЖЕНИЕ!$A341),SUMIFS('итог '!L:L,'итог '!$B:$B,ПРИЛОЖЕНИЕ!$A341,'итог '!$D:$D,ПРИЛОЖЕНИЕ!$A342))</f>
        <v>#REF!</v>
      </c>
      <c r="C345" s="35" t="e">
        <f>IF(ПРИЛОЖЕНИЕ!$A342=0,SUMIFS('итог '!M:M,'итог '!$B:$B,ПРИЛОЖЕНИЕ!$A341),SUMIFS('итог '!M:M,'итог '!$B:$B,ПРИЛОЖЕНИЕ!$A341,'итог '!$D:$D,ПРИЛОЖЕНИЕ!$A342))</f>
        <v>#REF!</v>
      </c>
      <c r="D345" s="34">
        <f>IF(ПРИЛОЖЕНИЕ!$A342=0,SUMIFS('итог '!Q:Q,'итог '!$B:$B,ПРИЛОЖЕНИЕ!$A341),SUMIFS('итог '!Q:Q,'итог '!$B:$B,ПРИЛОЖЕНИЕ!$A341,'итог '!$D:$D,ПРИЛОЖЕНИЕ!$A342))</f>
        <v>172.15</v>
      </c>
      <c r="E345" s="34">
        <f>IF(ПРИЛОЖЕНИЕ!$A342=0,SUMIFS('итог '!S:S,'итог '!$B:$B,ПРИЛОЖЕНИЕ!$A341),SUMIFS('итог '!S:S,'итог '!$B:$B,ПРИЛОЖЕНИЕ!$A341,'итог '!$D:$D,ПРИЛОЖЕНИЕ!$A342))</f>
        <v>1</v>
      </c>
      <c r="F345" s="36" t="e">
        <f>IF(ПРИЛОЖЕНИЕ!$A342=0,SUMIFS('итог '!T:T,'итог '!$B:$B,ПРИЛОЖЕНИЕ!$A341),SUMIFS('итог '!T:T,'итог '!$B:$B,ПРИЛОЖЕНИЕ!$A341,'итог '!$D:$D,ПРИЛОЖЕНИЕ!$A342))</f>
        <v>#REF!</v>
      </c>
      <c r="G345" s="35" t="e">
        <f>IF(ПРИЛОЖЕНИЕ!$A342=0,SUMIFS('итог '!V:V,'итог '!$B:$B,ПРИЛОЖЕНИЕ!$A341),SUMIFS('итог '!V:V,'итог '!$B:$B,ПРИЛОЖЕНИЕ!$A341,'итог '!$D:$D,ПРИЛОЖЕНИЕ!$A342))</f>
        <v>#REF!</v>
      </c>
      <c r="H345" s="35">
        <f>IF(ПРИЛОЖЕНИЕ!$A342=0,SUMIFS('итог '!W:W,'итог '!$B:$B,ПРИЛОЖЕНИЕ!$A341),SUMIFS('итог '!W:W,'итог '!$B:$B,ПРИЛОЖЕНИЕ!$A341,'итог '!$D:$D,ПРИЛОЖЕНИЕ!$A342))</f>
        <v>101158344</v>
      </c>
      <c r="I345" s="35">
        <f>IF(ПРИЛОЖЕНИЕ!$A342=0,SUMIFS('итог '!X:X,'итог '!$B:$B,ПРИЛОЖЕНИЕ!$A341),SUMIFS('итог '!X:X,'итог '!$B:$B,ПРИЛОЖЕНИЕ!$A341,'итог '!$D:$D,ПРИЛОЖЕНИЕ!$A342))</f>
        <v>97452072</v>
      </c>
      <c r="J345" s="35">
        <f>IF(ПРИЛОЖЕНИЕ!$A342=0,SUMIFS('итог '!Y:Y,'итог '!$B:$B,ПРИЛОЖЕНИЕ!$A341),SUMIFS('итог '!Y:Y,'итог '!$B:$B,ПРИЛОЖЕНИЕ!$A341,'итог '!$D:$D,ПРИЛОЖЕНИЕ!$A342))</f>
        <v>3706272</v>
      </c>
    </row>
    <row r="346" spans="1:10" ht="30" customHeight="1" outlineLevel="1" x14ac:dyDescent="0.3">
      <c r="A346"/>
      <c r="B346" s="105"/>
      <c r="C346" s="105"/>
      <c r="D346" s="106"/>
      <c r="E346" s="109"/>
      <c r="F346" s="104"/>
      <c r="G346" s="105"/>
      <c r="H346" s="105"/>
      <c r="I346" s="105"/>
      <c r="J346" s="108"/>
    </row>
    <row r="347" spans="1:10" ht="32.25" customHeight="1" outlineLevel="1" x14ac:dyDescent="0.3">
      <c r="A347" s="37"/>
      <c r="B347" s="40" t="s">
        <v>134</v>
      </c>
      <c r="C347" s="37"/>
      <c r="D347" s="37"/>
      <c r="E347" s="39"/>
      <c r="F347" s="38"/>
      <c r="G347" s="38"/>
      <c r="H347" s="38"/>
      <c r="I347" s="38"/>
    </row>
    <row r="348" spans="1:10" outlineLevel="1" x14ac:dyDescent="0.3">
      <c r="A348" s="37"/>
      <c r="B348" s="38" t="s">
        <v>135</v>
      </c>
      <c r="C348" s="37"/>
      <c r="D348" s="37"/>
      <c r="E348" s="39"/>
      <c r="F348" s="38"/>
      <c r="G348" s="41"/>
      <c r="H348" s="38" t="s">
        <v>136</v>
      </c>
      <c r="I348" s="38"/>
    </row>
    <row r="349" spans="1:10" x14ac:dyDescent="0.3">
      <c r="B349" s="40"/>
      <c r="C349" s="37"/>
      <c r="D349" s="37"/>
      <c r="E349" s="39"/>
      <c r="F349" s="38"/>
      <c r="G349" s="38"/>
      <c r="H349" s="38"/>
      <c r="I349" s="38"/>
    </row>
    <row r="350" spans="1:10" x14ac:dyDescent="0.3">
      <c r="B350" s="38"/>
      <c r="C350" s="37"/>
      <c r="D350" s="37"/>
      <c r="E350" s="39"/>
      <c r="I350" s="38"/>
      <c r="J350" s="85" t="s">
        <v>197</v>
      </c>
    </row>
    <row r="351" spans="1:10" ht="25.5" x14ac:dyDescent="0.3">
      <c r="A351" s="201" t="s">
        <v>132</v>
      </c>
      <c r="B351" s="201"/>
      <c r="C351" s="201"/>
      <c r="D351" s="201"/>
      <c r="E351" s="201"/>
      <c r="F351" s="201"/>
      <c r="G351" s="201"/>
      <c r="H351" s="201"/>
      <c r="I351" s="201"/>
    </row>
    <row r="352" spans="1:10" ht="25.5" x14ac:dyDescent="0.3">
      <c r="A352" s="201" t="s">
        <v>142</v>
      </c>
      <c r="B352" s="201"/>
      <c r="C352" s="201"/>
      <c r="D352" s="201"/>
      <c r="E352" s="201"/>
      <c r="F352" s="201"/>
      <c r="G352" s="201"/>
      <c r="H352" s="201"/>
      <c r="I352" s="201"/>
    </row>
    <row r="353" spans="1:10" x14ac:dyDescent="0.3">
      <c r="A353" s="202">
        <v>38</v>
      </c>
      <c r="B353" s="202"/>
      <c r="C353" s="202"/>
      <c r="D353" s="202"/>
      <c r="E353" s="202"/>
      <c r="F353" s="202"/>
      <c r="G353" s="202"/>
      <c r="H353" s="202"/>
      <c r="I353" s="202"/>
    </row>
    <row r="354" spans="1:10" s="24" customFormat="1" ht="60" customHeight="1" x14ac:dyDescent="0.25">
      <c r="A354" s="190" t="s">
        <v>200</v>
      </c>
      <c r="B354" s="185" t="s">
        <v>125</v>
      </c>
      <c r="C354" s="186" t="s">
        <v>126</v>
      </c>
      <c r="D354" s="186" t="s">
        <v>199</v>
      </c>
      <c r="E354" s="186" t="s">
        <v>128</v>
      </c>
      <c r="F354" s="186" t="s">
        <v>129</v>
      </c>
      <c r="G354" s="186" t="s">
        <v>130</v>
      </c>
      <c r="H354" s="194" t="s">
        <v>131</v>
      </c>
      <c r="I354" s="195"/>
      <c r="J354" s="196"/>
    </row>
    <row r="355" spans="1:10" s="24" customFormat="1" ht="60" customHeight="1" x14ac:dyDescent="0.25">
      <c r="A355" s="191"/>
      <c r="B355" s="185"/>
      <c r="C355" s="187"/>
      <c r="D355" s="187"/>
      <c r="E355" s="187"/>
      <c r="F355" s="187"/>
      <c r="G355" s="187"/>
      <c r="H355" s="98" t="s">
        <v>112</v>
      </c>
      <c r="I355" s="98" t="s">
        <v>110</v>
      </c>
      <c r="J355" s="98" t="s">
        <v>111</v>
      </c>
    </row>
    <row r="356" spans="1:10" ht="30" customHeight="1" x14ac:dyDescent="0.3">
      <c r="A356" s="98" t="s">
        <v>201</v>
      </c>
      <c r="B356" s="34" t="e">
        <f>IF(ПРИЛОЖЕНИЕ!$A353=0,SUMIFS('итог '!L:L,'итог '!$B:$B,ПРИЛОЖЕНИЕ!$A352),SUMIFS('итог '!L:L,'итог '!$B:$B,ПРИЛОЖЕНИЕ!$A352,'итог '!$D:$D,ПРИЛОЖЕНИЕ!$A353))</f>
        <v>#REF!</v>
      </c>
      <c r="C356" s="35" t="e">
        <f>IF(ПРИЛОЖЕНИЕ!$A353=0,SUMIFS('итог '!M:M,'итог '!$B:$B,ПРИЛОЖЕНИЕ!$A352),SUMIFS('итог '!M:M,'итог '!$B:$B,ПРИЛОЖЕНИЕ!$A352,'итог '!$D:$D,ПРИЛОЖЕНИЕ!$A353))</f>
        <v>#REF!</v>
      </c>
      <c r="D356" s="34">
        <f>IF(ПРИЛОЖЕНИЕ!$A353=0,SUMIFS('итог '!Q:Q,'итог '!$B:$B,ПРИЛОЖЕНИЕ!$A352),SUMIFS('итог '!Q:Q,'итог '!$B:$B,ПРИЛОЖЕНИЕ!$A352,'итог '!$D:$D,ПРИЛОЖЕНИЕ!$A353))</f>
        <v>144.28</v>
      </c>
      <c r="E356" s="34">
        <f>IF(ПРИЛОЖЕНИЕ!$A353=0,SUMIFS('итог '!S:S,'итог '!$B:$B,ПРИЛОЖЕНИЕ!$A352),SUMIFS('итог '!S:S,'итог '!$B:$B,ПРИЛОЖЕНИЕ!$A352,'итог '!$D:$D,ПРИЛОЖЕНИЕ!$A353))</f>
        <v>1.07</v>
      </c>
      <c r="F356" s="36" t="e">
        <f>IF(ПРИЛОЖЕНИЕ!$A353=0,SUMIFS('итог '!T:T,'итог '!$B:$B,ПРИЛОЖЕНИЕ!$A352),SUMIFS('итог '!T:T,'итог '!$B:$B,ПРИЛОЖЕНИЕ!$A352,'итог '!$D:$D,ПРИЛОЖЕНИЕ!$A353))</f>
        <v>#REF!</v>
      </c>
      <c r="G356" s="35" t="e">
        <f>IF(ПРИЛОЖЕНИЕ!$A353=0,SUMIFS('итог '!V:V,'итог '!$B:$B,ПРИЛОЖЕНИЕ!$A352),SUMIFS('итог '!V:V,'итог '!$B:$B,ПРИЛОЖЕНИЕ!$A352,'итог '!$D:$D,ПРИЛОЖЕНИЕ!$A353))</f>
        <v>#REF!</v>
      </c>
      <c r="H356" s="35">
        <f>IF(ПРИЛОЖЕНИЕ!$A353=0,SUMIFS('итог '!W:W,'итог '!$B:$B,ПРИЛОЖЕНИЕ!$A352),SUMIFS('итог '!W:W,'итог '!$B:$B,ПРИЛОЖЕНИЕ!$A352,'итог '!$D:$D,ПРИЛОЖЕНИЕ!$A353))</f>
        <v>91276000</v>
      </c>
      <c r="I356" s="35">
        <f>IF(ПРИЛОЖЕНИЕ!$A353=0,SUMIFS('итог '!X:X,'итог '!$B:$B,ПРИЛОЖЕНИЕ!$A352),SUMIFS('итог '!X:X,'итог '!$B:$B,ПРИЛОЖЕНИЕ!$A352,'итог '!$D:$D,ПРИЛОЖЕНИЕ!$A353))</f>
        <v>87404791</v>
      </c>
      <c r="J356" s="35">
        <f>IF(ПРИЛОЖЕНИЕ!$A353=0,SUMIFS('итог '!Y:Y,'итог '!$B:$B,ПРИЛОЖЕНИЕ!$A352),SUMIFS('итог '!Y:Y,'итог '!$B:$B,ПРИЛОЖЕНИЕ!$A352,'итог '!$D:$D,ПРИЛОЖЕНИЕ!$A353))</f>
        <v>3871209</v>
      </c>
    </row>
    <row r="357" spans="1:10" ht="30" customHeight="1" x14ac:dyDescent="0.3">
      <c r="A357" s="98" t="s">
        <v>202</v>
      </c>
      <c r="B357" s="105" t="e">
        <f>B356</f>
        <v>#REF!</v>
      </c>
      <c r="C357" s="105" t="e">
        <f>C356</f>
        <v>#REF!</v>
      </c>
      <c r="D357" s="106">
        <v>131.49</v>
      </c>
      <c r="E357" s="107">
        <f>D357/135</f>
        <v>0.97400000000000009</v>
      </c>
      <c r="F357" s="104" t="e">
        <f>IF(ПРИЛОЖЕНИЕ!$A353=0,SUMIFS('итог '!U:U,'итог '!$B:$B,ПРИЛОЖЕНИЕ!$A352),SUMIFS('итог '!U:U,'итог '!$B:$B,ПРИЛОЖЕНИЕ!$A352,'итог '!$D:$D,ПРИЛОЖЕНИЕ!$A353))</f>
        <v>#REF!</v>
      </c>
      <c r="G357" s="105" t="e">
        <f>G356*(H357/H356)</f>
        <v>#REF!</v>
      </c>
      <c r="H357" s="105">
        <f>83346.8*1000</f>
        <v>83346800</v>
      </c>
      <c r="I357" s="105">
        <f>I356</f>
        <v>87404791</v>
      </c>
      <c r="J357" s="108">
        <f>H357-I357</f>
        <v>-4057991</v>
      </c>
    </row>
    <row r="358" spans="1:10" ht="29.25" customHeight="1" x14ac:dyDescent="0.3">
      <c r="A358" s="40" t="s">
        <v>203</v>
      </c>
      <c r="B358" s="40"/>
      <c r="C358" s="37"/>
      <c r="D358" s="37"/>
      <c r="E358" s="39"/>
      <c r="F358" s="38"/>
      <c r="G358" s="38"/>
      <c r="H358" s="38"/>
      <c r="I358" s="38"/>
    </row>
    <row r="359" spans="1:10" ht="36.75" customHeight="1" x14ac:dyDescent="0.3">
      <c r="A359" s="38" t="s">
        <v>135</v>
      </c>
      <c r="C359" s="37"/>
      <c r="D359" s="37"/>
      <c r="E359" s="39"/>
      <c r="F359" s="38"/>
      <c r="G359" s="41"/>
      <c r="H359" s="38" t="s">
        <v>136</v>
      </c>
      <c r="I359" s="38"/>
    </row>
    <row r="361" spans="1:10" outlineLevel="1" x14ac:dyDescent="0.3">
      <c r="I361" s="45" t="str">
        <f>IF(I367&lt;0,"Приложение №1","")</f>
        <v/>
      </c>
    </row>
    <row r="362" spans="1:10" ht="30" customHeight="1" outlineLevel="1" x14ac:dyDescent="0.3">
      <c r="A362" s="201" t="s">
        <v>132</v>
      </c>
      <c r="B362" s="201"/>
      <c r="C362" s="201"/>
      <c r="D362" s="201"/>
      <c r="E362" s="201"/>
      <c r="F362" s="201"/>
      <c r="G362" s="201"/>
      <c r="H362" s="201"/>
      <c r="I362" s="201"/>
    </row>
    <row r="363" spans="1:10" ht="30" customHeight="1" outlineLevel="1" x14ac:dyDescent="0.3">
      <c r="A363" s="201" t="s">
        <v>143</v>
      </c>
      <c r="B363" s="201"/>
      <c r="C363" s="201"/>
      <c r="D363" s="201"/>
      <c r="E363" s="201"/>
      <c r="F363" s="201"/>
      <c r="G363" s="201"/>
      <c r="H363" s="201"/>
      <c r="I363" s="201"/>
    </row>
    <row r="364" spans="1:10" outlineLevel="1" x14ac:dyDescent="0.3">
      <c r="A364" s="202"/>
      <c r="B364" s="202"/>
      <c r="C364" s="202"/>
      <c r="D364" s="202"/>
      <c r="E364" s="202"/>
      <c r="F364" s="202"/>
      <c r="G364" s="202"/>
      <c r="H364" s="202"/>
      <c r="I364" s="202"/>
    </row>
    <row r="365" spans="1:10" s="24" customFormat="1" ht="60" customHeight="1" outlineLevel="1" x14ac:dyDescent="0.25">
      <c r="A365" s="185" t="s">
        <v>125</v>
      </c>
      <c r="B365" s="200" t="s">
        <v>126</v>
      </c>
      <c r="C365" s="203" t="s">
        <v>199</v>
      </c>
      <c r="D365" s="185" t="s">
        <v>128</v>
      </c>
      <c r="E365" s="213" t="s">
        <v>129</v>
      </c>
      <c r="F365" s="214" t="s">
        <v>130</v>
      </c>
      <c r="G365" s="200" t="s">
        <v>131</v>
      </c>
      <c r="H365" s="200"/>
      <c r="I365" s="200"/>
    </row>
    <row r="366" spans="1:10" s="24" customFormat="1" ht="60" customHeight="1" outlineLevel="1" x14ac:dyDescent="0.25">
      <c r="A366" s="185"/>
      <c r="B366" s="200"/>
      <c r="C366" s="203"/>
      <c r="D366" s="185"/>
      <c r="E366" s="213"/>
      <c r="F366" s="214"/>
      <c r="G366" s="86" t="s">
        <v>112</v>
      </c>
      <c r="H366" s="86" t="s">
        <v>110</v>
      </c>
      <c r="I366" s="86" t="s">
        <v>111</v>
      </c>
    </row>
    <row r="367" spans="1:10" ht="24" customHeight="1" outlineLevel="1" x14ac:dyDescent="0.3">
      <c r="A367" s="34" t="e">
        <f>IF(ПРИЛОЖЕНИЕ!$A364=0,SUMIFS('итог '!L:L,'итог '!$B:$B,ПРИЛОЖЕНИЕ!$A363),SUMIFS('итог '!L:L,'итог '!$B:$B,ПРИЛОЖЕНИЕ!$A363,'итог '!$D:$D,ПРИЛОЖЕНИЕ!$A364))</f>
        <v>#REF!</v>
      </c>
      <c r="B367" s="35" t="e">
        <f>IF(ПРИЛОЖЕНИЕ!$A364=0,SUMIFS('итог '!M:M,'итог '!$B:$B,ПРИЛОЖЕНИЕ!$A363),SUMIFS('итог '!M:M,'итог '!$B:$B,ПРИЛОЖЕНИЕ!$A363,'итог '!$D:$D,ПРИЛОЖЕНИЕ!$A364))</f>
        <v>#REF!</v>
      </c>
      <c r="C367" s="34">
        <f>IF(ПРИЛОЖЕНИЕ!$A364=0,SUMIFS('итог '!Q:Q,'итог '!$B:$B,ПРИЛОЖЕНИЕ!$A363),SUMIFS('итог '!Q:Q,'итог '!$B:$B,ПРИЛОЖЕНИЕ!$A363,'итог '!$D:$D,ПРИЛОЖЕНИЕ!$A364))</f>
        <v>146.11000000000001</v>
      </c>
      <c r="D367" s="34">
        <f>IF(ПРИЛОЖЕНИЕ!$A364=0,SUMIFS('итог '!S:S,'итог '!$B:$B,ПРИЛОЖЕНИЕ!$A363),SUMIFS('итог '!S:S,'итог '!$B:$B,ПРИЛОЖЕНИЕ!$A363,'итог '!$D:$D,ПРИЛОЖЕНИЕ!$A364))</f>
        <v>1</v>
      </c>
      <c r="E367" s="36" t="e">
        <f>IF(ПРИЛОЖЕНИЕ!$A364=0,SUMIFS('итог '!T:T,'итог '!$B:$B,ПРИЛОЖЕНИЕ!$A363),SUMIFS('итог '!T:T,'итог '!$B:$B,ПРИЛОЖЕНИЕ!$A363,'итог '!$D:$D,ПРИЛОЖЕНИЕ!$A364))</f>
        <v>#REF!</v>
      </c>
      <c r="F367" s="35" t="e">
        <f>IF(ПРИЛОЖЕНИЕ!$A364=0,SUMIFS('итог '!V:V,'итог '!$B:$B,ПРИЛОЖЕНИЕ!$A363),SUMIFS('итог '!V:V,'итог '!$B:$B,ПРИЛОЖЕНИЕ!$A363,'итог '!$D:$D,ПРИЛОЖЕНИЕ!$A364))</f>
        <v>#REF!</v>
      </c>
      <c r="G367" s="35">
        <f>IF(ПРИЛОЖЕНИЕ!$A364=0,SUMIFS('итог '!W:W,'итог '!$B:$B,ПРИЛОЖЕНИЕ!$A363),SUMIFS('итог '!W:W,'итог '!$B:$B,ПРИЛОЖЕНИЕ!$A363,'итог '!$D:$D,ПРИЛОЖЕНИЕ!$A364))</f>
        <v>80212924</v>
      </c>
      <c r="H367" s="35">
        <f>IF(ПРИЛОЖЕНИЕ!$A364=0,SUMIFS('итог '!X:X,'итог '!$B:$B,ПРИЛОЖЕНИЕ!$A363),SUMIFS('итог '!X:X,'итог '!$B:$B,ПРИЛОЖЕНИЕ!$A363,'итог '!$D:$D,ПРИЛОЖЕНИЕ!$A364))</f>
        <v>79734007</v>
      </c>
      <c r="I367" s="35">
        <f>IF(ПРИЛОЖЕНИЕ!$A364=0,SUMIFS('итог '!Y:Y,'итог '!$B:$B,ПРИЛОЖЕНИЕ!$A363),SUMIFS('итог '!Y:Y,'итог '!$B:$B,ПРИЛОЖЕНИЕ!$A363,'итог '!$D:$D,ПРИЛОЖЕНИЕ!$A364))</f>
        <v>478917</v>
      </c>
    </row>
    <row r="368" spans="1:10" outlineLevel="1" x14ac:dyDescent="0.3">
      <c r="A368" s="37"/>
      <c r="B368" s="38"/>
      <c r="C368" s="37"/>
      <c r="D368" s="37"/>
      <c r="E368" s="39"/>
      <c r="F368" s="38"/>
      <c r="G368" s="38"/>
      <c r="H368" s="38"/>
      <c r="I368" s="38"/>
    </row>
    <row r="369" spans="1:9" outlineLevel="1" x14ac:dyDescent="0.3">
      <c r="A369" s="37"/>
      <c r="B369" s="40" t="s">
        <v>134</v>
      </c>
      <c r="C369" s="37"/>
      <c r="D369" s="37"/>
      <c r="E369" s="39"/>
      <c r="F369" s="38"/>
      <c r="G369" s="38"/>
      <c r="H369" s="38"/>
      <c r="I369" s="38"/>
    </row>
    <row r="370" spans="1:9" ht="15" customHeight="1" outlineLevel="1" x14ac:dyDescent="0.3">
      <c r="A370" s="37"/>
      <c r="B370" s="38" t="s">
        <v>135</v>
      </c>
      <c r="C370" s="37"/>
      <c r="D370" s="37"/>
      <c r="E370" s="39"/>
      <c r="F370" s="38"/>
      <c r="G370" s="41"/>
      <c r="H370" s="38" t="s">
        <v>136</v>
      </c>
      <c r="I370" s="38"/>
    </row>
    <row r="371" spans="1:9" outlineLevel="1" x14ac:dyDescent="0.3"/>
    <row r="372" spans="1:9" outlineLevel="1" x14ac:dyDescent="0.3">
      <c r="I372" s="45" t="str">
        <f>IF(I378&lt;0,"Приложение №1","")</f>
        <v/>
      </c>
    </row>
    <row r="373" spans="1:9" ht="25.5" outlineLevel="1" x14ac:dyDescent="0.3">
      <c r="A373" s="201" t="s">
        <v>132</v>
      </c>
      <c r="B373" s="201"/>
      <c r="C373" s="201"/>
      <c r="D373" s="201"/>
      <c r="E373" s="201"/>
      <c r="F373" s="201"/>
      <c r="G373" s="201"/>
      <c r="H373" s="201"/>
      <c r="I373" s="201"/>
    </row>
    <row r="374" spans="1:9" ht="25.5" outlineLevel="1" x14ac:dyDescent="0.3">
      <c r="A374" s="201" t="s">
        <v>144</v>
      </c>
      <c r="B374" s="201"/>
      <c r="C374" s="201"/>
      <c r="D374" s="201"/>
      <c r="E374" s="201"/>
      <c r="F374" s="201"/>
      <c r="G374" s="201"/>
      <c r="H374" s="201"/>
      <c r="I374" s="201"/>
    </row>
    <row r="375" spans="1:9" outlineLevel="1" x14ac:dyDescent="0.3">
      <c r="A375" s="202">
        <v>11</v>
      </c>
      <c r="B375" s="202"/>
      <c r="C375" s="202"/>
      <c r="D375" s="202"/>
      <c r="E375" s="202"/>
      <c r="F375" s="202"/>
      <c r="G375" s="202"/>
      <c r="H375" s="202"/>
      <c r="I375" s="202"/>
    </row>
    <row r="376" spans="1:9" s="24" customFormat="1" ht="60" customHeight="1" outlineLevel="1" x14ac:dyDescent="0.25">
      <c r="A376" s="185" t="s">
        <v>125</v>
      </c>
      <c r="B376" s="200" t="s">
        <v>126</v>
      </c>
      <c r="C376" s="203" t="s">
        <v>199</v>
      </c>
      <c r="D376" s="185" t="s">
        <v>128</v>
      </c>
      <c r="E376" s="213" t="s">
        <v>129</v>
      </c>
      <c r="F376" s="214" t="s">
        <v>130</v>
      </c>
      <c r="G376" s="200" t="s">
        <v>131</v>
      </c>
      <c r="H376" s="200"/>
      <c r="I376" s="200"/>
    </row>
    <row r="377" spans="1:9" s="24" customFormat="1" ht="60" customHeight="1" outlineLevel="1" x14ac:dyDescent="0.25">
      <c r="A377" s="185"/>
      <c r="B377" s="200"/>
      <c r="C377" s="203"/>
      <c r="D377" s="185"/>
      <c r="E377" s="213"/>
      <c r="F377" s="214"/>
      <c r="G377" s="86" t="s">
        <v>112</v>
      </c>
      <c r="H377" s="86" t="s">
        <v>110</v>
      </c>
      <c r="I377" s="86" t="s">
        <v>111</v>
      </c>
    </row>
    <row r="378" spans="1:9" ht="24" customHeight="1" outlineLevel="1" x14ac:dyDescent="0.3">
      <c r="A378" s="34" t="e">
        <f>IF(ПРИЛОЖЕНИЕ!$A375=0,SUMIFS('итог '!L:L,'итог '!$B:$B,ПРИЛОЖЕНИЕ!$A374),SUMIFS('итог '!L:L,'итог '!$B:$B,ПРИЛОЖЕНИЕ!$A374,'итог '!$D:$D,ПРИЛОЖЕНИЕ!$A375))</f>
        <v>#REF!</v>
      </c>
      <c r="B378" s="35" t="e">
        <f>IF(ПРИЛОЖЕНИЕ!$A375=0,SUMIFS('итог '!M:M,'итог '!$B:$B,ПРИЛОЖЕНИЕ!$A374),SUMIFS('итог '!M:M,'итог '!$B:$B,ПРИЛОЖЕНИЕ!$A374,'итог '!$D:$D,ПРИЛОЖЕНИЕ!$A375))</f>
        <v>#REF!</v>
      </c>
      <c r="C378" s="34">
        <f>IF(ПРИЛОЖЕНИЕ!$A375=0,SUMIFS('итог '!Q:Q,'итог '!$B:$B,ПРИЛОЖЕНИЕ!$A374),SUMIFS('итог '!Q:Q,'итог '!$B:$B,ПРИЛОЖЕНИЕ!$A374,'итог '!$D:$D,ПРИЛОЖЕНИЕ!$A375))</f>
        <v>230.05000000000004</v>
      </c>
      <c r="D378" s="34">
        <f>IF(ПРИЛОЖЕНИЕ!$A375=0,SUMIFS('итог '!S:S,'итог '!$B:$B,ПРИЛОЖЕНИЕ!$A374),SUMIFS('итог '!S:S,'итог '!$B:$B,ПРИЛОЖЕНИЕ!$A374,'итог '!$D:$D,ПРИЛОЖЕНИЕ!$A375))</f>
        <v>1.07</v>
      </c>
      <c r="E378" s="36" t="e">
        <f>IF(ПРИЛОЖЕНИЕ!$A375=0,SUMIFS('итог '!T:T,'итог '!$B:$B,ПРИЛОЖЕНИЕ!$A374),SUMIFS('итог '!T:T,'итог '!$B:$B,ПРИЛОЖЕНИЕ!$A374,'итог '!$D:$D,ПРИЛОЖЕНИЕ!$A375))</f>
        <v>#REF!</v>
      </c>
      <c r="F378" s="35" t="e">
        <f>IF(ПРИЛОЖЕНИЕ!$A375=0,SUMIFS('итог '!V:V,'итог '!$B:$B,ПРИЛОЖЕНИЕ!$A374),SUMIFS('итог '!V:V,'итог '!$B:$B,ПРИЛОЖЕНИЕ!$A374,'итог '!$D:$D,ПРИЛОЖЕНИЕ!$A375))</f>
        <v>#REF!</v>
      </c>
      <c r="G378" s="35">
        <f>IF(ПРИЛОЖЕНИЕ!$A375=0,SUMIFS('итог '!W:W,'итог '!$B:$B,ПРИЛОЖЕНИЕ!$A374),SUMIFS('итог '!W:W,'итог '!$B:$B,ПРИЛОЖЕНИЕ!$A374,'итог '!$D:$D,ПРИЛОЖЕНИЕ!$A375))</f>
        <v>131314000</v>
      </c>
      <c r="H378" s="35">
        <f>IF(ПРИЛОЖЕНИЕ!$A375=0,SUMIFS('итог '!X:X,'итог '!$B:$B,ПРИЛОЖЕНИЕ!$A374),SUMIFS('итог '!X:X,'итог '!$B:$B,ПРИЛОЖЕНИЕ!$A374,'итог '!$D:$D,ПРИЛОЖЕНИЕ!$A375))</f>
        <v>131172761</v>
      </c>
      <c r="I378" s="35">
        <f>IF(ПРИЛОЖЕНИЕ!$A375=0,SUMIFS('итог '!Y:Y,'итог '!$B:$B,ПРИЛОЖЕНИЕ!$A374),SUMIFS('итог '!Y:Y,'итог '!$B:$B,ПРИЛОЖЕНИЕ!$A374,'итог '!$D:$D,ПРИЛОЖЕНИЕ!$A375))</f>
        <v>141239</v>
      </c>
    </row>
    <row r="379" spans="1:9" outlineLevel="1" x14ac:dyDescent="0.3">
      <c r="A379" s="37"/>
      <c r="B379" s="38"/>
      <c r="C379" s="37"/>
      <c r="D379" s="37"/>
      <c r="E379" s="39"/>
      <c r="F379" s="38"/>
      <c r="G379" s="38"/>
      <c r="H379" s="38"/>
      <c r="I379" s="38"/>
    </row>
    <row r="380" spans="1:9" outlineLevel="1" x14ac:dyDescent="0.3">
      <c r="A380" s="37"/>
      <c r="B380" s="40" t="s">
        <v>134</v>
      </c>
      <c r="C380" s="37"/>
      <c r="D380" s="37"/>
      <c r="E380" s="39"/>
      <c r="F380" s="38"/>
      <c r="G380" s="38"/>
      <c r="H380" s="38"/>
      <c r="I380" s="38"/>
    </row>
    <row r="381" spans="1:9" outlineLevel="1" x14ac:dyDescent="0.3">
      <c r="A381" s="37"/>
      <c r="B381" s="38" t="s">
        <v>135</v>
      </c>
      <c r="C381" s="37"/>
      <c r="D381" s="37"/>
      <c r="E381" s="39"/>
      <c r="F381" s="38"/>
      <c r="G381" s="41"/>
      <c r="H381" s="38" t="s">
        <v>136</v>
      </c>
      <c r="I381" s="38"/>
    </row>
    <row r="382" spans="1:9" outlineLevel="1" x14ac:dyDescent="0.3"/>
    <row r="383" spans="1:9" outlineLevel="1" x14ac:dyDescent="0.3">
      <c r="I383" s="45" t="str">
        <f>IF(I389&lt;0,"Приложение №1","")</f>
        <v/>
      </c>
    </row>
    <row r="384" spans="1:9" ht="25.5" outlineLevel="1" x14ac:dyDescent="0.3">
      <c r="A384" s="201" t="s">
        <v>132</v>
      </c>
      <c r="B384" s="201"/>
      <c r="C384" s="201"/>
      <c r="D384" s="201"/>
      <c r="E384" s="201"/>
      <c r="F384" s="201"/>
      <c r="G384" s="201"/>
      <c r="H384" s="201"/>
      <c r="I384" s="201"/>
    </row>
    <row r="385" spans="1:9" ht="25.5" outlineLevel="1" x14ac:dyDescent="0.3">
      <c r="A385" s="201" t="s">
        <v>144</v>
      </c>
      <c r="B385" s="201"/>
      <c r="C385" s="201"/>
      <c r="D385" s="201"/>
      <c r="E385" s="201"/>
      <c r="F385" s="201"/>
      <c r="G385" s="201"/>
      <c r="H385" s="201"/>
      <c r="I385" s="201"/>
    </row>
    <row r="386" spans="1:9" outlineLevel="1" x14ac:dyDescent="0.3">
      <c r="A386" s="202">
        <v>116</v>
      </c>
      <c r="B386" s="202"/>
      <c r="C386" s="202"/>
      <c r="D386" s="202"/>
      <c r="E386" s="202"/>
      <c r="F386" s="202"/>
      <c r="G386" s="202"/>
      <c r="H386" s="202"/>
      <c r="I386" s="202"/>
    </row>
    <row r="387" spans="1:9" s="24" customFormat="1" ht="60" customHeight="1" outlineLevel="1" x14ac:dyDescent="0.25">
      <c r="A387" s="185" t="s">
        <v>125</v>
      </c>
      <c r="B387" s="200" t="s">
        <v>126</v>
      </c>
      <c r="C387" s="203" t="s">
        <v>199</v>
      </c>
      <c r="D387" s="185" t="s">
        <v>128</v>
      </c>
      <c r="E387" s="213" t="s">
        <v>129</v>
      </c>
      <c r="F387" s="214" t="s">
        <v>130</v>
      </c>
      <c r="G387" s="200" t="s">
        <v>131</v>
      </c>
      <c r="H387" s="200"/>
      <c r="I387" s="200"/>
    </row>
    <row r="388" spans="1:9" s="24" customFormat="1" ht="60" customHeight="1" outlineLevel="1" x14ac:dyDescent="0.25">
      <c r="A388" s="185"/>
      <c r="B388" s="200"/>
      <c r="C388" s="203"/>
      <c r="D388" s="185"/>
      <c r="E388" s="213"/>
      <c r="F388" s="214"/>
      <c r="G388" s="86" t="s">
        <v>112</v>
      </c>
      <c r="H388" s="86" t="s">
        <v>110</v>
      </c>
      <c r="I388" s="86" t="s">
        <v>111</v>
      </c>
    </row>
    <row r="389" spans="1:9" ht="24" customHeight="1" outlineLevel="1" x14ac:dyDescent="0.3">
      <c r="A389" s="34" t="e">
        <f>IF(ПРИЛОЖЕНИЕ!$A386=0,SUMIFS('итог '!L:L,'итог '!$B:$B,ПРИЛОЖЕНИЕ!$A385),SUMIFS('итог '!L:L,'итог '!$B:$B,ПРИЛОЖЕНИЕ!$A385,'итог '!$D:$D,ПРИЛОЖЕНИЕ!$A386))</f>
        <v>#REF!</v>
      </c>
      <c r="B389" s="35" t="e">
        <f>IF(ПРИЛОЖЕНИЕ!$A386=0,SUMIFS('итог '!M:M,'итог '!$B:$B,ПРИЛОЖЕНИЕ!$A385),SUMIFS('итог '!M:M,'итог '!$B:$B,ПРИЛОЖЕНИЕ!$A385,'итог '!$D:$D,ПРИЛОЖЕНИЕ!$A386))</f>
        <v>#REF!</v>
      </c>
      <c r="C389" s="34">
        <f>IF(ПРИЛОЖЕНИЕ!$A386=0,SUMIFS('итог '!Q:Q,'итог '!$B:$B,ПРИЛОЖЕНИЕ!$A385),SUMIFS('итог '!Q:Q,'итог '!$B:$B,ПРИЛОЖЕНИЕ!$A385,'итог '!$D:$D,ПРИЛОЖЕНИЕ!$A386))</f>
        <v>31.600000000000005</v>
      </c>
      <c r="D389" s="34">
        <f>IF(ПРИЛОЖЕНИЕ!$A386=0,SUMIFS('итог '!S:S,'итог '!$B:$B,ПРИЛОЖЕНИЕ!$A385),SUMIFS('итог '!S:S,'итог '!$B:$B,ПРИЛОЖЕНИЕ!$A385,'итог '!$D:$D,ПРИЛОЖЕНИЕ!$A386))</f>
        <v>1.07</v>
      </c>
      <c r="E389" s="36" t="e">
        <f>IF(ПРИЛОЖЕНИЕ!$A386=0,SUMIFS('итог '!T:T,'итог '!$B:$B,ПРИЛОЖЕНИЕ!$A385),SUMIFS('итог '!T:T,'итог '!$B:$B,ПРИЛОЖЕНИЕ!$A385,'итог '!$D:$D,ПРИЛОЖЕНИЕ!$A386))</f>
        <v>#REF!</v>
      </c>
      <c r="F389" s="35" t="e">
        <f>IF(ПРИЛОЖЕНИЕ!$A386=0,SUMIFS('итог '!V:V,'итог '!$B:$B,ПРИЛОЖЕНИЕ!$A385),SUMIFS('итог '!V:V,'итог '!$B:$B,ПРИЛОЖЕНИЕ!$A385,'итог '!$D:$D,ПРИЛОЖЕНИЕ!$A386))</f>
        <v>#REF!</v>
      </c>
      <c r="G389" s="35">
        <f>IF(ПРИЛОЖЕНИЕ!$A386=0,SUMIFS('итог '!W:W,'итог '!$B:$B,ПРИЛОЖЕНИЕ!$A385),SUMIFS('итог '!W:W,'итог '!$B:$B,ПРИЛОЖЕНИЕ!$A385,'итог '!$D:$D,ПРИЛОЖЕНИЕ!$A386))</f>
        <v>21767760</v>
      </c>
      <c r="H389" s="35">
        <f>IF(ПРИЛОЖЕНИЕ!$A386=0,SUMIFS('итог '!X:X,'итог '!$B:$B,ПРИЛОЖЕНИЕ!$A385),SUMIFS('итог '!X:X,'итог '!$B:$B,ПРИЛОЖЕНИЕ!$A385,'итог '!$D:$D,ПРИЛОЖЕНИЕ!$A386))</f>
        <v>20382052</v>
      </c>
      <c r="I389" s="35">
        <f>IF(ПРИЛОЖЕНИЕ!$A386=0,SUMIFS('итог '!Y:Y,'итог '!$B:$B,ПРИЛОЖЕНИЕ!$A385),SUMIFS('итог '!Y:Y,'итог '!$B:$B,ПРИЛОЖЕНИЕ!$A385,'итог '!$D:$D,ПРИЛОЖЕНИЕ!$A386))</f>
        <v>1385708</v>
      </c>
    </row>
    <row r="390" spans="1:9" outlineLevel="1" x14ac:dyDescent="0.3">
      <c r="A390" s="37"/>
      <c r="B390" s="38"/>
      <c r="C390" s="37"/>
      <c r="D390" s="37"/>
      <c r="E390" s="39"/>
      <c r="F390" s="38"/>
      <c r="G390" s="38"/>
      <c r="H390" s="38"/>
      <c r="I390" s="38"/>
    </row>
    <row r="391" spans="1:9" outlineLevel="1" x14ac:dyDescent="0.3">
      <c r="A391" s="37"/>
      <c r="B391" s="40" t="s">
        <v>134</v>
      </c>
      <c r="C391" s="37"/>
      <c r="D391" s="37"/>
      <c r="E391" s="39"/>
      <c r="F391" s="38"/>
      <c r="G391" s="38"/>
      <c r="H391" s="38"/>
      <c r="I391" s="38"/>
    </row>
    <row r="392" spans="1:9" outlineLevel="1" x14ac:dyDescent="0.3">
      <c r="A392" s="37"/>
      <c r="B392" s="38" t="s">
        <v>135</v>
      </c>
      <c r="C392" s="37"/>
      <c r="D392" s="37"/>
      <c r="E392" s="39"/>
      <c r="F392" s="38"/>
      <c r="G392" s="41"/>
      <c r="H392" s="38" t="s">
        <v>136</v>
      </c>
      <c r="I392" s="38"/>
    </row>
    <row r="393" spans="1:9" outlineLevel="1" x14ac:dyDescent="0.3"/>
    <row r="394" spans="1:9" outlineLevel="1" x14ac:dyDescent="0.3">
      <c r="I394" s="45" t="str">
        <f>IF(I400&lt;0,"Приложение №1","")</f>
        <v/>
      </c>
    </row>
    <row r="395" spans="1:9" ht="25.5" outlineLevel="1" x14ac:dyDescent="0.3">
      <c r="A395" s="201" t="s">
        <v>132</v>
      </c>
      <c r="B395" s="201"/>
      <c r="C395" s="201"/>
      <c r="D395" s="201"/>
      <c r="E395" s="201"/>
      <c r="F395" s="201"/>
      <c r="G395" s="201"/>
      <c r="H395" s="201"/>
      <c r="I395" s="201"/>
    </row>
    <row r="396" spans="1:9" ht="25.5" outlineLevel="1" x14ac:dyDescent="0.3">
      <c r="A396" s="201" t="s">
        <v>144</v>
      </c>
      <c r="B396" s="201"/>
      <c r="C396" s="201"/>
      <c r="D396" s="201"/>
      <c r="E396" s="201"/>
      <c r="F396" s="201"/>
      <c r="G396" s="201"/>
      <c r="H396" s="201"/>
      <c r="I396" s="201"/>
    </row>
    <row r="397" spans="1:9" outlineLevel="1" x14ac:dyDescent="0.3">
      <c r="A397" s="202">
        <v>865</v>
      </c>
      <c r="B397" s="202"/>
      <c r="C397" s="202"/>
      <c r="D397" s="202"/>
      <c r="E397" s="202"/>
      <c r="F397" s="202"/>
      <c r="G397" s="202"/>
      <c r="H397" s="202"/>
      <c r="I397" s="202"/>
    </row>
    <row r="398" spans="1:9" s="24" customFormat="1" ht="60" customHeight="1" outlineLevel="1" x14ac:dyDescent="0.25">
      <c r="A398" s="185" t="s">
        <v>125</v>
      </c>
      <c r="B398" s="200" t="s">
        <v>126</v>
      </c>
      <c r="C398" s="203" t="s">
        <v>199</v>
      </c>
      <c r="D398" s="185" t="s">
        <v>128</v>
      </c>
      <c r="E398" s="213" t="s">
        <v>129</v>
      </c>
      <c r="F398" s="214" t="s">
        <v>130</v>
      </c>
      <c r="G398" s="200" t="s">
        <v>131</v>
      </c>
      <c r="H398" s="200"/>
      <c r="I398" s="200"/>
    </row>
    <row r="399" spans="1:9" s="24" customFormat="1" ht="60" customHeight="1" outlineLevel="1" x14ac:dyDescent="0.25">
      <c r="A399" s="185"/>
      <c r="B399" s="200"/>
      <c r="C399" s="203"/>
      <c r="D399" s="185"/>
      <c r="E399" s="213"/>
      <c r="F399" s="214"/>
      <c r="G399" s="86" t="s">
        <v>112</v>
      </c>
      <c r="H399" s="86" t="s">
        <v>110</v>
      </c>
      <c r="I399" s="86" t="s">
        <v>111</v>
      </c>
    </row>
    <row r="400" spans="1:9" ht="24" customHeight="1" outlineLevel="1" x14ac:dyDescent="0.3">
      <c r="A400" s="34" t="e">
        <f>IF(ПРИЛОЖЕНИЕ!$A397=0,SUMIFS('итог '!L:L,'итог '!$B:$B,ПРИЛОЖЕНИЕ!$A396),SUMIFS('итог '!L:L,'итог '!$B:$B,ПРИЛОЖЕНИЕ!$A396,'итог '!$D:$D,ПРИЛОЖЕНИЕ!$A397))</f>
        <v>#REF!</v>
      </c>
      <c r="B400" s="35" t="e">
        <f>IF(ПРИЛОЖЕНИЕ!$A397=0,SUMIFS('итог '!M:M,'итог '!$B:$B,ПРИЛОЖЕНИЕ!$A396),SUMIFS('итог '!M:M,'итог '!$B:$B,ПРИЛОЖЕНИЕ!$A396,'итог '!$D:$D,ПРИЛОЖЕНИЕ!$A397))</f>
        <v>#REF!</v>
      </c>
      <c r="C400" s="34">
        <f>IF(ПРИЛОЖЕНИЕ!$A397=0,SUMIFS('итог '!Q:Q,'итог '!$B:$B,ПРИЛОЖЕНИЕ!$A396),SUMIFS('итог '!Q:Q,'итог '!$B:$B,ПРИЛОЖЕНИЕ!$A396,'итог '!$D:$D,ПРИЛОЖЕНИЕ!$A397))</f>
        <v>3.0700000000000003</v>
      </c>
      <c r="D400" s="34">
        <f>IF(ПРИЛОЖЕНИЕ!$A397=0,SUMIFS('итог '!S:S,'итог '!$B:$B,ПРИЛОЖЕНИЕ!$A396),SUMIFS('итог '!S:S,'итог '!$B:$B,ПРИЛОЖЕНИЕ!$A396,'итог '!$D:$D,ПРИЛОЖЕНИЕ!$A397))</f>
        <v>1.07</v>
      </c>
      <c r="E400" s="36" t="e">
        <f>IF(ПРИЛОЖЕНИЕ!$A397=0,SUMIFS('итог '!T:T,'итог '!$B:$B,ПРИЛОЖЕНИЕ!$A396),SUMIFS('итог '!T:T,'итог '!$B:$B,ПРИЛОЖЕНИЕ!$A396,'итог '!$D:$D,ПРИЛОЖЕНИЕ!$A397))</f>
        <v>#REF!</v>
      </c>
      <c r="F400" s="35" t="e">
        <f>IF(ПРИЛОЖЕНИЕ!$A397=0,SUMIFS('итог '!V:V,'итог '!$B:$B,ПРИЛОЖЕНИЕ!$A396),SUMIFS('итог '!V:V,'итог '!$B:$B,ПРИЛОЖЕНИЕ!$A396,'итог '!$D:$D,ПРИЛОЖЕНИЕ!$A397))</f>
        <v>#REF!</v>
      </c>
      <c r="G400" s="35">
        <f>IF(ПРИЛОЖЕНИЕ!$A397=0,SUMIFS('итог '!W:W,'итог '!$B:$B,ПРИЛОЖЕНИЕ!$A396),SUMIFS('итог '!W:W,'итог '!$B:$B,ПРИЛОЖЕНИЕ!$A396,'итог '!$D:$D,ПРИЛОЖЕНИЕ!$A397))</f>
        <v>2727144</v>
      </c>
      <c r="H400" s="35">
        <f>IF(ПРИЛОЖЕНИЕ!$A397=0,SUMIFS('итог '!X:X,'итог '!$B:$B,ПРИЛОЖЕНИЕ!$A396),SUMIFS('итог '!X:X,'итог '!$B:$B,ПРИЛОЖЕНИЕ!$A396,'итог '!$D:$D,ПРИЛОЖЕНИЕ!$A397))</f>
        <v>2524828</v>
      </c>
      <c r="I400" s="35">
        <f>IF(ПРИЛОЖЕНИЕ!$A397=0,SUMIFS('итог '!Y:Y,'итог '!$B:$B,ПРИЛОЖЕНИЕ!$A396),SUMIFS('итог '!Y:Y,'итог '!$B:$B,ПРИЛОЖЕНИЕ!$A396,'итог '!$D:$D,ПРИЛОЖЕНИЕ!$A397))</f>
        <v>202316</v>
      </c>
    </row>
    <row r="401" spans="1:9" outlineLevel="1" x14ac:dyDescent="0.3">
      <c r="A401" s="37"/>
      <c r="B401" s="38"/>
      <c r="C401" s="37"/>
      <c r="D401" s="37"/>
      <c r="E401" s="39"/>
      <c r="F401" s="38"/>
      <c r="G401" s="38"/>
      <c r="H401" s="38"/>
      <c r="I401" s="38"/>
    </row>
    <row r="402" spans="1:9" outlineLevel="1" x14ac:dyDescent="0.3">
      <c r="A402" s="37"/>
      <c r="B402" s="40" t="s">
        <v>134</v>
      </c>
      <c r="C402" s="37"/>
      <c r="D402" s="37"/>
      <c r="E402" s="39"/>
      <c r="F402" s="38"/>
      <c r="G402" s="38"/>
      <c r="H402" s="38"/>
      <c r="I402" s="38"/>
    </row>
    <row r="403" spans="1:9" outlineLevel="1" x14ac:dyDescent="0.3">
      <c r="A403" s="37"/>
      <c r="B403" s="38" t="s">
        <v>135</v>
      </c>
      <c r="C403" s="37"/>
      <c r="D403" s="37"/>
      <c r="E403" s="39"/>
      <c r="F403" s="38"/>
      <c r="G403" s="41"/>
      <c r="H403" s="38" t="s">
        <v>136</v>
      </c>
      <c r="I403" s="38"/>
    </row>
    <row r="404" spans="1:9" outlineLevel="1" x14ac:dyDescent="0.3"/>
    <row r="405" spans="1:9" outlineLevel="1" x14ac:dyDescent="0.3">
      <c r="I405" s="45" t="str">
        <f>IF(I411&lt;0,"Приложение №1","")</f>
        <v/>
      </c>
    </row>
    <row r="406" spans="1:9" ht="30" customHeight="1" outlineLevel="1" x14ac:dyDescent="0.3">
      <c r="A406" s="201" t="s">
        <v>132</v>
      </c>
      <c r="B406" s="201"/>
      <c r="C406" s="201"/>
      <c r="D406" s="201"/>
      <c r="E406" s="201"/>
      <c r="F406" s="201"/>
      <c r="G406" s="201"/>
      <c r="H406" s="201"/>
      <c r="I406" s="201"/>
    </row>
    <row r="407" spans="1:9" ht="30" customHeight="1" outlineLevel="1" x14ac:dyDescent="0.3">
      <c r="A407" s="201" t="s">
        <v>144</v>
      </c>
      <c r="B407" s="201"/>
      <c r="C407" s="201"/>
      <c r="D407" s="201"/>
      <c r="E407" s="201"/>
      <c r="F407" s="201"/>
      <c r="G407" s="201"/>
      <c r="H407" s="201"/>
      <c r="I407" s="201"/>
    </row>
    <row r="408" spans="1:9" outlineLevel="1" x14ac:dyDescent="0.3">
      <c r="A408" s="202">
        <v>32</v>
      </c>
      <c r="B408" s="202"/>
      <c r="C408" s="202"/>
      <c r="D408" s="202"/>
      <c r="E408" s="202"/>
      <c r="F408" s="202"/>
      <c r="G408" s="202"/>
      <c r="H408" s="202"/>
      <c r="I408" s="202"/>
    </row>
    <row r="409" spans="1:9" s="24" customFormat="1" ht="60" customHeight="1" outlineLevel="1" x14ac:dyDescent="0.25">
      <c r="A409" s="185" t="s">
        <v>125</v>
      </c>
      <c r="B409" s="200" t="s">
        <v>126</v>
      </c>
      <c r="C409" s="203" t="s">
        <v>199</v>
      </c>
      <c r="D409" s="185" t="s">
        <v>128</v>
      </c>
      <c r="E409" s="213" t="s">
        <v>129</v>
      </c>
      <c r="F409" s="214" t="s">
        <v>130</v>
      </c>
      <c r="G409" s="200" t="s">
        <v>131</v>
      </c>
      <c r="H409" s="200"/>
      <c r="I409" s="200"/>
    </row>
    <row r="410" spans="1:9" s="24" customFormat="1" ht="60" customHeight="1" outlineLevel="1" x14ac:dyDescent="0.25">
      <c r="A410" s="185"/>
      <c r="B410" s="200"/>
      <c r="C410" s="203"/>
      <c r="D410" s="185"/>
      <c r="E410" s="213"/>
      <c r="F410" s="214"/>
      <c r="G410" s="86" t="s">
        <v>112</v>
      </c>
      <c r="H410" s="86" t="s">
        <v>110</v>
      </c>
      <c r="I410" s="86" t="s">
        <v>111</v>
      </c>
    </row>
    <row r="411" spans="1:9" ht="24" customHeight="1" outlineLevel="1" x14ac:dyDescent="0.3">
      <c r="A411" s="34" t="e">
        <f>IF(ПРИЛОЖЕНИЕ!$A408=0,SUMIFS('итог '!L:L,'итог '!$B:$B,ПРИЛОЖЕНИЕ!$A407),SUMIFS('итог '!L:L,'итог '!$B:$B,ПРИЛОЖЕНИЕ!$A407,'итог '!$D:$D,ПРИЛОЖЕНИЕ!$A408))</f>
        <v>#REF!</v>
      </c>
      <c r="B411" s="35" t="e">
        <f>IF(ПРИЛОЖЕНИЕ!$A408=0,SUMIFS('итог '!M:M,'итог '!$B:$B,ПРИЛОЖЕНИЕ!$A407),SUMIFS('итог '!M:M,'итог '!$B:$B,ПРИЛОЖЕНИЕ!$A407,'итог '!$D:$D,ПРИЛОЖЕНИЕ!$A408))</f>
        <v>#REF!</v>
      </c>
      <c r="C411" s="34">
        <f>IF(ПРИЛОЖЕНИЕ!$A408=0,SUMIFS('итог '!Q:Q,'итог '!$B:$B,ПРИЛОЖЕНИЕ!$A407),SUMIFS('итог '!Q:Q,'итог '!$B:$B,ПРИЛОЖЕНИЕ!$A407,'итог '!$D:$D,ПРИЛОЖЕНИЕ!$A408))</f>
        <v>191.89000000000001</v>
      </c>
      <c r="D411" s="34">
        <f>IF(ПРИЛОЖЕНИЕ!$A408=0,SUMIFS('итог '!S:S,'итог '!$B:$B,ПРИЛОЖЕНИЕ!$A407),SUMIFS('итог '!S:S,'итог '!$B:$B,ПРИЛОЖЕНИЕ!$A407,'итог '!$D:$D,ПРИЛОЖЕНИЕ!$A408))</f>
        <v>1.07</v>
      </c>
      <c r="E411" s="36" t="e">
        <f>IF(ПРИЛОЖЕНИЕ!$A408=0,SUMIFS('итог '!T:T,'итог '!$B:$B,ПРИЛОЖЕНИЕ!$A407),SUMIFS('итог '!T:T,'итог '!$B:$B,ПРИЛОЖЕНИЕ!$A407,'итог '!$D:$D,ПРИЛОЖЕНИЕ!$A408))</f>
        <v>#REF!</v>
      </c>
      <c r="F411" s="35" t="e">
        <f>IF(ПРИЛОЖЕНИЕ!$A408=0,SUMIFS('итог '!V:V,'итог '!$B:$B,ПРИЛОЖЕНИЕ!$A407),SUMIFS('итог '!V:V,'итог '!$B:$B,ПРИЛОЖЕНИЕ!$A407,'итог '!$D:$D,ПРИЛОЖЕНИЕ!$A408))</f>
        <v>#REF!</v>
      </c>
      <c r="G411" s="35">
        <f>IF(ПРИЛОЖЕНИЕ!$A408=0,SUMIFS('итог '!W:W,'итог '!$B:$B,ПРИЛОЖЕНИЕ!$A407),SUMIFS('итог '!W:W,'итог '!$B:$B,ПРИЛОЖЕНИЕ!$A407,'итог '!$D:$D,ПРИЛОЖЕНИЕ!$A408))</f>
        <v>114090816</v>
      </c>
      <c r="H411" s="35">
        <f>IF(ПРИЛОЖЕНИЕ!$A408=0,SUMIFS('итог '!X:X,'итог '!$B:$B,ПРИЛОЖЕНИЕ!$A407),SUMIFS('итог '!X:X,'итог '!$B:$B,ПРИЛОЖЕНИЕ!$A407,'итог '!$D:$D,ПРИЛОЖЕНИЕ!$A408))</f>
        <v>108804947</v>
      </c>
      <c r="I411" s="35">
        <f>IF(ПРИЛОЖЕНИЕ!$A408=0,SUMIFS('итог '!Y:Y,'итог '!$B:$B,ПРИЛОЖЕНИЕ!$A407),SUMIFS('итог '!Y:Y,'итог '!$B:$B,ПРИЛОЖЕНИЕ!$A407,'итог '!$D:$D,ПРИЛОЖЕНИЕ!$A408))</f>
        <v>5285869</v>
      </c>
    </row>
    <row r="412" spans="1:9" outlineLevel="1" x14ac:dyDescent="0.3">
      <c r="A412" s="37"/>
      <c r="B412" s="38"/>
      <c r="C412" s="37"/>
      <c r="D412" s="37"/>
      <c r="E412" s="39"/>
      <c r="F412" s="38"/>
      <c r="G412" s="38"/>
      <c r="H412" s="38"/>
      <c r="I412" s="38"/>
    </row>
    <row r="413" spans="1:9" outlineLevel="1" x14ac:dyDescent="0.3">
      <c r="A413" s="37"/>
      <c r="B413" s="40" t="s">
        <v>134</v>
      </c>
      <c r="C413" s="37"/>
      <c r="D413" s="37"/>
      <c r="E413" s="39"/>
      <c r="F413" s="38"/>
      <c r="G413" s="38"/>
      <c r="H413" s="38"/>
      <c r="I413" s="38"/>
    </row>
    <row r="414" spans="1:9" outlineLevel="1" x14ac:dyDescent="0.3">
      <c r="A414" s="37"/>
      <c r="B414" s="38" t="s">
        <v>135</v>
      </c>
      <c r="C414" s="37"/>
      <c r="D414" s="37"/>
      <c r="E414" s="39"/>
      <c r="F414" s="38"/>
      <c r="G414" s="41"/>
      <c r="H414" s="38" t="s">
        <v>136</v>
      </c>
      <c r="I414" s="38"/>
    </row>
    <row r="415" spans="1:9" outlineLevel="1" x14ac:dyDescent="0.3"/>
    <row r="416" spans="1:9" outlineLevel="1" x14ac:dyDescent="0.3">
      <c r="I416" s="45" t="str">
        <f>IF(I422&lt;0,"Приложение №1","")</f>
        <v/>
      </c>
    </row>
    <row r="417" spans="1:9" ht="25.5" outlineLevel="1" x14ac:dyDescent="0.3">
      <c r="A417" s="201" t="s">
        <v>132</v>
      </c>
      <c r="B417" s="201"/>
      <c r="C417" s="201"/>
      <c r="D417" s="201"/>
      <c r="E417" s="201"/>
      <c r="F417" s="201"/>
      <c r="G417" s="201"/>
      <c r="H417" s="201"/>
      <c r="I417" s="201"/>
    </row>
    <row r="418" spans="1:9" ht="25.5" outlineLevel="1" x14ac:dyDescent="0.3">
      <c r="A418" s="201" t="s">
        <v>145</v>
      </c>
      <c r="B418" s="201"/>
      <c r="C418" s="201"/>
      <c r="D418" s="201"/>
      <c r="E418" s="201"/>
      <c r="F418" s="201"/>
      <c r="G418" s="201"/>
      <c r="H418" s="201"/>
      <c r="I418" s="201"/>
    </row>
    <row r="419" spans="1:9" outlineLevel="1" x14ac:dyDescent="0.3">
      <c r="A419" s="220"/>
      <c r="B419" s="220"/>
      <c r="C419" s="220"/>
      <c r="D419" s="220"/>
      <c r="E419" s="220"/>
      <c r="F419" s="220"/>
      <c r="G419" s="220"/>
      <c r="H419" s="220"/>
      <c r="I419" s="220"/>
    </row>
    <row r="420" spans="1:9" s="24" customFormat="1" ht="60" customHeight="1" outlineLevel="1" x14ac:dyDescent="0.25">
      <c r="A420" s="185" t="s">
        <v>125</v>
      </c>
      <c r="B420" s="200" t="s">
        <v>126</v>
      </c>
      <c r="C420" s="203" t="s">
        <v>199</v>
      </c>
      <c r="D420" s="185" t="s">
        <v>128</v>
      </c>
      <c r="E420" s="213" t="s">
        <v>129</v>
      </c>
      <c r="F420" s="214" t="s">
        <v>130</v>
      </c>
      <c r="G420" s="200" t="s">
        <v>131</v>
      </c>
      <c r="H420" s="200"/>
      <c r="I420" s="200"/>
    </row>
    <row r="421" spans="1:9" s="24" customFormat="1" ht="60" customHeight="1" outlineLevel="1" x14ac:dyDescent="0.25">
      <c r="A421" s="185"/>
      <c r="B421" s="200"/>
      <c r="C421" s="203"/>
      <c r="D421" s="185"/>
      <c r="E421" s="213"/>
      <c r="F421" s="214"/>
      <c r="G421" s="86" t="s">
        <v>112</v>
      </c>
      <c r="H421" s="86" t="s">
        <v>110</v>
      </c>
      <c r="I421" s="86" t="s">
        <v>111</v>
      </c>
    </row>
    <row r="422" spans="1:9" ht="24" customHeight="1" outlineLevel="1" x14ac:dyDescent="0.3">
      <c r="A422" s="34" t="e">
        <f>IF(ПРИЛОЖЕНИЕ!$A419=0,SUMIFS('итог '!L:L,'итог '!$B:$B,ПРИЛОЖЕНИЕ!$A418),SUMIFS('итог '!L:L,'итог '!$B:$B,ПРИЛОЖЕНИЕ!$A418,'итог '!$D:$D,ПРИЛОЖЕНИЕ!$A419))</f>
        <v>#REF!</v>
      </c>
      <c r="B422" s="35" t="e">
        <f>IF(ПРИЛОЖЕНИЕ!$A419=0,SUMIFS('итог '!M:M,'итог '!$B:$B,ПРИЛОЖЕНИЕ!$A418),SUMIFS('итог '!M:M,'итог '!$B:$B,ПРИЛОЖЕНИЕ!$A418,'итог '!$D:$D,ПРИЛОЖЕНИЕ!$A419))</f>
        <v>#REF!</v>
      </c>
      <c r="C422" s="34">
        <f>IF(ПРИЛОЖЕНИЕ!$A419=0,SUMIFS('итог '!Q:Q,'итог '!$B:$B,ПРИЛОЖЕНИЕ!$A418),SUMIFS('итог '!Q:Q,'итог '!$B:$B,ПРИЛОЖЕНИЕ!$A418,'итог '!$D:$D,ПРИЛОЖЕНИЕ!$A419))</f>
        <v>88.589999999999989</v>
      </c>
      <c r="D422" s="34">
        <f>IF(ПРИЛОЖЕНИЕ!$A419=0,SUMIFS('итог '!S:S,'итог '!$B:$B,ПРИЛОЖЕНИЕ!$A418),SUMIFS('итог '!S:S,'итог '!$B:$B,ПРИЛОЖЕНИЕ!$A418,'итог '!$D:$D,ПРИЛОЖЕНИЕ!$A419))</f>
        <v>1</v>
      </c>
      <c r="E422" s="36" t="e">
        <f>IF(ПРИЛОЖЕНИЕ!$A419=0,SUMIFS('итог '!T:T,'итог '!$B:$B,ПРИЛОЖЕНИЕ!$A418),SUMIFS('итог '!T:T,'итог '!$B:$B,ПРИЛОЖЕНИЕ!$A418,'итог '!$D:$D,ПРИЛОЖЕНИЕ!$A419))</f>
        <v>#REF!</v>
      </c>
      <c r="F422" s="35" t="e">
        <f>IF(ПРИЛОЖЕНИЕ!$A419=0,SUMIFS('итог '!V:V,'итог '!$B:$B,ПРИЛОЖЕНИЕ!$A418),SUMIFS('итог '!V:V,'итог '!$B:$B,ПРИЛОЖЕНИЕ!$A418,'итог '!$D:$D,ПРИЛОЖЕНИЕ!$A419))</f>
        <v>#REF!</v>
      </c>
      <c r="G422" s="35">
        <f>IF(ПРИЛОЖЕНИЕ!$A419=0,SUMIFS('итог '!W:W,'итог '!$B:$B,ПРИЛОЖЕНИЕ!$A418),SUMIFS('итог '!W:W,'итог '!$B:$B,ПРИЛОЖЕНИЕ!$A418,'итог '!$D:$D,ПРИЛОЖЕНИЕ!$A419))</f>
        <v>51371680</v>
      </c>
      <c r="H422" s="35">
        <f>IF(ПРИЛОЖЕНИЕ!$A419=0,SUMIFS('итог '!X:X,'итог '!$B:$B,ПРИЛОЖЕНИЕ!$A418),SUMIFS('итог '!X:X,'итог '!$B:$B,ПРИЛОЖЕНИЕ!$A418,'итог '!$D:$D,ПРИЛОЖЕНИЕ!$A419))</f>
        <v>51293759</v>
      </c>
      <c r="I422" s="35">
        <f>IF(ПРИЛОЖЕНИЕ!$A419=0,SUMIFS('итог '!Y:Y,'итог '!$B:$B,ПРИЛОЖЕНИЕ!$A418),SUMIFS('итог '!Y:Y,'итог '!$B:$B,ПРИЛОЖЕНИЕ!$A418,'итог '!$D:$D,ПРИЛОЖЕНИЕ!$A419))</f>
        <v>77921</v>
      </c>
    </row>
    <row r="423" spans="1:9" outlineLevel="1" x14ac:dyDescent="0.3">
      <c r="A423" s="37"/>
      <c r="B423" s="38"/>
      <c r="C423" s="37"/>
      <c r="D423" s="37"/>
      <c r="E423" s="39"/>
      <c r="F423" s="38"/>
      <c r="G423" s="38"/>
      <c r="H423" s="38"/>
      <c r="I423" s="38"/>
    </row>
    <row r="424" spans="1:9" outlineLevel="1" x14ac:dyDescent="0.3">
      <c r="A424" s="37"/>
      <c r="B424" s="40" t="s">
        <v>134</v>
      </c>
      <c r="C424" s="37"/>
      <c r="D424" s="37"/>
      <c r="E424" s="39"/>
      <c r="F424" s="38"/>
      <c r="G424" s="38"/>
      <c r="H424" s="38"/>
      <c r="I424" s="38"/>
    </row>
    <row r="425" spans="1:9" ht="15" customHeight="1" outlineLevel="1" x14ac:dyDescent="0.3">
      <c r="A425" s="37"/>
      <c r="B425" s="38" t="s">
        <v>135</v>
      </c>
      <c r="C425" s="37"/>
      <c r="D425" s="37"/>
      <c r="E425" s="39"/>
      <c r="F425" s="38"/>
      <c r="G425" s="41"/>
      <c r="H425" s="38" t="s">
        <v>136</v>
      </c>
      <c r="I425" s="38"/>
    </row>
    <row r="426" spans="1:9" outlineLevel="1" x14ac:dyDescent="0.3"/>
    <row r="427" spans="1:9" outlineLevel="1" x14ac:dyDescent="0.3">
      <c r="I427" s="45" t="str">
        <f>IF(I433&lt;0,"Приложение №1","")</f>
        <v/>
      </c>
    </row>
    <row r="428" spans="1:9" ht="30" customHeight="1" outlineLevel="1" x14ac:dyDescent="0.3">
      <c r="A428" s="201" t="s">
        <v>132</v>
      </c>
      <c r="B428" s="201"/>
      <c r="C428" s="201"/>
      <c r="D428" s="201"/>
      <c r="E428" s="201"/>
      <c r="F428" s="201"/>
      <c r="G428" s="201"/>
      <c r="H428" s="201"/>
      <c r="I428" s="201"/>
    </row>
    <row r="429" spans="1:9" ht="30" customHeight="1" outlineLevel="1" x14ac:dyDescent="0.3">
      <c r="A429" s="201" t="s">
        <v>146</v>
      </c>
      <c r="B429" s="201"/>
      <c r="C429" s="201"/>
      <c r="D429" s="201"/>
      <c r="E429" s="201"/>
      <c r="F429" s="201"/>
      <c r="G429" s="201"/>
      <c r="H429" s="201"/>
      <c r="I429" s="201"/>
    </row>
    <row r="430" spans="1:9" outlineLevel="1" x14ac:dyDescent="0.3">
      <c r="A430" s="220"/>
      <c r="B430" s="220"/>
      <c r="C430" s="220"/>
      <c r="D430" s="220"/>
      <c r="E430" s="220"/>
      <c r="F430" s="220"/>
      <c r="G430" s="220"/>
      <c r="H430" s="220"/>
      <c r="I430" s="220"/>
    </row>
    <row r="431" spans="1:9" s="24" customFormat="1" ht="60" customHeight="1" outlineLevel="1" x14ac:dyDescent="0.25">
      <c r="A431" s="185" t="s">
        <v>125</v>
      </c>
      <c r="B431" s="200" t="s">
        <v>126</v>
      </c>
      <c r="C431" s="203" t="s">
        <v>199</v>
      </c>
      <c r="D431" s="185" t="s">
        <v>128</v>
      </c>
      <c r="E431" s="213" t="s">
        <v>129</v>
      </c>
      <c r="F431" s="214" t="s">
        <v>130</v>
      </c>
      <c r="G431" s="200" t="s">
        <v>131</v>
      </c>
      <c r="H431" s="200"/>
      <c r="I431" s="200"/>
    </row>
    <row r="432" spans="1:9" s="24" customFormat="1" ht="60" customHeight="1" outlineLevel="1" x14ac:dyDescent="0.25">
      <c r="A432" s="185"/>
      <c r="B432" s="200"/>
      <c r="C432" s="203"/>
      <c r="D432" s="185"/>
      <c r="E432" s="213"/>
      <c r="F432" s="214"/>
      <c r="G432" s="86" t="s">
        <v>112</v>
      </c>
      <c r="H432" s="86" t="s">
        <v>110</v>
      </c>
      <c r="I432" s="86" t="s">
        <v>111</v>
      </c>
    </row>
    <row r="433" spans="1:10" ht="24" customHeight="1" outlineLevel="1" x14ac:dyDescent="0.3">
      <c r="A433" s="34" t="e">
        <f>IF(ПРИЛОЖЕНИЕ!$A430=0,SUMIFS('итог '!L:L,'итог '!$B:$B,ПРИЛОЖЕНИЕ!$A429),SUMIFS('итог '!L:L,'итог '!$B:$B,ПРИЛОЖЕНИЕ!$A429,'итог '!$D:$D,ПРИЛОЖЕНИЕ!$A430))</f>
        <v>#REF!</v>
      </c>
      <c r="B433" s="35" t="e">
        <f>IF(ПРИЛОЖЕНИЕ!$A430=0,SUMIFS('итог '!M:M,'итог '!$B:$B,ПРИЛОЖЕНИЕ!$A429),SUMIFS('итог '!M:M,'итог '!$B:$B,ПРИЛОЖЕНИЕ!$A429,'итог '!$D:$D,ПРИЛОЖЕНИЕ!$A430))</f>
        <v>#REF!</v>
      </c>
      <c r="C433" s="34">
        <f>IF(ПРИЛОЖЕНИЕ!$A430=0,SUMIFS('итог '!Q:Q,'итог '!$B:$B,ПРИЛОЖЕНИЕ!$A429),SUMIFS('итог '!Q:Q,'итог '!$B:$B,ПРИЛОЖЕНИЕ!$A429,'итог '!$D:$D,ПРИЛОЖЕНИЕ!$A430))</f>
        <v>261.71000000000004</v>
      </c>
      <c r="D433" s="34">
        <f>IF(ПРИЛОЖЕНИЕ!$A430=0,SUMIFS('итог '!S:S,'итог '!$B:$B,ПРИЛОЖЕНИЕ!$A429),SUMIFS('итог '!S:S,'итог '!$B:$B,ПРИЛОЖЕНИЕ!$A429,'итог '!$D:$D,ПРИЛОЖЕНИЕ!$A430))</f>
        <v>1</v>
      </c>
      <c r="E433" s="36" t="e">
        <f>IF(ПРИЛОЖЕНИЕ!$A430=0,SUMIFS('итог '!T:T,'итог '!$B:$B,ПРИЛОЖЕНИЕ!$A429),SUMIFS('итог '!T:T,'итог '!$B:$B,ПРИЛОЖЕНИЕ!$A429,'итог '!$D:$D,ПРИЛОЖЕНИЕ!$A430))</f>
        <v>#REF!</v>
      </c>
      <c r="F433" s="35" t="e">
        <f>IF(ПРИЛОЖЕНИЕ!$A430=0,SUMIFS('итог '!V:V,'итог '!$B:$B,ПРИЛОЖЕНИЕ!$A429),SUMIFS('итог '!V:V,'итог '!$B:$B,ПРИЛОЖЕНИЕ!$A429,'итог '!$D:$D,ПРИЛОЖЕНИЕ!$A430))</f>
        <v>#REF!</v>
      </c>
      <c r="G433" s="35">
        <f>IF(ПРИЛОЖЕНИЕ!$A430=0,SUMIFS('итог '!W:W,'итог '!$B:$B,ПРИЛОЖЕНИЕ!$A429),SUMIFS('итог '!W:W,'итог '!$B:$B,ПРИЛОЖЕНИЕ!$A429,'итог '!$D:$D,ПРИЛОЖЕНИЕ!$A430))</f>
        <v>154695744</v>
      </c>
      <c r="H433" s="35">
        <f>IF(ПРИЛОЖЕНИЕ!$A430=0,SUMIFS('итог '!X:X,'итог '!$B:$B,ПРИЛОЖЕНИЕ!$A429),SUMIFS('итог '!X:X,'итог '!$B:$B,ПРИЛОЖЕНИЕ!$A429,'итог '!$D:$D,ПРИЛОЖЕНИЕ!$A430))</f>
        <v>154152275</v>
      </c>
      <c r="I433" s="35">
        <f>IF(ПРИЛОЖЕНИЕ!$A430=0,SUMIFS('итог '!Y:Y,'итог '!$B:$B,ПРИЛОЖЕНИЕ!$A429),SUMIFS('итог '!Y:Y,'итог '!$B:$B,ПРИЛОЖЕНИЕ!$A429,'итог '!$D:$D,ПРИЛОЖЕНИЕ!$A430))</f>
        <v>543469</v>
      </c>
    </row>
    <row r="434" spans="1:10" outlineLevel="1" x14ac:dyDescent="0.3">
      <c r="A434" s="37"/>
      <c r="B434" s="38"/>
      <c r="C434" s="37"/>
      <c r="D434" s="37"/>
      <c r="E434" s="39"/>
      <c r="F434" s="38"/>
      <c r="G434" s="38"/>
      <c r="H434" s="38"/>
      <c r="I434" s="38"/>
    </row>
    <row r="435" spans="1:10" outlineLevel="1" x14ac:dyDescent="0.3">
      <c r="A435" s="37"/>
      <c r="B435" s="40" t="s">
        <v>134</v>
      </c>
      <c r="C435" s="37"/>
      <c r="D435" s="37"/>
      <c r="E435" s="39"/>
      <c r="F435" s="38"/>
      <c r="G435" s="38"/>
      <c r="H435" s="38"/>
      <c r="I435" s="38"/>
    </row>
    <row r="436" spans="1:10" outlineLevel="1" x14ac:dyDescent="0.3">
      <c r="A436" s="37"/>
      <c r="B436" s="38" t="s">
        <v>135</v>
      </c>
      <c r="C436" s="37"/>
      <c r="D436" s="37"/>
      <c r="E436" s="39"/>
      <c r="F436" s="38"/>
      <c r="G436" s="41"/>
      <c r="H436" s="38" t="s">
        <v>136</v>
      </c>
      <c r="I436" s="38"/>
    </row>
    <row r="437" spans="1:10" outlineLevel="1" x14ac:dyDescent="0.3"/>
    <row r="438" spans="1:10" x14ac:dyDescent="0.3">
      <c r="I438" s="45" t="str">
        <f>IF(J444&lt;0,"Приложение №1","")</f>
        <v/>
      </c>
      <c r="J438" s="85" t="s">
        <v>197</v>
      </c>
    </row>
    <row r="439" spans="1:10" ht="25.5" x14ac:dyDescent="0.3">
      <c r="A439" s="201" t="s">
        <v>132</v>
      </c>
      <c r="B439" s="201"/>
      <c r="C439" s="201"/>
      <c r="D439" s="201"/>
      <c r="E439" s="201"/>
      <c r="F439" s="201"/>
      <c r="G439" s="201"/>
      <c r="H439" s="201"/>
      <c r="I439" s="201"/>
      <c r="J439" s="201"/>
    </row>
    <row r="440" spans="1:10" ht="25.5" x14ac:dyDescent="0.3">
      <c r="A440" s="201" t="s">
        <v>147</v>
      </c>
      <c r="B440" s="201"/>
      <c r="C440" s="201"/>
      <c r="D440" s="201"/>
      <c r="E440" s="201"/>
      <c r="F440" s="201"/>
      <c r="G440" s="201"/>
      <c r="H440" s="201"/>
      <c r="I440" s="201"/>
      <c r="J440" s="201"/>
    </row>
    <row r="441" spans="1:10" x14ac:dyDescent="0.3">
      <c r="A441" s="221" t="s">
        <v>156</v>
      </c>
      <c r="B441" s="221"/>
      <c r="C441" s="221"/>
      <c r="D441" s="221"/>
      <c r="E441" s="221"/>
      <c r="F441" s="221"/>
      <c r="G441" s="221"/>
      <c r="H441" s="221"/>
      <c r="I441" s="221"/>
      <c r="J441" s="221"/>
    </row>
    <row r="442" spans="1:10" s="24" customFormat="1" ht="60" customHeight="1" x14ac:dyDescent="0.25">
      <c r="A442" s="190" t="s">
        <v>200</v>
      </c>
      <c r="B442" s="185" t="s">
        <v>125</v>
      </c>
      <c r="C442" s="186" t="s">
        <v>126</v>
      </c>
      <c r="D442" s="186" t="s">
        <v>199</v>
      </c>
      <c r="E442" s="186" t="s">
        <v>128</v>
      </c>
      <c r="F442" s="186" t="s">
        <v>129</v>
      </c>
      <c r="G442" s="186" t="s">
        <v>130</v>
      </c>
      <c r="H442" s="194" t="s">
        <v>131</v>
      </c>
      <c r="I442" s="195"/>
      <c r="J442" s="196"/>
    </row>
    <row r="443" spans="1:10" s="24" customFormat="1" ht="60" customHeight="1" x14ac:dyDescent="0.25">
      <c r="A443" s="191"/>
      <c r="B443" s="185"/>
      <c r="C443" s="187"/>
      <c r="D443" s="187"/>
      <c r="E443" s="187"/>
      <c r="F443" s="187"/>
      <c r="G443" s="187"/>
      <c r="H443" s="98" t="s">
        <v>112</v>
      </c>
      <c r="I443" s="98" t="s">
        <v>110</v>
      </c>
      <c r="J443" s="98" t="s">
        <v>111</v>
      </c>
    </row>
    <row r="444" spans="1:10" ht="30" customHeight="1" x14ac:dyDescent="0.3">
      <c r="A444" s="98" t="s">
        <v>201</v>
      </c>
      <c r="B444" s="34" t="e">
        <f>IF(ПРИЛОЖЕНИЕ!$A441=0,SUMIFS('итог '!L:L,'итог '!$B:$B,ПРИЛОЖЕНИЕ!$A440),SUMIFS('итог '!L:L,'итог '!$B:$B,ПРИЛОЖЕНИЕ!$A440,'итог '!$D:$D,ПРИЛОЖЕНИЕ!$A441))</f>
        <v>#REF!</v>
      </c>
      <c r="C444" s="35" t="e">
        <f>IF(ПРИЛОЖЕНИЕ!$A441=0,SUMIFS('итог '!M:M,'итог '!$B:$B,ПРИЛОЖЕНИЕ!$A440),SUMIFS('итог '!M:M,'итог '!$B:$B,ПРИЛОЖЕНИЕ!$A440,'итог '!$D:$D,ПРИЛОЖЕНИЕ!$A441))</f>
        <v>#REF!</v>
      </c>
      <c r="D444" s="34">
        <f>IF(ПРИЛОЖЕНИЕ!$A441=0,SUMIFS('итог '!Q:Q,'итог '!$B:$B,ПРИЛОЖЕНИЕ!$A440),SUMIFS('итог '!Q:Q,'итог '!$B:$B,ПРИЛОЖЕНИЕ!$A440,'итог '!$D:$D,ПРИЛОЖЕНИЕ!$A441))</f>
        <v>63.15</v>
      </c>
      <c r="E444" s="34">
        <f>IF(ПРИЛОЖЕНИЕ!$A441=0,SUMIFS('итог '!S:S,'итог '!$B:$B,ПРИЛОЖЕНИЕ!$A440),SUMIFS('итог '!S:S,'итог '!$B:$B,ПРИЛОЖЕНИЕ!$A440,'итог '!$D:$D,ПРИЛОЖЕНИЕ!$A441))</f>
        <v>1.07</v>
      </c>
      <c r="F444" s="36" t="e">
        <f>IF(ПРИЛОЖЕНИЕ!$A441=0,SUMIFS('итог '!T:T,'итог '!$B:$B,ПРИЛОЖЕНИЕ!$A440),SUMIFS('итог '!T:T,'итог '!$B:$B,ПРИЛОЖЕНИЕ!$A440,'итог '!$D:$D,ПРИЛОЖЕНИЕ!$A441))</f>
        <v>#REF!</v>
      </c>
      <c r="G444" s="35" t="e">
        <f>IF(ПРИЛОЖЕНИЕ!$A441=0,SUMIFS('итог '!V:V,'итог '!$B:$B,ПРИЛОЖЕНИЕ!$A440),SUMIFS('итог '!V:V,'итог '!$B:$B,ПРИЛОЖЕНИЕ!$A440,'итог '!$D:$D,ПРИЛОЖЕНИЕ!$A441))</f>
        <v>#REF!</v>
      </c>
      <c r="H444" s="35">
        <f>IF(ПРИЛОЖЕНИЕ!$A441=0,SUMIFS('итог '!W:W,'итог '!$B:$B,ПРИЛОЖЕНИЕ!$A440),SUMIFS('итог '!W:W,'итог '!$B:$B,ПРИЛОЖЕНИЕ!$A440,'итог '!$D:$D,ПРИЛОЖЕНИЕ!$A441))</f>
        <v>44130576</v>
      </c>
      <c r="I444" s="35">
        <f>IF(ПРИЛОЖЕНИЕ!$A441=0,SUMIFS('итог '!X:X,'итог '!$B:$B,ПРИЛОЖЕНИЕ!$A440),SUMIFS('итог '!X:X,'итог '!$B:$B,ПРИЛОЖЕНИЕ!$A440,'итог '!$D:$D,ПРИЛОЖЕНИЕ!$A441))</f>
        <v>39564284</v>
      </c>
      <c r="J444" s="35">
        <f>IF(ПРИЛОЖЕНИЕ!$A441=0,SUMIFS('итог '!Y:Y,'итог '!$B:$B,ПРИЛОЖЕНИЕ!$A440),SUMIFS('итог '!Y:Y,'итог '!$B:$B,ПРИЛОЖЕНИЕ!$A440,'итог '!$D:$D,ПРИЛОЖЕНИЕ!$A441))</f>
        <v>4566292</v>
      </c>
    </row>
    <row r="445" spans="1:10" ht="30" customHeight="1" x14ac:dyDescent="0.3">
      <c r="A445" s="98" t="s">
        <v>202</v>
      </c>
      <c r="B445" s="105" t="e">
        <f>B444</f>
        <v>#REF!</v>
      </c>
      <c r="C445" s="105" t="e">
        <f>C444</f>
        <v>#REF!</v>
      </c>
      <c r="D445" s="106">
        <v>37.65</v>
      </c>
      <c r="E445" s="109">
        <f>D445/58</f>
        <v>0.6491379310344827</v>
      </c>
      <c r="F445" s="104" t="e">
        <f>IF(ПРИЛОЖЕНИЕ!$A441=0,SUMIFS('итог '!U:U,'итог '!$B:$B,ПРИЛОЖЕНИЕ!$A440),SUMIFS('итог '!U:U,'итог '!$B:$B,ПРИЛОЖЕНИЕ!$A440,'итог '!$D:$D,ПРИЛОЖЕНИЕ!$A441))</f>
        <v>#REF!</v>
      </c>
      <c r="G445" s="105" t="e">
        <f>G444*(H445/H444)</f>
        <v>#REF!</v>
      </c>
      <c r="H445" s="105">
        <f>28646.8*1000</f>
        <v>28646800</v>
      </c>
      <c r="I445" s="105">
        <f>I444</f>
        <v>39564284</v>
      </c>
      <c r="J445" s="35">
        <f>H445-I445</f>
        <v>-10917484</v>
      </c>
    </row>
    <row r="446" spans="1:10" ht="33.75" customHeight="1" x14ac:dyDescent="0.3">
      <c r="A446" s="40" t="s">
        <v>203</v>
      </c>
      <c r="C446" s="37"/>
      <c r="D446" s="37"/>
      <c r="E446" s="39"/>
      <c r="F446" s="38"/>
      <c r="G446" s="38"/>
      <c r="H446" s="38"/>
      <c r="I446" s="38"/>
    </row>
    <row r="447" spans="1:10" ht="36" customHeight="1" x14ac:dyDescent="0.3">
      <c r="A447" s="38" t="s">
        <v>135</v>
      </c>
      <c r="C447" s="37"/>
      <c r="D447" s="37"/>
      <c r="E447" s="39"/>
      <c r="F447" s="38"/>
      <c r="G447" s="41"/>
      <c r="H447" s="38" t="s">
        <v>136</v>
      </c>
      <c r="I447" s="38"/>
    </row>
    <row r="449" spans="1:10" x14ac:dyDescent="0.3">
      <c r="I449" s="45" t="str">
        <f>IF(J455&lt;0,"Приложение №1","")</f>
        <v/>
      </c>
      <c r="J449" s="85" t="s">
        <v>197</v>
      </c>
    </row>
    <row r="450" spans="1:10" ht="30" customHeight="1" x14ac:dyDescent="0.3">
      <c r="A450" s="201" t="s">
        <v>132</v>
      </c>
      <c r="B450" s="201"/>
      <c r="C450" s="201"/>
      <c r="D450" s="201"/>
      <c r="E450" s="201"/>
      <c r="F450" s="201"/>
      <c r="G450" s="201"/>
      <c r="H450" s="201"/>
      <c r="I450" s="201"/>
      <c r="J450" s="201"/>
    </row>
    <row r="451" spans="1:10" ht="30" customHeight="1" x14ac:dyDescent="0.3">
      <c r="A451" s="201" t="s">
        <v>147</v>
      </c>
      <c r="B451" s="201"/>
      <c r="C451" s="201"/>
      <c r="D451" s="201"/>
      <c r="E451" s="201"/>
      <c r="F451" s="201"/>
      <c r="G451" s="201"/>
      <c r="H451" s="201"/>
      <c r="I451" s="201"/>
      <c r="J451" s="201"/>
    </row>
    <row r="452" spans="1:10" x14ac:dyDescent="0.3">
      <c r="A452" s="221" t="s">
        <v>95</v>
      </c>
      <c r="B452" s="221"/>
      <c r="C452" s="221"/>
      <c r="D452" s="221"/>
      <c r="E452" s="221"/>
      <c r="F452" s="221"/>
      <c r="G452" s="221"/>
      <c r="H452" s="221"/>
      <c r="I452" s="221"/>
      <c r="J452" s="221"/>
    </row>
    <row r="453" spans="1:10" s="24" customFormat="1" ht="60" customHeight="1" x14ac:dyDescent="0.25">
      <c r="A453" s="190" t="s">
        <v>200</v>
      </c>
      <c r="B453" s="185" t="s">
        <v>125</v>
      </c>
      <c r="C453" s="186" t="s">
        <v>126</v>
      </c>
      <c r="D453" s="186" t="s">
        <v>199</v>
      </c>
      <c r="E453" s="186" t="s">
        <v>128</v>
      </c>
      <c r="F453" s="186" t="s">
        <v>129</v>
      </c>
      <c r="G453" s="186" t="s">
        <v>130</v>
      </c>
      <c r="H453" s="194" t="s">
        <v>131</v>
      </c>
      <c r="I453" s="195"/>
      <c r="J453" s="196"/>
    </row>
    <row r="454" spans="1:10" s="24" customFormat="1" ht="60" customHeight="1" x14ac:dyDescent="0.25">
      <c r="A454" s="191"/>
      <c r="B454" s="185"/>
      <c r="C454" s="187"/>
      <c r="D454" s="187"/>
      <c r="E454" s="187"/>
      <c r="F454" s="187"/>
      <c r="G454" s="187"/>
      <c r="H454" s="98" t="s">
        <v>112</v>
      </c>
      <c r="I454" s="98" t="s">
        <v>110</v>
      </c>
      <c r="J454" s="98" t="s">
        <v>111</v>
      </c>
    </row>
    <row r="455" spans="1:10" ht="30" customHeight="1" x14ac:dyDescent="0.3">
      <c r="A455" s="98" t="s">
        <v>201</v>
      </c>
      <c r="B455" s="34" t="e">
        <f>IF(ПРИЛОЖЕНИЕ!$A452=0,SUMIFS('итог '!L:L,'итог '!$B:$B,ПРИЛОЖЕНИЕ!$A451),SUMIFS('итог '!L:L,'итог '!$B:$B,ПРИЛОЖЕНИЕ!$A451,'итог '!$D:$D,ПРИЛОЖЕНИЕ!$A452))</f>
        <v>#REF!</v>
      </c>
      <c r="C455" s="35" t="e">
        <f>IF(ПРИЛОЖЕНИЕ!$A452=0,SUMIFS('итог '!M:M,'итог '!$B:$B,ПРИЛОЖЕНИЕ!$A451),SUMIFS('итог '!M:M,'итог '!$B:$B,ПРИЛОЖЕНИЕ!$A451,'итог '!$D:$D,ПРИЛОЖЕНИЕ!$A452))</f>
        <v>#REF!</v>
      </c>
      <c r="D455" s="34">
        <f>IF(ПРИЛОЖЕНИЕ!$A452=0,SUMIFS('итог '!Q:Q,'итог '!$B:$B,ПРИЛОЖЕНИЕ!$A451),SUMIFS('итог '!Q:Q,'итог '!$B:$B,ПРИЛОЖЕНИЕ!$A451,'итог '!$D:$D,ПРИЛОЖЕНИЕ!$A452))</f>
        <v>43.12</v>
      </c>
      <c r="E455" s="34">
        <f>IF(ПРИЛОЖЕНИЕ!$A452=0,SUMIFS('итог '!S:S,'итог '!$B:$B,ПРИЛОЖЕНИЕ!$A451),SUMIFS('итог '!S:S,'итог '!$B:$B,ПРИЛОЖЕНИЕ!$A451,'итог '!$D:$D,ПРИЛОЖЕНИЕ!$A452))</f>
        <v>1</v>
      </c>
      <c r="F455" s="36" t="e">
        <f>IF(ПРИЛОЖЕНИЕ!$A452=0,SUMIFS('итог '!T:T,'итог '!$B:$B,ПРИЛОЖЕНИЕ!$A451),SUMIFS('итог '!T:T,'итог '!$B:$B,ПРИЛОЖЕНИЕ!$A451,'итог '!$D:$D,ПРИЛОЖЕНИЕ!$A452))</f>
        <v>#REF!</v>
      </c>
      <c r="G455" s="35" t="e">
        <f>IF(ПРИЛОЖЕНИЕ!$A452=0,SUMIFS('итог '!V:V,'итог '!$B:$B,ПРИЛОЖЕНИЕ!$A451),SUMIFS('итог '!V:V,'итог '!$B:$B,ПРИЛОЖЕНИЕ!$A451,'итог '!$D:$D,ПРИЛОЖЕНИЕ!$A452))</f>
        <v>#REF!</v>
      </c>
      <c r="H455" s="35">
        <f>IF(ПРИЛОЖЕНИЕ!$A452=0,SUMIFS('итог '!W:W,'итог '!$B:$B,ПРИЛОЖЕНИЕ!$A451),SUMIFS('итог '!W:W,'итог '!$B:$B,ПРИЛОЖЕНИЕ!$A451,'итог '!$D:$D,ПРИЛОЖЕНИЕ!$A452))</f>
        <v>28710864</v>
      </c>
      <c r="I455" s="35">
        <f>IF(ПРИЛОЖЕНИЕ!$A452=0,SUMIFS('итог '!X:X,'итог '!$B:$B,ПРИЛОЖЕНИЕ!$A451),SUMIFS('итог '!X:X,'итог '!$B:$B,ПРИЛОЖЕНИЕ!$A451,'итог '!$D:$D,ПРИЛОЖЕНИЕ!$A452))</f>
        <v>27585047</v>
      </c>
      <c r="J455" s="35">
        <f>IF(ПРИЛОЖЕНИЕ!$A452=0,SUMIFS('итог '!Y:Y,'итог '!$B:$B,ПРИЛОЖЕНИЕ!$A451),SUMIFS('итог '!Y:Y,'итог '!$B:$B,ПРИЛОЖЕНИЕ!$A451,'итог '!$D:$D,ПРИЛОЖЕНИЕ!$A452))</f>
        <v>1125817</v>
      </c>
    </row>
    <row r="456" spans="1:10" ht="30" customHeight="1" x14ac:dyDescent="0.3">
      <c r="A456" s="98" t="s">
        <v>202</v>
      </c>
      <c r="B456" s="105" t="e">
        <f>B455</f>
        <v>#REF!</v>
      </c>
      <c r="C456" s="105" t="e">
        <f>C455</f>
        <v>#REF!</v>
      </c>
      <c r="D456" s="106">
        <v>31.22</v>
      </c>
      <c r="E456" s="109">
        <f>D456/37</f>
        <v>0.84378378378378371</v>
      </c>
      <c r="F456" s="104" t="e">
        <f>IF(ПРИЛОЖЕНИЕ!$A452=0,SUMIFS('итог '!U:U,'итог '!$B:$B,ПРИЛОЖЕНИЕ!$A451),SUMIFS('итог '!U:U,'итог '!$B:$B,ПРИЛОЖЕНИЕ!$A451,'итог '!$D:$D,ПРИЛОЖЕНИЕ!$A452))</f>
        <v>#REF!</v>
      </c>
      <c r="G456" s="105" t="e">
        <f>G455*(H456/H455)</f>
        <v>#REF!</v>
      </c>
      <c r="H456" s="105">
        <f>22983.4*1000</f>
        <v>22983400</v>
      </c>
      <c r="I456" s="105">
        <f>I455</f>
        <v>27585047</v>
      </c>
      <c r="J456" s="35">
        <f>H456-I456</f>
        <v>-4601647</v>
      </c>
    </row>
    <row r="457" spans="1:10" ht="26.25" customHeight="1" x14ac:dyDescent="0.3">
      <c r="A457" s="40" t="s">
        <v>203</v>
      </c>
      <c r="B457" s="40"/>
      <c r="C457" s="37"/>
      <c r="D457" s="37"/>
      <c r="E457" s="39"/>
      <c r="F457" s="38"/>
      <c r="G457" s="38"/>
      <c r="H457" s="38"/>
      <c r="I457" s="38"/>
    </row>
    <row r="458" spans="1:10" ht="32.25" customHeight="1" x14ac:dyDescent="0.3">
      <c r="A458" s="38" t="s">
        <v>135</v>
      </c>
      <c r="C458" s="37"/>
      <c r="D458" s="37"/>
      <c r="E458" s="39"/>
      <c r="F458" s="38"/>
      <c r="G458" s="41"/>
      <c r="H458" s="38" t="s">
        <v>136</v>
      </c>
      <c r="I458" s="38"/>
    </row>
    <row r="460" spans="1:10" x14ac:dyDescent="0.3">
      <c r="I460" s="45" t="str">
        <f>IF(J466&lt;0,"Приложение №1","")</f>
        <v/>
      </c>
      <c r="J460" s="85" t="s">
        <v>197</v>
      </c>
    </row>
    <row r="461" spans="1:10" ht="30" customHeight="1" x14ac:dyDescent="0.3">
      <c r="A461" s="201" t="s">
        <v>132</v>
      </c>
      <c r="B461" s="201"/>
      <c r="C461" s="201"/>
      <c r="D461" s="201"/>
      <c r="E461" s="201"/>
      <c r="F461" s="201"/>
      <c r="G461" s="201"/>
      <c r="H461" s="201"/>
      <c r="I461" s="201"/>
      <c r="J461" s="201"/>
    </row>
    <row r="462" spans="1:10" ht="30" customHeight="1" x14ac:dyDescent="0.3">
      <c r="A462" s="201">
        <v>888</v>
      </c>
      <c r="B462" s="201"/>
      <c r="C462" s="201"/>
      <c r="D462" s="201"/>
      <c r="E462" s="201"/>
      <c r="F462" s="201"/>
      <c r="G462" s="201"/>
      <c r="H462" s="201"/>
      <c r="I462" s="201"/>
      <c r="J462" s="201"/>
    </row>
    <row r="463" spans="1:10" x14ac:dyDescent="0.3">
      <c r="A463" s="220"/>
      <c r="B463" s="220"/>
      <c r="C463" s="220"/>
      <c r="D463" s="220"/>
      <c r="E463" s="220"/>
      <c r="F463" s="220"/>
      <c r="G463" s="220"/>
      <c r="H463" s="220"/>
      <c r="I463" s="220"/>
    </row>
    <row r="464" spans="1:10" ht="60" customHeight="1" x14ac:dyDescent="0.3">
      <c r="A464" s="190" t="s">
        <v>200</v>
      </c>
      <c r="B464" s="185" t="s">
        <v>125</v>
      </c>
      <c r="C464" s="186" t="s">
        <v>126</v>
      </c>
      <c r="D464" s="186" t="s">
        <v>199</v>
      </c>
      <c r="E464" s="186" t="s">
        <v>128</v>
      </c>
      <c r="F464" s="186" t="s">
        <v>129</v>
      </c>
      <c r="G464" s="186" t="s">
        <v>130</v>
      </c>
      <c r="H464" s="194" t="s">
        <v>131</v>
      </c>
      <c r="I464" s="195"/>
      <c r="J464" s="196"/>
    </row>
    <row r="465" spans="1:10" ht="60" customHeight="1" x14ac:dyDescent="0.3">
      <c r="A465" s="191"/>
      <c r="B465" s="185"/>
      <c r="C465" s="187"/>
      <c r="D465" s="187"/>
      <c r="E465" s="187"/>
      <c r="F465" s="187"/>
      <c r="G465" s="187"/>
      <c r="H465" s="98" t="s">
        <v>112</v>
      </c>
      <c r="I465" s="98" t="s">
        <v>110</v>
      </c>
      <c r="J465" s="98" t="s">
        <v>111</v>
      </c>
    </row>
    <row r="466" spans="1:10" ht="30" customHeight="1" x14ac:dyDescent="0.3">
      <c r="A466" s="98" t="s">
        <v>201</v>
      </c>
      <c r="B466" s="34" t="e">
        <f>IF(ПРИЛОЖЕНИЕ!$A463=0,SUMIFS('итог '!L:L,'итог '!$B:$B,ПРИЛОЖЕНИЕ!$A462),SUMIFS('итог '!L:L,'итог '!$B:$B,ПРИЛОЖЕНИЕ!$A462,'итог '!$D:$D,ПРИЛОЖЕНИЕ!$A463))</f>
        <v>#REF!</v>
      </c>
      <c r="C466" s="35" t="e">
        <f>IF(ПРИЛОЖЕНИЕ!$A463=0,SUMIFS('итог '!M:M,'итог '!$B:$B,ПРИЛОЖЕНИЕ!$A462),SUMIFS('итог '!M:M,'итог '!$B:$B,ПРИЛОЖЕНИЕ!$A462,'итог '!$D:$D,ПРИЛОЖЕНИЕ!$A463))</f>
        <v>#REF!</v>
      </c>
      <c r="D466" s="34">
        <f>IF(ПРИЛОЖЕНИЕ!$A463=0,SUMIFS('итог '!Q:Q,'итог '!$B:$B,ПРИЛОЖЕНИЕ!$A462),SUMIFS('итог '!Q:Q,'итог '!$B:$B,ПРИЛОЖЕНИЕ!$A462,'итог '!$D:$D,ПРИЛОЖЕНИЕ!$A463))</f>
        <v>23.120000000000005</v>
      </c>
      <c r="E466" s="34">
        <f>IF(ПРИЛОЖЕНИЕ!$A463=0,SUMIFS('итог '!S:S,'итог '!$B:$B,ПРИЛОЖЕНИЕ!$A462),SUMIFS('итог '!S:S,'итог '!$B:$B,ПРИЛОЖЕНИЕ!$A462,'итог '!$D:$D,ПРИЛОЖЕНИЕ!$A463))</f>
        <v>1.07</v>
      </c>
      <c r="F466" s="36" t="e">
        <f>IF(ПРИЛОЖЕНИЕ!$A463=0,SUMIFS('итог '!T:T,'итог '!$B:$B,ПРИЛОЖЕНИЕ!$A462),SUMIFS('итог '!T:T,'итог '!$B:$B,ПРИЛОЖЕНИЕ!$A462,'итог '!$D:$D,ПРИЛОЖЕНИЕ!$A463))</f>
        <v>#REF!</v>
      </c>
      <c r="G466" s="35" t="e">
        <f>IF(ПРИЛОЖЕНИЕ!$A463=0,SUMIFS('итог '!V:V,'итог '!$B:$B,ПРИЛОЖЕНИЕ!$A462),SUMIFS('итог '!V:V,'итог '!$B:$B,ПРИЛОЖЕНИЕ!$A462,'итог '!$D:$D,ПРИЛОЖЕНИЕ!$A463))</f>
        <v>#REF!</v>
      </c>
      <c r="H466" s="35">
        <f>IF(ПРИЛОЖЕНИЕ!$A463=0,SUMIFS('итог '!W:W,'итог '!$B:$B,ПРИЛОЖЕНИЕ!$A462),SUMIFS('итог '!W:W,'итог '!$B:$B,ПРИЛОЖЕНИЕ!$A462,'итог '!$D:$D,ПРИЛОЖЕНИЕ!$A463))</f>
        <v>14150808</v>
      </c>
      <c r="I466" s="35">
        <f>IF(ПРИЛОЖЕНИЕ!$A463=0,SUMIFS('итог '!X:X,'итог '!$B:$B,ПРИЛОЖЕНИЕ!$A462),SUMIFS('итог '!X:X,'итог '!$B:$B,ПРИЛОЖЕНИЕ!$A462,'итог '!$D:$D,ПРИЛОЖЕНИЕ!$A463))</f>
        <v>13473961</v>
      </c>
      <c r="J466" s="35">
        <f>IF(ПРИЛОЖЕНИЕ!$A463=0,SUMIFS('итог '!Y:Y,'итог '!$B:$B,ПРИЛОЖЕНИЕ!$A462),SUMIFS('итог '!Y:Y,'итог '!$B:$B,ПРИЛОЖЕНИЕ!$A462,'итог '!$D:$D,ПРИЛОЖЕНИЕ!$A463))</f>
        <v>676847</v>
      </c>
    </row>
    <row r="467" spans="1:10" ht="30" customHeight="1" x14ac:dyDescent="0.3">
      <c r="A467" s="98" t="s">
        <v>202</v>
      </c>
      <c r="B467" s="110" t="e">
        <f>B466</f>
        <v>#REF!</v>
      </c>
      <c r="C467" s="105" t="e">
        <f>C466</f>
        <v>#REF!</v>
      </c>
      <c r="D467" s="106">
        <v>16.829999999999998</v>
      </c>
      <c r="E467" s="109">
        <f>D467/20</f>
        <v>0.84149999999999991</v>
      </c>
      <c r="F467" s="104" t="e">
        <f>IF(ПРИЛОЖЕНИЕ!$A463=0,SUMIFS('итог '!U:U,'итог '!$B:$B,ПРИЛОЖЕНИЕ!$A462),SUMIFS('итог '!U:U,'итог '!$B:$B,ПРИЛОЖЕНИЕ!$A462,'итог '!$D:$D,ПРИЛОЖЕНИЕ!$A463))</f>
        <v>#REF!</v>
      </c>
      <c r="G467" s="105" t="e">
        <f>G466*(H467/H466)</f>
        <v>#REF!</v>
      </c>
      <c r="H467" s="105">
        <f>11340.9*1000</f>
        <v>11340900</v>
      </c>
      <c r="I467" s="105">
        <f>I466</f>
        <v>13473961</v>
      </c>
      <c r="J467" s="35">
        <f>H467-I467</f>
        <v>-2133061</v>
      </c>
    </row>
    <row r="468" spans="1:10" ht="36" customHeight="1" x14ac:dyDescent="0.3">
      <c r="A468" s="40" t="s">
        <v>203</v>
      </c>
      <c r="C468" s="37"/>
      <c r="D468" s="37"/>
      <c r="E468" s="39"/>
      <c r="F468" s="38"/>
      <c r="G468" s="38"/>
      <c r="H468" s="38"/>
      <c r="I468" s="38"/>
    </row>
    <row r="469" spans="1:10" ht="33.75" customHeight="1" x14ac:dyDescent="0.3">
      <c r="A469" s="38" t="s">
        <v>135</v>
      </c>
      <c r="C469" s="37"/>
      <c r="D469" s="37"/>
      <c r="E469" s="39"/>
      <c r="F469" s="38"/>
      <c r="G469" s="41"/>
      <c r="H469" s="38" t="s">
        <v>136</v>
      </c>
      <c r="I469" s="38"/>
    </row>
    <row r="471" spans="1:10" x14ac:dyDescent="0.3">
      <c r="J471" s="88" t="str">
        <f>IF(J477&lt;0,"Приложение №1","")</f>
        <v>Приложение №1</v>
      </c>
    </row>
    <row r="472" spans="1:10" ht="30" customHeight="1" x14ac:dyDescent="0.3">
      <c r="A472" s="201" t="s">
        <v>132</v>
      </c>
      <c r="B472" s="201"/>
      <c r="C472" s="201"/>
      <c r="D472" s="201"/>
      <c r="E472" s="201"/>
      <c r="F472" s="201"/>
      <c r="G472" s="201"/>
      <c r="H472" s="201"/>
      <c r="I472" s="201"/>
      <c r="J472" s="201"/>
    </row>
    <row r="473" spans="1:10" ht="30" customHeight="1" x14ac:dyDescent="0.3">
      <c r="A473" s="201">
        <v>889</v>
      </c>
      <c r="B473" s="201"/>
      <c r="C473" s="201"/>
      <c r="D473" s="201"/>
      <c r="E473" s="201"/>
      <c r="F473" s="201"/>
      <c r="G473" s="201"/>
      <c r="H473" s="201"/>
      <c r="I473" s="201"/>
      <c r="J473" s="201"/>
    </row>
    <row r="474" spans="1:10" x14ac:dyDescent="0.3">
      <c r="A474" s="220"/>
      <c r="B474" s="220"/>
      <c r="C474" s="220"/>
      <c r="D474" s="220"/>
      <c r="E474" s="220"/>
      <c r="F474" s="220"/>
      <c r="G474" s="220"/>
      <c r="H474" s="220"/>
      <c r="I474" s="220"/>
    </row>
    <row r="475" spans="1:10" s="24" customFormat="1" ht="60" customHeight="1" x14ac:dyDescent="0.25">
      <c r="A475" s="190" t="s">
        <v>200</v>
      </c>
      <c r="B475" s="185" t="s">
        <v>125</v>
      </c>
      <c r="C475" s="186" t="s">
        <v>126</v>
      </c>
      <c r="D475" s="186" t="s">
        <v>199</v>
      </c>
      <c r="E475" s="186" t="s">
        <v>128</v>
      </c>
      <c r="F475" s="186" t="s">
        <v>129</v>
      </c>
      <c r="G475" s="186" t="s">
        <v>130</v>
      </c>
      <c r="H475" s="194" t="s">
        <v>131</v>
      </c>
      <c r="I475" s="195"/>
      <c r="J475" s="196"/>
    </row>
    <row r="476" spans="1:10" s="24" customFormat="1" ht="60" customHeight="1" x14ac:dyDescent="0.25">
      <c r="A476" s="191"/>
      <c r="B476" s="185"/>
      <c r="C476" s="187"/>
      <c r="D476" s="187"/>
      <c r="E476" s="187"/>
      <c r="F476" s="187"/>
      <c r="G476" s="187"/>
      <c r="H476" s="98" t="s">
        <v>112</v>
      </c>
      <c r="I476" s="98" t="s">
        <v>110</v>
      </c>
      <c r="J476" s="98" t="s">
        <v>111</v>
      </c>
    </row>
    <row r="477" spans="1:10" ht="30" customHeight="1" x14ac:dyDescent="0.3">
      <c r="A477" s="98" t="s">
        <v>201</v>
      </c>
      <c r="B477" s="34" t="e">
        <f>IF(ПРИЛОЖЕНИЕ!$A474=0,SUMIFS('итог '!L:L,'итог '!$B:$B,ПРИЛОЖЕНИЕ!$A473),SUMIFS('итог '!L:L,'итог '!$B:$B,ПРИЛОЖЕНИЕ!$A473,'итог '!$D:$D,ПРИЛОЖЕНИЕ!$A474))</f>
        <v>#REF!</v>
      </c>
      <c r="C477" s="35" t="e">
        <f>IF(ПРИЛОЖЕНИЕ!$A474=0,SUMIFS('итог '!M:M,'итог '!$B:$B,ПРИЛОЖЕНИЕ!$A473),SUMIFS('итог '!M:M,'итог '!$B:$B,ПРИЛОЖЕНИЕ!$A473,'итог '!$D:$D,ПРИЛОЖЕНИЕ!$A474))</f>
        <v>#REF!</v>
      </c>
      <c r="D477" s="34">
        <f>IF(ПРИЛОЖЕНИЕ!$A474=0,SUMIFS('итог '!Q:Q,'итог '!$B:$B,ПРИЛОЖЕНИЕ!$A473),SUMIFS('итог '!Q:Q,'итог '!$B:$B,ПРИЛОЖЕНИЕ!$A473,'итог '!$D:$D,ПРИЛОЖЕНИЕ!$A474))</f>
        <v>3.42</v>
      </c>
      <c r="E477" s="34">
        <f>IF(ПРИЛОЖЕНИЕ!$A474=0,SUMIFS('итог '!S:S,'итог '!$B:$B,ПРИЛОЖЕНИЕ!$A473),SUMIFS('итог '!S:S,'итог '!$B:$B,ПРИЛОЖЕНИЕ!$A473,'итог '!$D:$D,ПРИЛОЖЕНИЕ!$A474))</f>
        <v>1</v>
      </c>
      <c r="F477" s="36" t="e">
        <f>IF(ПРИЛОЖЕНИЕ!$A474=0,SUMIFS('итог '!T:T,'итог '!$B:$B,ПРИЛОЖЕНИЕ!$A473),SUMIFS('итог '!T:T,'итог '!$B:$B,ПРИЛОЖЕНИЕ!$A473,'итог '!$D:$D,ПРИЛОЖЕНИЕ!$A474))</f>
        <v>#REF!</v>
      </c>
      <c r="G477" s="35" t="e">
        <f>IF(ПРИЛОЖЕНИЕ!$A474=0,SUMIFS('итог '!V:V,'итог '!$B:$B,ПРИЛОЖЕНИЕ!$A473),SUMIFS('итог '!V:V,'итог '!$B:$B,ПРИЛОЖЕНИЕ!$A473,'итог '!$D:$D,ПРИЛОЖЕНИЕ!$A474))</f>
        <v>#REF!</v>
      </c>
      <c r="H477" s="35">
        <f>IF(ПРИЛОЖЕНИЕ!$A474=0,SUMIFS('итог '!W:W,'итог '!$B:$B,ПРИЛОЖЕНИЕ!$A473),SUMIFS('итог '!W:W,'итог '!$B:$B,ПРИЛОЖЕНИЕ!$A473,'итог '!$D:$D,ПРИЛОЖЕНИЕ!$A474))</f>
        <v>2632000</v>
      </c>
      <c r="I477" s="35">
        <f>IF(ПРИЛОЖЕНИЕ!$A474=0,SUMIFS('итог '!X:X,'итог '!$B:$B,ПРИЛОЖЕНИЕ!$A473),SUMIFS('итог '!X:X,'итог '!$B:$B,ПРИЛОЖЕНИЕ!$A473,'итог '!$D:$D,ПРИЛОЖЕНИЕ!$A474))</f>
        <v>3032793</v>
      </c>
      <c r="J477" s="35">
        <f>IF(ПРИЛОЖЕНИЕ!$A474=0,SUMIFS('итог '!Y:Y,'итог '!$B:$B,ПРИЛОЖЕНИЕ!$A473),SUMIFS('итог '!Y:Y,'итог '!$B:$B,ПРИЛОЖЕНИЕ!$A473,'итог '!$D:$D,ПРИЛОЖЕНИЕ!$A474))</f>
        <v>-400793</v>
      </c>
    </row>
    <row r="478" spans="1:10" ht="30" customHeight="1" x14ac:dyDescent="0.3">
      <c r="A478" s="98" t="s">
        <v>202</v>
      </c>
      <c r="B478" s="110" t="e">
        <f>B477</f>
        <v>#REF!</v>
      </c>
      <c r="C478" s="105" t="e">
        <f>C477</f>
        <v>#REF!</v>
      </c>
      <c r="D478" s="106">
        <v>2.62</v>
      </c>
      <c r="E478" s="109">
        <f>D478/3</f>
        <v>0.87333333333333341</v>
      </c>
      <c r="F478" s="104" t="e">
        <f>IF(ПРИЛОЖЕНИЕ!$A474=0,SUMIFS('итог '!U:U,'итог '!$B:$B,ПРИЛОЖЕНИЕ!$A473),SUMIFS('итог '!U:U,'итог '!$B:$B,ПРИЛОЖЕНИЕ!$A473,'итог '!$D:$D,ПРИЛОЖЕНИЕ!$A474))</f>
        <v>#REF!</v>
      </c>
      <c r="G478" s="105" t="e">
        <f>G477*(H478/H477)</f>
        <v>#REF!</v>
      </c>
      <c r="H478" s="105">
        <f>2298.5*1000</f>
        <v>2298500</v>
      </c>
      <c r="I478" s="105">
        <f>I477</f>
        <v>3032793</v>
      </c>
      <c r="J478" s="35">
        <f>H478-I478</f>
        <v>-734293</v>
      </c>
    </row>
    <row r="479" spans="1:10" ht="29.25" customHeight="1" x14ac:dyDescent="0.3">
      <c r="A479" s="87" t="s">
        <v>198</v>
      </c>
      <c r="C479" s="37"/>
      <c r="D479" s="37"/>
      <c r="E479" s="39"/>
      <c r="F479" s="38"/>
      <c r="G479" s="38"/>
      <c r="H479" s="38"/>
      <c r="I479" s="38"/>
    </row>
    <row r="480" spans="1:10" ht="31.5" customHeight="1" x14ac:dyDescent="0.3">
      <c r="A480" s="38" t="s">
        <v>135</v>
      </c>
      <c r="C480" s="37"/>
      <c r="D480" s="37"/>
      <c r="E480" s="39"/>
      <c r="F480" s="38"/>
      <c r="G480" s="41"/>
      <c r="H480" s="38" t="s">
        <v>136</v>
      </c>
      <c r="I480" s="38"/>
    </row>
    <row r="481" spans="1:9" outlineLevel="1" x14ac:dyDescent="0.3"/>
    <row r="482" spans="1:9" outlineLevel="1" x14ac:dyDescent="0.3">
      <c r="I482" s="88" t="str">
        <f>IF(I488&lt;0,"Приложение №1","")</f>
        <v>Приложение №1</v>
      </c>
    </row>
    <row r="483" spans="1:9" ht="25.5" outlineLevel="1" x14ac:dyDescent="0.3">
      <c r="A483" s="201" t="s">
        <v>132</v>
      </c>
      <c r="B483" s="201"/>
      <c r="C483" s="201"/>
      <c r="D483" s="201"/>
      <c r="E483" s="201"/>
      <c r="F483" s="201"/>
      <c r="G483" s="201"/>
      <c r="H483" s="201"/>
      <c r="I483" s="201"/>
    </row>
    <row r="484" spans="1:9" ht="25.5" outlineLevel="1" x14ac:dyDescent="0.3">
      <c r="A484" s="201" t="s">
        <v>148</v>
      </c>
      <c r="B484" s="201"/>
      <c r="C484" s="201"/>
      <c r="D484" s="201"/>
      <c r="E484" s="201"/>
      <c r="F484" s="201"/>
      <c r="G484" s="201"/>
      <c r="H484" s="201"/>
      <c r="I484" s="201"/>
    </row>
    <row r="485" spans="1:9" outlineLevel="1" x14ac:dyDescent="0.3">
      <c r="A485" s="202"/>
      <c r="B485" s="202"/>
      <c r="C485" s="202"/>
      <c r="D485" s="202"/>
      <c r="E485" s="202"/>
      <c r="F485" s="202"/>
      <c r="G485" s="202"/>
      <c r="H485" s="202"/>
      <c r="I485" s="202"/>
    </row>
    <row r="486" spans="1:9" s="24" customFormat="1" ht="60" customHeight="1" outlineLevel="1" x14ac:dyDescent="0.25">
      <c r="A486" s="185" t="s">
        <v>125</v>
      </c>
      <c r="B486" s="200" t="s">
        <v>126</v>
      </c>
      <c r="C486" s="203" t="s">
        <v>199</v>
      </c>
      <c r="D486" s="185" t="s">
        <v>128</v>
      </c>
      <c r="E486" s="213" t="s">
        <v>129</v>
      </c>
      <c r="F486" s="214" t="s">
        <v>130</v>
      </c>
      <c r="G486" s="200" t="s">
        <v>131</v>
      </c>
      <c r="H486" s="200"/>
      <c r="I486" s="200"/>
    </row>
    <row r="487" spans="1:9" s="24" customFormat="1" ht="60" customHeight="1" outlineLevel="1" x14ac:dyDescent="0.25">
      <c r="A487" s="185"/>
      <c r="B487" s="200"/>
      <c r="C487" s="203"/>
      <c r="D487" s="185"/>
      <c r="E487" s="213"/>
      <c r="F487" s="214"/>
      <c r="G487" s="86" t="s">
        <v>112</v>
      </c>
      <c r="H487" s="86" t="s">
        <v>110</v>
      </c>
      <c r="I487" s="86" t="s">
        <v>111</v>
      </c>
    </row>
    <row r="488" spans="1:9" ht="24" customHeight="1" outlineLevel="1" x14ac:dyDescent="0.3">
      <c r="A488" s="34" t="e">
        <f>IF(ПРИЛОЖЕНИЕ!$A485=0,SUMIFS('итог '!L:L,'итог '!$B:$B,ПРИЛОЖЕНИЕ!$A484),SUMIFS('итог '!L:L,'итог '!$B:$B,ПРИЛОЖЕНИЕ!$A484,'итог '!$D:$D,ПРИЛОЖЕНИЕ!$A485))</f>
        <v>#REF!</v>
      </c>
      <c r="B488" s="35" t="e">
        <f>IF(ПРИЛОЖЕНИЕ!$A485=0,SUMIFS('итог '!M:M,'итог '!$B:$B,ПРИЛОЖЕНИЕ!$A484),SUMIFS('итог '!M:M,'итог '!$B:$B,ПРИЛОЖЕНИЕ!$A484,'итог '!$D:$D,ПРИЛОЖЕНИЕ!$A485))</f>
        <v>#REF!</v>
      </c>
      <c r="C488" s="34">
        <f>IF(ПРИЛОЖЕНИЕ!$A485=0,SUMIFS('итог '!Q:Q,'итог '!$B:$B,ПРИЛОЖЕНИЕ!$A484),SUMIFS('итог '!Q:Q,'итог '!$B:$B,ПРИЛОЖЕНИЕ!$A484,'итог '!$D:$D,ПРИЛОЖЕНИЕ!$A485))</f>
        <v>28.9</v>
      </c>
      <c r="D488" s="34">
        <f>IF(ПРИЛОЖЕНИЕ!$A485=0,SUMIFS('итог '!S:S,'итог '!$B:$B,ПРИЛОЖЕНИЕ!$A484),SUMIFS('итог '!S:S,'итог '!$B:$B,ПРИЛОЖЕНИЕ!$A484,'итог '!$D:$D,ПРИЛОЖЕНИЕ!$A485))</f>
        <v>1.05</v>
      </c>
      <c r="E488" s="36" t="e">
        <f>IF(ПРИЛОЖЕНИЕ!$A485=0,SUMIFS('итог '!T:T,'итог '!$B:$B,ПРИЛОЖЕНИЕ!$A484),SUMIFS('итог '!T:T,'итог '!$B:$B,ПРИЛОЖЕНИЕ!$A484,'итог '!$D:$D,ПРИЛОЖЕНИЕ!$A485))</f>
        <v>#REF!</v>
      </c>
      <c r="F488" s="35" t="e">
        <f>IF(ПРИЛОЖЕНИЕ!$A485=0,SUMIFS('итог '!V:V,'итог '!$B:$B,ПРИЛОЖЕНИЕ!$A484),SUMIFS('итог '!V:V,'итог '!$B:$B,ПРИЛОЖЕНИЕ!$A484,'итог '!$D:$D,ПРИЛОЖЕНИЕ!$A485))</f>
        <v>#REF!</v>
      </c>
      <c r="G488" s="35">
        <f>IF(ПРИЛОЖЕНИЕ!$A485=0,SUMIFS('итог '!W:W,'итог '!$B:$B,ПРИЛОЖЕНИЕ!$A484),SUMIFS('итог '!W:W,'итог '!$B:$B,ПРИЛОЖЕНИЕ!$A484,'итог '!$D:$D,ПРИЛОЖЕНИЕ!$A485))</f>
        <v>18574920</v>
      </c>
      <c r="H488" s="35">
        <f>IF(ПРИЛОЖЕНИЕ!$A485=0,SUMIFS('итог '!X:X,'итог '!$B:$B,ПРИЛОЖЕНИЕ!$A484),SUMIFS('итог '!X:X,'итог '!$B:$B,ПРИЛОЖЕНИЕ!$A484,'итог '!$D:$D,ПРИЛОЖЕНИЕ!$A485))</f>
        <v>18703570</v>
      </c>
      <c r="I488" s="35">
        <f>IF(ПРИЛОЖЕНИЕ!$A485=0,SUMIFS('итог '!Y:Y,'итог '!$B:$B,ПРИЛОЖЕНИЕ!$A484),SUMIFS('итог '!Y:Y,'итог '!$B:$B,ПРИЛОЖЕНИЕ!$A484,'итог '!$D:$D,ПРИЛОЖЕНИЕ!$A485))</f>
        <v>-128650</v>
      </c>
    </row>
    <row r="489" spans="1:9" outlineLevel="1" x14ac:dyDescent="0.3">
      <c r="A489" s="37"/>
      <c r="B489" s="38"/>
      <c r="C489" s="37"/>
      <c r="D489" s="37"/>
      <c r="E489" s="39"/>
      <c r="F489" s="38"/>
      <c r="G489" s="38"/>
      <c r="H489" s="38"/>
      <c r="I489" s="38"/>
    </row>
    <row r="490" spans="1:9" outlineLevel="1" x14ac:dyDescent="0.3">
      <c r="A490" s="87" t="s">
        <v>198</v>
      </c>
      <c r="C490" s="37"/>
      <c r="D490" s="37"/>
      <c r="E490" s="39"/>
      <c r="F490" s="38"/>
      <c r="G490" s="38"/>
      <c r="H490" s="38"/>
      <c r="I490" s="38"/>
    </row>
    <row r="491" spans="1:9" outlineLevel="1" x14ac:dyDescent="0.3">
      <c r="A491" s="38" t="s">
        <v>135</v>
      </c>
      <c r="C491" s="37"/>
      <c r="D491" s="37"/>
      <c r="E491" s="39"/>
      <c r="F491" s="38"/>
      <c r="G491" s="41"/>
      <c r="H491" s="38" t="s">
        <v>136</v>
      </c>
      <c r="I491" s="38"/>
    </row>
    <row r="492" spans="1:9" outlineLevel="1" x14ac:dyDescent="0.3"/>
    <row r="493" spans="1:9" outlineLevel="1" x14ac:dyDescent="0.3">
      <c r="I493" s="45" t="str">
        <f>IF(I499&lt;0,"Приложение №1","")</f>
        <v/>
      </c>
    </row>
    <row r="494" spans="1:9" ht="25.5" outlineLevel="1" x14ac:dyDescent="0.3">
      <c r="A494" s="201" t="s">
        <v>132</v>
      </c>
      <c r="B494" s="201"/>
      <c r="C494" s="201"/>
      <c r="D494" s="201"/>
      <c r="E494" s="201"/>
      <c r="F494" s="201"/>
      <c r="G494" s="201"/>
      <c r="H494" s="201"/>
      <c r="I494" s="201"/>
    </row>
    <row r="495" spans="1:9" ht="25.5" outlineLevel="1" x14ac:dyDescent="0.3">
      <c r="A495" s="201" t="s">
        <v>149</v>
      </c>
      <c r="B495" s="201"/>
      <c r="C495" s="201"/>
      <c r="D495" s="201"/>
      <c r="E495" s="201"/>
      <c r="F495" s="201"/>
      <c r="G495" s="201"/>
      <c r="H495" s="201"/>
      <c r="I495" s="201"/>
    </row>
    <row r="496" spans="1:9" outlineLevel="1" x14ac:dyDescent="0.3">
      <c r="A496" s="202"/>
      <c r="B496" s="202"/>
      <c r="C496" s="202"/>
      <c r="D496" s="202"/>
      <c r="E496" s="202"/>
      <c r="F496" s="202"/>
      <c r="G496" s="202"/>
      <c r="H496" s="202"/>
      <c r="I496" s="202"/>
    </row>
    <row r="497" spans="1:9" s="24" customFormat="1" ht="60" customHeight="1" outlineLevel="1" x14ac:dyDescent="0.25">
      <c r="A497" s="185" t="s">
        <v>125</v>
      </c>
      <c r="B497" s="200" t="s">
        <v>126</v>
      </c>
      <c r="C497" s="203" t="s">
        <v>199</v>
      </c>
      <c r="D497" s="185" t="s">
        <v>128</v>
      </c>
      <c r="E497" s="213" t="s">
        <v>129</v>
      </c>
      <c r="F497" s="214" t="s">
        <v>130</v>
      </c>
      <c r="G497" s="200" t="s">
        <v>131</v>
      </c>
      <c r="H497" s="200"/>
      <c r="I497" s="200"/>
    </row>
    <row r="498" spans="1:9" s="24" customFormat="1" ht="60" customHeight="1" outlineLevel="1" x14ac:dyDescent="0.25">
      <c r="A498" s="185"/>
      <c r="B498" s="200"/>
      <c r="C498" s="203"/>
      <c r="D498" s="185"/>
      <c r="E498" s="213"/>
      <c r="F498" s="214"/>
      <c r="G498" s="86" t="s">
        <v>112</v>
      </c>
      <c r="H498" s="86" t="s">
        <v>110</v>
      </c>
      <c r="I498" s="86" t="s">
        <v>111</v>
      </c>
    </row>
    <row r="499" spans="1:9" ht="24" customHeight="1" outlineLevel="1" x14ac:dyDescent="0.3">
      <c r="A499" s="34" t="e">
        <f>IF(ПРИЛОЖЕНИЕ!$A496=0,SUMIFS('итог '!L:L,'итог '!$B:$B,ПРИЛОЖЕНИЕ!$A495),SUMIFS('итог '!L:L,'итог '!$B:$B,ПРИЛОЖЕНИЕ!$A495,'итог '!$D:$D,ПРИЛОЖЕНИЕ!$A496))</f>
        <v>#REF!</v>
      </c>
      <c r="B499" s="35" t="e">
        <f>IF(ПРИЛОЖЕНИЕ!$A496=0,SUMIFS('итог '!M:M,'итог '!$B:$B,ПРИЛОЖЕНИЕ!$A495),SUMIFS('итог '!M:M,'итог '!$B:$B,ПРИЛОЖЕНИЕ!$A495,'итог '!$D:$D,ПРИЛОЖЕНИЕ!$A496))</f>
        <v>#REF!</v>
      </c>
      <c r="C499" s="34">
        <f>IF(ПРИЛОЖЕНИЕ!$A496=0,SUMIFS('итог '!Q:Q,'итог '!$B:$B,ПРИЛОЖЕНИЕ!$A495),SUMIFS('итог '!Q:Q,'итог '!$B:$B,ПРИЛОЖЕНИЕ!$A495,'итог '!$D:$D,ПРИЛОЖЕНИЕ!$A496))</f>
        <v>52.769999999999996</v>
      </c>
      <c r="D499" s="34">
        <f>IF(ПРИЛОЖЕНИЕ!$A496=0,SUMIFS('итог '!S:S,'итог '!$B:$B,ПРИЛОЖЕНИЕ!$A495),SUMIFS('итог '!S:S,'итог '!$B:$B,ПРИЛОЖЕНИЕ!$A495,'итог '!$D:$D,ПРИЛОЖЕНИЕ!$A496))</f>
        <v>1.07</v>
      </c>
      <c r="E499" s="36" t="e">
        <f>IF(ПРИЛОЖЕНИЕ!$A496=0,SUMIFS('итог '!T:T,'итог '!$B:$B,ПРИЛОЖЕНИЕ!$A495),SUMIFS('итог '!T:T,'итог '!$B:$B,ПРИЛОЖЕНИЕ!$A495,'итог '!$D:$D,ПРИЛОЖЕНИЕ!$A496))</f>
        <v>#REF!</v>
      </c>
      <c r="F499" s="35" t="e">
        <f>IF(ПРИЛОЖЕНИЕ!$A496=0,SUMIFS('итог '!V:V,'итог '!$B:$B,ПРИЛОЖЕНИЕ!$A495),SUMIFS('итог '!V:V,'итог '!$B:$B,ПРИЛОЖЕНИЕ!$A495,'итог '!$D:$D,ПРИЛОЖЕНИЕ!$A496))</f>
        <v>#REF!</v>
      </c>
      <c r="G499" s="35">
        <f>IF(ПРИЛОЖЕНИЕ!$A496=0,SUMIFS('итог '!W:W,'итог '!$B:$B,ПРИЛОЖЕНИЕ!$A495),SUMIFS('итог '!W:W,'итог '!$B:$B,ПРИЛОЖЕНИЕ!$A495,'итог '!$D:$D,ПРИЛОЖЕНИЕ!$A496))</f>
        <v>34868400</v>
      </c>
      <c r="H499" s="35">
        <f>IF(ПРИЛОЖЕНИЕ!$A496=0,SUMIFS('итог '!X:X,'итог '!$B:$B,ПРИЛОЖЕНИЕ!$A495),SUMIFS('итог '!X:X,'итог '!$B:$B,ПРИЛОЖЕНИЕ!$A495,'итог '!$D:$D,ПРИЛОЖЕНИЕ!$A496))</f>
        <v>33958616</v>
      </c>
      <c r="I499" s="35">
        <f>IF(ПРИЛОЖЕНИЕ!$A496=0,SUMIFS('итог '!Y:Y,'итог '!$B:$B,ПРИЛОЖЕНИЕ!$A495),SUMIFS('итог '!Y:Y,'итог '!$B:$B,ПРИЛОЖЕНИЕ!$A495,'итог '!$D:$D,ПРИЛОЖЕНИЕ!$A496))</f>
        <v>909784</v>
      </c>
    </row>
    <row r="500" spans="1:9" outlineLevel="1" x14ac:dyDescent="0.3">
      <c r="A500" s="37"/>
      <c r="B500" s="38"/>
      <c r="C500" s="37"/>
      <c r="D500" s="37"/>
      <c r="E500" s="39"/>
      <c r="F500" s="38"/>
      <c r="G500" s="38"/>
      <c r="H500" s="38"/>
      <c r="I500" s="38"/>
    </row>
    <row r="501" spans="1:9" outlineLevel="1" x14ac:dyDescent="0.3">
      <c r="A501" s="37"/>
      <c r="B501" s="40" t="s">
        <v>134</v>
      </c>
      <c r="C501" s="37"/>
      <c r="D501" s="37"/>
      <c r="E501" s="39"/>
      <c r="F501" s="38"/>
      <c r="G501" s="38"/>
      <c r="H501" s="38"/>
      <c r="I501" s="38"/>
    </row>
    <row r="502" spans="1:9" outlineLevel="1" x14ac:dyDescent="0.3">
      <c r="A502" s="37"/>
      <c r="B502" s="38" t="s">
        <v>135</v>
      </c>
      <c r="C502" s="37"/>
      <c r="D502" s="37"/>
      <c r="E502" s="39"/>
      <c r="F502" s="38"/>
      <c r="G502" s="41"/>
      <c r="H502" s="38" t="s">
        <v>136</v>
      </c>
      <c r="I502" s="38"/>
    </row>
    <row r="503" spans="1:9" outlineLevel="1" x14ac:dyDescent="0.3"/>
    <row r="504" spans="1:9" outlineLevel="1" x14ac:dyDescent="0.3">
      <c r="I504" s="45" t="str">
        <f>IF(I510&lt;0,"Приложение №1","")</f>
        <v/>
      </c>
    </row>
    <row r="505" spans="1:9" ht="30" customHeight="1" outlineLevel="1" x14ac:dyDescent="0.3">
      <c r="A505" s="201" t="s">
        <v>132</v>
      </c>
      <c r="B505" s="201"/>
      <c r="C505" s="201"/>
      <c r="D505" s="201"/>
      <c r="E505" s="201"/>
      <c r="F505" s="201"/>
      <c r="G505" s="201"/>
      <c r="H505" s="201"/>
      <c r="I505" s="201"/>
    </row>
    <row r="506" spans="1:9" ht="30" customHeight="1" outlineLevel="1" x14ac:dyDescent="0.3">
      <c r="A506" s="201" t="s">
        <v>150</v>
      </c>
      <c r="B506" s="201"/>
      <c r="C506" s="201"/>
      <c r="D506" s="201"/>
      <c r="E506" s="201"/>
      <c r="F506" s="201"/>
      <c r="G506" s="201"/>
      <c r="H506" s="201"/>
      <c r="I506" s="201"/>
    </row>
    <row r="507" spans="1:9" outlineLevel="1" x14ac:dyDescent="0.3">
      <c r="A507" s="202"/>
      <c r="B507" s="202"/>
      <c r="C507" s="202"/>
      <c r="D507" s="202"/>
      <c r="E507" s="202"/>
      <c r="F507" s="202"/>
      <c r="G507" s="202"/>
      <c r="H507" s="202"/>
      <c r="I507" s="202"/>
    </row>
    <row r="508" spans="1:9" s="24" customFormat="1" ht="60" customHeight="1" outlineLevel="1" x14ac:dyDescent="0.25">
      <c r="A508" s="185" t="s">
        <v>125</v>
      </c>
      <c r="B508" s="200" t="s">
        <v>126</v>
      </c>
      <c r="C508" s="203" t="s">
        <v>199</v>
      </c>
      <c r="D508" s="185" t="s">
        <v>128</v>
      </c>
      <c r="E508" s="213" t="s">
        <v>129</v>
      </c>
      <c r="F508" s="214" t="s">
        <v>130</v>
      </c>
      <c r="G508" s="200" t="s">
        <v>131</v>
      </c>
      <c r="H508" s="200"/>
      <c r="I508" s="200"/>
    </row>
    <row r="509" spans="1:9" s="24" customFormat="1" ht="60" customHeight="1" outlineLevel="1" x14ac:dyDescent="0.25">
      <c r="A509" s="185"/>
      <c r="B509" s="200"/>
      <c r="C509" s="203"/>
      <c r="D509" s="185"/>
      <c r="E509" s="213"/>
      <c r="F509" s="214"/>
      <c r="G509" s="86" t="s">
        <v>112</v>
      </c>
      <c r="H509" s="86" t="s">
        <v>110</v>
      </c>
      <c r="I509" s="86" t="s">
        <v>111</v>
      </c>
    </row>
    <row r="510" spans="1:9" ht="24" customHeight="1" outlineLevel="1" x14ac:dyDescent="0.3">
      <c r="A510" s="34" t="e">
        <f>IF(ПРИЛОЖЕНИЕ!$A507=0,SUMIFS('итог '!L:L,'итог '!$B:$B,ПРИЛОЖЕНИЕ!$A506),SUMIFS('итог '!L:L,'итог '!$B:$B,ПРИЛОЖЕНИЕ!$A506,'итог '!$D:$D,ПРИЛОЖЕНИЕ!$A507))</f>
        <v>#REF!</v>
      </c>
      <c r="B510" s="35" t="e">
        <f>IF(ПРИЛОЖЕНИЕ!$A507=0,SUMIFS('итог '!M:M,'итог '!$B:$B,ПРИЛОЖЕНИЕ!$A506),SUMIFS('итог '!M:M,'итог '!$B:$B,ПРИЛОЖЕНИЕ!$A506,'итог '!$D:$D,ПРИЛОЖЕНИЕ!$A507))</f>
        <v>#REF!</v>
      </c>
      <c r="C510" s="34">
        <f>IF(ПРИЛОЖЕНИЕ!$A507=0,SUMIFS('итог '!Q:Q,'итог '!$B:$B,ПРИЛОЖЕНИЕ!$A506),SUMIFS('итог '!Q:Q,'итог '!$B:$B,ПРИЛОЖЕНИЕ!$A506,'итог '!$D:$D,ПРИЛОЖЕНИЕ!$A507))</f>
        <v>174.79999999999998</v>
      </c>
      <c r="D510" s="34">
        <f>IF(ПРИЛОЖЕНИЕ!$A507=0,SUMIFS('итог '!S:S,'итог '!$B:$B,ПРИЛОЖЕНИЕ!$A506),SUMIFS('итог '!S:S,'итог '!$B:$B,ПРИЛОЖЕНИЕ!$A506,'итог '!$D:$D,ПРИЛОЖЕНИЕ!$A507))</f>
        <v>1.07</v>
      </c>
      <c r="E510" s="36" t="e">
        <f>IF(ПРИЛОЖЕНИЕ!$A507=0,SUMIFS('итог '!T:T,'итог '!$B:$B,ПРИЛОЖЕНИЕ!$A506),SUMIFS('итог '!T:T,'итог '!$B:$B,ПРИЛОЖЕНИЕ!$A506,'итог '!$D:$D,ПРИЛОЖЕНИЕ!$A507))</f>
        <v>#REF!</v>
      </c>
      <c r="F510" s="35" t="e">
        <f>IF(ПРИЛОЖЕНИЕ!$A507=0,SUMIFS('итог '!V:V,'итог '!$B:$B,ПРИЛОЖЕНИЕ!$A506),SUMIFS('итог '!V:V,'итог '!$B:$B,ПРИЛОЖЕНИЕ!$A506,'итог '!$D:$D,ПРИЛОЖЕНИЕ!$A507))</f>
        <v>#REF!</v>
      </c>
      <c r="G510" s="35">
        <f>IF(ПРИЛОЖЕНИЕ!$A507=0,SUMIFS('итог '!W:W,'итог '!$B:$B,ПРИЛОЖЕНИЕ!$A506),SUMIFS('итог '!W:W,'итог '!$B:$B,ПРИЛОЖЕНИЕ!$A506,'итог '!$D:$D,ПРИЛОЖЕНИЕ!$A507))</f>
        <v>104008000</v>
      </c>
      <c r="H510" s="35">
        <f>IF(ПРИЛОЖЕНИЕ!$A507=0,SUMIFS('итог '!X:X,'итог '!$B:$B,ПРИЛОЖЕНИЕ!$A506),SUMIFS('итог '!X:X,'итог '!$B:$B,ПРИЛОЖЕНИЕ!$A506,'итог '!$D:$D,ПРИЛОЖЕНИЕ!$A507))</f>
        <v>103058545</v>
      </c>
      <c r="I510" s="35">
        <f>IF(ПРИЛОЖЕНИЕ!$A507=0,SUMIFS('итог '!Y:Y,'итог '!$B:$B,ПРИЛОЖЕНИЕ!$A506),SUMIFS('итог '!Y:Y,'итог '!$B:$B,ПРИЛОЖЕНИЕ!$A506,'итог '!$D:$D,ПРИЛОЖЕНИЕ!$A507))</f>
        <v>949455</v>
      </c>
    </row>
    <row r="511" spans="1:9" outlineLevel="1" x14ac:dyDescent="0.3">
      <c r="A511" s="37"/>
      <c r="B511" s="38"/>
      <c r="C511" s="37"/>
      <c r="D511" s="37"/>
      <c r="E511" s="39"/>
      <c r="F511" s="38"/>
      <c r="G511" s="38"/>
      <c r="H511" s="38"/>
      <c r="I511" s="38"/>
    </row>
    <row r="512" spans="1:9" outlineLevel="1" x14ac:dyDescent="0.3">
      <c r="A512" s="37"/>
      <c r="B512" s="40" t="s">
        <v>134</v>
      </c>
      <c r="C512" s="37"/>
      <c r="D512" s="37"/>
      <c r="E512" s="39"/>
      <c r="F512" s="38"/>
      <c r="G512" s="38"/>
      <c r="H512" s="38"/>
      <c r="I512" s="38"/>
    </row>
    <row r="513" spans="1:10" outlineLevel="1" x14ac:dyDescent="0.3">
      <c r="A513" s="37"/>
      <c r="B513" s="38" t="s">
        <v>135</v>
      </c>
      <c r="C513" s="37"/>
      <c r="D513" s="37"/>
      <c r="E513" s="39"/>
      <c r="F513" s="38"/>
      <c r="G513" s="41"/>
      <c r="H513" s="38" t="s">
        <v>136</v>
      </c>
      <c r="I513" s="38"/>
    </row>
    <row r="514" spans="1:10" outlineLevel="1" x14ac:dyDescent="0.3"/>
    <row r="515" spans="1:10" outlineLevel="1" x14ac:dyDescent="0.3">
      <c r="I515" s="45" t="str">
        <f>IF(I521&lt;0,"Приложение №1","")</f>
        <v/>
      </c>
    </row>
    <row r="516" spans="1:10" ht="25.5" outlineLevel="1" x14ac:dyDescent="0.3">
      <c r="A516" s="201" t="s">
        <v>132</v>
      </c>
      <c r="B516" s="201"/>
      <c r="C516" s="201"/>
      <c r="D516" s="201"/>
      <c r="E516" s="201"/>
      <c r="F516" s="201"/>
      <c r="G516" s="201"/>
      <c r="H516" s="201"/>
      <c r="I516" s="201"/>
    </row>
    <row r="517" spans="1:10" ht="25.5" outlineLevel="1" x14ac:dyDescent="0.3">
      <c r="A517" s="201" t="s">
        <v>151</v>
      </c>
      <c r="B517" s="201"/>
      <c r="C517" s="201"/>
      <c r="D517" s="201"/>
      <c r="E517" s="201"/>
      <c r="F517" s="201"/>
      <c r="G517" s="201"/>
      <c r="H517" s="201"/>
      <c r="I517" s="201"/>
    </row>
    <row r="518" spans="1:10" outlineLevel="1" x14ac:dyDescent="0.3">
      <c r="A518" s="202"/>
      <c r="B518" s="202"/>
      <c r="C518" s="202"/>
      <c r="D518" s="202"/>
      <c r="E518" s="202"/>
      <c r="F518" s="202"/>
      <c r="G518" s="202"/>
      <c r="H518" s="202"/>
      <c r="I518" s="202"/>
    </row>
    <row r="519" spans="1:10" s="24" customFormat="1" ht="60" customHeight="1" outlineLevel="1" x14ac:dyDescent="0.25">
      <c r="A519" s="185" t="s">
        <v>125</v>
      </c>
      <c r="B519" s="200" t="s">
        <v>126</v>
      </c>
      <c r="C519" s="203" t="s">
        <v>199</v>
      </c>
      <c r="D519" s="185" t="s">
        <v>128</v>
      </c>
      <c r="E519" s="213" t="s">
        <v>129</v>
      </c>
      <c r="F519" s="214" t="s">
        <v>130</v>
      </c>
      <c r="G519" s="200" t="s">
        <v>131</v>
      </c>
      <c r="H519" s="200"/>
      <c r="I519" s="200"/>
    </row>
    <row r="520" spans="1:10" s="24" customFormat="1" ht="60" customHeight="1" outlineLevel="1" x14ac:dyDescent="0.25">
      <c r="A520" s="185"/>
      <c r="B520" s="200"/>
      <c r="C520" s="203"/>
      <c r="D520" s="185"/>
      <c r="E520" s="213"/>
      <c r="F520" s="214"/>
      <c r="G520" s="86" t="s">
        <v>112</v>
      </c>
      <c r="H520" s="86" t="s">
        <v>110</v>
      </c>
      <c r="I520" s="86" t="s">
        <v>111</v>
      </c>
    </row>
    <row r="521" spans="1:10" ht="24" customHeight="1" outlineLevel="1" x14ac:dyDescent="0.3">
      <c r="A521" s="34" t="e">
        <f>IF(ПРИЛОЖЕНИЕ!$A518=0,SUMIFS('итог '!L:L,'итог '!$B:$B,ПРИЛОЖЕНИЕ!$A517),SUMIFS('итог '!L:L,'итог '!$B:$B,ПРИЛОЖЕНИЕ!$A517,'итог '!$D:$D,ПРИЛОЖЕНИЕ!$A518))</f>
        <v>#REF!</v>
      </c>
      <c r="B521" s="35" t="e">
        <f>IF(ПРИЛОЖЕНИЕ!$A518=0,SUMIFS('итог '!M:M,'итог '!$B:$B,ПРИЛОЖЕНИЕ!$A517),SUMIFS('итог '!M:M,'итог '!$B:$B,ПРИЛОЖЕНИЕ!$A517,'итог '!$D:$D,ПРИЛОЖЕНИЕ!$A518))</f>
        <v>#REF!</v>
      </c>
      <c r="C521" s="34">
        <f>IF(ПРИЛОЖЕНИЕ!$A518=0,SUMIFS('итог '!Q:Q,'итог '!$B:$B,ПРИЛОЖЕНИЕ!$A517),SUMIFS('итог '!Q:Q,'итог '!$B:$B,ПРИЛОЖЕНИЕ!$A517,'итог '!$D:$D,ПРИЛОЖЕНИЕ!$A518))</f>
        <v>7.2</v>
      </c>
      <c r="D521" s="34">
        <f>IF(ПРИЛОЖЕНИЕ!$A518=0,SUMIFS('итог '!S:S,'итог '!$B:$B,ПРИЛОЖЕНИЕ!$A517),SUMIFS('итог '!S:S,'итог '!$B:$B,ПРИЛОЖЕНИЕ!$A517,'итог '!$D:$D,ПРИЛОЖЕНИЕ!$A518))</f>
        <v>1.07</v>
      </c>
      <c r="E521" s="36" t="e">
        <f>IF(ПРИЛОЖЕНИЕ!$A518=0,SUMIFS('итог '!T:T,'итог '!$B:$B,ПРИЛОЖЕНИЕ!$A517),SUMIFS('итог '!T:T,'итог '!$B:$B,ПРИЛОЖЕНИЕ!$A517,'итог '!$D:$D,ПРИЛОЖЕНИЕ!$A518))</f>
        <v>#REF!</v>
      </c>
      <c r="F521" s="35" t="e">
        <f>IF(ПРИЛОЖЕНИЕ!$A518=0,SUMIFS('итог '!V:V,'итог '!$B:$B,ПРИЛОЖЕНИЕ!$A517),SUMIFS('итог '!V:V,'итог '!$B:$B,ПРИЛОЖЕНИЕ!$A517,'итог '!$D:$D,ПРИЛОЖЕНИЕ!$A518))</f>
        <v>#REF!</v>
      </c>
      <c r="G521" s="35">
        <f>IF(ПРИЛОЖЕНИЕ!$A518=0,SUMIFS('итог '!W:W,'итог '!$B:$B,ПРИЛОЖЕНИЕ!$A517),SUMIFS('итог '!W:W,'итог '!$B:$B,ПРИЛОЖЕНИЕ!$A517,'итог '!$D:$D,ПРИЛОЖЕНИЕ!$A518))</f>
        <v>6914880</v>
      </c>
      <c r="H521" s="35">
        <f>IF(ПРИЛОЖЕНИЕ!$A518=0,SUMIFS('итог '!X:X,'итог '!$B:$B,ПРИЛОЖЕНИЕ!$A517),SUMIFS('итог '!X:X,'итог '!$B:$B,ПРИЛОЖЕНИЕ!$A517,'итог '!$D:$D,ПРИЛОЖЕНИЕ!$A518))</f>
        <v>6759950</v>
      </c>
      <c r="I521" s="35">
        <f>IF(ПРИЛОЖЕНИЕ!$A518=0,SUMIFS('итог '!Y:Y,'итог '!$B:$B,ПРИЛОЖЕНИЕ!$A517),SUMIFS('итог '!Y:Y,'итог '!$B:$B,ПРИЛОЖЕНИЕ!$A517,'итог '!$D:$D,ПРИЛОЖЕНИЕ!$A518))</f>
        <v>154930</v>
      </c>
    </row>
    <row r="522" spans="1:10" outlineLevel="1" x14ac:dyDescent="0.3">
      <c r="A522" s="37"/>
      <c r="B522" s="38"/>
      <c r="C522" s="37"/>
      <c r="D522" s="37"/>
      <c r="E522" s="39"/>
      <c r="F522" s="38"/>
      <c r="G522" s="38"/>
      <c r="H522" s="38"/>
      <c r="I522" s="38"/>
    </row>
    <row r="523" spans="1:10" outlineLevel="1" x14ac:dyDescent="0.3">
      <c r="A523" s="37"/>
      <c r="B523" s="40" t="s">
        <v>134</v>
      </c>
      <c r="C523" s="37"/>
      <c r="D523" s="37"/>
      <c r="E523" s="39"/>
      <c r="F523" s="38"/>
      <c r="G523" s="38"/>
      <c r="H523" s="38"/>
      <c r="I523" s="38"/>
    </row>
    <row r="524" spans="1:10" ht="30.75" customHeight="1" outlineLevel="1" x14ac:dyDescent="0.3">
      <c r="A524" s="37"/>
      <c r="B524" s="38" t="s">
        <v>135</v>
      </c>
      <c r="C524" s="37"/>
      <c r="D524" s="37"/>
      <c r="E524" s="39"/>
      <c r="F524" s="38"/>
      <c r="G524" s="41"/>
      <c r="H524" s="38" t="s">
        <v>136</v>
      </c>
      <c r="I524" s="38"/>
    </row>
    <row r="526" spans="1:10" x14ac:dyDescent="0.3">
      <c r="J526" s="88" t="str">
        <f>IF(J532&lt;0,"Приложение №1","")</f>
        <v>Приложение №1</v>
      </c>
    </row>
    <row r="527" spans="1:10" ht="30" customHeight="1" x14ac:dyDescent="0.3">
      <c r="A527" s="201" t="s">
        <v>132</v>
      </c>
      <c r="B527" s="201"/>
      <c r="C527" s="201"/>
      <c r="D527" s="201"/>
      <c r="E527" s="201"/>
      <c r="F527" s="201"/>
      <c r="G527" s="201"/>
      <c r="H527" s="201"/>
      <c r="I527" s="201"/>
      <c r="J527" s="201"/>
    </row>
    <row r="528" spans="1:10" ht="30" customHeight="1" x14ac:dyDescent="0.3">
      <c r="A528" s="201" t="s">
        <v>152</v>
      </c>
      <c r="B528" s="201"/>
      <c r="C528" s="201"/>
      <c r="D528" s="201"/>
      <c r="E528" s="201"/>
      <c r="F528" s="201"/>
      <c r="G528" s="201"/>
      <c r="H528" s="201"/>
      <c r="I528" s="201"/>
      <c r="J528" s="201"/>
    </row>
    <row r="529" spans="1:10" x14ac:dyDescent="0.3">
      <c r="A529" s="202"/>
      <c r="B529" s="202"/>
      <c r="C529" s="202"/>
      <c r="D529" s="202"/>
      <c r="E529" s="202"/>
      <c r="F529" s="202"/>
      <c r="G529" s="202"/>
      <c r="H529" s="202"/>
      <c r="I529" s="202"/>
    </row>
    <row r="530" spans="1:10" ht="60" customHeight="1" x14ac:dyDescent="0.3">
      <c r="A530" s="190" t="s">
        <v>200</v>
      </c>
      <c r="B530" s="185" t="s">
        <v>125</v>
      </c>
      <c r="C530" s="186" t="s">
        <v>126</v>
      </c>
      <c r="D530" s="186" t="s">
        <v>199</v>
      </c>
      <c r="E530" s="186" t="s">
        <v>128</v>
      </c>
      <c r="F530" s="186" t="s">
        <v>129</v>
      </c>
      <c r="G530" s="186" t="s">
        <v>130</v>
      </c>
      <c r="H530" s="194" t="s">
        <v>131</v>
      </c>
      <c r="I530" s="195"/>
      <c r="J530" s="196"/>
    </row>
    <row r="531" spans="1:10" ht="60" customHeight="1" x14ac:dyDescent="0.3">
      <c r="A531" s="191"/>
      <c r="B531" s="185"/>
      <c r="C531" s="187"/>
      <c r="D531" s="187"/>
      <c r="E531" s="187"/>
      <c r="F531" s="187"/>
      <c r="G531" s="187"/>
      <c r="H531" s="98" t="s">
        <v>112</v>
      </c>
      <c r="I531" s="98" t="s">
        <v>110</v>
      </c>
      <c r="J531" s="98" t="s">
        <v>111</v>
      </c>
    </row>
    <row r="532" spans="1:10" ht="30" customHeight="1" x14ac:dyDescent="0.3">
      <c r="A532" s="98" t="s">
        <v>201</v>
      </c>
      <c r="B532" s="34" t="e">
        <f>IF(ПРИЛОЖЕНИЕ!$A529=0,SUMIFS('итог '!L:L,'итог '!$B:$B,ПРИЛОЖЕНИЕ!$A528),SUMIFS('итог '!L:L,'итог '!$B:$B,ПРИЛОЖЕНИЕ!$A528,'итог '!$D:$D,ПРИЛОЖЕНИЕ!$A529))</f>
        <v>#REF!</v>
      </c>
      <c r="C532" s="35" t="e">
        <f>IF(ПРИЛОЖЕНИЕ!$A529=0,SUMIFS('итог '!M:M,'итог '!$B:$B,ПРИЛОЖЕНИЕ!$A528),SUMIFS('итог '!M:M,'итог '!$B:$B,ПРИЛОЖЕНИЕ!$A528,'итог '!$D:$D,ПРИЛОЖЕНИЕ!$A529))</f>
        <v>#REF!</v>
      </c>
      <c r="D532" s="34">
        <f>IF(ПРИЛОЖЕНИЕ!$A529=0,SUMIFS('итог '!Q:Q,'итог '!$B:$B,ПРИЛОЖЕНИЕ!$A528),SUMIFS('итог '!Q:Q,'итог '!$B:$B,ПРИЛОЖЕНИЕ!$A528,'итог '!$D:$D,ПРИЛОЖЕНИЕ!$A529))</f>
        <v>61.15</v>
      </c>
      <c r="E532" s="34">
        <f>IF(ПРИЛОЖЕНИЕ!$A529=0,SUMIFS('итог '!S:S,'итог '!$B:$B,ПРИЛОЖЕНИЕ!$A528),SUMIFS('итог '!S:S,'итог '!$B:$B,ПРИЛОЖЕНИЕ!$A528,'итог '!$D:$D,ПРИЛОЖЕНИЕ!$A529))</f>
        <v>1</v>
      </c>
      <c r="F532" s="36" t="e">
        <f>IF(ПРИЛОЖЕНИЕ!$A529=0,SUMIFS('итог '!T:T,'итог '!$B:$B,ПРИЛОЖЕНИЕ!$A528),SUMIFS('итог '!T:T,'итог '!$B:$B,ПРИЛОЖЕНИЕ!$A528,'итог '!$D:$D,ПРИЛОЖЕНИЕ!$A529))</f>
        <v>#REF!</v>
      </c>
      <c r="G532" s="35" t="e">
        <f>IF(ПРИЛОЖЕНИЕ!$A529=0,SUMIFS('итог '!V:V,'итог '!$B:$B,ПРИЛОЖЕНИЕ!$A528),SUMIFS('итог '!V:V,'итог '!$B:$B,ПРИЛОЖЕНИЕ!$A528,'итог '!$D:$D,ПРИЛОЖЕНИЕ!$A529))</f>
        <v>#REF!</v>
      </c>
      <c r="H532" s="35">
        <f>IF(ПРИЛОЖЕНИЕ!$A529=0,SUMIFS('итог '!W:W,'итог '!$B:$B,ПРИЛОЖЕНИЕ!$A528),SUMIFS('итог '!W:W,'итог '!$B:$B,ПРИЛОЖЕНИЕ!$A528,'итог '!$D:$D,ПРИЛОЖЕНИЕ!$A529))</f>
        <v>41705664</v>
      </c>
      <c r="I532" s="35">
        <f>IF(ПРИЛОЖЕНИЕ!$A529=0,SUMIFS('итог '!X:X,'итог '!$B:$B,ПРИЛОЖЕНИЕ!$A528),SUMIFS('итог '!X:X,'итог '!$B:$B,ПРИЛОЖЕНИЕ!$A528,'итог '!$D:$D,ПРИЛОЖЕНИЕ!$A529))</f>
        <v>43235819</v>
      </c>
      <c r="J532" s="35">
        <f>IF(ПРИЛОЖЕНИЕ!$A529=0,SUMIFS('итог '!Y:Y,'итог '!$B:$B,ПРИЛОЖЕНИЕ!$A528),SUMIFS('итог '!Y:Y,'итог '!$B:$B,ПРИЛОЖЕНИЕ!$A528,'итог '!$D:$D,ПРИЛОЖЕНИЕ!$A529))</f>
        <v>-1530155</v>
      </c>
    </row>
    <row r="533" spans="1:10" ht="30" customHeight="1" x14ac:dyDescent="0.3">
      <c r="A533" s="98" t="s">
        <v>202</v>
      </c>
      <c r="B533" s="110" t="e">
        <f>B532</f>
        <v>#REF!</v>
      </c>
      <c r="C533" s="105" t="e">
        <f>C532</f>
        <v>#REF!</v>
      </c>
      <c r="D533" s="106">
        <v>60.45</v>
      </c>
      <c r="E533" s="109">
        <f>D533/65</f>
        <v>0.93</v>
      </c>
      <c r="F533" s="104" t="e">
        <f>IF(ПРИЛОЖЕНИЕ!$A529=0,SUMIFS('итог '!U:U,'итог '!$B:$B,ПРИЛОЖЕНИЕ!$A528),SUMIFS('итог '!U:U,'итог '!$B:$B,ПРИЛОЖЕНИЕ!$A528,'итог '!$D:$D,ПРИЛОЖЕНИЕ!$A529))</f>
        <v>#REF!</v>
      </c>
      <c r="G533" s="105" t="e">
        <f>G532*(H533/H532)</f>
        <v>#REF!</v>
      </c>
      <c r="H533" s="105">
        <v>40663000</v>
      </c>
      <c r="I533" s="105">
        <f>I532</f>
        <v>43235819</v>
      </c>
      <c r="J533" s="35">
        <f>H533-I533</f>
        <v>-2572819</v>
      </c>
    </row>
    <row r="534" spans="1:10" ht="30" customHeight="1" x14ac:dyDescent="0.3">
      <c r="A534" s="87" t="s">
        <v>198</v>
      </c>
      <c r="C534" s="37"/>
      <c r="D534" s="37"/>
      <c r="E534" s="39"/>
      <c r="F534" s="38"/>
      <c r="G534" s="38"/>
      <c r="H534" s="38"/>
      <c r="I534" s="38"/>
    </row>
    <row r="535" spans="1:10" ht="35.25" customHeight="1" x14ac:dyDescent="0.3">
      <c r="A535" s="38" t="s">
        <v>135</v>
      </c>
      <c r="C535" s="37"/>
      <c r="D535" s="37"/>
      <c r="E535" s="39"/>
      <c r="F535" s="38"/>
      <c r="G535" s="41"/>
      <c r="H535" s="38" t="s">
        <v>136</v>
      </c>
      <c r="I535" s="38"/>
    </row>
    <row r="537" spans="1:10" x14ac:dyDescent="0.3">
      <c r="I537" s="45" t="str">
        <f>IF(I543&lt;0,"Приложение №1","")</f>
        <v>Приложение №1</v>
      </c>
    </row>
    <row r="538" spans="1:10" ht="30" customHeight="1" x14ac:dyDescent="0.3">
      <c r="A538" s="201" t="s">
        <v>132</v>
      </c>
      <c r="B538" s="201"/>
      <c r="C538" s="201"/>
      <c r="D538" s="201"/>
      <c r="E538" s="201"/>
      <c r="F538" s="201"/>
      <c r="G538" s="201"/>
      <c r="H538" s="201"/>
      <c r="I538" s="201"/>
    </row>
    <row r="539" spans="1:10" ht="30" customHeight="1" x14ac:dyDescent="0.3">
      <c r="A539" s="201" t="s">
        <v>69</v>
      </c>
      <c r="B539" s="201"/>
      <c r="C539" s="201"/>
      <c r="D539" s="201"/>
      <c r="E539" s="201"/>
      <c r="F539" s="201"/>
      <c r="G539" s="201"/>
      <c r="H539" s="201"/>
      <c r="I539" s="201"/>
    </row>
    <row r="540" spans="1:10" x14ac:dyDescent="0.3">
      <c r="A540" s="220"/>
      <c r="B540" s="220"/>
      <c r="C540" s="220"/>
      <c r="D540" s="220"/>
      <c r="E540" s="220"/>
      <c r="F540" s="220"/>
      <c r="G540" s="220"/>
      <c r="H540" s="220"/>
      <c r="I540" s="220"/>
    </row>
    <row r="541" spans="1:10" s="24" customFormat="1" ht="60" customHeight="1" x14ac:dyDescent="0.25">
      <c r="A541" s="185" t="s">
        <v>125</v>
      </c>
      <c r="B541" s="200" t="s">
        <v>126</v>
      </c>
      <c r="C541" s="185" t="s">
        <v>199</v>
      </c>
      <c r="D541" s="185" t="s">
        <v>128</v>
      </c>
      <c r="E541" s="213" t="s">
        <v>129</v>
      </c>
      <c r="F541" s="214" t="s">
        <v>130</v>
      </c>
      <c r="G541" s="200" t="s">
        <v>131</v>
      </c>
      <c r="H541" s="200"/>
      <c r="I541" s="200"/>
    </row>
    <row r="542" spans="1:10" s="24" customFormat="1" ht="60" customHeight="1" x14ac:dyDescent="0.25">
      <c r="A542" s="185"/>
      <c r="B542" s="200"/>
      <c r="C542" s="185"/>
      <c r="D542" s="185"/>
      <c r="E542" s="213"/>
      <c r="F542" s="214"/>
      <c r="G542" s="92" t="s">
        <v>112</v>
      </c>
      <c r="H542" s="92" t="s">
        <v>110</v>
      </c>
      <c r="I542" s="92" t="s">
        <v>111</v>
      </c>
    </row>
    <row r="543" spans="1:10" ht="24" customHeight="1" x14ac:dyDescent="0.3">
      <c r="A543" s="34" t="e">
        <f>IF(ПРИЛОЖЕНИЕ!$A540=0,SUMIFS('итог '!L:L,'итог '!$B:$B,ПРИЛОЖЕНИЕ!$A539),SUMIFS('итог '!L:L,'итог '!$B:$B,ПРИЛОЖЕНИЕ!$A539,'итог '!$D:$D,ПРИЛОЖЕНИЕ!$A540))</f>
        <v>#REF!</v>
      </c>
      <c r="B543" s="35" t="e">
        <f>IF(ПРИЛОЖЕНИЕ!$A540=0,SUMIFS('итог '!M:M,'итог '!$B:$B,ПРИЛОЖЕНИЕ!$A539),SUMIFS('итог '!M:M,'итог '!$B:$B,ПРИЛОЖЕНИЕ!$A539,'итог '!$D:$D,ПРИЛОЖЕНИЕ!$A540))</f>
        <v>#REF!</v>
      </c>
      <c r="C543" s="34">
        <f>IF(ПРИЛОЖЕНИЕ!$A540=0,SUMIFS('итог '!Q:Q,'итог '!$B:$B,ПРИЛОЖЕНИЕ!$A539),SUMIFS('итог '!Q:Q,'итог '!$B:$B,ПРИЛОЖЕНИЕ!$A539,'итог '!$D:$D,ПРИЛОЖЕНИЕ!$A540))</f>
        <v>1</v>
      </c>
      <c r="D543" s="34">
        <f>IF(ПРИЛОЖЕНИЕ!$A540=0,SUMIFS('итог '!S:S,'итог '!$B:$B,ПРИЛОЖЕНИЕ!$A539),SUMIFS('итог '!S:S,'итог '!$B:$B,ПРИЛОЖЕНИЕ!$A539,'итог '!$D:$D,ПРИЛОЖЕНИЕ!$A540))</f>
        <v>1</v>
      </c>
      <c r="E543" s="36" t="e">
        <f>IF(ПРИЛОЖЕНИЕ!$A540=0,SUMIFS('итог '!T:T,'итог '!$B:$B,ПРИЛОЖЕНИЕ!$A539),SUMIFS('итог '!T:T,'итог '!$B:$B,ПРИЛОЖЕНИЕ!$A539,'итог '!$D:$D,ПРИЛОЖЕНИЕ!$A540))</f>
        <v>#REF!</v>
      </c>
      <c r="F543" s="35" t="e">
        <f>IF(ПРИЛОЖЕНИЕ!$A540=0,SUMIFS('итог '!V:V,'итог '!$B:$B,ПРИЛОЖЕНИЕ!$A539),SUMIFS('итог '!V:V,'итог '!$B:$B,ПРИЛОЖЕНИЕ!$A539,'итог '!$D:$D,ПРИЛОЖЕНИЕ!$A540))</f>
        <v>#REF!</v>
      </c>
      <c r="G543" s="35">
        <f>IF(ПРИЛОЖЕНИЕ!$A540=0,SUMIFS('итог '!W:W,'итог '!$B:$B,ПРИЛОЖЕНИЕ!$A539),SUMIFS('итог '!W:W,'итог '!$B:$B,ПРИЛОЖЕНИЕ!$A539,'итог '!$D:$D,ПРИЛОЖЕНИЕ!$A540))</f>
        <v>1799280</v>
      </c>
      <c r="H543" s="35">
        <f>IF(ПРИЛОЖЕНИЕ!$A540=0,SUMIFS('итог '!X:X,'итог '!$B:$B,ПРИЛОЖЕНИЕ!$A539),SUMIFS('итог '!X:X,'итог '!$B:$B,ПРИЛОЖЕНИЕ!$A539,'итог '!$D:$D,ПРИЛОЖЕНИЕ!$A540))</f>
        <v>2008700</v>
      </c>
      <c r="I543" s="35">
        <f>IF(ПРИЛОЖЕНИЕ!$A540=0,SUMIFS('итог '!Y:Y,'итог '!$B:$B,ПРИЛОЖЕНИЕ!$A539),SUMIFS('итог '!Y:Y,'итог '!$B:$B,ПРИЛОЖЕНИЕ!$A539,'итог '!$D:$D,ПРИЛОЖЕНИЕ!$A540))</f>
        <v>-209420</v>
      </c>
    </row>
    <row r="544" spans="1:10" x14ac:dyDescent="0.3">
      <c r="A544" s="37"/>
      <c r="B544" s="38"/>
      <c r="C544" s="37"/>
      <c r="D544" s="37"/>
      <c r="E544" s="39"/>
      <c r="F544" s="38"/>
      <c r="G544" s="38"/>
      <c r="H544" s="38"/>
      <c r="I544" s="38"/>
    </row>
    <row r="545" spans="1:9" x14ac:dyDescent="0.3">
      <c r="A545" s="87" t="s">
        <v>198</v>
      </c>
      <c r="C545" s="37"/>
      <c r="D545" s="37"/>
      <c r="E545" s="39"/>
      <c r="F545" s="38"/>
      <c r="G545" s="38"/>
      <c r="H545" s="38"/>
      <c r="I545" s="38"/>
    </row>
    <row r="546" spans="1:9" x14ac:dyDescent="0.3">
      <c r="A546" s="38" t="s">
        <v>135</v>
      </c>
      <c r="C546" s="37"/>
      <c r="D546" s="37"/>
      <c r="E546" s="39"/>
      <c r="F546" s="38"/>
      <c r="G546" s="41"/>
      <c r="H546" s="38" t="s">
        <v>136</v>
      </c>
      <c r="I546" s="38"/>
    </row>
    <row r="549" spans="1:9" ht="25.5" x14ac:dyDescent="0.3">
      <c r="A549" s="201" t="s">
        <v>132</v>
      </c>
      <c r="B549" s="201"/>
      <c r="C549" s="201"/>
      <c r="D549" s="201"/>
      <c r="E549" s="201"/>
      <c r="F549" s="201"/>
      <c r="G549" s="201"/>
      <c r="H549" s="201"/>
      <c r="I549" s="201"/>
    </row>
    <row r="550" spans="1:9" ht="25.5" x14ac:dyDescent="0.3">
      <c r="A550" s="201" t="s">
        <v>45</v>
      </c>
      <c r="B550" s="201"/>
      <c r="C550" s="201"/>
      <c r="D550" s="201"/>
      <c r="E550" s="201"/>
      <c r="F550" s="201"/>
      <c r="G550" s="201"/>
      <c r="H550" s="201"/>
      <c r="I550" s="201"/>
    </row>
    <row r="551" spans="1:9" x14ac:dyDescent="0.3">
      <c r="A551" s="220"/>
      <c r="B551" s="220"/>
      <c r="C551" s="220"/>
      <c r="D551" s="220"/>
      <c r="E551" s="220"/>
      <c r="F551" s="220"/>
      <c r="G551" s="220"/>
      <c r="H551" s="220"/>
      <c r="I551" s="220"/>
    </row>
    <row r="552" spans="1:9" ht="33" customHeight="1" x14ac:dyDescent="0.3">
      <c r="A552" s="185" t="s">
        <v>125</v>
      </c>
      <c r="B552" s="200" t="s">
        <v>126</v>
      </c>
      <c r="C552" s="185" t="s">
        <v>199</v>
      </c>
      <c r="D552" s="185" t="s">
        <v>128</v>
      </c>
      <c r="E552" s="213" t="s">
        <v>129</v>
      </c>
      <c r="F552" s="214" t="s">
        <v>130</v>
      </c>
      <c r="G552" s="200" t="s">
        <v>131</v>
      </c>
      <c r="H552" s="200"/>
      <c r="I552" s="200"/>
    </row>
    <row r="553" spans="1:9" ht="61.5" customHeight="1" x14ac:dyDescent="0.3">
      <c r="A553" s="185"/>
      <c r="B553" s="200"/>
      <c r="C553" s="185"/>
      <c r="D553" s="185"/>
      <c r="E553" s="213"/>
      <c r="F553" s="214"/>
      <c r="G553" s="92" t="s">
        <v>112</v>
      </c>
      <c r="H553" s="92" t="s">
        <v>110</v>
      </c>
      <c r="I553" s="92" t="s">
        <v>111</v>
      </c>
    </row>
    <row r="554" spans="1:9" ht="24" customHeight="1" x14ac:dyDescent="0.3">
      <c r="A554" s="34" t="e">
        <f>IF(ПРИЛОЖЕНИЕ!$A551=0,SUMIFS('итог '!L:L,'итог '!$B:$B,ПРИЛОЖЕНИЕ!$A550),SUMIFS('итог '!L:L,'итог '!$B:$B,ПРИЛОЖЕНИЕ!$A550,'итог '!$D:$D,ПРИЛОЖЕНИЕ!$A551))</f>
        <v>#REF!</v>
      </c>
      <c r="B554" s="35" t="e">
        <f>IF(ПРИЛОЖЕНИЕ!$A551=0,SUMIFS('итог '!M:M,'итог '!$B:$B,ПРИЛОЖЕНИЕ!$A550),SUMIFS('итог '!M:M,'итог '!$B:$B,ПРИЛОЖЕНИЕ!$A550,'итог '!$D:$D,ПРИЛОЖЕНИЕ!$A551))</f>
        <v>#REF!</v>
      </c>
      <c r="C554" s="34">
        <f>IF(ПРИЛОЖЕНИЕ!$A551=0,SUMIFS('итог '!Q:Q,'итог '!$B:$B,ПРИЛОЖЕНИЕ!$A550),SUMIFS('итог '!Q:Q,'итог '!$B:$B,ПРИЛОЖЕНИЕ!$A550,'итог '!$D:$D,ПРИЛОЖЕНИЕ!$A551))</f>
        <v>28.24</v>
      </c>
      <c r="D554" s="34">
        <f>IF(ПРИЛОЖЕНИЕ!$A551=0,SUMIFS('итог '!S:S,'итог '!$B:$B,ПРИЛОЖЕНИЕ!$A550),SUMIFS('итог '!S:S,'итог '!$B:$B,ПРИЛОЖЕНИЕ!$A550,'итог '!$D:$D,ПРИЛОЖЕНИЕ!$A551))</f>
        <v>0</v>
      </c>
      <c r="E554" s="36" t="e">
        <f>IF(ПРИЛОЖЕНИЕ!$A551=0,SUMIFS('итог '!T:T,'итог '!$B:$B,ПРИЛОЖЕНИЕ!$A550),SUMIFS('итог '!T:T,'итог '!$B:$B,ПРИЛОЖЕНИЕ!$A550,'итог '!$D:$D,ПРИЛОЖЕНИЕ!$A551))</f>
        <v>#REF!</v>
      </c>
      <c r="F554" s="35" t="e">
        <f>IF(ПРИЛОЖЕНИЕ!$A551=0,SUMIFS('итог '!V:V,'итог '!$B:$B,ПРИЛОЖЕНИЕ!$A550),SUMIFS('итог '!V:V,'итог '!$B:$B,ПРИЛОЖЕНИЕ!$A550,'итог '!$D:$D,ПРИЛОЖЕНИЕ!$A551))</f>
        <v>#REF!</v>
      </c>
      <c r="G554" s="35">
        <f>IF(ПРИЛОЖЕНИЕ!$A551=0,SUMIFS('итог '!W:W,'итог '!$B:$B,ПРИЛОЖЕНИЕ!$A550),SUMIFS('итог '!W:W,'итог '!$B:$B,ПРИЛОЖЕНИЕ!$A550,'итог '!$D:$D,ПРИЛОЖЕНИЕ!$A551))</f>
        <v>22907310</v>
      </c>
      <c r="H554" s="35">
        <f>IF(ПРИЛОЖЕНИЕ!$A551=0,SUMIFS('итог '!X:X,'итог '!$B:$B,ПРИЛОЖЕНИЕ!$A550),SUMIFS('итог '!X:X,'итог '!$B:$B,ПРИЛОЖЕНИЕ!$A550,'итог '!$D:$D,ПРИЛОЖЕНИЕ!$A551))</f>
        <v>21077270</v>
      </c>
      <c r="I554" s="35">
        <f>IF(ПРИЛОЖЕНИЕ!$A551=0,SUMIFS('итог '!Y:Y,'итог '!$B:$B,ПРИЛОЖЕНИЕ!$A550),SUMIFS('итог '!Y:Y,'итог '!$B:$B,ПРИЛОЖЕНИЕ!$A550,'итог '!$D:$D,ПРИЛОЖЕНИЕ!$A551))</f>
        <v>1830040</v>
      </c>
    </row>
    <row r="555" spans="1:9" x14ac:dyDescent="0.3">
      <c r="A555" s="37"/>
      <c r="B555" s="38"/>
      <c r="C555" s="37"/>
      <c r="D555" s="37"/>
      <c r="E555" s="39"/>
      <c r="F555" s="38"/>
      <c r="G555" s="38"/>
      <c r="H555" s="38"/>
      <c r="I555" s="38"/>
    </row>
    <row r="556" spans="1:9" x14ac:dyDescent="0.3">
      <c r="A556" s="37"/>
      <c r="B556" s="40" t="s">
        <v>134</v>
      </c>
      <c r="C556" s="37"/>
      <c r="D556" s="37"/>
      <c r="E556" s="39"/>
      <c r="F556" s="38"/>
      <c r="G556" s="38"/>
      <c r="H556" s="38"/>
      <c r="I556" s="38"/>
    </row>
    <row r="557" spans="1:9" x14ac:dyDescent="0.3">
      <c r="A557" s="37"/>
      <c r="B557" s="38" t="s">
        <v>135</v>
      </c>
      <c r="C557" s="37"/>
      <c r="D557" s="37"/>
      <c r="E557" s="39"/>
      <c r="F557" s="38"/>
      <c r="G557" s="41"/>
      <c r="H557" s="38" t="s">
        <v>136</v>
      </c>
      <c r="I557" s="38"/>
    </row>
    <row r="560" spans="1:9" ht="30" customHeight="1" x14ac:dyDescent="0.3">
      <c r="A560" s="201" t="s">
        <v>132</v>
      </c>
      <c r="B560" s="201"/>
      <c r="C560" s="201"/>
      <c r="D560" s="201"/>
      <c r="E560" s="201"/>
      <c r="F560" s="201"/>
      <c r="G560" s="201"/>
      <c r="H560" s="201"/>
      <c r="I560" s="201"/>
    </row>
    <row r="561" spans="1:9" ht="30" customHeight="1" x14ac:dyDescent="0.3">
      <c r="A561" s="222">
        <v>207</v>
      </c>
      <c r="B561" s="222"/>
      <c r="C561" s="222"/>
      <c r="D561" s="222"/>
      <c r="E561" s="222"/>
      <c r="F561" s="222"/>
      <c r="G561" s="222"/>
      <c r="H561" s="222"/>
      <c r="I561" s="222"/>
    </row>
    <row r="562" spans="1:9" ht="14.25" customHeight="1" x14ac:dyDescent="0.3">
      <c r="A562" s="220"/>
      <c r="B562" s="220"/>
      <c r="C562" s="220"/>
      <c r="D562" s="220"/>
      <c r="E562" s="220"/>
      <c r="F562" s="220"/>
      <c r="G562" s="220"/>
      <c r="H562" s="220"/>
      <c r="I562" s="220"/>
    </row>
    <row r="563" spans="1:9" ht="33" customHeight="1" x14ac:dyDescent="0.3">
      <c r="A563" s="188" t="s">
        <v>125</v>
      </c>
      <c r="B563" s="204" t="s">
        <v>126</v>
      </c>
      <c r="C563" s="188" t="s">
        <v>199</v>
      </c>
      <c r="D563" s="188" t="s">
        <v>128</v>
      </c>
      <c r="E563" s="206" t="s">
        <v>129</v>
      </c>
      <c r="F563" s="208" t="s">
        <v>130</v>
      </c>
      <c r="G563" s="210" t="s">
        <v>131</v>
      </c>
      <c r="H563" s="211"/>
      <c r="I563" s="212"/>
    </row>
    <row r="564" spans="1:9" ht="61.5" customHeight="1" x14ac:dyDescent="0.3">
      <c r="A564" s="189"/>
      <c r="B564" s="205"/>
      <c r="C564" s="189"/>
      <c r="D564" s="189"/>
      <c r="E564" s="207"/>
      <c r="F564" s="209"/>
      <c r="G564" s="111" t="s">
        <v>112</v>
      </c>
      <c r="H564" s="111" t="s">
        <v>110</v>
      </c>
      <c r="I564" s="111" t="s">
        <v>111</v>
      </c>
    </row>
    <row r="565" spans="1:9" ht="24" customHeight="1" x14ac:dyDescent="0.3">
      <c r="A565" s="34">
        <f>IF(ПРИЛОЖЕНИЕ!$A562=0,SUMIFS('итог '!L:L,'итог '!$B:$B,ПРИЛОЖЕНИЕ!$A561),SUMIFS('итог '!L:L,'итог '!$B:$B,ПРИЛОЖЕНИЕ!$A561,'итог '!$D:$D,ПРИЛОЖЕНИЕ!$A562))</f>
        <v>3</v>
      </c>
      <c r="B565" s="35">
        <f>IF(ПРИЛОЖЕНИЕ!$A562=0,SUMIFS('итог '!M:M,'итог '!$B:$B,ПРИЛОЖЕНИЕ!$A561),SUMIFS('итог '!M:M,'итог '!$B:$B,ПРИЛОЖЕНИЕ!$A561,'итог '!$D:$D,ПРИЛОЖЕНИЕ!$A562))</f>
        <v>45866.666666666664</v>
      </c>
      <c r="C565" s="34">
        <f>IF(ПРИЛОЖЕНИЕ!$A562=0,SUMIFS('итог '!Q:Q,'итог '!$B:$B,ПРИЛОЖЕНИЕ!$A561),SUMIFS('итог '!Q:Q,'итог '!$B:$B,ПРИЛОЖЕНИЕ!$A561,'итог '!$D:$D,ПРИЛОЖЕНИЕ!$A562))</f>
        <v>3</v>
      </c>
      <c r="D565" s="34">
        <f>IF(ПРИЛОЖЕНИЕ!$A562=0,SUMIFS('итог '!S:S,'итог '!$B:$B,ПРИЛОЖЕНИЕ!$A561),SUMIFS('итог '!S:S,'итог '!$B:$B,ПРИЛОЖЕНИЕ!$A561,'итог '!$D:$D,ПРИЛОЖЕНИЕ!$A562))</f>
        <v>1</v>
      </c>
      <c r="E565" s="36" t="e">
        <f>IF(ПРИЛОЖЕНИЕ!$A562=0,SUMIFS('итог '!T:T,'итог '!$B:$B,ПРИЛОЖЕНИЕ!$A561),SUMIFS('итог '!T:T,'итог '!$B:$B,ПРИЛОЖЕНИЕ!$A561,'итог '!$D:$D,ПРИЛОЖЕНИЕ!$A562))</f>
        <v>#REF!</v>
      </c>
      <c r="F565" s="35" t="e">
        <f>IF(ПРИЛОЖЕНИЕ!$A562=0,SUMIFS('итог '!V:V,'итог '!$B:$B,ПРИЛОЖЕНИЕ!$A561),SUMIFS('итог '!V:V,'итог '!$B:$B,ПРИЛОЖЕНИЕ!$A561,'итог '!$D:$D,ПРИЛОЖЕНИЕ!$A562))</f>
        <v>#REF!</v>
      </c>
      <c r="G565" s="35">
        <f>IF(ПРИЛОЖЕНИЕ!$A562=0,SUMIFS('итог '!W:W,'итог '!$B:$B,ПРИЛОЖЕНИЕ!$A561),SUMIFS('итог '!W:W,'итог '!$B:$B,ПРИЛОЖЕНИЕ!$A561,'итог '!$D:$D,ПРИЛОЖЕНИЕ!$A562))</f>
        <v>1587600</v>
      </c>
      <c r="H565" s="35">
        <f>IF(ПРИЛОЖЕНИЕ!$A562=0,SUMIFS('итог '!X:X,'итог '!$B:$B,ПРИЛОЖЕНИЕ!$A561),SUMIFS('итог '!X:X,'итог '!$B:$B,ПРИЛОЖЕНИЕ!$A561,'итог '!$D:$D,ПРИЛОЖЕНИЕ!$A562))</f>
        <v>1651200</v>
      </c>
      <c r="I565" s="35">
        <f>IF(ПРИЛОЖЕНИЕ!$A562=0,SUMIFS('итог '!Y:Y,'итог '!$B:$B,ПРИЛОЖЕНИЕ!$A561),SUMIFS('итог '!Y:Y,'итог '!$B:$B,ПРИЛОЖЕНИЕ!$A561,'итог '!$D:$D,ПРИЛОЖЕНИЕ!$A562))</f>
        <v>-63600</v>
      </c>
    </row>
    <row r="566" spans="1:9" x14ac:dyDescent="0.3">
      <c r="A566" s="37"/>
      <c r="B566" s="38"/>
      <c r="C566" s="37"/>
      <c r="D566" s="37"/>
      <c r="E566" s="39"/>
      <c r="F566" s="38"/>
      <c r="G566" s="38"/>
      <c r="H566" s="38"/>
      <c r="I566" s="38"/>
    </row>
    <row r="567" spans="1:9" x14ac:dyDescent="0.3">
      <c r="A567" s="37"/>
      <c r="B567" s="40" t="s">
        <v>134</v>
      </c>
      <c r="C567" s="37"/>
      <c r="D567" s="37"/>
      <c r="E567" s="39"/>
      <c r="F567" s="38"/>
      <c r="G567" s="38"/>
      <c r="H567" s="38"/>
      <c r="I567" s="38"/>
    </row>
    <row r="568" spans="1:9" x14ac:dyDescent="0.3">
      <c r="A568" s="37"/>
      <c r="B568" s="38" t="s">
        <v>135</v>
      </c>
      <c r="C568" s="37"/>
      <c r="D568" s="37"/>
      <c r="E568" s="39"/>
      <c r="F568" s="38"/>
      <c r="G568" s="41"/>
      <c r="H568" s="38" t="s">
        <v>136</v>
      </c>
      <c r="I568" s="38"/>
    </row>
    <row r="569" spans="1:9" x14ac:dyDescent="0.3">
      <c r="A569" s="37"/>
      <c r="B569" s="38"/>
      <c r="C569" s="37"/>
      <c r="D569" s="37"/>
      <c r="E569" s="39"/>
      <c r="F569" s="38"/>
      <c r="G569" s="47"/>
      <c r="H569" s="38"/>
      <c r="I569" s="38"/>
    </row>
    <row r="570" spans="1:9" x14ac:dyDescent="0.3">
      <c r="A570" s="37"/>
      <c r="B570" s="38"/>
      <c r="C570" s="37"/>
      <c r="D570" s="37"/>
      <c r="E570" s="39"/>
      <c r="F570" s="38"/>
      <c r="G570" s="47"/>
      <c r="H570" s="38"/>
      <c r="I570" s="38" t="s">
        <v>197</v>
      </c>
    </row>
    <row r="571" spans="1:9" ht="25.5" x14ac:dyDescent="0.3">
      <c r="A571" s="201" t="s">
        <v>132</v>
      </c>
      <c r="B571" s="201"/>
      <c r="C571" s="201"/>
      <c r="D571" s="201"/>
      <c r="E571" s="201"/>
      <c r="F571" s="201"/>
      <c r="G571" s="201"/>
      <c r="H571" s="201"/>
      <c r="I571" s="201"/>
    </row>
    <row r="572" spans="1:9" ht="24.75" customHeight="1" x14ac:dyDescent="0.3">
      <c r="A572" s="201">
        <v>207</v>
      </c>
      <c r="B572" s="201"/>
      <c r="C572" s="201"/>
      <c r="D572" s="201"/>
      <c r="E572" s="201"/>
      <c r="F572" s="201"/>
      <c r="G572" s="201"/>
      <c r="H572" s="201"/>
      <c r="I572" s="201"/>
    </row>
    <row r="573" spans="1:9" x14ac:dyDescent="0.3">
      <c r="A573" s="220"/>
      <c r="B573" s="220"/>
      <c r="C573" s="220"/>
      <c r="D573" s="220"/>
      <c r="E573" s="220"/>
      <c r="F573" s="220"/>
      <c r="G573" s="220"/>
      <c r="H573" s="220"/>
      <c r="I573" s="220"/>
    </row>
    <row r="574" spans="1:9" ht="60" customHeight="1" x14ac:dyDescent="0.3">
      <c r="A574" s="203" t="s">
        <v>125</v>
      </c>
      <c r="B574" s="224" t="s">
        <v>126</v>
      </c>
      <c r="C574" s="203" t="s">
        <v>199</v>
      </c>
      <c r="D574" s="203" t="s">
        <v>128</v>
      </c>
      <c r="E574" s="225" t="s">
        <v>129</v>
      </c>
      <c r="F574" s="226" t="s">
        <v>130</v>
      </c>
      <c r="G574" s="224" t="s">
        <v>131</v>
      </c>
      <c r="H574" s="224"/>
      <c r="I574" s="224"/>
    </row>
    <row r="575" spans="1:9" ht="60" customHeight="1" x14ac:dyDescent="0.3">
      <c r="A575" s="203"/>
      <c r="B575" s="224"/>
      <c r="C575" s="203"/>
      <c r="D575" s="203"/>
      <c r="E575" s="225"/>
      <c r="F575" s="226"/>
      <c r="G575" s="33" t="s">
        <v>112</v>
      </c>
      <c r="H575" s="33" t="s">
        <v>110</v>
      </c>
      <c r="I575" s="33" t="s">
        <v>111</v>
      </c>
    </row>
    <row r="576" spans="1:9" ht="24" customHeight="1" x14ac:dyDescent="0.3">
      <c r="A576" s="34">
        <f>IF(ПРИЛОЖЕНИЕ!$A573=0,SUMIFS('итог '!L:L,'итог '!$B:$B,ПРИЛОЖЕНИЕ!$A572),SUMIFS('итог '!L:L,'итог '!$B:$B,ПРИЛОЖЕНИЕ!$A572,'итог '!$D:$D,ПРИЛОЖЕНИЕ!$A573))</f>
        <v>3</v>
      </c>
      <c r="B576" s="35">
        <f>IF(ПРИЛОЖЕНИЕ!$A573=0,SUMIFS('итог '!M:M,'итог '!$B:$B,ПРИЛОЖЕНИЕ!$A572),SUMIFS('итог '!M:M,'итог '!$B:$B,ПРИЛОЖЕНИЕ!$A572,'итог '!$D:$D,ПРИЛОЖЕНИЕ!$A573))</f>
        <v>45866.666666666664</v>
      </c>
      <c r="C576" s="34">
        <f>IF(ПРИЛОЖЕНИЕ!$A573=0,SUMIFS('итог '!Q:Q,'итог '!$B:$B,ПРИЛОЖЕНИЕ!$A572),SUMIFS('итог '!Q:Q,'итог '!$B:$B,ПРИЛОЖЕНИЕ!$A572,'итог '!$D:$D,ПРИЛОЖЕНИЕ!$A573))</f>
        <v>3</v>
      </c>
      <c r="D576" s="34">
        <f>IF(ПРИЛОЖЕНИЕ!$A573=0,SUMIFS('итог '!S:S,'итог '!$B:$B,ПРИЛОЖЕНИЕ!$A572),SUMIFS('итог '!S:S,'итог '!$B:$B,ПРИЛОЖЕНИЕ!$A572,'итог '!$D:$D,ПРИЛОЖЕНИЕ!$A573))</f>
        <v>1</v>
      </c>
      <c r="E576" s="36" t="e">
        <f>IF(ПРИЛОЖЕНИЕ!$A573=0,SUMIFS('итог '!T:T,'итог '!$B:$B,ПРИЛОЖЕНИЕ!$A572),SUMIFS('итог '!T:T,'итог '!$B:$B,ПРИЛОЖЕНИЕ!$A572,'итог '!$D:$D,ПРИЛОЖЕНИЕ!$A573))</f>
        <v>#REF!</v>
      </c>
      <c r="F576" s="35" t="e">
        <f>IF(ПРИЛОЖЕНИЕ!$A573=0,SUMIFS('итог '!V:V,'итог '!$B:$B,ПРИЛОЖЕНИЕ!$A572),SUMIFS('итог '!V:V,'итог '!$B:$B,ПРИЛОЖЕНИЕ!$A572,'итог '!$D:$D,ПРИЛОЖЕНИЕ!$A573))</f>
        <v>#REF!</v>
      </c>
      <c r="G576" s="35">
        <f>IF(ПРИЛОЖЕНИЕ!$A573=0,SUMIFS('итог '!W:W,'итог '!$B:$B,ПРИЛОЖЕНИЕ!$A572),SUMIFS('итог '!W:W,'итог '!$B:$B,ПРИЛОЖЕНИЕ!$A572,'итог '!$D:$D,ПРИЛОЖЕНИЕ!$A573))</f>
        <v>1587600</v>
      </c>
      <c r="H576" s="35">
        <f>IF(ПРИЛОЖЕНИЕ!$A573=0,SUMIFS('итог '!X:X,'итог '!$B:$B,ПРИЛОЖЕНИЕ!$A572),SUMIFS('итог '!X:X,'итог '!$B:$B,ПРИЛОЖЕНИЕ!$A572,'итог '!$D:$D,ПРИЛОЖЕНИЕ!$A573))</f>
        <v>1651200</v>
      </c>
      <c r="I576" s="35">
        <f>IF(ПРИЛОЖЕНИЕ!$A573=0,SUMIFS('итог '!Y:Y,'итог '!$B:$B,ПРИЛОЖЕНИЕ!$A572),SUMIFS('итог '!Y:Y,'итог '!$B:$B,ПРИЛОЖЕНИЕ!$A572,'итог '!$D:$D,ПРИЛОЖЕНИЕ!$A573))</f>
        <v>-63600</v>
      </c>
    </row>
    <row r="577" spans="1:9" x14ac:dyDescent="0.3">
      <c r="A577" s="37"/>
      <c r="B577" s="38"/>
      <c r="C577" s="37"/>
      <c r="D577" s="37"/>
      <c r="E577" s="39"/>
      <c r="F577" s="38"/>
      <c r="G577" s="38"/>
      <c r="H577" s="38"/>
      <c r="I577" s="38"/>
    </row>
    <row r="578" spans="1:9" ht="25.5" customHeight="1" x14ac:dyDescent="0.3">
      <c r="A578" s="40" t="s">
        <v>198</v>
      </c>
      <c r="C578" s="37"/>
      <c r="D578" s="37"/>
      <c r="E578" s="39"/>
      <c r="F578" s="38"/>
      <c r="G578" s="38"/>
      <c r="H578" s="38"/>
      <c r="I578" s="38"/>
    </row>
    <row r="579" spans="1:9" ht="36.75" customHeight="1" x14ac:dyDescent="0.3">
      <c r="A579" s="38" t="s">
        <v>135</v>
      </c>
      <c r="C579" s="37"/>
      <c r="D579" s="37"/>
      <c r="E579" s="39"/>
      <c r="F579" s="38"/>
      <c r="G579" s="41"/>
      <c r="H579" s="38" t="s">
        <v>136</v>
      </c>
      <c r="I579" s="38"/>
    </row>
    <row r="582" spans="1:9" x14ac:dyDescent="0.3">
      <c r="A582" s="223" t="s">
        <v>132</v>
      </c>
      <c r="B582" s="223"/>
      <c r="C582" s="223"/>
      <c r="D582" s="223"/>
      <c r="E582" s="223"/>
      <c r="F582" s="223"/>
      <c r="G582" s="223"/>
      <c r="H582" s="223"/>
      <c r="I582" s="223"/>
    </row>
    <row r="583" spans="1:9" x14ac:dyDescent="0.3">
      <c r="A583" s="197"/>
      <c r="B583" s="197"/>
      <c r="C583" s="197"/>
      <c r="D583" s="197"/>
      <c r="E583" s="197"/>
      <c r="F583" s="197"/>
      <c r="G583" s="197"/>
      <c r="H583" s="197"/>
      <c r="I583" s="197"/>
    </row>
    <row r="584" spans="1:9" x14ac:dyDescent="0.3">
      <c r="A584" s="220"/>
      <c r="B584" s="220"/>
      <c r="C584" s="220"/>
      <c r="D584" s="220"/>
      <c r="E584" s="220"/>
      <c r="F584" s="220"/>
      <c r="G584" s="220"/>
      <c r="H584" s="220"/>
      <c r="I584" s="220"/>
    </row>
    <row r="585" spans="1:9" x14ac:dyDescent="0.3">
      <c r="A585" s="203" t="s">
        <v>125</v>
      </c>
      <c r="B585" s="224" t="s">
        <v>126</v>
      </c>
      <c r="C585" s="203" t="s">
        <v>199</v>
      </c>
      <c r="D585" s="203" t="s">
        <v>128</v>
      </c>
      <c r="E585" s="225" t="s">
        <v>129</v>
      </c>
      <c r="F585" s="226" t="s">
        <v>130</v>
      </c>
      <c r="G585" s="224" t="s">
        <v>131</v>
      </c>
      <c r="H585" s="224"/>
      <c r="I585" s="224"/>
    </row>
    <row r="586" spans="1:9" x14ac:dyDescent="0.3">
      <c r="A586" s="203"/>
      <c r="B586" s="224"/>
      <c r="C586" s="203"/>
      <c r="D586" s="203"/>
      <c r="E586" s="225"/>
      <c r="F586" s="226"/>
      <c r="G586" s="33" t="s">
        <v>112</v>
      </c>
      <c r="H586" s="33" t="s">
        <v>110</v>
      </c>
      <c r="I586" s="33" t="s">
        <v>111</v>
      </c>
    </row>
    <row r="587" spans="1:9" x14ac:dyDescent="0.3">
      <c r="A587" s="34">
        <f>IF(ПРИЛОЖЕНИЕ!$A584=0,SUMIFS('итог '!L:L,'итог '!$B:$B,ПРИЛОЖЕНИЕ!$A583),SUMIFS('итог '!L:L,'итог '!$B:$B,ПРИЛОЖЕНИЕ!$A583,'итог '!$D:$D,ПРИЛОЖЕНИЕ!$A584))</f>
        <v>0</v>
      </c>
      <c r="B587" s="35">
        <f>IF(ПРИЛОЖЕНИЕ!$A584=0,SUMIFS('итог '!M:M,'итог '!$B:$B,ПРИЛОЖЕНИЕ!$A583),SUMIFS('итог '!M:M,'итог '!$B:$B,ПРИЛОЖЕНИЕ!$A583,'итог '!$D:$D,ПРИЛОЖЕНИЕ!$A584))</f>
        <v>0</v>
      </c>
      <c r="C587" s="34">
        <f>IF(ПРИЛОЖЕНИЕ!$A584=0,SUMIFS('итог '!Q:Q,'итог '!$B:$B,ПРИЛОЖЕНИЕ!$A583),SUMIFS('итог '!Q:Q,'итог '!$B:$B,ПРИЛОЖЕНИЕ!$A583,'итог '!$D:$D,ПРИЛОЖЕНИЕ!$A584))</f>
        <v>0</v>
      </c>
      <c r="D587" s="34">
        <f>IF(ПРИЛОЖЕНИЕ!$A584=0,SUMIFS('итог '!S:S,'итог '!$B:$B,ПРИЛОЖЕНИЕ!$A583),SUMIFS('итог '!S:S,'итог '!$B:$B,ПРИЛОЖЕНИЕ!$A583,'итог '!$D:$D,ПРИЛОЖЕНИЕ!$A584))</f>
        <v>0</v>
      </c>
      <c r="E587" s="36">
        <f>IF(ПРИЛОЖЕНИЕ!$A584=0,SUMIFS('итог '!T:T,'итог '!$B:$B,ПРИЛОЖЕНИЕ!$A583),SUMIFS('итог '!T:T,'итог '!$B:$B,ПРИЛОЖЕНИЕ!$A583,'итог '!$D:$D,ПРИЛОЖЕНИЕ!$A584))</f>
        <v>0</v>
      </c>
      <c r="F587" s="35">
        <f>IF(ПРИЛОЖЕНИЕ!$A584=0,SUMIFS('итог '!V:V,'итог '!$B:$B,ПРИЛОЖЕНИЕ!$A583),SUMIFS('итог '!V:V,'итог '!$B:$B,ПРИЛОЖЕНИЕ!$A583,'итог '!$D:$D,ПРИЛОЖЕНИЕ!$A584))</f>
        <v>0</v>
      </c>
      <c r="G587" s="35">
        <f>IF(ПРИЛОЖЕНИЕ!$A584=0,SUMIFS('итог '!W:W,'итог '!$B:$B,ПРИЛОЖЕНИЕ!$A583),SUMIFS('итог '!W:W,'итог '!$B:$B,ПРИЛОЖЕНИЕ!$A583,'итог '!$D:$D,ПРИЛОЖЕНИЕ!$A584))</f>
        <v>0</v>
      </c>
      <c r="H587" s="35">
        <f>IF(ПРИЛОЖЕНИЕ!$A584=0,SUMIFS('итог '!X:X,'итог '!$B:$B,ПРИЛОЖЕНИЕ!$A583),SUMIFS('итог '!X:X,'итог '!$B:$B,ПРИЛОЖЕНИЕ!$A583,'итог '!$D:$D,ПРИЛОЖЕНИЕ!$A584))</f>
        <v>0</v>
      </c>
      <c r="I587" s="35">
        <f>IF(ПРИЛОЖЕНИЕ!$A584=0,SUMIFS('итог '!Y:Y,'итог '!$B:$B,ПРИЛОЖЕНИЕ!$A583),SUMIFS('итог '!Y:Y,'итог '!$B:$B,ПРИЛОЖЕНИЕ!$A583,'итог '!$D:$D,ПРИЛОЖЕНИЕ!$A584))</f>
        <v>0</v>
      </c>
    </row>
    <row r="588" spans="1:9" x14ac:dyDescent="0.3">
      <c r="A588" s="37"/>
      <c r="B588" s="38"/>
      <c r="C588" s="37"/>
      <c r="D588" s="37"/>
      <c r="E588" s="39"/>
      <c r="F588" s="38"/>
      <c r="G588" s="38"/>
      <c r="H588" s="38"/>
      <c r="I588" s="38"/>
    </row>
    <row r="589" spans="1:9" x14ac:dyDescent="0.3">
      <c r="A589" s="37"/>
      <c r="B589" s="40" t="s">
        <v>134</v>
      </c>
      <c r="C589" s="37"/>
      <c r="D589" s="37"/>
      <c r="E589" s="39"/>
      <c r="F589" s="38"/>
      <c r="G589" s="38"/>
      <c r="H589" s="38"/>
      <c r="I589" s="38"/>
    </row>
    <row r="590" spans="1:9" x14ac:dyDescent="0.3">
      <c r="A590" s="37"/>
      <c r="B590" s="38" t="s">
        <v>135</v>
      </c>
      <c r="C590" s="37"/>
      <c r="D590" s="37"/>
      <c r="E590" s="39"/>
      <c r="F590" s="38"/>
      <c r="G590" s="41"/>
      <c r="H590" s="38" t="s">
        <v>136</v>
      </c>
      <c r="I590" s="38"/>
    </row>
  </sheetData>
  <customSheetViews>
    <customSheetView guid="{E2D89713-329E-4646-96A4-DF85EB814D99}" scale="60" showPageBreaks="1" fitToPage="1" printArea="1" view="pageBreakPreview">
      <selection activeCell="A12" sqref="A12:I22"/>
      <pageMargins left="0.7" right="0.7" top="0.75" bottom="0.75" header="0.3" footer="0.3"/>
      <pageSetup paperSize="9" scale="75" fitToHeight="0" orientation="landscape" r:id="rId1"/>
    </customSheetView>
    <customSheetView guid="{00BFEA53-DE9B-4168-86F9-051EA2F14C76}" scale="60" showPageBreaks="1" fitToPage="1" printArea="1" view="pageBreakPreview">
      <selection sqref="A1:I11"/>
      <pageMargins left="0.7" right="0.7" top="0.75" bottom="0.75" header="0.3" footer="0.3"/>
      <pageSetup paperSize="9" scale="75" fitToHeight="0" orientation="landscape" r:id="rId2"/>
    </customSheetView>
    <customSheetView guid="{A85C9AEB-D1CC-4007-B352-4A6F96D3EAB7}" scale="60" showPageBreaks="1" fitToPage="1" printArea="1" view="pageBreakPreview">
      <selection activeCell="A12" sqref="A12:XFD12"/>
      <pageMargins left="0.7" right="0.7" top="0.75" bottom="0.75" header="0.3" footer="0.3"/>
      <pageSetup paperSize="9" scale="75" fitToHeight="0" orientation="landscape" r:id="rId3"/>
    </customSheetView>
  </customSheetViews>
  <mergeCells count="7818">
    <mergeCell ref="A442:A443"/>
    <mergeCell ref="G354:G355"/>
    <mergeCell ref="H354:J354"/>
    <mergeCell ref="G442:G443"/>
    <mergeCell ref="H442:J442"/>
    <mergeCell ref="A451:J451"/>
    <mergeCell ref="A450:J450"/>
    <mergeCell ref="A452:J452"/>
    <mergeCell ref="A453:A454"/>
    <mergeCell ref="G453:G454"/>
    <mergeCell ref="H453:J453"/>
    <mergeCell ref="B453:B454"/>
    <mergeCell ref="C453:C454"/>
    <mergeCell ref="D453:D454"/>
    <mergeCell ref="E453:E454"/>
    <mergeCell ref="F453:F454"/>
    <mergeCell ref="B442:B443"/>
    <mergeCell ref="C442:C443"/>
    <mergeCell ref="D442:D443"/>
    <mergeCell ref="E442:E443"/>
    <mergeCell ref="F442:F443"/>
    <mergeCell ref="A428:I428"/>
    <mergeCell ref="A429:I429"/>
    <mergeCell ref="A430:I430"/>
    <mergeCell ref="A431:A432"/>
    <mergeCell ref="G420:I420"/>
    <mergeCell ref="A406:I406"/>
    <mergeCell ref="A407:I407"/>
    <mergeCell ref="A408:I408"/>
    <mergeCell ref="A409:A410"/>
    <mergeCell ref="B409:B410"/>
    <mergeCell ref="C409:C410"/>
    <mergeCell ref="A13:I13"/>
    <mergeCell ref="A14:I14"/>
    <mergeCell ref="A16:A17"/>
    <mergeCell ref="B16:B17"/>
    <mergeCell ref="C16:C17"/>
    <mergeCell ref="D16:D17"/>
    <mergeCell ref="E16:E17"/>
    <mergeCell ref="F16:F17"/>
    <mergeCell ref="G16:I16"/>
    <mergeCell ref="A15:I15"/>
    <mergeCell ref="A340:J340"/>
    <mergeCell ref="A341:J341"/>
    <mergeCell ref="A342:J342"/>
    <mergeCell ref="A354:A355"/>
    <mergeCell ref="A439:J439"/>
    <mergeCell ref="A440:J440"/>
    <mergeCell ref="A441:J441"/>
    <mergeCell ref="B431:B432"/>
    <mergeCell ref="C431:C432"/>
    <mergeCell ref="D431:D432"/>
    <mergeCell ref="E431:E432"/>
    <mergeCell ref="F431:F432"/>
    <mergeCell ref="G431:I431"/>
    <mergeCell ref="A417:I417"/>
    <mergeCell ref="A418:I418"/>
    <mergeCell ref="A419:I419"/>
    <mergeCell ref="A420:A421"/>
    <mergeCell ref="B420:B421"/>
    <mergeCell ref="C420:C421"/>
    <mergeCell ref="D420:D421"/>
    <mergeCell ref="E420:E421"/>
    <mergeCell ref="F420:F421"/>
    <mergeCell ref="WWJ172:WWR172"/>
    <mergeCell ref="WWS172:WXA172"/>
    <mergeCell ref="WXB172:WXJ172"/>
    <mergeCell ref="WXK172:WXS172"/>
    <mergeCell ref="WXT172:WYB172"/>
    <mergeCell ref="WYC172:WYK172"/>
    <mergeCell ref="WYL172:WYT172"/>
    <mergeCell ref="WYU172:WZC172"/>
    <mergeCell ref="WZD172:WZL172"/>
    <mergeCell ref="WTG172:WTO172"/>
    <mergeCell ref="WTP172:WTX172"/>
    <mergeCell ref="WTY172:WUG172"/>
    <mergeCell ref="WUH172:WUP172"/>
    <mergeCell ref="A2:I2"/>
    <mergeCell ref="A3:I3"/>
    <mergeCell ref="A4:I4"/>
    <mergeCell ref="A5:A6"/>
    <mergeCell ref="B5:B6"/>
    <mergeCell ref="C5:C6"/>
    <mergeCell ref="D5:D6"/>
    <mergeCell ref="E5:E6"/>
    <mergeCell ref="F5:F6"/>
    <mergeCell ref="G5:I5"/>
    <mergeCell ref="A35:J35"/>
    <mergeCell ref="A36:J36"/>
    <mergeCell ref="A37:J37"/>
    <mergeCell ref="A38:A39"/>
    <mergeCell ref="G38:G39"/>
    <mergeCell ref="H38:J38"/>
    <mergeCell ref="A47:J47"/>
    <mergeCell ref="A24:I24"/>
    <mergeCell ref="A25:I25"/>
    <mergeCell ref="XCP172:XCX172"/>
    <mergeCell ref="XCY172:XDG172"/>
    <mergeCell ref="XDH172:XDP172"/>
    <mergeCell ref="XDQ172:XDY172"/>
    <mergeCell ref="XDZ172:XEH172"/>
    <mergeCell ref="XEI172:XEQ172"/>
    <mergeCell ref="XER172:XEZ172"/>
    <mergeCell ref="XFA172:XFD172"/>
    <mergeCell ref="WZM172:WZU172"/>
    <mergeCell ref="WZV172:XAD172"/>
    <mergeCell ref="XAE172:XAM172"/>
    <mergeCell ref="XAN172:XAV172"/>
    <mergeCell ref="XAW172:XBE172"/>
    <mergeCell ref="XBF172:XBN172"/>
    <mergeCell ref="XBO172:XBW172"/>
    <mergeCell ref="XBX172:XCF172"/>
    <mergeCell ref="XCG172:XCO172"/>
    <mergeCell ref="WUQ172:WUY172"/>
    <mergeCell ref="WUZ172:WVH172"/>
    <mergeCell ref="WVI172:WVQ172"/>
    <mergeCell ref="WVR172:WVZ172"/>
    <mergeCell ref="WWA172:WWI172"/>
    <mergeCell ref="WQD172:WQL172"/>
    <mergeCell ref="WQM172:WQU172"/>
    <mergeCell ref="WQV172:WRD172"/>
    <mergeCell ref="WRE172:WRM172"/>
    <mergeCell ref="WRN172:WRV172"/>
    <mergeCell ref="WRW172:WSE172"/>
    <mergeCell ref="WSF172:WSN172"/>
    <mergeCell ref="WSO172:WSW172"/>
    <mergeCell ref="WSX172:WTF172"/>
    <mergeCell ref="WNA172:WNI172"/>
    <mergeCell ref="WNJ172:WNR172"/>
    <mergeCell ref="WNS172:WOA172"/>
    <mergeCell ref="WOB172:WOJ172"/>
    <mergeCell ref="WOK172:WOS172"/>
    <mergeCell ref="WOT172:WPB172"/>
    <mergeCell ref="WPC172:WPK172"/>
    <mergeCell ref="WPL172:WPT172"/>
    <mergeCell ref="WPU172:WQC172"/>
    <mergeCell ref="WJX172:WKF172"/>
    <mergeCell ref="WKG172:WKO172"/>
    <mergeCell ref="WKP172:WKX172"/>
    <mergeCell ref="WKY172:WLG172"/>
    <mergeCell ref="WLH172:WLP172"/>
    <mergeCell ref="WLQ172:WLY172"/>
    <mergeCell ref="WLZ172:WMH172"/>
    <mergeCell ref="WMI172:WMQ172"/>
    <mergeCell ref="WMR172:WMZ172"/>
    <mergeCell ref="WGU172:WHC172"/>
    <mergeCell ref="WHD172:WHL172"/>
    <mergeCell ref="WHM172:WHU172"/>
    <mergeCell ref="WHV172:WID172"/>
    <mergeCell ref="WIE172:WIM172"/>
    <mergeCell ref="WIN172:WIV172"/>
    <mergeCell ref="WIW172:WJE172"/>
    <mergeCell ref="WJF172:WJN172"/>
    <mergeCell ref="WJO172:WJW172"/>
    <mergeCell ref="WDR172:WDZ172"/>
    <mergeCell ref="WEA172:WEI172"/>
    <mergeCell ref="WEJ172:WER172"/>
    <mergeCell ref="WES172:WFA172"/>
    <mergeCell ref="WFB172:WFJ172"/>
    <mergeCell ref="WFK172:WFS172"/>
    <mergeCell ref="WFT172:WGB172"/>
    <mergeCell ref="WGC172:WGK172"/>
    <mergeCell ref="WGL172:WGT172"/>
    <mergeCell ref="WAO172:WAW172"/>
    <mergeCell ref="WAX172:WBF172"/>
    <mergeCell ref="WBG172:WBO172"/>
    <mergeCell ref="WBP172:WBX172"/>
    <mergeCell ref="WBY172:WCG172"/>
    <mergeCell ref="WCH172:WCP172"/>
    <mergeCell ref="WCQ172:WCY172"/>
    <mergeCell ref="WCZ172:WDH172"/>
    <mergeCell ref="WDI172:WDQ172"/>
    <mergeCell ref="VXL172:VXT172"/>
    <mergeCell ref="VXU172:VYC172"/>
    <mergeCell ref="VYD172:VYL172"/>
    <mergeCell ref="VYM172:VYU172"/>
    <mergeCell ref="VYV172:VZD172"/>
    <mergeCell ref="VZE172:VZM172"/>
    <mergeCell ref="VZN172:VZV172"/>
    <mergeCell ref="VZW172:WAE172"/>
    <mergeCell ref="WAF172:WAN172"/>
    <mergeCell ref="VUI172:VUQ172"/>
    <mergeCell ref="VUR172:VUZ172"/>
    <mergeCell ref="VVA172:VVI172"/>
    <mergeCell ref="VVJ172:VVR172"/>
    <mergeCell ref="VVS172:VWA172"/>
    <mergeCell ref="VWB172:VWJ172"/>
    <mergeCell ref="VWK172:VWS172"/>
    <mergeCell ref="VWT172:VXB172"/>
    <mergeCell ref="VXC172:VXK172"/>
    <mergeCell ref="VRF172:VRN172"/>
    <mergeCell ref="VRO172:VRW172"/>
    <mergeCell ref="VRX172:VSF172"/>
    <mergeCell ref="VSG172:VSO172"/>
    <mergeCell ref="VSP172:VSX172"/>
    <mergeCell ref="VSY172:VTG172"/>
    <mergeCell ref="VTH172:VTP172"/>
    <mergeCell ref="VTQ172:VTY172"/>
    <mergeCell ref="VTZ172:VUH172"/>
    <mergeCell ref="VOC172:VOK172"/>
    <mergeCell ref="VOL172:VOT172"/>
    <mergeCell ref="VOU172:VPC172"/>
    <mergeCell ref="VPD172:VPL172"/>
    <mergeCell ref="VPM172:VPU172"/>
    <mergeCell ref="VPV172:VQD172"/>
    <mergeCell ref="VQE172:VQM172"/>
    <mergeCell ref="VQN172:VQV172"/>
    <mergeCell ref="VQW172:VRE172"/>
    <mergeCell ref="VKZ172:VLH172"/>
    <mergeCell ref="VLI172:VLQ172"/>
    <mergeCell ref="VLR172:VLZ172"/>
    <mergeCell ref="VMA172:VMI172"/>
    <mergeCell ref="VMJ172:VMR172"/>
    <mergeCell ref="VMS172:VNA172"/>
    <mergeCell ref="VNB172:VNJ172"/>
    <mergeCell ref="VNK172:VNS172"/>
    <mergeCell ref="VNT172:VOB172"/>
    <mergeCell ref="VHW172:VIE172"/>
    <mergeCell ref="VIF172:VIN172"/>
    <mergeCell ref="VIO172:VIW172"/>
    <mergeCell ref="VIX172:VJF172"/>
    <mergeCell ref="VJG172:VJO172"/>
    <mergeCell ref="VJP172:VJX172"/>
    <mergeCell ref="VJY172:VKG172"/>
    <mergeCell ref="VKH172:VKP172"/>
    <mergeCell ref="VKQ172:VKY172"/>
    <mergeCell ref="VET172:VFB172"/>
    <mergeCell ref="VFC172:VFK172"/>
    <mergeCell ref="VFL172:VFT172"/>
    <mergeCell ref="VFU172:VGC172"/>
    <mergeCell ref="VGD172:VGL172"/>
    <mergeCell ref="VGM172:VGU172"/>
    <mergeCell ref="VGV172:VHD172"/>
    <mergeCell ref="VHE172:VHM172"/>
    <mergeCell ref="VHN172:VHV172"/>
    <mergeCell ref="VBQ172:VBY172"/>
    <mergeCell ref="VBZ172:VCH172"/>
    <mergeCell ref="VCI172:VCQ172"/>
    <mergeCell ref="VCR172:VCZ172"/>
    <mergeCell ref="VDA172:VDI172"/>
    <mergeCell ref="VDJ172:VDR172"/>
    <mergeCell ref="VDS172:VEA172"/>
    <mergeCell ref="VEB172:VEJ172"/>
    <mergeCell ref="VEK172:VES172"/>
    <mergeCell ref="UYN172:UYV172"/>
    <mergeCell ref="UYW172:UZE172"/>
    <mergeCell ref="UZF172:UZN172"/>
    <mergeCell ref="UZO172:UZW172"/>
    <mergeCell ref="UZX172:VAF172"/>
    <mergeCell ref="VAG172:VAO172"/>
    <mergeCell ref="VAP172:VAX172"/>
    <mergeCell ref="VAY172:VBG172"/>
    <mergeCell ref="VBH172:VBP172"/>
    <mergeCell ref="UVK172:UVS172"/>
    <mergeCell ref="UVT172:UWB172"/>
    <mergeCell ref="UWC172:UWK172"/>
    <mergeCell ref="UWL172:UWT172"/>
    <mergeCell ref="UWU172:UXC172"/>
    <mergeCell ref="UXD172:UXL172"/>
    <mergeCell ref="UXM172:UXU172"/>
    <mergeCell ref="UXV172:UYD172"/>
    <mergeCell ref="UYE172:UYM172"/>
    <mergeCell ref="USH172:USP172"/>
    <mergeCell ref="USQ172:USY172"/>
    <mergeCell ref="USZ172:UTH172"/>
    <mergeCell ref="UTI172:UTQ172"/>
    <mergeCell ref="UTR172:UTZ172"/>
    <mergeCell ref="UUA172:UUI172"/>
    <mergeCell ref="UUJ172:UUR172"/>
    <mergeCell ref="UUS172:UVA172"/>
    <mergeCell ref="UVB172:UVJ172"/>
    <mergeCell ref="UPE172:UPM172"/>
    <mergeCell ref="UPN172:UPV172"/>
    <mergeCell ref="UPW172:UQE172"/>
    <mergeCell ref="UQF172:UQN172"/>
    <mergeCell ref="UQO172:UQW172"/>
    <mergeCell ref="UQX172:URF172"/>
    <mergeCell ref="URG172:URO172"/>
    <mergeCell ref="URP172:URX172"/>
    <mergeCell ref="URY172:USG172"/>
    <mergeCell ref="UMB172:UMJ172"/>
    <mergeCell ref="UMK172:UMS172"/>
    <mergeCell ref="UMT172:UNB172"/>
    <mergeCell ref="UNC172:UNK172"/>
    <mergeCell ref="UNL172:UNT172"/>
    <mergeCell ref="UNU172:UOC172"/>
    <mergeCell ref="UOD172:UOL172"/>
    <mergeCell ref="UOM172:UOU172"/>
    <mergeCell ref="UOV172:UPD172"/>
    <mergeCell ref="UIY172:UJG172"/>
    <mergeCell ref="UJH172:UJP172"/>
    <mergeCell ref="UJQ172:UJY172"/>
    <mergeCell ref="UJZ172:UKH172"/>
    <mergeCell ref="UKI172:UKQ172"/>
    <mergeCell ref="UKR172:UKZ172"/>
    <mergeCell ref="ULA172:ULI172"/>
    <mergeCell ref="ULJ172:ULR172"/>
    <mergeCell ref="ULS172:UMA172"/>
    <mergeCell ref="UFV172:UGD172"/>
    <mergeCell ref="UGE172:UGM172"/>
    <mergeCell ref="UGN172:UGV172"/>
    <mergeCell ref="UGW172:UHE172"/>
    <mergeCell ref="UHF172:UHN172"/>
    <mergeCell ref="UHO172:UHW172"/>
    <mergeCell ref="UHX172:UIF172"/>
    <mergeCell ref="UIG172:UIO172"/>
    <mergeCell ref="UIP172:UIX172"/>
    <mergeCell ref="UCS172:UDA172"/>
    <mergeCell ref="UDB172:UDJ172"/>
    <mergeCell ref="UDK172:UDS172"/>
    <mergeCell ref="UDT172:UEB172"/>
    <mergeCell ref="UEC172:UEK172"/>
    <mergeCell ref="UEL172:UET172"/>
    <mergeCell ref="UEU172:UFC172"/>
    <mergeCell ref="UFD172:UFL172"/>
    <mergeCell ref="UFM172:UFU172"/>
    <mergeCell ref="TZP172:TZX172"/>
    <mergeCell ref="TZY172:UAG172"/>
    <mergeCell ref="UAH172:UAP172"/>
    <mergeCell ref="UAQ172:UAY172"/>
    <mergeCell ref="UAZ172:UBH172"/>
    <mergeCell ref="UBI172:UBQ172"/>
    <mergeCell ref="UBR172:UBZ172"/>
    <mergeCell ref="UCA172:UCI172"/>
    <mergeCell ref="UCJ172:UCR172"/>
    <mergeCell ref="TWM172:TWU172"/>
    <mergeCell ref="TWV172:TXD172"/>
    <mergeCell ref="TXE172:TXM172"/>
    <mergeCell ref="TXN172:TXV172"/>
    <mergeCell ref="TXW172:TYE172"/>
    <mergeCell ref="TYF172:TYN172"/>
    <mergeCell ref="TYO172:TYW172"/>
    <mergeCell ref="TYX172:TZF172"/>
    <mergeCell ref="TZG172:TZO172"/>
    <mergeCell ref="TTJ172:TTR172"/>
    <mergeCell ref="TTS172:TUA172"/>
    <mergeCell ref="TUB172:TUJ172"/>
    <mergeCell ref="TUK172:TUS172"/>
    <mergeCell ref="TUT172:TVB172"/>
    <mergeCell ref="TVC172:TVK172"/>
    <mergeCell ref="TVL172:TVT172"/>
    <mergeCell ref="TVU172:TWC172"/>
    <mergeCell ref="TWD172:TWL172"/>
    <mergeCell ref="TQG172:TQO172"/>
    <mergeCell ref="TQP172:TQX172"/>
    <mergeCell ref="TQY172:TRG172"/>
    <mergeCell ref="TRH172:TRP172"/>
    <mergeCell ref="TRQ172:TRY172"/>
    <mergeCell ref="TRZ172:TSH172"/>
    <mergeCell ref="TSI172:TSQ172"/>
    <mergeCell ref="TSR172:TSZ172"/>
    <mergeCell ref="TTA172:TTI172"/>
    <mergeCell ref="TND172:TNL172"/>
    <mergeCell ref="TNM172:TNU172"/>
    <mergeCell ref="TNV172:TOD172"/>
    <mergeCell ref="TOE172:TOM172"/>
    <mergeCell ref="TON172:TOV172"/>
    <mergeCell ref="TOW172:TPE172"/>
    <mergeCell ref="TPF172:TPN172"/>
    <mergeCell ref="TPO172:TPW172"/>
    <mergeCell ref="TPX172:TQF172"/>
    <mergeCell ref="TKA172:TKI172"/>
    <mergeCell ref="TKJ172:TKR172"/>
    <mergeCell ref="TKS172:TLA172"/>
    <mergeCell ref="TLB172:TLJ172"/>
    <mergeCell ref="TLK172:TLS172"/>
    <mergeCell ref="TLT172:TMB172"/>
    <mergeCell ref="TMC172:TMK172"/>
    <mergeCell ref="TML172:TMT172"/>
    <mergeCell ref="TMU172:TNC172"/>
    <mergeCell ref="TGX172:THF172"/>
    <mergeCell ref="THG172:THO172"/>
    <mergeCell ref="THP172:THX172"/>
    <mergeCell ref="THY172:TIG172"/>
    <mergeCell ref="TIH172:TIP172"/>
    <mergeCell ref="TIQ172:TIY172"/>
    <mergeCell ref="TIZ172:TJH172"/>
    <mergeCell ref="TJI172:TJQ172"/>
    <mergeCell ref="TJR172:TJZ172"/>
    <mergeCell ref="TDU172:TEC172"/>
    <mergeCell ref="TED172:TEL172"/>
    <mergeCell ref="TEM172:TEU172"/>
    <mergeCell ref="TEV172:TFD172"/>
    <mergeCell ref="TFE172:TFM172"/>
    <mergeCell ref="TFN172:TFV172"/>
    <mergeCell ref="TFW172:TGE172"/>
    <mergeCell ref="TGF172:TGN172"/>
    <mergeCell ref="TGO172:TGW172"/>
    <mergeCell ref="TAR172:TAZ172"/>
    <mergeCell ref="TBA172:TBI172"/>
    <mergeCell ref="TBJ172:TBR172"/>
    <mergeCell ref="TBS172:TCA172"/>
    <mergeCell ref="TCB172:TCJ172"/>
    <mergeCell ref="TCK172:TCS172"/>
    <mergeCell ref="TCT172:TDB172"/>
    <mergeCell ref="TDC172:TDK172"/>
    <mergeCell ref="TDL172:TDT172"/>
    <mergeCell ref="SXO172:SXW172"/>
    <mergeCell ref="SXX172:SYF172"/>
    <mergeCell ref="SYG172:SYO172"/>
    <mergeCell ref="SYP172:SYX172"/>
    <mergeCell ref="SYY172:SZG172"/>
    <mergeCell ref="SZH172:SZP172"/>
    <mergeCell ref="SZQ172:SZY172"/>
    <mergeCell ref="SZZ172:TAH172"/>
    <mergeCell ref="TAI172:TAQ172"/>
    <mergeCell ref="SUL172:SUT172"/>
    <mergeCell ref="SUU172:SVC172"/>
    <mergeCell ref="SVD172:SVL172"/>
    <mergeCell ref="SVM172:SVU172"/>
    <mergeCell ref="SVV172:SWD172"/>
    <mergeCell ref="SWE172:SWM172"/>
    <mergeCell ref="SWN172:SWV172"/>
    <mergeCell ref="SWW172:SXE172"/>
    <mergeCell ref="SXF172:SXN172"/>
    <mergeCell ref="SRI172:SRQ172"/>
    <mergeCell ref="SRR172:SRZ172"/>
    <mergeCell ref="SSA172:SSI172"/>
    <mergeCell ref="SSJ172:SSR172"/>
    <mergeCell ref="SSS172:STA172"/>
    <mergeCell ref="STB172:STJ172"/>
    <mergeCell ref="STK172:STS172"/>
    <mergeCell ref="STT172:SUB172"/>
    <mergeCell ref="SUC172:SUK172"/>
    <mergeCell ref="SOF172:SON172"/>
    <mergeCell ref="SOO172:SOW172"/>
    <mergeCell ref="SOX172:SPF172"/>
    <mergeCell ref="SPG172:SPO172"/>
    <mergeCell ref="SPP172:SPX172"/>
    <mergeCell ref="SPY172:SQG172"/>
    <mergeCell ref="SQH172:SQP172"/>
    <mergeCell ref="SQQ172:SQY172"/>
    <mergeCell ref="SQZ172:SRH172"/>
    <mergeCell ref="SLC172:SLK172"/>
    <mergeCell ref="SLL172:SLT172"/>
    <mergeCell ref="SLU172:SMC172"/>
    <mergeCell ref="SMD172:SML172"/>
    <mergeCell ref="SMM172:SMU172"/>
    <mergeCell ref="SMV172:SND172"/>
    <mergeCell ref="SNE172:SNM172"/>
    <mergeCell ref="SNN172:SNV172"/>
    <mergeCell ref="SNW172:SOE172"/>
    <mergeCell ref="SHZ172:SIH172"/>
    <mergeCell ref="SII172:SIQ172"/>
    <mergeCell ref="SIR172:SIZ172"/>
    <mergeCell ref="SJA172:SJI172"/>
    <mergeCell ref="SJJ172:SJR172"/>
    <mergeCell ref="SJS172:SKA172"/>
    <mergeCell ref="SKB172:SKJ172"/>
    <mergeCell ref="SKK172:SKS172"/>
    <mergeCell ref="SKT172:SLB172"/>
    <mergeCell ref="SEW172:SFE172"/>
    <mergeCell ref="SFF172:SFN172"/>
    <mergeCell ref="SFO172:SFW172"/>
    <mergeCell ref="SFX172:SGF172"/>
    <mergeCell ref="SGG172:SGO172"/>
    <mergeCell ref="SGP172:SGX172"/>
    <mergeCell ref="SGY172:SHG172"/>
    <mergeCell ref="SHH172:SHP172"/>
    <mergeCell ref="SHQ172:SHY172"/>
    <mergeCell ref="SBT172:SCB172"/>
    <mergeCell ref="SCC172:SCK172"/>
    <mergeCell ref="SCL172:SCT172"/>
    <mergeCell ref="SCU172:SDC172"/>
    <mergeCell ref="SDD172:SDL172"/>
    <mergeCell ref="SDM172:SDU172"/>
    <mergeCell ref="SDV172:SED172"/>
    <mergeCell ref="SEE172:SEM172"/>
    <mergeCell ref="SEN172:SEV172"/>
    <mergeCell ref="RYQ172:RYY172"/>
    <mergeCell ref="RYZ172:RZH172"/>
    <mergeCell ref="RZI172:RZQ172"/>
    <mergeCell ref="RZR172:RZZ172"/>
    <mergeCell ref="SAA172:SAI172"/>
    <mergeCell ref="SAJ172:SAR172"/>
    <mergeCell ref="SAS172:SBA172"/>
    <mergeCell ref="SBB172:SBJ172"/>
    <mergeCell ref="SBK172:SBS172"/>
    <mergeCell ref="RVN172:RVV172"/>
    <mergeCell ref="RVW172:RWE172"/>
    <mergeCell ref="RWF172:RWN172"/>
    <mergeCell ref="RWO172:RWW172"/>
    <mergeCell ref="RWX172:RXF172"/>
    <mergeCell ref="RXG172:RXO172"/>
    <mergeCell ref="RXP172:RXX172"/>
    <mergeCell ref="RXY172:RYG172"/>
    <mergeCell ref="RYH172:RYP172"/>
    <mergeCell ref="RSK172:RSS172"/>
    <mergeCell ref="RST172:RTB172"/>
    <mergeCell ref="RTC172:RTK172"/>
    <mergeCell ref="RTL172:RTT172"/>
    <mergeCell ref="RTU172:RUC172"/>
    <mergeCell ref="RUD172:RUL172"/>
    <mergeCell ref="RUM172:RUU172"/>
    <mergeCell ref="RUV172:RVD172"/>
    <mergeCell ref="RVE172:RVM172"/>
    <mergeCell ref="RPH172:RPP172"/>
    <mergeCell ref="RPQ172:RPY172"/>
    <mergeCell ref="RPZ172:RQH172"/>
    <mergeCell ref="RQI172:RQQ172"/>
    <mergeCell ref="RQR172:RQZ172"/>
    <mergeCell ref="RRA172:RRI172"/>
    <mergeCell ref="RRJ172:RRR172"/>
    <mergeCell ref="RRS172:RSA172"/>
    <mergeCell ref="RSB172:RSJ172"/>
    <mergeCell ref="RME172:RMM172"/>
    <mergeCell ref="RMN172:RMV172"/>
    <mergeCell ref="RMW172:RNE172"/>
    <mergeCell ref="RNF172:RNN172"/>
    <mergeCell ref="RNO172:RNW172"/>
    <mergeCell ref="RNX172:ROF172"/>
    <mergeCell ref="ROG172:ROO172"/>
    <mergeCell ref="ROP172:ROX172"/>
    <mergeCell ref="ROY172:RPG172"/>
    <mergeCell ref="RJB172:RJJ172"/>
    <mergeCell ref="RJK172:RJS172"/>
    <mergeCell ref="RJT172:RKB172"/>
    <mergeCell ref="RKC172:RKK172"/>
    <mergeCell ref="RKL172:RKT172"/>
    <mergeCell ref="RKU172:RLC172"/>
    <mergeCell ref="RLD172:RLL172"/>
    <mergeCell ref="RLM172:RLU172"/>
    <mergeCell ref="RLV172:RMD172"/>
    <mergeCell ref="RFY172:RGG172"/>
    <mergeCell ref="RGH172:RGP172"/>
    <mergeCell ref="RGQ172:RGY172"/>
    <mergeCell ref="RGZ172:RHH172"/>
    <mergeCell ref="RHI172:RHQ172"/>
    <mergeCell ref="RHR172:RHZ172"/>
    <mergeCell ref="RIA172:RII172"/>
    <mergeCell ref="RIJ172:RIR172"/>
    <mergeCell ref="RIS172:RJA172"/>
    <mergeCell ref="RCV172:RDD172"/>
    <mergeCell ref="RDE172:RDM172"/>
    <mergeCell ref="RDN172:RDV172"/>
    <mergeCell ref="RDW172:REE172"/>
    <mergeCell ref="REF172:REN172"/>
    <mergeCell ref="REO172:REW172"/>
    <mergeCell ref="REX172:RFF172"/>
    <mergeCell ref="RFG172:RFO172"/>
    <mergeCell ref="RFP172:RFX172"/>
    <mergeCell ref="QZS172:RAA172"/>
    <mergeCell ref="RAB172:RAJ172"/>
    <mergeCell ref="RAK172:RAS172"/>
    <mergeCell ref="RAT172:RBB172"/>
    <mergeCell ref="RBC172:RBK172"/>
    <mergeCell ref="RBL172:RBT172"/>
    <mergeCell ref="RBU172:RCC172"/>
    <mergeCell ref="RCD172:RCL172"/>
    <mergeCell ref="RCM172:RCU172"/>
    <mergeCell ref="QWP172:QWX172"/>
    <mergeCell ref="QWY172:QXG172"/>
    <mergeCell ref="QXH172:QXP172"/>
    <mergeCell ref="QXQ172:QXY172"/>
    <mergeCell ref="QXZ172:QYH172"/>
    <mergeCell ref="QYI172:QYQ172"/>
    <mergeCell ref="QYR172:QYZ172"/>
    <mergeCell ref="QZA172:QZI172"/>
    <mergeCell ref="QZJ172:QZR172"/>
    <mergeCell ref="QTM172:QTU172"/>
    <mergeCell ref="QTV172:QUD172"/>
    <mergeCell ref="QUE172:QUM172"/>
    <mergeCell ref="QUN172:QUV172"/>
    <mergeCell ref="QUW172:QVE172"/>
    <mergeCell ref="QVF172:QVN172"/>
    <mergeCell ref="QVO172:QVW172"/>
    <mergeCell ref="QVX172:QWF172"/>
    <mergeCell ref="QWG172:QWO172"/>
    <mergeCell ref="QQJ172:QQR172"/>
    <mergeCell ref="QQS172:QRA172"/>
    <mergeCell ref="QRB172:QRJ172"/>
    <mergeCell ref="QRK172:QRS172"/>
    <mergeCell ref="QRT172:QSB172"/>
    <mergeCell ref="QSC172:QSK172"/>
    <mergeCell ref="QSL172:QST172"/>
    <mergeCell ref="QSU172:QTC172"/>
    <mergeCell ref="QTD172:QTL172"/>
    <mergeCell ref="QNG172:QNO172"/>
    <mergeCell ref="QNP172:QNX172"/>
    <mergeCell ref="QNY172:QOG172"/>
    <mergeCell ref="QOH172:QOP172"/>
    <mergeCell ref="QOQ172:QOY172"/>
    <mergeCell ref="QOZ172:QPH172"/>
    <mergeCell ref="QPI172:QPQ172"/>
    <mergeCell ref="QPR172:QPZ172"/>
    <mergeCell ref="QQA172:QQI172"/>
    <mergeCell ref="QKD172:QKL172"/>
    <mergeCell ref="QKM172:QKU172"/>
    <mergeCell ref="QKV172:QLD172"/>
    <mergeCell ref="QLE172:QLM172"/>
    <mergeCell ref="QLN172:QLV172"/>
    <mergeCell ref="QLW172:QME172"/>
    <mergeCell ref="QMF172:QMN172"/>
    <mergeCell ref="QMO172:QMW172"/>
    <mergeCell ref="QMX172:QNF172"/>
    <mergeCell ref="QHA172:QHI172"/>
    <mergeCell ref="QHJ172:QHR172"/>
    <mergeCell ref="QHS172:QIA172"/>
    <mergeCell ref="QIB172:QIJ172"/>
    <mergeCell ref="QIK172:QIS172"/>
    <mergeCell ref="QIT172:QJB172"/>
    <mergeCell ref="QJC172:QJK172"/>
    <mergeCell ref="QJL172:QJT172"/>
    <mergeCell ref="QJU172:QKC172"/>
    <mergeCell ref="QDX172:QEF172"/>
    <mergeCell ref="QEG172:QEO172"/>
    <mergeCell ref="QEP172:QEX172"/>
    <mergeCell ref="QEY172:QFG172"/>
    <mergeCell ref="QFH172:QFP172"/>
    <mergeCell ref="QFQ172:QFY172"/>
    <mergeCell ref="QFZ172:QGH172"/>
    <mergeCell ref="QGI172:QGQ172"/>
    <mergeCell ref="QGR172:QGZ172"/>
    <mergeCell ref="QAU172:QBC172"/>
    <mergeCell ref="QBD172:QBL172"/>
    <mergeCell ref="QBM172:QBU172"/>
    <mergeCell ref="QBV172:QCD172"/>
    <mergeCell ref="QCE172:QCM172"/>
    <mergeCell ref="QCN172:QCV172"/>
    <mergeCell ref="QCW172:QDE172"/>
    <mergeCell ref="QDF172:QDN172"/>
    <mergeCell ref="QDO172:QDW172"/>
    <mergeCell ref="PXR172:PXZ172"/>
    <mergeCell ref="PYA172:PYI172"/>
    <mergeCell ref="PYJ172:PYR172"/>
    <mergeCell ref="PYS172:PZA172"/>
    <mergeCell ref="PZB172:PZJ172"/>
    <mergeCell ref="PZK172:PZS172"/>
    <mergeCell ref="PZT172:QAB172"/>
    <mergeCell ref="QAC172:QAK172"/>
    <mergeCell ref="QAL172:QAT172"/>
    <mergeCell ref="PUO172:PUW172"/>
    <mergeCell ref="PUX172:PVF172"/>
    <mergeCell ref="PVG172:PVO172"/>
    <mergeCell ref="PVP172:PVX172"/>
    <mergeCell ref="PVY172:PWG172"/>
    <mergeCell ref="PWH172:PWP172"/>
    <mergeCell ref="PWQ172:PWY172"/>
    <mergeCell ref="PWZ172:PXH172"/>
    <mergeCell ref="PXI172:PXQ172"/>
    <mergeCell ref="PRL172:PRT172"/>
    <mergeCell ref="PRU172:PSC172"/>
    <mergeCell ref="PSD172:PSL172"/>
    <mergeCell ref="PSM172:PSU172"/>
    <mergeCell ref="PSV172:PTD172"/>
    <mergeCell ref="PTE172:PTM172"/>
    <mergeCell ref="PTN172:PTV172"/>
    <mergeCell ref="PTW172:PUE172"/>
    <mergeCell ref="PUF172:PUN172"/>
    <mergeCell ref="POI172:POQ172"/>
    <mergeCell ref="POR172:POZ172"/>
    <mergeCell ref="PPA172:PPI172"/>
    <mergeCell ref="PPJ172:PPR172"/>
    <mergeCell ref="PPS172:PQA172"/>
    <mergeCell ref="PQB172:PQJ172"/>
    <mergeCell ref="PQK172:PQS172"/>
    <mergeCell ref="PQT172:PRB172"/>
    <mergeCell ref="PRC172:PRK172"/>
    <mergeCell ref="PLF172:PLN172"/>
    <mergeCell ref="PLO172:PLW172"/>
    <mergeCell ref="PLX172:PMF172"/>
    <mergeCell ref="PMG172:PMO172"/>
    <mergeCell ref="PMP172:PMX172"/>
    <mergeCell ref="PMY172:PNG172"/>
    <mergeCell ref="PNH172:PNP172"/>
    <mergeCell ref="PNQ172:PNY172"/>
    <mergeCell ref="PNZ172:POH172"/>
    <mergeCell ref="PIC172:PIK172"/>
    <mergeCell ref="PIL172:PIT172"/>
    <mergeCell ref="PIU172:PJC172"/>
    <mergeCell ref="PJD172:PJL172"/>
    <mergeCell ref="PJM172:PJU172"/>
    <mergeCell ref="PJV172:PKD172"/>
    <mergeCell ref="PKE172:PKM172"/>
    <mergeCell ref="PKN172:PKV172"/>
    <mergeCell ref="PKW172:PLE172"/>
    <mergeCell ref="PEZ172:PFH172"/>
    <mergeCell ref="PFI172:PFQ172"/>
    <mergeCell ref="PFR172:PFZ172"/>
    <mergeCell ref="PGA172:PGI172"/>
    <mergeCell ref="PGJ172:PGR172"/>
    <mergeCell ref="PGS172:PHA172"/>
    <mergeCell ref="PHB172:PHJ172"/>
    <mergeCell ref="PHK172:PHS172"/>
    <mergeCell ref="PHT172:PIB172"/>
    <mergeCell ref="PBW172:PCE172"/>
    <mergeCell ref="PCF172:PCN172"/>
    <mergeCell ref="PCO172:PCW172"/>
    <mergeCell ref="PCX172:PDF172"/>
    <mergeCell ref="PDG172:PDO172"/>
    <mergeCell ref="PDP172:PDX172"/>
    <mergeCell ref="PDY172:PEG172"/>
    <mergeCell ref="PEH172:PEP172"/>
    <mergeCell ref="PEQ172:PEY172"/>
    <mergeCell ref="OYT172:OZB172"/>
    <mergeCell ref="OZC172:OZK172"/>
    <mergeCell ref="OZL172:OZT172"/>
    <mergeCell ref="OZU172:PAC172"/>
    <mergeCell ref="PAD172:PAL172"/>
    <mergeCell ref="PAM172:PAU172"/>
    <mergeCell ref="PAV172:PBD172"/>
    <mergeCell ref="PBE172:PBM172"/>
    <mergeCell ref="PBN172:PBV172"/>
    <mergeCell ref="OVQ172:OVY172"/>
    <mergeCell ref="OVZ172:OWH172"/>
    <mergeCell ref="OWI172:OWQ172"/>
    <mergeCell ref="OWR172:OWZ172"/>
    <mergeCell ref="OXA172:OXI172"/>
    <mergeCell ref="OXJ172:OXR172"/>
    <mergeCell ref="OXS172:OYA172"/>
    <mergeCell ref="OYB172:OYJ172"/>
    <mergeCell ref="OYK172:OYS172"/>
    <mergeCell ref="OSN172:OSV172"/>
    <mergeCell ref="OSW172:OTE172"/>
    <mergeCell ref="OTF172:OTN172"/>
    <mergeCell ref="OTO172:OTW172"/>
    <mergeCell ref="OTX172:OUF172"/>
    <mergeCell ref="OUG172:OUO172"/>
    <mergeCell ref="OUP172:OUX172"/>
    <mergeCell ref="OUY172:OVG172"/>
    <mergeCell ref="OVH172:OVP172"/>
    <mergeCell ref="OPK172:OPS172"/>
    <mergeCell ref="OPT172:OQB172"/>
    <mergeCell ref="OQC172:OQK172"/>
    <mergeCell ref="OQL172:OQT172"/>
    <mergeCell ref="OQU172:ORC172"/>
    <mergeCell ref="ORD172:ORL172"/>
    <mergeCell ref="ORM172:ORU172"/>
    <mergeCell ref="ORV172:OSD172"/>
    <mergeCell ref="OSE172:OSM172"/>
    <mergeCell ref="OMH172:OMP172"/>
    <mergeCell ref="OMQ172:OMY172"/>
    <mergeCell ref="OMZ172:ONH172"/>
    <mergeCell ref="ONI172:ONQ172"/>
    <mergeCell ref="ONR172:ONZ172"/>
    <mergeCell ref="OOA172:OOI172"/>
    <mergeCell ref="OOJ172:OOR172"/>
    <mergeCell ref="OOS172:OPA172"/>
    <mergeCell ref="OPB172:OPJ172"/>
    <mergeCell ref="OJE172:OJM172"/>
    <mergeCell ref="OJN172:OJV172"/>
    <mergeCell ref="OJW172:OKE172"/>
    <mergeCell ref="OKF172:OKN172"/>
    <mergeCell ref="OKO172:OKW172"/>
    <mergeCell ref="OKX172:OLF172"/>
    <mergeCell ref="OLG172:OLO172"/>
    <mergeCell ref="OLP172:OLX172"/>
    <mergeCell ref="OLY172:OMG172"/>
    <mergeCell ref="OGB172:OGJ172"/>
    <mergeCell ref="OGK172:OGS172"/>
    <mergeCell ref="OGT172:OHB172"/>
    <mergeCell ref="OHC172:OHK172"/>
    <mergeCell ref="OHL172:OHT172"/>
    <mergeCell ref="OHU172:OIC172"/>
    <mergeCell ref="OID172:OIL172"/>
    <mergeCell ref="OIM172:OIU172"/>
    <mergeCell ref="OIV172:OJD172"/>
    <mergeCell ref="OCY172:ODG172"/>
    <mergeCell ref="ODH172:ODP172"/>
    <mergeCell ref="ODQ172:ODY172"/>
    <mergeCell ref="ODZ172:OEH172"/>
    <mergeCell ref="OEI172:OEQ172"/>
    <mergeCell ref="OER172:OEZ172"/>
    <mergeCell ref="OFA172:OFI172"/>
    <mergeCell ref="OFJ172:OFR172"/>
    <mergeCell ref="OFS172:OGA172"/>
    <mergeCell ref="NZV172:OAD172"/>
    <mergeCell ref="OAE172:OAM172"/>
    <mergeCell ref="OAN172:OAV172"/>
    <mergeCell ref="OAW172:OBE172"/>
    <mergeCell ref="OBF172:OBN172"/>
    <mergeCell ref="OBO172:OBW172"/>
    <mergeCell ref="OBX172:OCF172"/>
    <mergeCell ref="OCG172:OCO172"/>
    <mergeCell ref="OCP172:OCX172"/>
    <mergeCell ref="NWS172:NXA172"/>
    <mergeCell ref="NXB172:NXJ172"/>
    <mergeCell ref="NXK172:NXS172"/>
    <mergeCell ref="NXT172:NYB172"/>
    <mergeCell ref="NYC172:NYK172"/>
    <mergeCell ref="NYL172:NYT172"/>
    <mergeCell ref="NYU172:NZC172"/>
    <mergeCell ref="NZD172:NZL172"/>
    <mergeCell ref="NZM172:NZU172"/>
    <mergeCell ref="NTP172:NTX172"/>
    <mergeCell ref="NTY172:NUG172"/>
    <mergeCell ref="NUH172:NUP172"/>
    <mergeCell ref="NUQ172:NUY172"/>
    <mergeCell ref="NUZ172:NVH172"/>
    <mergeCell ref="NVI172:NVQ172"/>
    <mergeCell ref="NVR172:NVZ172"/>
    <mergeCell ref="NWA172:NWI172"/>
    <mergeCell ref="NWJ172:NWR172"/>
    <mergeCell ref="NQM172:NQU172"/>
    <mergeCell ref="NQV172:NRD172"/>
    <mergeCell ref="NRE172:NRM172"/>
    <mergeCell ref="NRN172:NRV172"/>
    <mergeCell ref="NRW172:NSE172"/>
    <mergeCell ref="NSF172:NSN172"/>
    <mergeCell ref="NSO172:NSW172"/>
    <mergeCell ref="NSX172:NTF172"/>
    <mergeCell ref="NTG172:NTO172"/>
    <mergeCell ref="NNJ172:NNR172"/>
    <mergeCell ref="NNS172:NOA172"/>
    <mergeCell ref="NOB172:NOJ172"/>
    <mergeCell ref="NOK172:NOS172"/>
    <mergeCell ref="NOT172:NPB172"/>
    <mergeCell ref="NPC172:NPK172"/>
    <mergeCell ref="NPL172:NPT172"/>
    <mergeCell ref="NPU172:NQC172"/>
    <mergeCell ref="NQD172:NQL172"/>
    <mergeCell ref="NKG172:NKO172"/>
    <mergeCell ref="NKP172:NKX172"/>
    <mergeCell ref="NKY172:NLG172"/>
    <mergeCell ref="NLH172:NLP172"/>
    <mergeCell ref="NLQ172:NLY172"/>
    <mergeCell ref="NLZ172:NMH172"/>
    <mergeCell ref="NMI172:NMQ172"/>
    <mergeCell ref="NMR172:NMZ172"/>
    <mergeCell ref="NNA172:NNI172"/>
    <mergeCell ref="NHD172:NHL172"/>
    <mergeCell ref="NHM172:NHU172"/>
    <mergeCell ref="NHV172:NID172"/>
    <mergeCell ref="NIE172:NIM172"/>
    <mergeCell ref="NIN172:NIV172"/>
    <mergeCell ref="NIW172:NJE172"/>
    <mergeCell ref="NJF172:NJN172"/>
    <mergeCell ref="NJO172:NJW172"/>
    <mergeCell ref="NJX172:NKF172"/>
    <mergeCell ref="NEA172:NEI172"/>
    <mergeCell ref="NEJ172:NER172"/>
    <mergeCell ref="NES172:NFA172"/>
    <mergeCell ref="NFB172:NFJ172"/>
    <mergeCell ref="NFK172:NFS172"/>
    <mergeCell ref="NFT172:NGB172"/>
    <mergeCell ref="NGC172:NGK172"/>
    <mergeCell ref="NGL172:NGT172"/>
    <mergeCell ref="NGU172:NHC172"/>
    <mergeCell ref="NAX172:NBF172"/>
    <mergeCell ref="NBG172:NBO172"/>
    <mergeCell ref="NBP172:NBX172"/>
    <mergeCell ref="NBY172:NCG172"/>
    <mergeCell ref="NCH172:NCP172"/>
    <mergeCell ref="NCQ172:NCY172"/>
    <mergeCell ref="NCZ172:NDH172"/>
    <mergeCell ref="NDI172:NDQ172"/>
    <mergeCell ref="NDR172:NDZ172"/>
    <mergeCell ref="MXU172:MYC172"/>
    <mergeCell ref="MYD172:MYL172"/>
    <mergeCell ref="MYM172:MYU172"/>
    <mergeCell ref="MYV172:MZD172"/>
    <mergeCell ref="MZE172:MZM172"/>
    <mergeCell ref="MZN172:MZV172"/>
    <mergeCell ref="MZW172:NAE172"/>
    <mergeCell ref="NAF172:NAN172"/>
    <mergeCell ref="NAO172:NAW172"/>
    <mergeCell ref="MUR172:MUZ172"/>
    <mergeCell ref="MVA172:MVI172"/>
    <mergeCell ref="MVJ172:MVR172"/>
    <mergeCell ref="MVS172:MWA172"/>
    <mergeCell ref="MWB172:MWJ172"/>
    <mergeCell ref="MWK172:MWS172"/>
    <mergeCell ref="MWT172:MXB172"/>
    <mergeCell ref="MXC172:MXK172"/>
    <mergeCell ref="MXL172:MXT172"/>
    <mergeCell ref="MRO172:MRW172"/>
    <mergeCell ref="MRX172:MSF172"/>
    <mergeCell ref="MSG172:MSO172"/>
    <mergeCell ref="MSP172:MSX172"/>
    <mergeCell ref="MSY172:MTG172"/>
    <mergeCell ref="MTH172:MTP172"/>
    <mergeCell ref="MTQ172:MTY172"/>
    <mergeCell ref="MTZ172:MUH172"/>
    <mergeCell ref="MUI172:MUQ172"/>
    <mergeCell ref="MOL172:MOT172"/>
    <mergeCell ref="MOU172:MPC172"/>
    <mergeCell ref="MPD172:MPL172"/>
    <mergeCell ref="MPM172:MPU172"/>
    <mergeCell ref="MPV172:MQD172"/>
    <mergeCell ref="MQE172:MQM172"/>
    <mergeCell ref="MQN172:MQV172"/>
    <mergeCell ref="MQW172:MRE172"/>
    <mergeCell ref="MRF172:MRN172"/>
    <mergeCell ref="MLI172:MLQ172"/>
    <mergeCell ref="MLR172:MLZ172"/>
    <mergeCell ref="MMA172:MMI172"/>
    <mergeCell ref="MMJ172:MMR172"/>
    <mergeCell ref="MMS172:MNA172"/>
    <mergeCell ref="MNB172:MNJ172"/>
    <mergeCell ref="MNK172:MNS172"/>
    <mergeCell ref="MNT172:MOB172"/>
    <mergeCell ref="MOC172:MOK172"/>
    <mergeCell ref="MIF172:MIN172"/>
    <mergeCell ref="MIO172:MIW172"/>
    <mergeCell ref="MIX172:MJF172"/>
    <mergeCell ref="MJG172:MJO172"/>
    <mergeCell ref="MJP172:MJX172"/>
    <mergeCell ref="MJY172:MKG172"/>
    <mergeCell ref="MKH172:MKP172"/>
    <mergeCell ref="MKQ172:MKY172"/>
    <mergeCell ref="MKZ172:MLH172"/>
    <mergeCell ref="MFC172:MFK172"/>
    <mergeCell ref="MFL172:MFT172"/>
    <mergeCell ref="MFU172:MGC172"/>
    <mergeCell ref="MGD172:MGL172"/>
    <mergeCell ref="MGM172:MGU172"/>
    <mergeCell ref="MGV172:MHD172"/>
    <mergeCell ref="MHE172:MHM172"/>
    <mergeCell ref="MHN172:MHV172"/>
    <mergeCell ref="MHW172:MIE172"/>
    <mergeCell ref="MBZ172:MCH172"/>
    <mergeCell ref="MCI172:MCQ172"/>
    <mergeCell ref="MCR172:MCZ172"/>
    <mergeCell ref="MDA172:MDI172"/>
    <mergeCell ref="MDJ172:MDR172"/>
    <mergeCell ref="MDS172:MEA172"/>
    <mergeCell ref="MEB172:MEJ172"/>
    <mergeCell ref="MEK172:MES172"/>
    <mergeCell ref="MET172:MFB172"/>
    <mergeCell ref="LYW172:LZE172"/>
    <mergeCell ref="LZF172:LZN172"/>
    <mergeCell ref="LZO172:LZW172"/>
    <mergeCell ref="LZX172:MAF172"/>
    <mergeCell ref="MAG172:MAO172"/>
    <mergeCell ref="MAP172:MAX172"/>
    <mergeCell ref="MAY172:MBG172"/>
    <mergeCell ref="MBH172:MBP172"/>
    <mergeCell ref="MBQ172:MBY172"/>
    <mergeCell ref="LVT172:LWB172"/>
    <mergeCell ref="LWC172:LWK172"/>
    <mergeCell ref="LWL172:LWT172"/>
    <mergeCell ref="LWU172:LXC172"/>
    <mergeCell ref="LXD172:LXL172"/>
    <mergeCell ref="LXM172:LXU172"/>
    <mergeCell ref="LXV172:LYD172"/>
    <mergeCell ref="LYE172:LYM172"/>
    <mergeCell ref="LYN172:LYV172"/>
    <mergeCell ref="LSQ172:LSY172"/>
    <mergeCell ref="LSZ172:LTH172"/>
    <mergeCell ref="LTI172:LTQ172"/>
    <mergeCell ref="LTR172:LTZ172"/>
    <mergeCell ref="LUA172:LUI172"/>
    <mergeCell ref="LUJ172:LUR172"/>
    <mergeCell ref="LUS172:LVA172"/>
    <mergeCell ref="LVB172:LVJ172"/>
    <mergeCell ref="LVK172:LVS172"/>
    <mergeCell ref="LPN172:LPV172"/>
    <mergeCell ref="LPW172:LQE172"/>
    <mergeCell ref="LQF172:LQN172"/>
    <mergeCell ref="LQO172:LQW172"/>
    <mergeCell ref="LQX172:LRF172"/>
    <mergeCell ref="LRG172:LRO172"/>
    <mergeCell ref="LRP172:LRX172"/>
    <mergeCell ref="LRY172:LSG172"/>
    <mergeCell ref="LSH172:LSP172"/>
    <mergeCell ref="LMK172:LMS172"/>
    <mergeCell ref="LMT172:LNB172"/>
    <mergeCell ref="LNC172:LNK172"/>
    <mergeCell ref="LNL172:LNT172"/>
    <mergeCell ref="LNU172:LOC172"/>
    <mergeCell ref="LOD172:LOL172"/>
    <mergeCell ref="LOM172:LOU172"/>
    <mergeCell ref="LOV172:LPD172"/>
    <mergeCell ref="LPE172:LPM172"/>
    <mergeCell ref="LJH172:LJP172"/>
    <mergeCell ref="LJQ172:LJY172"/>
    <mergeCell ref="LJZ172:LKH172"/>
    <mergeCell ref="LKI172:LKQ172"/>
    <mergeCell ref="LKR172:LKZ172"/>
    <mergeCell ref="LLA172:LLI172"/>
    <mergeCell ref="LLJ172:LLR172"/>
    <mergeCell ref="LLS172:LMA172"/>
    <mergeCell ref="LMB172:LMJ172"/>
    <mergeCell ref="LGE172:LGM172"/>
    <mergeCell ref="LGN172:LGV172"/>
    <mergeCell ref="LGW172:LHE172"/>
    <mergeCell ref="LHF172:LHN172"/>
    <mergeCell ref="LHO172:LHW172"/>
    <mergeCell ref="LHX172:LIF172"/>
    <mergeCell ref="LIG172:LIO172"/>
    <mergeCell ref="LIP172:LIX172"/>
    <mergeCell ref="LIY172:LJG172"/>
    <mergeCell ref="LDB172:LDJ172"/>
    <mergeCell ref="LDK172:LDS172"/>
    <mergeCell ref="LDT172:LEB172"/>
    <mergeCell ref="LEC172:LEK172"/>
    <mergeCell ref="LEL172:LET172"/>
    <mergeCell ref="LEU172:LFC172"/>
    <mergeCell ref="LFD172:LFL172"/>
    <mergeCell ref="LFM172:LFU172"/>
    <mergeCell ref="LFV172:LGD172"/>
    <mergeCell ref="KZY172:LAG172"/>
    <mergeCell ref="LAH172:LAP172"/>
    <mergeCell ref="LAQ172:LAY172"/>
    <mergeCell ref="LAZ172:LBH172"/>
    <mergeCell ref="LBI172:LBQ172"/>
    <mergeCell ref="LBR172:LBZ172"/>
    <mergeCell ref="LCA172:LCI172"/>
    <mergeCell ref="LCJ172:LCR172"/>
    <mergeCell ref="LCS172:LDA172"/>
    <mergeCell ref="KWV172:KXD172"/>
    <mergeCell ref="KXE172:KXM172"/>
    <mergeCell ref="KXN172:KXV172"/>
    <mergeCell ref="KXW172:KYE172"/>
    <mergeCell ref="KYF172:KYN172"/>
    <mergeCell ref="KYO172:KYW172"/>
    <mergeCell ref="KYX172:KZF172"/>
    <mergeCell ref="KZG172:KZO172"/>
    <mergeCell ref="KZP172:KZX172"/>
    <mergeCell ref="KTS172:KUA172"/>
    <mergeCell ref="KUB172:KUJ172"/>
    <mergeCell ref="KUK172:KUS172"/>
    <mergeCell ref="KUT172:KVB172"/>
    <mergeCell ref="KVC172:KVK172"/>
    <mergeCell ref="KVL172:KVT172"/>
    <mergeCell ref="KVU172:KWC172"/>
    <mergeCell ref="KWD172:KWL172"/>
    <mergeCell ref="KWM172:KWU172"/>
    <mergeCell ref="KQP172:KQX172"/>
    <mergeCell ref="KQY172:KRG172"/>
    <mergeCell ref="KRH172:KRP172"/>
    <mergeCell ref="KRQ172:KRY172"/>
    <mergeCell ref="KRZ172:KSH172"/>
    <mergeCell ref="KSI172:KSQ172"/>
    <mergeCell ref="KSR172:KSZ172"/>
    <mergeCell ref="KTA172:KTI172"/>
    <mergeCell ref="KTJ172:KTR172"/>
    <mergeCell ref="KNM172:KNU172"/>
    <mergeCell ref="KNV172:KOD172"/>
    <mergeCell ref="KOE172:KOM172"/>
    <mergeCell ref="KON172:KOV172"/>
    <mergeCell ref="KOW172:KPE172"/>
    <mergeCell ref="KPF172:KPN172"/>
    <mergeCell ref="KPO172:KPW172"/>
    <mergeCell ref="KPX172:KQF172"/>
    <mergeCell ref="KQG172:KQO172"/>
    <mergeCell ref="KKJ172:KKR172"/>
    <mergeCell ref="KKS172:KLA172"/>
    <mergeCell ref="KLB172:KLJ172"/>
    <mergeCell ref="KLK172:KLS172"/>
    <mergeCell ref="KLT172:KMB172"/>
    <mergeCell ref="KMC172:KMK172"/>
    <mergeCell ref="KML172:KMT172"/>
    <mergeCell ref="KMU172:KNC172"/>
    <mergeCell ref="KND172:KNL172"/>
    <mergeCell ref="KHG172:KHO172"/>
    <mergeCell ref="KHP172:KHX172"/>
    <mergeCell ref="KHY172:KIG172"/>
    <mergeCell ref="KIH172:KIP172"/>
    <mergeCell ref="KIQ172:KIY172"/>
    <mergeCell ref="KIZ172:KJH172"/>
    <mergeCell ref="KJI172:KJQ172"/>
    <mergeCell ref="KJR172:KJZ172"/>
    <mergeCell ref="KKA172:KKI172"/>
    <mergeCell ref="KED172:KEL172"/>
    <mergeCell ref="KEM172:KEU172"/>
    <mergeCell ref="KEV172:KFD172"/>
    <mergeCell ref="KFE172:KFM172"/>
    <mergeCell ref="KFN172:KFV172"/>
    <mergeCell ref="KFW172:KGE172"/>
    <mergeCell ref="KGF172:KGN172"/>
    <mergeCell ref="KGO172:KGW172"/>
    <mergeCell ref="KGX172:KHF172"/>
    <mergeCell ref="KBA172:KBI172"/>
    <mergeCell ref="KBJ172:KBR172"/>
    <mergeCell ref="KBS172:KCA172"/>
    <mergeCell ref="KCB172:KCJ172"/>
    <mergeCell ref="KCK172:KCS172"/>
    <mergeCell ref="KCT172:KDB172"/>
    <mergeCell ref="KDC172:KDK172"/>
    <mergeCell ref="KDL172:KDT172"/>
    <mergeCell ref="KDU172:KEC172"/>
    <mergeCell ref="JXX172:JYF172"/>
    <mergeCell ref="JYG172:JYO172"/>
    <mergeCell ref="JYP172:JYX172"/>
    <mergeCell ref="JYY172:JZG172"/>
    <mergeCell ref="JZH172:JZP172"/>
    <mergeCell ref="JZQ172:JZY172"/>
    <mergeCell ref="JZZ172:KAH172"/>
    <mergeCell ref="KAI172:KAQ172"/>
    <mergeCell ref="KAR172:KAZ172"/>
    <mergeCell ref="JUU172:JVC172"/>
    <mergeCell ref="JVD172:JVL172"/>
    <mergeCell ref="JVM172:JVU172"/>
    <mergeCell ref="JVV172:JWD172"/>
    <mergeCell ref="JWE172:JWM172"/>
    <mergeCell ref="JWN172:JWV172"/>
    <mergeCell ref="JWW172:JXE172"/>
    <mergeCell ref="JXF172:JXN172"/>
    <mergeCell ref="JXO172:JXW172"/>
    <mergeCell ref="JRR172:JRZ172"/>
    <mergeCell ref="JSA172:JSI172"/>
    <mergeCell ref="JSJ172:JSR172"/>
    <mergeCell ref="JSS172:JTA172"/>
    <mergeCell ref="JTB172:JTJ172"/>
    <mergeCell ref="JTK172:JTS172"/>
    <mergeCell ref="JTT172:JUB172"/>
    <mergeCell ref="JUC172:JUK172"/>
    <mergeCell ref="JUL172:JUT172"/>
    <mergeCell ref="JOO172:JOW172"/>
    <mergeCell ref="JOX172:JPF172"/>
    <mergeCell ref="JPG172:JPO172"/>
    <mergeCell ref="JPP172:JPX172"/>
    <mergeCell ref="JPY172:JQG172"/>
    <mergeCell ref="JQH172:JQP172"/>
    <mergeCell ref="JQQ172:JQY172"/>
    <mergeCell ref="JQZ172:JRH172"/>
    <mergeCell ref="JRI172:JRQ172"/>
    <mergeCell ref="JLL172:JLT172"/>
    <mergeCell ref="JLU172:JMC172"/>
    <mergeCell ref="JMD172:JML172"/>
    <mergeCell ref="JMM172:JMU172"/>
    <mergeCell ref="JMV172:JND172"/>
    <mergeCell ref="JNE172:JNM172"/>
    <mergeCell ref="JNN172:JNV172"/>
    <mergeCell ref="JNW172:JOE172"/>
    <mergeCell ref="JOF172:JON172"/>
    <mergeCell ref="JII172:JIQ172"/>
    <mergeCell ref="JIR172:JIZ172"/>
    <mergeCell ref="JJA172:JJI172"/>
    <mergeCell ref="JJJ172:JJR172"/>
    <mergeCell ref="JJS172:JKA172"/>
    <mergeCell ref="JKB172:JKJ172"/>
    <mergeCell ref="JKK172:JKS172"/>
    <mergeCell ref="JKT172:JLB172"/>
    <mergeCell ref="JLC172:JLK172"/>
    <mergeCell ref="JFF172:JFN172"/>
    <mergeCell ref="JFO172:JFW172"/>
    <mergeCell ref="JFX172:JGF172"/>
    <mergeCell ref="JGG172:JGO172"/>
    <mergeCell ref="JGP172:JGX172"/>
    <mergeCell ref="JGY172:JHG172"/>
    <mergeCell ref="JHH172:JHP172"/>
    <mergeCell ref="JHQ172:JHY172"/>
    <mergeCell ref="JHZ172:JIH172"/>
    <mergeCell ref="JCC172:JCK172"/>
    <mergeCell ref="JCL172:JCT172"/>
    <mergeCell ref="JCU172:JDC172"/>
    <mergeCell ref="JDD172:JDL172"/>
    <mergeCell ref="JDM172:JDU172"/>
    <mergeCell ref="JDV172:JED172"/>
    <mergeCell ref="JEE172:JEM172"/>
    <mergeCell ref="JEN172:JEV172"/>
    <mergeCell ref="JEW172:JFE172"/>
    <mergeCell ref="IYZ172:IZH172"/>
    <mergeCell ref="IZI172:IZQ172"/>
    <mergeCell ref="IZR172:IZZ172"/>
    <mergeCell ref="JAA172:JAI172"/>
    <mergeCell ref="JAJ172:JAR172"/>
    <mergeCell ref="JAS172:JBA172"/>
    <mergeCell ref="JBB172:JBJ172"/>
    <mergeCell ref="JBK172:JBS172"/>
    <mergeCell ref="JBT172:JCB172"/>
    <mergeCell ref="IVW172:IWE172"/>
    <mergeCell ref="IWF172:IWN172"/>
    <mergeCell ref="IWO172:IWW172"/>
    <mergeCell ref="IWX172:IXF172"/>
    <mergeCell ref="IXG172:IXO172"/>
    <mergeCell ref="IXP172:IXX172"/>
    <mergeCell ref="IXY172:IYG172"/>
    <mergeCell ref="IYH172:IYP172"/>
    <mergeCell ref="IYQ172:IYY172"/>
    <mergeCell ref="IST172:ITB172"/>
    <mergeCell ref="ITC172:ITK172"/>
    <mergeCell ref="ITL172:ITT172"/>
    <mergeCell ref="ITU172:IUC172"/>
    <mergeCell ref="IUD172:IUL172"/>
    <mergeCell ref="IUM172:IUU172"/>
    <mergeCell ref="IUV172:IVD172"/>
    <mergeCell ref="IVE172:IVM172"/>
    <mergeCell ref="IVN172:IVV172"/>
    <mergeCell ref="IPQ172:IPY172"/>
    <mergeCell ref="IPZ172:IQH172"/>
    <mergeCell ref="IQI172:IQQ172"/>
    <mergeCell ref="IQR172:IQZ172"/>
    <mergeCell ref="IRA172:IRI172"/>
    <mergeCell ref="IRJ172:IRR172"/>
    <mergeCell ref="IRS172:ISA172"/>
    <mergeCell ref="ISB172:ISJ172"/>
    <mergeCell ref="ISK172:ISS172"/>
    <mergeCell ref="IMN172:IMV172"/>
    <mergeCell ref="IMW172:INE172"/>
    <mergeCell ref="INF172:INN172"/>
    <mergeCell ref="INO172:INW172"/>
    <mergeCell ref="INX172:IOF172"/>
    <mergeCell ref="IOG172:IOO172"/>
    <mergeCell ref="IOP172:IOX172"/>
    <mergeCell ref="IOY172:IPG172"/>
    <mergeCell ref="IPH172:IPP172"/>
    <mergeCell ref="IJK172:IJS172"/>
    <mergeCell ref="IJT172:IKB172"/>
    <mergeCell ref="IKC172:IKK172"/>
    <mergeCell ref="IKL172:IKT172"/>
    <mergeCell ref="IKU172:ILC172"/>
    <mergeCell ref="ILD172:ILL172"/>
    <mergeCell ref="ILM172:ILU172"/>
    <mergeCell ref="ILV172:IMD172"/>
    <mergeCell ref="IME172:IMM172"/>
    <mergeCell ref="IGH172:IGP172"/>
    <mergeCell ref="IGQ172:IGY172"/>
    <mergeCell ref="IGZ172:IHH172"/>
    <mergeCell ref="IHI172:IHQ172"/>
    <mergeCell ref="IHR172:IHZ172"/>
    <mergeCell ref="IIA172:III172"/>
    <mergeCell ref="IIJ172:IIR172"/>
    <mergeCell ref="IIS172:IJA172"/>
    <mergeCell ref="IJB172:IJJ172"/>
    <mergeCell ref="IDE172:IDM172"/>
    <mergeCell ref="IDN172:IDV172"/>
    <mergeCell ref="IDW172:IEE172"/>
    <mergeCell ref="IEF172:IEN172"/>
    <mergeCell ref="IEO172:IEW172"/>
    <mergeCell ref="IEX172:IFF172"/>
    <mergeCell ref="IFG172:IFO172"/>
    <mergeCell ref="IFP172:IFX172"/>
    <mergeCell ref="IFY172:IGG172"/>
    <mergeCell ref="IAB172:IAJ172"/>
    <mergeCell ref="IAK172:IAS172"/>
    <mergeCell ref="IAT172:IBB172"/>
    <mergeCell ref="IBC172:IBK172"/>
    <mergeCell ref="IBL172:IBT172"/>
    <mergeCell ref="IBU172:ICC172"/>
    <mergeCell ref="ICD172:ICL172"/>
    <mergeCell ref="ICM172:ICU172"/>
    <mergeCell ref="ICV172:IDD172"/>
    <mergeCell ref="HWY172:HXG172"/>
    <mergeCell ref="HXH172:HXP172"/>
    <mergeCell ref="HXQ172:HXY172"/>
    <mergeCell ref="HXZ172:HYH172"/>
    <mergeCell ref="HYI172:HYQ172"/>
    <mergeCell ref="HYR172:HYZ172"/>
    <mergeCell ref="HZA172:HZI172"/>
    <mergeCell ref="HZJ172:HZR172"/>
    <mergeCell ref="HZS172:IAA172"/>
    <mergeCell ref="HTV172:HUD172"/>
    <mergeCell ref="HUE172:HUM172"/>
    <mergeCell ref="HUN172:HUV172"/>
    <mergeCell ref="HUW172:HVE172"/>
    <mergeCell ref="HVF172:HVN172"/>
    <mergeCell ref="HVO172:HVW172"/>
    <mergeCell ref="HVX172:HWF172"/>
    <mergeCell ref="HWG172:HWO172"/>
    <mergeCell ref="HWP172:HWX172"/>
    <mergeCell ref="HQS172:HRA172"/>
    <mergeCell ref="HRB172:HRJ172"/>
    <mergeCell ref="HRK172:HRS172"/>
    <mergeCell ref="HRT172:HSB172"/>
    <mergeCell ref="HSC172:HSK172"/>
    <mergeCell ref="HSL172:HST172"/>
    <mergeCell ref="HSU172:HTC172"/>
    <mergeCell ref="HTD172:HTL172"/>
    <mergeCell ref="HTM172:HTU172"/>
    <mergeCell ref="HNP172:HNX172"/>
    <mergeCell ref="HNY172:HOG172"/>
    <mergeCell ref="HOH172:HOP172"/>
    <mergeCell ref="HOQ172:HOY172"/>
    <mergeCell ref="HOZ172:HPH172"/>
    <mergeCell ref="HPI172:HPQ172"/>
    <mergeCell ref="HPR172:HPZ172"/>
    <mergeCell ref="HQA172:HQI172"/>
    <mergeCell ref="HQJ172:HQR172"/>
    <mergeCell ref="HKM172:HKU172"/>
    <mergeCell ref="HKV172:HLD172"/>
    <mergeCell ref="HLE172:HLM172"/>
    <mergeCell ref="HLN172:HLV172"/>
    <mergeCell ref="HLW172:HME172"/>
    <mergeCell ref="HMF172:HMN172"/>
    <mergeCell ref="HMO172:HMW172"/>
    <mergeCell ref="HMX172:HNF172"/>
    <mergeCell ref="HNG172:HNO172"/>
    <mergeCell ref="HHJ172:HHR172"/>
    <mergeCell ref="HHS172:HIA172"/>
    <mergeCell ref="HIB172:HIJ172"/>
    <mergeCell ref="HIK172:HIS172"/>
    <mergeCell ref="HIT172:HJB172"/>
    <mergeCell ref="HJC172:HJK172"/>
    <mergeCell ref="HJL172:HJT172"/>
    <mergeCell ref="HJU172:HKC172"/>
    <mergeCell ref="HKD172:HKL172"/>
    <mergeCell ref="HEG172:HEO172"/>
    <mergeCell ref="HEP172:HEX172"/>
    <mergeCell ref="HEY172:HFG172"/>
    <mergeCell ref="HFH172:HFP172"/>
    <mergeCell ref="HFQ172:HFY172"/>
    <mergeCell ref="HFZ172:HGH172"/>
    <mergeCell ref="HGI172:HGQ172"/>
    <mergeCell ref="HGR172:HGZ172"/>
    <mergeCell ref="HHA172:HHI172"/>
    <mergeCell ref="HBD172:HBL172"/>
    <mergeCell ref="HBM172:HBU172"/>
    <mergeCell ref="HBV172:HCD172"/>
    <mergeCell ref="HCE172:HCM172"/>
    <mergeCell ref="HCN172:HCV172"/>
    <mergeCell ref="HCW172:HDE172"/>
    <mergeCell ref="HDF172:HDN172"/>
    <mergeCell ref="HDO172:HDW172"/>
    <mergeCell ref="HDX172:HEF172"/>
    <mergeCell ref="GYA172:GYI172"/>
    <mergeCell ref="GYJ172:GYR172"/>
    <mergeCell ref="GYS172:GZA172"/>
    <mergeCell ref="GZB172:GZJ172"/>
    <mergeCell ref="GZK172:GZS172"/>
    <mergeCell ref="GZT172:HAB172"/>
    <mergeCell ref="HAC172:HAK172"/>
    <mergeCell ref="HAL172:HAT172"/>
    <mergeCell ref="HAU172:HBC172"/>
    <mergeCell ref="GUX172:GVF172"/>
    <mergeCell ref="GVG172:GVO172"/>
    <mergeCell ref="GVP172:GVX172"/>
    <mergeCell ref="GVY172:GWG172"/>
    <mergeCell ref="GWH172:GWP172"/>
    <mergeCell ref="GWQ172:GWY172"/>
    <mergeCell ref="GWZ172:GXH172"/>
    <mergeCell ref="GXI172:GXQ172"/>
    <mergeCell ref="GXR172:GXZ172"/>
    <mergeCell ref="GRU172:GSC172"/>
    <mergeCell ref="GSD172:GSL172"/>
    <mergeCell ref="GSM172:GSU172"/>
    <mergeCell ref="GSV172:GTD172"/>
    <mergeCell ref="GTE172:GTM172"/>
    <mergeCell ref="GTN172:GTV172"/>
    <mergeCell ref="GTW172:GUE172"/>
    <mergeCell ref="GUF172:GUN172"/>
    <mergeCell ref="GUO172:GUW172"/>
    <mergeCell ref="GOR172:GOZ172"/>
    <mergeCell ref="GPA172:GPI172"/>
    <mergeCell ref="GPJ172:GPR172"/>
    <mergeCell ref="GPS172:GQA172"/>
    <mergeCell ref="GQB172:GQJ172"/>
    <mergeCell ref="GQK172:GQS172"/>
    <mergeCell ref="GQT172:GRB172"/>
    <mergeCell ref="GRC172:GRK172"/>
    <mergeCell ref="GRL172:GRT172"/>
    <mergeCell ref="GLO172:GLW172"/>
    <mergeCell ref="GLX172:GMF172"/>
    <mergeCell ref="GMG172:GMO172"/>
    <mergeCell ref="GMP172:GMX172"/>
    <mergeCell ref="GMY172:GNG172"/>
    <mergeCell ref="GNH172:GNP172"/>
    <mergeCell ref="GNQ172:GNY172"/>
    <mergeCell ref="GNZ172:GOH172"/>
    <mergeCell ref="GOI172:GOQ172"/>
    <mergeCell ref="GIL172:GIT172"/>
    <mergeCell ref="GIU172:GJC172"/>
    <mergeCell ref="GJD172:GJL172"/>
    <mergeCell ref="GJM172:GJU172"/>
    <mergeCell ref="GJV172:GKD172"/>
    <mergeCell ref="GKE172:GKM172"/>
    <mergeCell ref="GKN172:GKV172"/>
    <mergeCell ref="GKW172:GLE172"/>
    <mergeCell ref="GLF172:GLN172"/>
    <mergeCell ref="GFI172:GFQ172"/>
    <mergeCell ref="GFR172:GFZ172"/>
    <mergeCell ref="GGA172:GGI172"/>
    <mergeCell ref="GGJ172:GGR172"/>
    <mergeCell ref="GGS172:GHA172"/>
    <mergeCell ref="GHB172:GHJ172"/>
    <mergeCell ref="GHK172:GHS172"/>
    <mergeCell ref="GHT172:GIB172"/>
    <mergeCell ref="GIC172:GIK172"/>
    <mergeCell ref="GCF172:GCN172"/>
    <mergeCell ref="GCO172:GCW172"/>
    <mergeCell ref="GCX172:GDF172"/>
    <mergeCell ref="GDG172:GDO172"/>
    <mergeCell ref="GDP172:GDX172"/>
    <mergeCell ref="GDY172:GEG172"/>
    <mergeCell ref="GEH172:GEP172"/>
    <mergeCell ref="GEQ172:GEY172"/>
    <mergeCell ref="GEZ172:GFH172"/>
    <mergeCell ref="FZC172:FZK172"/>
    <mergeCell ref="FZL172:FZT172"/>
    <mergeCell ref="FZU172:GAC172"/>
    <mergeCell ref="GAD172:GAL172"/>
    <mergeCell ref="GAM172:GAU172"/>
    <mergeCell ref="GAV172:GBD172"/>
    <mergeCell ref="GBE172:GBM172"/>
    <mergeCell ref="GBN172:GBV172"/>
    <mergeCell ref="GBW172:GCE172"/>
    <mergeCell ref="FVZ172:FWH172"/>
    <mergeCell ref="FWI172:FWQ172"/>
    <mergeCell ref="FWR172:FWZ172"/>
    <mergeCell ref="FXA172:FXI172"/>
    <mergeCell ref="FXJ172:FXR172"/>
    <mergeCell ref="FXS172:FYA172"/>
    <mergeCell ref="FYB172:FYJ172"/>
    <mergeCell ref="FYK172:FYS172"/>
    <mergeCell ref="FYT172:FZB172"/>
    <mergeCell ref="FSW172:FTE172"/>
    <mergeCell ref="FTF172:FTN172"/>
    <mergeCell ref="FTO172:FTW172"/>
    <mergeCell ref="FTX172:FUF172"/>
    <mergeCell ref="FUG172:FUO172"/>
    <mergeCell ref="FUP172:FUX172"/>
    <mergeCell ref="FUY172:FVG172"/>
    <mergeCell ref="FVH172:FVP172"/>
    <mergeCell ref="FVQ172:FVY172"/>
    <mergeCell ref="FPT172:FQB172"/>
    <mergeCell ref="FQC172:FQK172"/>
    <mergeCell ref="FQL172:FQT172"/>
    <mergeCell ref="FQU172:FRC172"/>
    <mergeCell ref="FRD172:FRL172"/>
    <mergeCell ref="FRM172:FRU172"/>
    <mergeCell ref="FRV172:FSD172"/>
    <mergeCell ref="FSE172:FSM172"/>
    <mergeCell ref="FSN172:FSV172"/>
    <mergeCell ref="FMQ172:FMY172"/>
    <mergeCell ref="FMZ172:FNH172"/>
    <mergeCell ref="FNI172:FNQ172"/>
    <mergeCell ref="FNR172:FNZ172"/>
    <mergeCell ref="FOA172:FOI172"/>
    <mergeCell ref="FOJ172:FOR172"/>
    <mergeCell ref="FOS172:FPA172"/>
    <mergeCell ref="FPB172:FPJ172"/>
    <mergeCell ref="FPK172:FPS172"/>
    <mergeCell ref="FJN172:FJV172"/>
    <mergeCell ref="FJW172:FKE172"/>
    <mergeCell ref="FKF172:FKN172"/>
    <mergeCell ref="FKO172:FKW172"/>
    <mergeCell ref="FKX172:FLF172"/>
    <mergeCell ref="FLG172:FLO172"/>
    <mergeCell ref="FLP172:FLX172"/>
    <mergeCell ref="FLY172:FMG172"/>
    <mergeCell ref="FMH172:FMP172"/>
    <mergeCell ref="FGK172:FGS172"/>
    <mergeCell ref="FGT172:FHB172"/>
    <mergeCell ref="FHC172:FHK172"/>
    <mergeCell ref="FHL172:FHT172"/>
    <mergeCell ref="FHU172:FIC172"/>
    <mergeCell ref="FID172:FIL172"/>
    <mergeCell ref="FIM172:FIU172"/>
    <mergeCell ref="FIV172:FJD172"/>
    <mergeCell ref="FJE172:FJM172"/>
    <mergeCell ref="FDH172:FDP172"/>
    <mergeCell ref="FDQ172:FDY172"/>
    <mergeCell ref="FDZ172:FEH172"/>
    <mergeCell ref="FEI172:FEQ172"/>
    <mergeCell ref="FER172:FEZ172"/>
    <mergeCell ref="FFA172:FFI172"/>
    <mergeCell ref="FFJ172:FFR172"/>
    <mergeCell ref="FFS172:FGA172"/>
    <mergeCell ref="FGB172:FGJ172"/>
    <mergeCell ref="FAE172:FAM172"/>
    <mergeCell ref="FAN172:FAV172"/>
    <mergeCell ref="FAW172:FBE172"/>
    <mergeCell ref="FBF172:FBN172"/>
    <mergeCell ref="FBO172:FBW172"/>
    <mergeCell ref="FBX172:FCF172"/>
    <mergeCell ref="FCG172:FCO172"/>
    <mergeCell ref="FCP172:FCX172"/>
    <mergeCell ref="FCY172:FDG172"/>
    <mergeCell ref="EXB172:EXJ172"/>
    <mergeCell ref="EXK172:EXS172"/>
    <mergeCell ref="EXT172:EYB172"/>
    <mergeCell ref="EYC172:EYK172"/>
    <mergeCell ref="EYL172:EYT172"/>
    <mergeCell ref="EYU172:EZC172"/>
    <mergeCell ref="EZD172:EZL172"/>
    <mergeCell ref="EZM172:EZU172"/>
    <mergeCell ref="EZV172:FAD172"/>
    <mergeCell ref="ETY172:EUG172"/>
    <mergeCell ref="EUH172:EUP172"/>
    <mergeCell ref="EUQ172:EUY172"/>
    <mergeCell ref="EUZ172:EVH172"/>
    <mergeCell ref="EVI172:EVQ172"/>
    <mergeCell ref="EVR172:EVZ172"/>
    <mergeCell ref="EWA172:EWI172"/>
    <mergeCell ref="EWJ172:EWR172"/>
    <mergeCell ref="EWS172:EXA172"/>
    <mergeCell ref="EQV172:ERD172"/>
    <mergeCell ref="ERE172:ERM172"/>
    <mergeCell ref="ERN172:ERV172"/>
    <mergeCell ref="ERW172:ESE172"/>
    <mergeCell ref="ESF172:ESN172"/>
    <mergeCell ref="ESO172:ESW172"/>
    <mergeCell ref="ESX172:ETF172"/>
    <mergeCell ref="ETG172:ETO172"/>
    <mergeCell ref="ETP172:ETX172"/>
    <mergeCell ref="ENS172:EOA172"/>
    <mergeCell ref="EOB172:EOJ172"/>
    <mergeCell ref="EOK172:EOS172"/>
    <mergeCell ref="EOT172:EPB172"/>
    <mergeCell ref="EPC172:EPK172"/>
    <mergeCell ref="EPL172:EPT172"/>
    <mergeCell ref="EPU172:EQC172"/>
    <mergeCell ref="EQD172:EQL172"/>
    <mergeCell ref="EQM172:EQU172"/>
    <mergeCell ref="EKP172:EKX172"/>
    <mergeCell ref="EKY172:ELG172"/>
    <mergeCell ref="ELH172:ELP172"/>
    <mergeCell ref="ELQ172:ELY172"/>
    <mergeCell ref="ELZ172:EMH172"/>
    <mergeCell ref="EMI172:EMQ172"/>
    <mergeCell ref="EMR172:EMZ172"/>
    <mergeCell ref="ENA172:ENI172"/>
    <mergeCell ref="ENJ172:ENR172"/>
    <mergeCell ref="EHM172:EHU172"/>
    <mergeCell ref="EHV172:EID172"/>
    <mergeCell ref="EIE172:EIM172"/>
    <mergeCell ref="EIN172:EIV172"/>
    <mergeCell ref="EIW172:EJE172"/>
    <mergeCell ref="EJF172:EJN172"/>
    <mergeCell ref="EJO172:EJW172"/>
    <mergeCell ref="EJX172:EKF172"/>
    <mergeCell ref="EKG172:EKO172"/>
    <mergeCell ref="EEJ172:EER172"/>
    <mergeCell ref="EES172:EFA172"/>
    <mergeCell ref="EFB172:EFJ172"/>
    <mergeCell ref="EFK172:EFS172"/>
    <mergeCell ref="EFT172:EGB172"/>
    <mergeCell ref="EGC172:EGK172"/>
    <mergeCell ref="EGL172:EGT172"/>
    <mergeCell ref="EGU172:EHC172"/>
    <mergeCell ref="EHD172:EHL172"/>
    <mergeCell ref="EBG172:EBO172"/>
    <mergeCell ref="EBP172:EBX172"/>
    <mergeCell ref="EBY172:ECG172"/>
    <mergeCell ref="ECH172:ECP172"/>
    <mergeCell ref="ECQ172:ECY172"/>
    <mergeCell ref="ECZ172:EDH172"/>
    <mergeCell ref="EDI172:EDQ172"/>
    <mergeCell ref="EDR172:EDZ172"/>
    <mergeCell ref="EEA172:EEI172"/>
    <mergeCell ref="DYD172:DYL172"/>
    <mergeCell ref="DYM172:DYU172"/>
    <mergeCell ref="DYV172:DZD172"/>
    <mergeCell ref="DZE172:DZM172"/>
    <mergeCell ref="DZN172:DZV172"/>
    <mergeCell ref="DZW172:EAE172"/>
    <mergeCell ref="EAF172:EAN172"/>
    <mergeCell ref="EAO172:EAW172"/>
    <mergeCell ref="EAX172:EBF172"/>
    <mergeCell ref="DVA172:DVI172"/>
    <mergeCell ref="DVJ172:DVR172"/>
    <mergeCell ref="DVS172:DWA172"/>
    <mergeCell ref="DWB172:DWJ172"/>
    <mergeCell ref="DWK172:DWS172"/>
    <mergeCell ref="DWT172:DXB172"/>
    <mergeCell ref="DXC172:DXK172"/>
    <mergeCell ref="DXL172:DXT172"/>
    <mergeCell ref="DXU172:DYC172"/>
    <mergeCell ref="DRX172:DSF172"/>
    <mergeCell ref="DSG172:DSO172"/>
    <mergeCell ref="DSP172:DSX172"/>
    <mergeCell ref="DSY172:DTG172"/>
    <mergeCell ref="DTH172:DTP172"/>
    <mergeCell ref="DTQ172:DTY172"/>
    <mergeCell ref="DTZ172:DUH172"/>
    <mergeCell ref="DUI172:DUQ172"/>
    <mergeCell ref="DUR172:DUZ172"/>
    <mergeCell ref="DOU172:DPC172"/>
    <mergeCell ref="DPD172:DPL172"/>
    <mergeCell ref="DPM172:DPU172"/>
    <mergeCell ref="DPV172:DQD172"/>
    <mergeCell ref="DQE172:DQM172"/>
    <mergeCell ref="DQN172:DQV172"/>
    <mergeCell ref="DQW172:DRE172"/>
    <mergeCell ref="DRF172:DRN172"/>
    <mergeCell ref="DRO172:DRW172"/>
    <mergeCell ref="DLR172:DLZ172"/>
    <mergeCell ref="DMA172:DMI172"/>
    <mergeCell ref="DMJ172:DMR172"/>
    <mergeCell ref="DMS172:DNA172"/>
    <mergeCell ref="DNB172:DNJ172"/>
    <mergeCell ref="DNK172:DNS172"/>
    <mergeCell ref="DNT172:DOB172"/>
    <mergeCell ref="DOC172:DOK172"/>
    <mergeCell ref="DOL172:DOT172"/>
    <mergeCell ref="DIO172:DIW172"/>
    <mergeCell ref="DIX172:DJF172"/>
    <mergeCell ref="DJG172:DJO172"/>
    <mergeCell ref="DJP172:DJX172"/>
    <mergeCell ref="DJY172:DKG172"/>
    <mergeCell ref="DKH172:DKP172"/>
    <mergeCell ref="DKQ172:DKY172"/>
    <mergeCell ref="DKZ172:DLH172"/>
    <mergeCell ref="DLI172:DLQ172"/>
    <mergeCell ref="DFL172:DFT172"/>
    <mergeCell ref="DFU172:DGC172"/>
    <mergeCell ref="DGD172:DGL172"/>
    <mergeCell ref="DGM172:DGU172"/>
    <mergeCell ref="DGV172:DHD172"/>
    <mergeCell ref="DHE172:DHM172"/>
    <mergeCell ref="DHN172:DHV172"/>
    <mergeCell ref="DHW172:DIE172"/>
    <mergeCell ref="DIF172:DIN172"/>
    <mergeCell ref="DCI172:DCQ172"/>
    <mergeCell ref="DCR172:DCZ172"/>
    <mergeCell ref="DDA172:DDI172"/>
    <mergeCell ref="DDJ172:DDR172"/>
    <mergeCell ref="DDS172:DEA172"/>
    <mergeCell ref="DEB172:DEJ172"/>
    <mergeCell ref="DEK172:DES172"/>
    <mergeCell ref="DET172:DFB172"/>
    <mergeCell ref="DFC172:DFK172"/>
    <mergeCell ref="CZF172:CZN172"/>
    <mergeCell ref="CZO172:CZW172"/>
    <mergeCell ref="CZX172:DAF172"/>
    <mergeCell ref="DAG172:DAO172"/>
    <mergeCell ref="DAP172:DAX172"/>
    <mergeCell ref="DAY172:DBG172"/>
    <mergeCell ref="DBH172:DBP172"/>
    <mergeCell ref="DBQ172:DBY172"/>
    <mergeCell ref="DBZ172:DCH172"/>
    <mergeCell ref="CWC172:CWK172"/>
    <mergeCell ref="CWL172:CWT172"/>
    <mergeCell ref="CWU172:CXC172"/>
    <mergeCell ref="CXD172:CXL172"/>
    <mergeCell ref="CXM172:CXU172"/>
    <mergeCell ref="CXV172:CYD172"/>
    <mergeCell ref="CYE172:CYM172"/>
    <mergeCell ref="CYN172:CYV172"/>
    <mergeCell ref="CYW172:CZE172"/>
    <mergeCell ref="CSZ172:CTH172"/>
    <mergeCell ref="CTI172:CTQ172"/>
    <mergeCell ref="CTR172:CTZ172"/>
    <mergeCell ref="CUA172:CUI172"/>
    <mergeCell ref="CUJ172:CUR172"/>
    <mergeCell ref="CUS172:CVA172"/>
    <mergeCell ref="CVB172:CVJ172"/>
    <mergeCell ref="CVK172:CVS172"/>
    <mergeCell ref="CVT172:CWB172"/>
    <mergeCell ref="CPW172:CQE172"/>
    <mergeCell ref="CQF172:CQN172"/>
    <mergeCell ref="CQO172:CQW172"/>
    <mergeCell ref="CQX172:CRF172"/>
    <mergeCell ref="CRG172:CRO172"/>
    <mergeCell ref="CRP172:CRX172"/>
    <mergeCell ref="CRY172:CSG172"/>
    <mergeCell ref="CSH172:CSP172"/>
    <mergeCell ref="CSQ172:CSY172"/>
    <mergeCell ref="CMT172:CNB172"/>
    <mergeCell ref="CNC172:CNK172"/>
    <mergeCell ref="CNL172:CNT172"/>
    <mergeCell ref="CNU172:COC172"/>
    <mergeCell ref="COD172:COL172"/>
    <mergeCell ref="COM172:COU172"/>
    <mergeCell ref="COV172:CPD172"/>
    <mergeCell ref="CPE172:CPM172"/>
    <mergeCell ref="CPN172:CPV172"/>
    <mergeCell ref="CJQ172:CJY172"/>
    <mergeCell ref="CJZ172:CKH172"/>
    <mergeCell ref="CKI172:CKQ172"/>
    <mergeCell ref="CKR172:CKZ172"/>
    <mergeCell ref="CLA172:CLI172"/>
    <mergeCell ref="CLJ172:CLR172"/>
    <mergeCell ref="CLS172:CMA172"/>
    <mergeCell ref="CMB172:CMJ172"/>
    <mergeCell ref="CMK172:CMS172"/>
    <mergeCell ref="CGN172:CGV172"/>
    <mergeCell ref="CGW172:CHE172"/>
    <mergeCell ref="CHF172:CHN172"/>
    <mergeCell ref="CHO172:CHW172"/>
    <mergeCell ref="CHX172:CIF172"/>
    <mergeCell ref="CIG172:CIO172"/>
    <mergeCell ref="CIP172:CIX172"/>
    <mergeCell ref="CIY172:CJG172"/>
    <mergeCell ref="CJH172:CJP172"/>
    <mergeCell ref="CDK172:CDS172"/>
    <mergeCell ref="CDT172:CEB172"/>
    <mergeCell ref="CEC172:CEK172"/>
    <mergeCell ref="CEL172:CET172"/>
    <mergeCell ref="CEU172:CFC172"/>
    <mergeCell ref="CFD172:CFL172"/>
    <mergeCell ref="CFM172:CFU172"/>
    <mergeCell ref="CFV172:CGD172"/>
    <mergeCell ref="CGE172:CGM172"/>
    <mergeCell ref="CAH172:CAP172"/>
    <mergeCell ref="CAQ172:CAY172"/>
    <mergeCell ref="CAZ172:CBH172"/>
    <mergeCell ref="CBI172:CBQ172"/>
    <mergeCell ref="CBR172:CBZ172"/>
    <mergeCell ref="CCA172:CCI172"/>
    <mergeCell ref="CCJ172:CCR172"/>
    <mergeCell ref="CCS172:CDA172"/>
    <mergeCell ref="CDB172:CDJ172"/>
    <mergeCell ref="BXE172:BXM172"/>
    <mergeCell ref="BXN172:BXV172"/>
    <mergeCell ref="BXW172:BYE172"/>
    <mergeCell ref="BYF172:BYN172"/>
    <mergeCell ref="BYO172:BYW172"/>
    <mergeCell ref="BYX172:BZF172"/>
    <mergeCell ref="BZG172:BZO172"/>
    <mergeCell ref="BZP172:BZX172"/>
    <mergeCell ref="BZY172:CAG172"/>
    <mergeCell ref="BUB172:BUJ172"/>
    <mergeCell ref="BUK172:BUS172"/>
    <mergeCell ref="BUT172:BVB172"/>
    <mergeCell ref="BVC172:BVK172"/>
    <mergeCell ref="BVL172:BVT172"/>
    <mergeCell ref="BVU172:BWC172"/>
    <mergeCell ref="BWD172:BWL172"/>
    <mergeCell ref="BWM172:BWU172"/>
    <mergeCell ref="BWV172:BXD172"/>
    <mergeCell ref="BQY172:BRG172"/>
    <mergeCell ref="BRH172:BRP172"/>
    <mergeCell ref="BRQ172:BRY172"/>
    <mergeCell ref="BRZ172:BSH172"/>
    <mergeCell ref="BSI172:BSQ172"/>
    <mergeCell ref="BSR172:BSZ172"/>
    <mergeCell ref="BTA172:BTI172"/>
    <mergeCell ref="BTJ172:BTR172"/>
    <mergeCell ref="BTS172:BUA172"/>
    <mergeCell ref="BNV172:BOD172"/>
    <mergeCell ref="BOE172:BOM172"/>
    <mergeCell ref="BON172:BOV172"/>
    <mergeCell ref="BOW172:BPE172"/>
    <mergeCell ref="BPF172:BPN172"/>
    <mergeCell ref="BPO172:BPW172"/>
    <mergeCell ref="BPX172:BQF172"/>
    <mergeCell ref="BQG172:BQO172"/>
    <mergeCell ref="BQP172:BQX172"/>
    <mergeCell ref="BKS172:BLA172"/>
    <mergeCell ref="BLB172:BLJ172"/>
    <mergeCell ref="BLK172:BLS172"/>
    <mergeCell ref="BLT172:BMB172"/>
    <mergeCell ref="BMC172:BMK172"/>
    <mergeCell ref="BML172:BMT172"/>
    <mergeCell ref="BMU172:BNC172"/>
    <mergeCell ref="BND172:BNL172"/>
    <mergeCell ref="BNM172:BNU172"/>
    <mergeCell ref="BHP172:BHX172"/>
    <mergeCell ref="BHY172:BIG172"/>
    <mergeCell ref="BIH172:BIP172"/>
    <mergeCell ref="BIQ172:BIY172"/>
    <mergeCell ref="BIZ172:BJH172"/>
    <mergeCell ref="BJI172:BJQ172"/>
    <mergeCell ref="BJR172:BJZ172"/>
    <mergeCell ref="BKA172:BKI172"/>
    <mergeCell ref="BKJ172:BKR172"/>
    <mergeCell ref="BEM172:BEU172"/>
    <mergeCell ref="BEV172:BFD172"/>
    <mergeCell ref="BFE172:BFM172"/>
    <mergeCell ref="BFN172:BFV172"/>
    <mergeCell ref="BFW172:BGE172"/>
    <mergeCell ref="BGF172:BGN172"/>
    <mergeCell ref="BGO172:BGW172"/>
    <mergeCell ref="BGX172:BHF172"/>
    <mergeCell ref="BHG172:BHO172"/>
    <mergeCell ref="BBJ172:BBR172"/>
    <mergeCell ref="BBS172:BCA172"/>
    <mergeCell ref="BCB172:BCJ172"/>
    <mergeCell ref="BCK172:BCS172"/>
    <mergeCell ref="BCT172:BDB172"/>
    <mergeCell ref="BDC172:BDK172"/>
    <mergeCell ref="BDL172:BDT172"/>
    <mergeCell ref="BDU172:BEC172"/>
    <mergeCell ref="BED172:BEL172"/>
    <mergeCell ref="AYG172:AYO172"/>
    <mergeCell ref="AYP172:AYX172"/>
    <mergeCell ref="AYY172:AZG172"/>
    <mergeCell ref="AZH172:AZP172"/>
    <mergeCell ref="AZQ172:AZY172"/>
    <mergeCell ref="AZZ172:BAH172"/>
    <mergeCell ref="BAI172:BAQ172"/>
    <mergeCell ref="BAR172:BAZ172"/>
    <mergeCell ref="BBA172:BBI172"/>
    <mergeCell ref="AVD172:AVL172"/>
    <mergeCell ref="AVM172:AVU172"/>
    <mergeCell ref="AVV172:AWD172"/>
    <mergeCell ref="AWE172:AWM172"/>
    <mergeCell ref="AWN172:AWV172"/>
    <mergeCell ref="AWW172:AXE172"/>
    <mergeCell ref="AXF172:AXN172"/>
    <mergeCell ref="AXO172:AXW172"/>
    <mergeCell ref="AXX172:AYF172"/>
    <mergeCell ref="ASA172:ASI172"/>
    <mergeCell ref="ASJ172:ASR172"/>
    <mergeCell ref="ASS172:ATA172"/>
    <mergeCell ref="ATB172:ATJ172"/>
    <mergeCell ref="ATK172:ATS172"/>
    <mergeCell ref="ATT172:AUB172"/>
    <mergeCell ref="AUC172:AUK172"/>
    <mergeCell ref="AUL172:AUT172"/>
    <mergeCell ref="AUU172:AVC172"/>
    <mergeCell ref="AOX172:APF172"/>
    <mergeCell ref="APG172:APO172"/>
    <mergeCell ref="APP172:APX172"/>
    <mergeCell ref="APY172:AQG172"/>
    <mergeCell ref="AQH172:AQP172"/>
    <mergeCell ref="AQQ172:AQY172"/>
    <mergeCell ref="AQZ172:ARH172"/>
    <mergeCell ref="ARI172:ARQ172"/>
    <mergeCell ref="ARR172:ARZ172"/>
    <mergeCell ref="ALU172:AMC172"/>
    <mergeCell ref="AMD172:AML172"/>
    <mergeCell ref="AMM172:AMU172"/>
    <mergeCell ref="AMV172:AND172"/>
    <mergeCell ref="ANE172:ANM172"/>
    <mergeCell ref="ANN172:ANV172"/>
    <mergeCell ref="ANW172:AOE172"/>
    <mergeCell ref="AOF172:AON172"/>
    <mergeCell ref="AOO172:AOW172"/>
    <mergeCell ref="AIR172:AIZ172"/>
    <mergeCell ref="AJA172:AJI172"/>
    <mergeCell ref="AJJ172:AJR172"/>
    <mergeCell ref="AJS172:AKA172"/>
    <mergeCell ref="AKB172:AKJ172"/>
    <mergeCell ref="AKK172:AKS172"/>
    <mergeCell ref="AKT172:ALB172"/>
    <mergeCell ref="ALC172:ALK172"/>
    <mergeCell ref="ALL172:ALT172"/>
    <mergeCell ref="AFO172:AFW172"/>
    <mergeCell ref="AFX172:AGF172"/>
    <mergeCell ref="AGG172:AGO172"/>
    <mergeCell ref="AGP172:AGX172"/>
    <mergeCell ref="AGY172:AHG172"/>
    <mergeCell ref="AHH172:AHP172"/>
    <mergeCell ref="AHQ172:AHY172"/>
    <mergeCell ref="AHZ172:AIH172"/>
    <mergeCell ref="AII172:AIQ172"/>
    <mergeCell ref="ACL172:ACT172"/>
    <mergeCell ref="ACU172:ADC172"/>
    <mergeCell ref="ADD172:ADL172"/>
    <mergeCell ref="ADM172:ADU172"/>
    <mergeCell ref="ADV172:AED172"/>
    <mergeCell ref="AEE172:AEM172"/>
    <mergeCell ref="AEN172:AEV172"/>
    <mergeCell ref="AEW172:AFE172"/>
    <mergeCell ref="AFF172:AFN172"/>
    <mergeCell ref="ZI172:ZQ172"/>
    <mergeCell ref="ZR172:ZZ172"/>
    <mergeCell ref="AAA172:AAI172"/>
    <mergeCell ref="AAJ172:AAR172"/>
    <mergeCell ref="AAS172:ABA172"/>
    <mergeCell ref="ABB172:ABJ172"/>
    <mergeCell ref="ABK172:ABS172"/>
    <mergeCell ref="ABT172:ACB172"/>
    <mergeCell ref="ACC172:ACK172"/>
    <mergeCell ref="WF172:WN172"/>
    <mergeCell ref="WO172:WW172"/>
    <mergeCell ref="WX172:XF172"/>
    <mergeCell ref="XG172:XO172"/>
    <mergeCell ref="XP172:XX172"/>
    <mergeCell ref="XY172:YG172"/>
    <mergeCell ref="YH172:YP172"/>
    <mergeCell ref="YQ172:YY172"/>
    <mergeCell ref="YZ172:ZH172"/>
    <mergeCell ref="TC172:TK172"/>
    <mergeCell ref="TL172:TT172"/>
    <mergeCell ref="TU172:UC172"/>
    <mergeCell ref="UD172:UL172"/>
    <mergeCell ref="UM172:UU172"/>
    <mergeCell ref="UV172:VD172"/>
    <mergeCell ref="VE172:VM172"/>
    <mergeCell ref="VN172:VV172"/>
    <mergeCell ref="VW172:WE172"/>
    <mergeCell ref="PZ172:QH172"/>
    <mergeCell ref="QI172:QQ172"/>
    <mergeCell ref="QR172:QZ172"/>
    <mergeCell ref="RA172:RI172"/>
    <mergeCell ref="RJ172:RR172"/>
    <mergeCell ref="RS172:SA172"/>
    <mergeCell ref="SB172:SJ172"/>
    <mergeCell ref="SK172:SS172"/>
    <mergeCell ref="ST172:TB172"/>
    <mergeCell ref="MW172:NE172"/>
    <mergeCell ref="NF172:NN172"/>
    <mergeCell ref="NO172:NW172"/>
    <mergeCell ref="NX172:OF172"/>
    <mergeCell ref="OG172:OO172"/>
    <mergeCell ref="OP172:OX172"/>
    <mergeCell ref="OY172:PG172"/>
    <mergeCell ref="PH172:PP172"/>
    <mergeCell ref="PQ172:PY172"/>
    <mergeCell ref="JT172:KB172"/>
    <mergeCell ref="KC172:KK172"/>
    <mergeCell ref="KL172:KT172"/>
    <mergeCell ref="KU172:LC172"/>
    <mergeCell ref="LD172:LL172"/>
    <mergeCell ref="LM172:LU172"/>
    <mergeCell ref="LV172:MD172"/>
    <mergeCell ref="ME172:MM172"/>
    <mergeCell ref="MN172:MV172"/>
    <mergeCell ref="GQ172:GY172"/>
    <mergeCell ref="GZ172:HH172"/>
    <mergeCell ref="HI172:HQ172"/>
    <mergeCell ref="HR172:HZ172"/>
    <mergeCell ref="IA172:II172"/>
    <mergeCell ref="IJ172:IR172"/>
    <mergeCell ref="IS172:JA172"/>
    <mergeCell ref="JB172:JJ172"/>
    <mergeCell ref="JK172:JS172"/>
    <mergeCell ref="XEI171:XEQ171"/>
    <mergeCell ref="XER171:XEZ171"/>
    <mergeCell ref="XFA171:XFD171"/>
    <mergeCell ref="J172:R172"/>
    <mergeCell ref="S172:AA172"/>
    <mergeCell ref="AB172:AJ172"/>
    <mergeCell ref="AK172:AS172"/>
    <mergeCell ref="AT172:BB172"/>
    <mergeCell ref="BC172:BK172"/>
    <mergeCell ref="BL172:BT172"/>
    <mergeCell ref="BU172:CC172"/>
    <mergeCell ref="CD172:CL172"/>
    <mergeCell ref="CM172:CU172"/>
    <mergeCell ref="CV172:DD172"/>
    <mergeCell ref="DE172:DM172"/>
    <mergeCell ref="DN172:DV172"/>
    <mergeCell ref="DW172:EE172"/>
    <mergeCell ref="EF172:EN172"/>
    <mergeCell ref="EO172:EW172"/>
    <mergeCell ref="EX172:FF172"/>
    <mergeCell ref="FG172:FO172"/>
    <mergeCell ref="FP172:FX172"/>
    <mergeCell ref="FY172:GG172"/>
    <mergeCell ref="GH172:GP172"/>
    <mergeCell ref="XBF171:XBN171"/>
    <mergeCell ref="XBO171:XBW171"/>
    <mergeCell ref="XBX171:XCF171"/>
    <mergeCell ref="XCG171:XCO171"/>
    <mergeCell ref="XCP171:XCX171"/>
    <mergeCell ref="XCY171:XDG171"/>
    <mergeCell ref="XDH171:XDP171"/>
    <mergeCell ref="XDQ171:XDY171"/>
    <mergeCell ref="XDZ171:XEH171"/>
    <mergeCell ref="WYC171:WYK171"/>
    <mergeCell ref="WYL171:WYT171"/>
    <mergeCell ref="WYU171:WZC171"/>
    <mergeCell ref="WZD171:WZL171"/>
    <mergeCell ref="WZM171:WZU171"/>
    <mergeCell ref="WZV171:XAD171"/>
    <mergeCell ref="XAE171:XAM171"/>
    <mergeCell ref="XAN171:XAV171"/>
    <mergeCell ref="XAW171:XBE171"/>
    <mergeCell ref="WUZ171:WVH171"/>
    <mergeCell ref="WVI171:WVQ171"/>
    <mergeCell ref="WVR171:WVZ171"/>
    <mergeCell ref="WWA171:WWI171"/>
    <mergeCell ref="WWJ171:WWR171"/>
    <mergeCell ref="WWS171:WXA171"/>
    <mergeCell ref="WXB171:WXJ171"/>
    <mergeCell ref="WXK171:WXS171"/>
    <mergeCell ref="WXT171:WYB171"/>
    <mergeCell ref="WRW171:WSE171"/>
    <mergeCell ref="WSF171:WSN171"/>
    <mergeCell ref="WSO171:WSW171"/>
    <mergeCell ref="WSX171:WTF171"/>
    <mergeCell ref="WTG171:WTO171"/>
    <mergeCell ref="WTP171:WTX171"/>
    <mergeCell ref="WTY171:WUG171"/>
    <mergeCell ref="WUH171:WUP171"/>
    <mergeCell ref="WUQ171:WUY171"/>
    <mergeCell ref="WOT171:WPB171"/>
    <mergeCell ref="WPC171:WPK171"/>
    <mergeCell ref="WPL171:WPT171"/>
    <mergeCell ref="WPU171:WQC171"/>
    <mergeCell ref="WQD171:WQL171"/>
    <mergeCell ref="WQM171:WQU171"/>
    <mergeCell ref="WQV171:WRD171"/>
    <mergeCell ref="WRE171:WRM171"/>
    <mergeCell ref="WRN171:WRV171"/>
    <mergeCell ref="WLQ171:WLY171"/>
    <mergeCell ref="WLZ171:WMH171"/>
    <mergeCell ref="WMI171:WMQ171"/>
    <mergeCell ref="WMR171:WMZ171"/>
    <mergeCell ref="WNA171:WNI171"/>
    <mergeCell ref="WNJ171:WNR171"/>
    <mergeCell ref="WNS171:WOA171"/>
    <mergeCell ref="WOB171:WOJ171"/>
    <mergeCell ref="WOK171:WOS171"/>
    <mergeCell ref="WIN171:WIV171"/>
    <mergeCell ref="WIW171:WJE171"/>
    <mergeCell ref="WJF171:WJN171"/>
    <mergeCell ref="WJO171:WJW171"/>
    <mergeCell ref="WJX171:WKF171"/>
    <mergeCell ref="WKG171:WKO171"/>
    <mergeCell ref="WKP171:WKX171"/>
    <mergeCell ref="WKY171:WLG171"/>
    <mergeCell ref="WLH171:WLP171"/>
    <mergeCell ref="WFK171:WFS171"/>
    <mergeCell ref="WFT171:WGB171"/>
    <mergeCell ref="WGC171:WGK171"/>
    <mergeCell ref="WGL171:WGT171"/>
    <mergeCell ref="WGU171:WHC171"/>
    <mergeCell ref="WHD171:WHL171"/>
    <mergeCell ref="WHM171:WHU171"/>
    <mergeCell ref="WHV171:WID171"/>
    <mergeCell ref="WIE171:WIM171"/>
    <mergeCell ref="WCH171:WCP171"/>
    <mergeCell ref="WCQ171:WCY171"/>
    <mergeCell ref="WCZ171:WDH171"/>
    <mergeCell ref="WDI171:WDQ171"/>
    <mergeCell ref="WDR171:WDZ171"/>
    <mergeCell ref="WEA171:WEI171"/>
    <mergeCell ref="WEJ171:WER171"/>
    <mergeCell ref="WES171:WFA171"/>
    <mergeCell ref="WFB171:WFJ171"/>
    <mergeCell ref="VZE171:VZM171"/>
    <mergeCell ref="VZN171:VZV171"/>
    <mergeCell ref="VZW171:WAE171"/>
    <mergeCell ref="WAF171:WAN171"/>
    <mergeCell ref="WAO171:WAW171"/>
    <mergeCell ref="WAX171:WBF171"/>
    <mergeCell ref="WBG171:WBO171"/>
    <mergeCell ref="WBP171:WBX171"/>
    <mergeCell ref="WBY171:WCG171"/>
    <mergeCell ref="VWB171:VWJ171"/>
    <mergeCell ref="VWK171:VWS171"/>
    <mergeCell ref="VWT171:VXB171"/>
    <mergeCell ref="VXC171:VXK171"/>
    <mergeCell ref="VXL171:VXT171"/>
    <mergeCell ref="VXU171:VYC171"/>
    <mergeCell ref="VYD171:VYL171"/>
    <mergeCell ref="VYM171:VYU171"/>
    <mergeCell ref="VYV171:VZD171"/>
    <mergeCell ref="VSY171:VTG171"/>
    <mergeCell ref="VTH171:VTP171"/>
    <mergeCell ref="VTQ171:VTY171"/>
    <mergeCell ref="VTZ171:VUH171"/>
    <mergeCell ref="VUI171:VUQ171"/>
    <mergeCell ref="VUR171:VUZ171"/>
    <mergeCell ref="VVA171:VVI171"/>
    <mergeCell ref="VVJ171:VVR171"/>
    <mergeCell ref="VVS171:VWA171"/>
    <mergeCell ref="VPV171:VQD171"/>
    <mergeCell ref="VQE171:VQM171"/>
    <mergeCell ref="VQN171:VQV171"/>
    <mergeCell ref="VQW171:VRE171"/>
    <mergeCell ref="VRF171:VRN171"/>
    <mergeCell ref="VRO171:VRW171"/>
    <mergeCell ref="VRX171:VSF171"/>
    <mergeCell ref="VSG171:VSO171"/>
    <mergeCell ref="VSP171:VSX171"/>
    <mergeCell ref="VMS171:VNA171"/>
    <mergeCell ref="VNB171:VNJ171"/>
    <mergeCell ref="VNK171:VNS171"/>
    <mergeCell ref="VNT171:VOB171"/>
    <mergeCell ref="VOC171:VOK171"/>
    <mergeCell ref="VOL171:VOT171"/>
    <mergeCell ref="VOU171:VPC171"/>
    <mergeCell ref="VPD171:VPL171"/>
    <mergeCell ref="VPM171:VPU171"/>
    <mergeCell ref="VJP171:VJX171"/>
    <mergeCell ref="VJY171:VKG171"/>
    <mergeCell ref="VKH171:VKP171"/>
    <mergeCell ref="VKQ171:VKY171"/>
    <mergeCell ref="VKZ171:VLH171"/>
    <mergeCell ref="VLI171:VLQ171"/>
    <mergeCell ref="VLR171:VLZ171"/>
    <mergeCell ref="VMA171:VMI171"/>
    <mergeCell ref="VMJ171:VMR171"/>
    <mergeCell ref="VGM171:VGU171"/>
    <mergeCell ref="VGV171:VHD171"/>
    <mergeCell ref="VHE171:VHM171"/>
    <mergeCell ref="VHN171:VHV171"/>
    <mergeCell ref="VHW171:VIE171"/>
    <mergeCell ref="VIF171:VIN171"/>
    <mergeCell ref="VIO171:VIW171"/>
    <mergeCell ref="VIX171:VJF171"/>
    <mergeCell ref="VJG171:VJO171"/>
    <mergeCell ref="VDJ171:VDR171"/>
    <mergeCell ref="VDS171:VEA171"/>
    <mergeCell ref="VEB171:VEJ171"/>
    <mergeCell ref="VEK171:VES171"/>
    <mergeCell ref="VET171:VFB171"/>
    <mergeCell ref="VFC171:VFK171"/>
    <mergeCell ref="VFL171:VFT171"/>
    <mergeCell ref="VFU171:VGC171"/>
    <mergeCell ref="VGD171:VGL171"/>
    <mergeCell ref="VAG171:VAO171"/>
    <mergeCell ref="VAP171:VAX171"/>
    <mergeCell ref="VAY171:VBG171"/>
    <mergeCell ref="VBH171:VBP171"/>
    <mergeCell ref="VBQ171:VBY171"/>
    <mergeCell ref="VBZ171:VCH171"/>
    <mergeCell ref="VCI171:VCQ171"/>
    <mergeCell ref="VCR171:VCZ171"/>
    <mergeCell ref="VDA171:VDI171"/>
    <mergeCell ref="UXD171:UXL171"/>
    <mergeCell ref="UXM171:UXU171"/>
    <mergeCell ref="UXV171:UYD171"/>
    <mergeCell ref="UYE171:UYM171"/>
    <mergeCell ref="UYN171:UYV171"/>
    <mergeCell ref="UYW171:UZE171"/>
    <mergeCell ref="UZF171:UZN171"/>
    <mergeCell ref="UZO171:UZW171"/>
    <mergeCell ref="UZX171:VAF171"/>
    <mergeCell ref="UUA171:UUI171"/>
    <mergeCell ref="UUJ171:UUR171"/>
    <mergeCell ref="UUS171:UVA171"/>
    <mergeCell ref="UVB171:UVJ171"/>
    <mergeCell ref="UVK171:UVS171"/>
    <mergeCell ref="UVT171:UWB171"/>
    <mergeCell ref="UWC171:UWK171"/>
    <mergeCell ref="UWL171:UWT171"/>
    <mergeCell ref="UWU171:UXC171"/>
    <mergeCell ref="UQX171:URF171"/>
    <mergeCell ref="URG171:URO171"/>
    <mergeCell ref="URP171:URX171"/>
    <mergeCell ref="URY171:USG171"/>
    <mergeCell ref="USH171:USP171"/>
    <mergeCell ref="USQ171:USY171"/>
    <mergeCell ref="USZ171:UTH171"/>
    <mergeCell ref="UTI171:UTQ171"/>
    <mergeCell ref="UTR171:UTZ171"/>
    <mergeCell ref="UNU171:UOC171"/>
    <mergeCell ref="UOD171:UOL171"/>
    <mergeCell ref="UOM171:UOU171"/>
    <mergeCell ref="UOV171:UPD171"/>
    <mergeCell ref="UPE171:UPM171"/>
    <mergeCell ref="UPN171:UPV171"/>
    <mergeCell ref="UPW171:UQE171"/>
    <mergeCell ref="UQF171:UQN171"/>
    <mergeCell ref="UQO171:UQW171"/>
    <mergeCell ref="UKR171:UKZ171"/>
    <mergeCell ref="ULA171:ULI171"/>
    <mergeCell ref="ULJ171:ULR171"/>
    <mergeCell ref="ULS171:UMA171"/>
    <mergeCell ref="UMB171:UMJ171"/>
    <mergeCell ref="UMK171:UMS171"/>
    <mergeCell ref="UMT171:UNB171"/>
    <mergeCell ref="UNC171:UNK171"/>
    <mergeCell ref="UNL171:UNT171"/>
    <mergeCell ref="UHO171:UHW171"/>
    <mergeCell ref="UHX171:UIF171"/>
    <mergeCell ref="UIG171:UIO171"/>
    <mergeCell ref="UIP171:UIX171"/>
    <mergeCell ref="UIY171:UJG171"/>
    <mergeCell ref="UJH171:UJP171"/>
    <mergeCell ref="UJQ171:UJY171"/>
    <mergeCell ref="UJZ171:UKH171"/>
    <mergeCell ref="UKI171:UKQ171"/>
    <mergeCell ref="UEL171:UET171"/>
    <mergeCell ref="UEU171:UFC171"/>
    <mergeCell ref="UFD171:UFL171"/>
    <mergeCell ref="UFM171:UFU171"/>
    <mergeCell ref="UFV171:UGD171"/>
    <mergeCell ref="UGE171:UGM171"/>
    <mergeCell ref="UGN171:UGV171"/>
    <mergeCell ref="UGW171:UHE171"/>
    <mergeCell ref="UHF171:UHN171"/>
    <mergeCell ref="UBI171:UBQ171"/>
    <mergeCell ref="UBR171:UBZ171"/>
    <mergeCell ref="UCA171:UCI171"/>
    <mergeCell ref="UCJ171:UCR171"/>
    <mergeCell ref="UCS171:UDA171"/>
    <mergeCell ref="UDB171:UDJ171"/>
    <mergeCell ref="UDK171:UDS171"/>
    <mergeCell ref="UDT171:UEB171"/>
    <mergeCell ref="UEC171:UEK171"/>
    <mergeCell ref="TYF171:TYN171"/>
    <mergeCell ref="TYO171:TYW171"/>
    <mergeCell ref="TYX171:TZF171"/>
    <mergeCell ref="TZG171:TZO171"/>
    <mergeCell ref="TZP171:TZX171"/>
    <mergeCell ref="TZY171:UAG171"/>
    <mergeCell ref="UAH171:UAP171"/>
    <mergeCell ref="UAQ171:UAY171"/>
    <mergeCell ref="UAZ171:UBH171"/>
    <mergeCell ref="TVC171:TVK171"/>
    <mergeCell ref="TVL171:TVT171"/>
    <mergeCell ref="TVU171:TWC171"/>
    <mergeCell ref="TWD171:TWL171"/>
    <mergeCell ref="TWM171:TWU171"/>
    <mergeCell ref="TWV171:TXD171"/>
    <mergeCell ref="TXE171:TXM171"/>
    <mergeCell ref="TXN171:TXV171"/>
    <mergeCell ref="TXW171:TYE171"/>
    <mergeCell ref="TRZ171:TSH171"/>
    <mergeCell ref="TSI171:TSQ171"/>
    <mergeCell ref="TSR171:TSZ171"/>
    <mergeCell ref="TTA171:TTI171"/>
    <mergeCell ref="TTJ171:TTR171"/>
    <mergeCell ref="TTS171:TUA171"/>
    <mergeCell ref="TUB171:TUJ171"/>
    <mergeCell ref="TUK171:TUS171"/>
    <mergeCell ref="TUT171:TVB171"/>
    <mergeCell ref="TOW171:TPE171"/>
    <mergeCell ref="TPF171:TPN171"/>
    <mergeCell ref="TPO171:TPW171"/>
    <mergeCell ref="TPX171:TQF171"/>
    <mergeCell ref="TQG171:TQO171"/>
    <mergeCell ref="TQP171:TQX171"/>
    <mergeCell ref="TQY171:TRG171"/>
    <mergeCell ref="TRH171:TRP171"/>
    <mergeCell ref="TRQ171:TRY171"/>
    <mergeCell ref="TLT171:TMB171"/>
    <mergeCell ref="TMC171:TMK171"/>
    <mergeCell ref="TML171:TMT171"/>
    <mergeCell ref="TMU171:TNC171"/>
    <mergeCell ref="TND171:TNL171"/>
    <mergeCell ref="TNM171:TNU171"/>
    <mergeCell ref="TNV171:TOD171"/>
    <mergeCell ref="TOE171:TOM171"/>
    <mergeCell ref="TON171:TOV171"/>
    <mergeCell ref="TIQ171:TIY171"/>
    <mergeCell ref="TIZ171:TJH171"/>
    <mergeCell ref="TJI171:TJQ171"/>
    <mergeCell ref="TJR171:TJZ171"/>
    <mergeCell ref="TKA171:TKI171"/>
    <mergeCell ref="TKJ171:TKR171"/>
    <mergeCell ref="TKS171:TLA171"/>
    <mergeCell ref="TLB171:TLJ171"/>
    <mergeCell ref="TLK171:TLS171"/>
    <mergeCell ref="TFN171:TFV171"/>
    <mergeCell ref="TFW171:TGE171"/>
    <mergeCell ref="TGF171:TGN171"/>
    <mergeCell ref="TGO171:TGW171"/>
    <mergeCell ref="TGX171:THF171"/>
    <mergeCell ref="THG171:THO171"/>
    <mergeCell ref="THP171:THX171"/>
    <mergeCell ref="THY171:TIG171"/>
    <mergeCell ref="TIH171:TIP171"/>
    <mergeCell ref="TCK171:TCS171"/>
    <mergeCell ref="TCT171:TDB171"/>
    <mergeCell ref="TDC171:TDK171"/>
    <mergeCell ref="TDL171:TDT171"/>
    <mergeCell ref="TDU171:TEC171"/>
    <mergeCell ref="TED171:TEL171"/>
    <mergeCell ref="TEM171:TEU171"/>
    <mergeCell ref="TEV171:TFD171"/>
    <mergeCell ref="TFE171:TFM171"/>
    <mergeCell ref="SZH171:SZP171"/>
    <mergeCell ref="SZQ171:SZY171"/>
    <mergeCell ref="SZZ171:TAH171"/>
    <mergeCell ref="TAI171:TAQ171"/>
    <mergeCell ref="TAR171:TAZ171"/>
    <mergeCell ref="TBA171:TBI171"/>
    <mergeCell ref="TBJ171:TBR171"/>
    <mergeCell ref="TBS171:TCA171"/>
    <mergeCell ref="TCB171:TCJ171"/>
    <mergeCell ref="SWE171:SWM171"/>
    <mergeCell ref="SWN171:SWV171"/>
    <mergeCell ref="SWW171:SXE171"/>
    <mergeCell ref="SXF171:SXN171"/>
    <mergeCell ref="SXO171:SXW171"/>
    <mergeCell ref="SXX171:SYF171"/>
    <mergeCell ref="SYG171:SYO171"/>
    <mergeCell ref="SYP171:SYX171"/>
    <mergeCell ref="SYY171:SZG171"/>
    <mergeCell ref="STB171:STJ171"/>
    <mergeCell ref="STK171:STS171"/>
    <mergeCell ref="STT171:SUB171"/>
    <mergeCell ref="SUC171:SUK171"/>
    <mergeCell ref="SUL171:SUT171"/>
    <mergeCell ref="SUU171:SVC171"/>
    <mergeCell ref="SVD171:SVL171"/>
    <mergeCell ref="SVM171:SVU171"/>
    <mergeCell ref="SVV171:SWD171"/>
    <mergeCell ref="SPY171:SQG171"/>
    <mergeCell ref="SQH171:SQP171"/>
    <mergeCell ref="SQQ171:SQY171"/>
    <mergeCell ref="SQZ171:SRH171"/>
    <mergeCell ref="SRI171:SRQ171"/>
    <mergeCell ref="SRR171:SRZ171"/>
    <mergeCell ref="SSA171:SSI171"/>
    <mergeCell ref="SSJ171:SSR171"/>
    <mergeCell ref="SSS171:STA171"/>
    <mergeCell ref="SMV171:SND171"/>
    <mergeCell ref="SNE171:SNM171"/>
    <mergeCell ref="SNN171:SNV171"/>
    <mergeCell ref="SNW171:SOE171"/>
    <mergeCell ref="SOF171:SON171"/>
    <mergeCell ref="SOO171:SOW171"/>
    <mergeCell ref="SOX171:SPF171"/>
    <mergeCell ref="SPG171:SPO171"/>
    <mergeCell ref="SPP171:SPX171"/>
    <mergeCell ref="SJS171:SKA171"/>
    <mergeCell ref="SKB171:SKJ171"/>
    <mergeCell ref="SKK171:SKS171"/>
    <mergeCell ref="SKT171:SLB171"/>
    <mergeCell ref="SLC171:SLK171"/>
    <mergeCell ref="SLL171:SLT171"/>
    <mergeCell ref="SLU171:SMC171"/>
    <mergeCell ref="SMD171:SML171"/>
    <mergeCell ref="SMM171:SMU171"/>
    <mergeCell ref="SGP171:SGX171"/>
    <mergeCell ref="SGY171:SHG171"/>
    <mergeCell ref="SHH171:SHP171"/>
    <mergeCell ref="SHQ171:SHY171"/>
    <mergeCell ref="SHZ171:SIH171"/>
    <mergeCell ref="SII171:SIQ171"/>
    <mergeCell ref="SIR171:SIZ171"/>
    <mergeCell ref="SJA171:SJI171"/>
    <mergeCell ref="SJJ171:SJR171"/>
    <mergeCell ref="SDM171:SDU171"/>
    <mergeCell ref="SDV171:SED171"/>
    <mergeCell ref="SEE171:SEM171"/>
    <mergeCell ref="SEN171:SEV171"/>
    <mergeCell ref="SEW171:SFE171"/>
    <mergeCell ref="SFF171:SFN171"/>
    <mergeCell ref="SFO171:SFW171"/>
    <mergeCell ref="SFX171:SGF171"/>
    <mergeCell ref="SGG171:SGO171"/>
    <mergeCell ref="SAJ171:SAR171"/>
    <mergeCell ref="SAS171:SBA171"/>
    <mergeCell ref="SBB171:SBJ171"/>
    <mergeCell ref="SBK171:SBS171"/>
    <mergeCell ref="SBT171:SCB171"/>
    <mergeCell ref="SCC171:SCK171"/>
    <mergeCell ref="SCL171:SCT171"/>
    <mergeCell ref="SCU171:SDC171"/>
    <mergeCell ref="SDD171:SDL171"/>
    <mergeCell ref="RXG171:RXO171"/>
    <mergeCell ref="RXP171:RXX171"/>
    <mergeCell ref="RXY171:RYG171"/>
    <mergeCell ref="RYH171:RYP171"/>
    <mergeCell ref="RYQ171:RYY171"/>
    <mergeCell ref="RYZ171:RZH171"/>
    <mergeCell ref="RZI171:RZQ171"/>
    <mergeCell ref="RZR171:RZZ171"/>
    <mergeCell ref="SAA171:SAI171"/>
    <mergeCell ref="RUD171:RUL171"/>
    <mergeCell ref="RUM171:RUU171"/>
    <mergeCell ref="RUV171:RVD171"/>
    <mergeCell ref="RVE171:RVM171"/>
    <mergeCell ref="RVN171:RVV171"/>
    <mergeCell ref="RVW171:RWE171"/>
    <mergeCell ref="RWF171:RWN171"/>
    <mergeCell ref="RWO171:RWW171"/>
    <mergeCell ref="RWX171:RXF171"/>
    <mergeCell ref="RRA171:RRI171"/>
    <mergeCell ref="RRJ171:RRR171"/>
    <mergeCell ref="RRS171:RSA171"/>
    <mergeCell ref="RSB171:RSJ171"/>
    <mergeCell ref="RSK171:RSS171"/>
    <mergeCell ref="RST171:RTB171"/>
    <mergeCell ref="RTC171:RTK171"/>
    <mergeCell ref="RTL171:RTT171"/>
    <mergeCell ref="RTU171:RUC171"/>
    <mergeCell ref="RNX171:ROF171"/>
    <mergeCell ref="ROG171:ROO171"/>
    <mergeCell ref="ROP171:ROX171"/>
    <mergeCell ref="ROY171:RPG171"/>
    <mergeCell ref="RPH171:RPP171"/>
    <mergeCell ref="RPQ171:RPY171"/>
    <mergeCell ref="RPZ171:RQH171"/>
    <mergeCell ref="RQI171:RQQ171"/>
    <mergeCell ref="RQR171:RQZ171"/>
    <mergeCell ref="RKU171:RLC171"/>
    <mergeCell ref="RLD171:RLL171"/>
    <mergeCell ref="RLM171:RLU171"/>
    <mergeCell ref="RLV171:RMD171"/>
    <mergeCell ref="RME171:RMM171"/>
    <mergeCell ref="RMN171:RMV171"/>
    <mergeCell ref="RMW171:RNE171"/>
    <mergeCell ref="RNF171:RNN171"/>
    <mergeCell ref="RNO171:RNW171"/>
    <mergeCell ref="RHR171:RHZ171"/>
    <mergeCell ref="RIA171:RII171"/>
    <mergeCell ref="RIJ171:RIR171"/>
    <mergeCell ref="RIS171:RJA171"/>
    <mergeCell ref="RJB171:RJJ171"/>
    <mergeCell ref="RJK171:RJS171"/>
    <mergeCell ref="RJT171:RKB171"/>
    <mergeCell ref="RKC171:RKK171"/>
    <mergeCell ref="RKL171:RKT171"/>
    <mergeCell ref="REO171:REW171"/>
    <mergeCell ref="REX171:RFF171"/>
    <mergeCell ref="RFG171:RFO171"/>
    <mergeCell ref="RFP171:RFX171"/>
    <mergeCell ref="RFY171:RGG171"/>
    <mergeCell ref="RGH171:RGP171"/>
    <mergeCell ref="RGQ171:RGY171"/>
    <mergeCell ref="RGZ171:RHH171"/>
    <mergeCell ref="RHI171:RHQ171"/>
    <mergeCell ref="RBL171:RBT171"/>
    <mergeCell ref="RBU171:RCC171"/>
    <mergeCell ref="RCD171:RCL171"/>
    <mergeCell ref="RCM171:RCU171"/>
    <mergeCell ref="RCV171:RDD171"/>
    <mergeCell ref="RDE171:RDM171"/>
    <mergeCell ref="RDN171:RDV171"/>
    <mergeCell ref="RDW171:REE171"/>
    <mergeCell ref="REF171:REN171"/>
    <mergeCell ref="QYI171:QYQ171"/>
    <mergeCell ref="QYR171:QYZ171"/>
    <mergeCell ref="QZA171:QZI171"/>
    <mergeCell ref="QZJ171:QZR171"/>
    <mergeCell ref="QZS171:RAA171"/>
    <mergeCell ref="RAB171:RAJ171"/>
    <mergeCell ref="RAK171:RAS171"/>
    <mergeCell ref="RAT171:RBB171"/>
    <mergeCell ref="RBC171:RBK171"/>
    <mergeCell ref="QVF171:QVN171"/>
    <mergeCell ref="QVO171:QVW171"/>
    <mergeCell ref="QVX171:QWF171"/>
    <mergeCell ref="QWG171:QWO171"/>
    <mergeCell ref="QWP171:QWX171"/>
    <mergeCell ref="QWY171:QXG171"/>
    <mergeCell ref="QXH171:QXP171"/>
    <mergeCell ref="QXQ171:QXY171"/>
    <mergeCell ref="QXZ171:QYH171"/>
    <mergeCell ref="QSC171:QSK171"/>
    <mergeCell ref="QSL171:QST171"/>
    <mergeCell ref="QSU171:QTC171"/>
    <mergeCell ref="QTD171:QTL171"/>
    <mergeCell ref="QTM171:QTU171"/>
    <mergeCell ref="QTV171:QUD171"/>
    <mergeCell ref="QUE171:QUM171"/>
    <mergeCell ref="QUN171:QUV171"/>
    <mergeCell ref="QUW171:QVE171"/>
    <mergeCell ref="QOZ171:QPH171"/>
    <mergeCell ref="QPI171:QPQ171"/>
    <mergeCell ref="QPR171:QPZ171"/>
    <mergeCell ref="QQA171:QQI171"/>
    <mergeCell ref="QQJ171:QQR171"/>
    <mergeCell ref="QQS171:QRA171"/>
    <mergeCell ref="QRB171:QRJ171"/>
    <mergeCell ref="QRK171:QRS171"/>
    <mergeCell ref="QRT171:QSB171"/>
    <mergeCell ref="QLW171:QME171"/>
    <mergeCell ref="QMF171:QMN171"/>
    <mergeCell ref="QMO171:QMW171"/>
    <mergeCell ref="QMX171:QNF171"/>
    <mergeCell ref="QNG171:QNO171"/>
    <mergeCell ref="QNP171:QNX171"/>
    <mergeCell ref="QNY171:QOG171"/>
    <mergeCell ref="QOH171:QOP171"/>
    <mergeCell ref="QOQ171:QOY171"/>
    <mergeCell ref="QIT171:QJB171"/>
    <mergeCell ref="QJC171:QJK171"/>
    <mergeCell ref="QJL171:QJT171"/>
    <mergeCell ref="QJU171:QKC171"/>
    <mergeCell ref="QKD171:QKL171"/>
    <mergeCell ref="QKM171:QKU171"/>
    <mergeCell ref="QKV171:QLD171"/>
    <mergeCell ref="QLE171:QLM171"/>
    <mergeCell ref="QLN171:QLV171"/>
    <mergeCell ref="QFQ171:QFY171"/>
    <mergeCell ref="QFZ171:QGH171"/>
    <mergeCell ref="QGI171:QGQ171"/>
    <mergeCell ref="QGR171:QGZ171"/>
    <mergeCell ref="QHA171:QHI171"/>
    <mergeCell ref="QHJ171:QHR171"/>
    <mergeCell ref="QHS171:QIA171"/>
    <mergeCell ref="QIB171:QIJ171"/>
    <mergeCell ref="QIK171:QIS171"/>
    <mergeCell ref="QCN171:QCV171"/>
    <mergeCell ref="QCW171:QDE171"/>
    <mergeCell ref="QDF171:QDN171"/>
    <mergeCell ref="QDO171:QDW171"/>
    <mergeCell ref="QDX171:QEF171"/>
    <mergeCell ref="QEG171:QEO171"/>
    <mergeCell ref="QEP171:QEX171"/>
    <mergeCell ref="QEY171:QFG171"/>
    <mergeCell ref="QFH171:QFP171"/>
    <mergeCell ref="PZK171:PZS171"/>
    <mergeCell ref="PZT171:QAB171"/>
    <mergeCell ref="QAC171:QAK171"/>
    <mergeCell ref="QAL171:QAT171"/>
    <mergeCell ref="QAU171:QBC171"/>
    <mergeCell ref="QBD171:QBL171"/>
    <mergeCell ref="QBM171:QBU171"/>
    <mergeCell ref="QBV171:QCD171"/>
    <mergeCell ref="QCE171:QCM171"/>
    <mergeCell ref="PWH171:PWP171"/>
    <mergeCell ref="PWQ171:PWY171"/>
    <mergeCell ref="PWZ171:PXH171"/>
    <mergeCell ref="PXI171:PXQ171"/>
    <mergeCell ref="PXR171:PXZ171"/>
    <mergeCell ref="PYA171:PYI171"/>
    <mergeCell ref="PYJ171:PYR171"/>
    <mergeCell ref="PYS171:PZA171"/>
    <mergeCell ref="PZB171:PZJ171"/>
    <mergeCell ref="PTE171:PTM171"/>
    <mergeCell ref="PTN171:PTV171"/>
    <mergeCell ref="PTW171:PUE171"/>
    <mergeCell ref="PUF171:PUN171"/>
    <mergeCell ref="PUO171:PUW171"/>
    <mergeCell ref="PUX171:PVF171"/>
    <mergeCell ref="PVG171:PVO171"/>
    <mergeCell ref="PVP171:PVX171"/>
    <mergeCell ref="PVY171:PWG171"/>
    <mergeCell ref="PQB171:PQJ171"/>
    <mergeCell ref="PQK171:PQS171"/>
    <mergeCell ref="PQT171:PRB171"/>
    <mergeCell ref="PRC171:PRK171"/>
    <mergeCell ref="PRL171:PRT171"/>
    <mergeCell ref="PRU171:PSC171"/>
    <mergeCell ref="PSD171:PSL171"/>
    <mergeCell ref="PSM171:PSU171"/>
    <mergeCell ref="PSV171:PTD171"/>
    <mergeCell ref="PMY171:PNG171"/>
    <mergeCell ref="PNH171:PNP171"/>
    <mergeCell ref="PNQ171:PNY171"/>
    <mergeCell ref="PNZ171:POH171"/>
    <mergeCell ref="POI171:POQ171"/>
    <mergeCell ref="POR171:POZ171"/>
    <mergeCell ref="PPA171:PPI171"/>
    <mergeCell ref="PPJ171:PPR171"/>
    <mergeCell ref="PPS171:PQA171"/>
    <mergeCell ref="PJV171:PKD171"/>
    <mergeCell ref="PKE171:PKM171"/>
    <mergeCell ref="PKN171:PKV171"/>
    <mergeCell ref="PKW171:PLE171"/>
    <mergeCell ref="PLF171:PLN171"/>
    <mergeCell ref="PLO171:PLW171"/>
    <mergeCell ref="PLX171:PMF171"/>
    <mergeCell ref="PMG171:PMO171"/>
    <mergeCell ref="PMP171:PMX171"/>
    <mergeCell ref="PGS171:PHA171"/>
    <mergeCell ref="PHB171:PHJ171"/>
    <mergeCell ref="PHK171:PHS171"/>
    <mergeCell ref="PHT171:PIB171"/>
    <mergeCell ref="PIC171:PIK171"/>
    <mergeCell ref="PIL171:PIT171"/>
    <mergeCell ref="PIU171:PJC171"/>
    <mergeCell ref="PJD171:PJL171"/>
    <mergeCell ref="PJM171:PJU171"/>
    <mergeCell ref="PDP171:PDX171"/>
    <mergeCell ref="PDY171:PEG171"/>
    <mergeCell ref="PEH171:PEP171"/>
    <mergeCell ref="PEQ171:PEY171"/>
    <mergeCell ref="PEZ171:PFH171"/>
    <mergeCell ref="PFI171:PFQ171"/>
    <mergeCell ref="PFR171:PFZ171"/>
    <mergeCell ref="PGA171:PGI171"/>
    <mergeCell ref="PGJ171:PGR171"/>
    <mergeCell ref="PAM171:PAU171"/>
    <mergeCell ref="PAV171:PBD171"/>
    <mergeCell ref="PBE171:PBM171"/>
    <mergeCell ref="PBN171:PBV171"/>
    <mergeCell ref="PBW171:PCE171"/>
    <mergeCell ref="PCF171:PCN171"/>
    <mergeCell ref="PCO171:PCW171"/>
    <mergeCell ref="PCX171:PDF171"/>
    <mergeCell ref="PDG171:PDO171"/>
    <mergeCell ref="OXJ171:OXR171"/>
    <mergeCell ref="OXS171:OYA171"/>
    <mergeCell ref="OYB171:OYJ171"/>
    <mergeCell ref="OYK171:OYS171"/>
    <mergeCell ref="OYT171:OZB171"/>
    <mergeCell ref="OZC171:OZK171"/>
    <mergeCell ref="OZL171:OZT171"/>
    <mergeCell ref="OZU171:PAC171"/>
    <mergeCell ref="PAD171:PAL171"/>
    <mergeCell ref="OUG171:OUO171"/>
    <mergeCell ref="OUP171:OUX171"/>
    <mergeCell ref="OUY171:OVG171"/>
    <mergeCell ref="OVH171:OVP171"/>
    <mergeCell ref="OVQ171:OVY171"/>
    <mergeCell ref="OVZ171:OWH171"/>
    <mergeCell ref="OWI171:OWQ171"/>
    <mergeCell ref="OWR171:OWZ171"/>
    <mergeCell ref="OXA171:OXI171"/>
    <mergeCell ref="ORD171:ORL171"/>
    <mergeCell ref="ORM171:ORU171"/>
    <mergeCell ref="ORV171:OSD171"/>
    <mergeCell ref="OSE171:OSM171"/>
    <mergeCell ref="OSN171:OSV171"/>
    <mergeCell ref="OSW171:OTE171"/>
    <mergeCell ref="OTF171:OTN171"/>
    <mergeCell ref="OTO171:OTW171"/>
    <mergeCell ref="OTX171:OUF171"/>
    <mergeCell ref="OOA171:OOI171"/>
    <mergeCell ref="OOJ171:OOR171"/>
    <mergeCell ref="OOS171:OPA171"/>
    <mergeCell ref="OPB171:OPJ171"/>
    <mergeCell ref="OPK171:OPS171"/>
    <mergeCell ref="OPT171:OQB171"/>
    <mergeCell ref="OQC171:OQK171"/>
    <mergeCell ref="OQL171:OQT171"/>
    <mergeCell ref="OQU171:ORC171"/>
    <mergeCell ref="OKX171:OLF171"/>
    <mergeCell ref="OLG171:OLO171"/>
    <mergeCell ref="OLP171:OLX171"/>
    <mergeCell ref="OLY171:OMG171"/>
    <mergeCell ref="OMH171:OMP171"/>
    <mergeCell ref="OMQ171:OMY171"/>
    <mergeCell ref="OMZ171:ONH171"/>
    <mergeCell ref="ONI171:ONQ171"/>
    <mergeCell ref="ONR171:ONZ171"/>
    <mergeCell ref="OHU171:OIC171"/>
    <mergeCell ref="OID171:OIL171"/>
    <mergeCell ref="OIM171:OIU171"/>
    <mergeCell ref="OIV171:OJD171"/>
    <mergeCell ref="OJE171:OJM171"/>
    <mergeCell ref="OJN171:OJV171"/>
    <mergeCell ref="OJW171:OKE171"/>
    <mergeCell ref="OKF171:OKN171"/>
    <mergeCell ref="OKO171:OKW171"/>
    <mergeCell ref="OER171:OEZ171"/>
    <mergeCell ref="OFA171:OFI171"/>
    <mergeCell ref="OFJ171:OFR171"/>
    <mergeCell ref="OFS171:OGA171"/>
    <mergeCell ref="OGB171:OGJ171"/>
    <mergeCell ref="OGK171:OGS171"/>
    <mergeCell ref="OGT171:OHB171"/>
    <mergeCell ref="OHC171:OHK171"/>
    <mergeCell ref="OHL171:OHT171"/>
    <mergeCell ref="OBO171:OBW171"/>
    <mergeCell ref="OBX171:OCF171"/>
    <mergeCell ref="OCG171:OCO171"/>
    <mergeCell ref="OCP171:OCX171"/>
    <mergeCell ref="OCY171:ODG171"/>
    <mergeCell ref="ODH171:ODP171"/>
    <mergeCell ref="ODQ171:ODY171"/>
    <mergeCell ref="ODZ171:OEH171"/>
    <mergeCell ref="OEI171:OEQ171"/>
    <mergeCell ref="NYL171:NYT171"/>
    <mergeCell ref="NYU171:NZC171"/>
    <mergeCell ref="NZD171:NZL171"/>
    <mergeCell ref="NZM171:NZU171"/>
    <mergeCell ref="NZV171:OAD171"/>
    <mergeCell ref="OAE171:OAM171"/>
    <mergeCell ref="OAN171:OAV171"/>
    <mergeCell ref="OAW171:OBE171"/>
    <mergeCell ref="OBF171:OBN171"/>
    <mergeCell ref="NVI171:NVQ171"/>
    <mergeCell ref="NVR171:NVZ171"/>
    <mergeCell ref="NWA171:NWI171"/>
    <mergeCell ref="NWJ171:NWR171"/>
    <mergeCell ref="NWS171:NXA171"/>
    <mergeCell ref="NXB171:NXJ171"/>
    <mergeCell ref="NXK171:NXS171"/>
    <mergeCell ref="NXT171:NYB171"/>
    <mergeCell ref="NYC171:NYK171"/>
    <mergeCell ref="NSF171:NSN171"/>
    <mergeCell ref="NSO171:NSW171"/>
    <mergeCell ref="NSX171:NTF171"/>
    <mergeCell ref="NTG171:NTO171"/>
    <mergeCell ref="NTP171:NTX171"/>
    <mergeCell ref="NTY171:NUG171"/>
    <mergeCell ref="NUH171:NUP171"/>
    <mergeCell ref="NUQ171:NUY171"/>
    <mergeCell ref="NUZ171:NVH171"/>
    <mergeCell ref="NPC171:NPK171"/>
    <mergeCell ref="NPL171:NPT171"/>
    <mergeCell ref="NPU171:NQC171"/>
    <mergeCell ref="NQD171:NQL171"/>
    <mergeCell ref="NQM171:NQU171"/>
    <mergeCell ref="NQV171:NRD171"/>
    <mergeCell ref="NRE171:NRM171"/>
    <mergeCell ref="NRN171:NRV171"/>
    <mergeCell ref="NRW171:NSE171"/>
    <mergeCell ref="NLZ171:NMH171"/>
    <mergeCell ref="NMI171:NMQ171"/>
    <mergeCell ref="NMR171:NMZ171"/>
    <mergeCell ref="NNA171:NNI171"/>
    <mergeCell ref="NNJ171:NNR171"/>
    <mergeCell ref="NNS171:NOA171"/>
    <mergeCell ref="NOB171:NOJ171"/>
    <mergeCell ref="NOK171:NOS171"/>
    <mergeCell ref="NOT171:NPB171"/>
    <mergeCell ref="NIW171:NJE171"/>
    <mergeCell ref="NJF171:NJN171"/>
    <mergeCell ref="NJO171:NJW171"/>
    <mergeCell ref="NJX171:NKF171"/>
    <mergeCell ref="NKG171:NKO171"/>
    <mergeCell ref="NKP171:NKX171"/>
    <mergeCell ref="NKY171:NLG171"/>
    <mergeCell ref="NLH171:NLP171"/>
    <mergeCell ref="NLQ171:NLY171"/>
    <mergeCell ref="NFT171:NGB171"/>
    <mergeCell ref="NGC171:NGK171"/>
    <mergeCell ref="NGL171:NGT171"/>
    <mergeCell ref="NGU171:NHC171"/>
    <mergeCell ref="NHD171:NHL171"/>
    <mergeCell ref="NHM171:NHU171"/>
    <mergeCell ref="NHV171:NID171"/>
    <mergeCell ref="NIE171:NIM171"/>
    <mergeCell ref="NIN171:NIV171"/>
    <mergeCell ref="NCQ171:NCY171"/>
    <mergeCell ref="NCZ171:NDH171"/>
    <mergeCell ref="NDI171:NDQ171"/>
    <mergeCell ref="NDR171:NDZ171"/>
    <mergeCell ref="NEA171:NEI171"/>
    <mergeCell ref="NEJ171:NER171"/>
    <mergeCell ref="NES171:NFA171"/>
    <mergeCell ref="NFB171:NFJ171"/>
    <mergeCell ref="NFK171:NFS171"/>
    <mergeCell ref="MZN171:MZV171"/>
    <mergeCell ref="MZW171:NAE171"/>
    <mergeCell ref="NAF171:NAN171"/>
    <mergeCell ref="NAO171:NAW171"/>
    <mergeCell ref="NAX171:NBF171"/>
    <mergeCell ref="NBG171:NBO171"/>
    <mergeCell ref="NBP171:NBX171"/>
    <mergeCell ref="NBY171:NCG171"/>
    <mergeCell ref="NCH171:NCP171"/>
    <mergeCell ref="MWK171:MWS171"/>
    <mergeCell ref="MWT171:MXB171"/>
    <mergeCell ref="MXC171:MXK171"/>
    <mergeCell ref="MXL171:MXT171"/>
    <mergeCell ref="MXU171:MYC171"/>
    <mergeCell ref="MYD171:MYL171"/>
    <mergeCell ref="MYM171:MYU171"/>
    <mergeCell ref="MYV171:MZD171"/>
    <mergeCell ref="MZE171:MZM171"/>
    <mergeCell ref="MTH171:MTP171"/>
    <mergeCell ref="MTQ171:MTY171"/>
    <mergeCell ref="MTZ171:MUH171"/>
    <mergeCell ref="MUI171:MUQ171"/>
    <mergeCell ref="MUR171:MUZ171"/>
    <mergeCell ref="MVA171:MVI171"/>
    <mergeCell ref="MVJ171:MVR171"/>
    <mergeCell ref="MVS171:MWA171"/>
    <mergeCell ref="MWB171:MWJ171"/>
    <mergeCell ref="MQE171:MQM171"/>
    <mergeCell ref="MQN171:MQV171"/>
    <mergeCell ref="MQW171:MRE171"/>
    <mergeCell ref="MRF171:MRN171"/>
    <mergeCell ref="MRO171:MRW171"/>
    <mergeCell ref="MRX171:MSF171"/>
    <mergeCell ref="MSG171:MSO171"/>
    <mergeCell ref="MSP171:MSX171"/>
    <mergeCell ref="MSY171:MTG171"/>
    <mergeCell ref="MNB171:MNJ171"/>
    <mergeCell ref="MNK171:MNS171"/>
    <mergeCell ref="MNT171:MOB171"/>
    <mergeCell ref="MOC171:MOK171"/>
    <mergeCell ref="MOL171:MOT171"/>
    <mergeCell ref="MOU171:MPC171"/>
    <mergeCell ref="MPD171:MPL171"/>
    <mergeCell ref="MPM171:MPU171"/>
    <mergeCell ref="MPV171:MQD171"/>
    <mergeCell ref="MJY171:MKG171"/>
    <mergeCell ref="MKH171:MKP171"/>
    <mergeCell ref="MKQ171:MKY171"/>
    <mergeCell ref="MKZ171:MLH171"/>
    <mergeCell ref="MLI171:MLQ171"/>
    <mergeCell ref="MLR171:MLZ171"/>
    <mergeCell ref="MMA171:MMI171"/>
    <mergeCell ref="MMJ171:MMR171"/>
    <mergeCell ref="MMS171:MNA171"/>
    <mergeCell ref="MGV171:MHD171"/>
    <mergeCell ref="MHE171:MHM171"/>
    <mergeCell ref="MHN171:MHV171"/>
    <mergeCell ref="MHW171:MIE171"/>
    <mergeCell ref="MIF171:MIN171"/>
    <mergeCell ref="MIO171:MIW171"/>
    <mergeCell ref="MIX171:MJF171"/>
    <mergeCell ref="MJG171:MJO171"/>
    <mergeCell ref="MJP171:MJX171"/>
    <mergeCell ref="MDS171:MEA171"/>
    <mergeCell ref="MEB171:MEJ171"/>
    <mergeCell ref="MEK171:MES171"/>
    <mergeCell ref="MET171:MFB171"/>
    <mergeCell ref="MFC171:MFK171"/>
    <mergeCell ref="MFL171:MFT171"/>
    <mergeCell ref="MFU171:MGC171"/>
    <mergeCell ref="MGD171:MGL171"/>
    <mergeCell ref="MGM171:MGU171"/>
    <mergeCell ref="MAP171:MAX171"/>
    <mergeCell ref="MAY171:MBG171"/>
    <mergeCell ref="MBH171:MBP171"/>
    <mergeCell ref="MBQ171:MBY171"/>
    <mergeCell ref="MBZ171:MCH171"/>
    <mergeCell ref="MCI171:MCQ171"/>
    <mergeCell ref="MCR171:MCZ171"/>
    <mergeCell ref="MDA171:MDI171"/>
    <mergeCell ref="MDJ171:MDR171"/>
    <mergeCell ref="LXM171:LXU171"/>
    <mergeCell ref="LXV171:LYD171"/>
    <mergeCell ref="LYE171:LYM171"/>
    <mergeCell ref="LYN171:LYV171"/>
    <mergeCell ref="LYW171:LZE171"/>
    <mergeCell ref="LZF171:LZN171"/>
    <mergeCell ref="LZO171:LZW171"/>
    <mergeCell ref="LZX171:MAF171"/>
    <mergeCell ref="MAG171:MAO171"/>
    <mergeCell ref="LUJ171:LUR171"/>
    <mergeCell ref="LUS171:LVA171"/>
    <mergeCell ref="LVB171:LVJ171"/>
    <mergeCell ref="LVK171:LVS171"/>
    <mergeCell ref="LVT171:LWB171"/>
    <mergeCell ref="LWC171:LWK171"/>
    <mergeCell ref="LWL171:LWT171"/>
    <mergeCell ref="LWU171:LXC171"/>
    <mergeCell ref="LXD171:LXL171"/>
    <mergeCell ref="LRG171:LRO171"/>
    <mergeCell ref="LRP171:LRX171"/>
    <mergeCell ref="LRY171:LSG171"/>
    <mergeCell ref="LSH171:LSP171"/>
    <mergeCell ref="LSQ171:LSY171"/>
    <mergeCell ref="LSZ171:LTH171"/>
    <mergeCell ref="LTI171:LTQ171"/>
    <mergeCell ref="LTR171:LTZ171"/>
    <mergeCell ref="LUA171:LUI171"/>
    <mergeCell ref="LOD171:LOL171"/>
    <mergeCell ref="LOM171:LOU171"/>
    <mergeCell ref="LOV171:LPD171"/>
    <mergeCell ref="LPE171:LPM171"/>
    <mergeCell ref="LPN171:LPV171"/>
    <mergeCell ref="LPW171:LQE171"/>
    <mergeCell ref="LQF171:LQN171"/>
    <mergeCell ref="LQO171:LQW171"/>
    <mergeCell ref="LQX171:LRF171"/>
    <mergeCell ref="LLA171:LLI171"/>
    <mergeCell ref="LLJ171:LLR171"/>
    <mergeCell ref="LLS171:LMA171"/>
    <mergeCell ref="LMB171:LMJ171"/>
    <mergeCell ref="LMK171:LMS171"/>
    <mergeCell ref="LMT171:LNB171"/>
    <mergeCell ref="LNC171:LNK171"/>
    <mergeCell ref="LNL171:LNT171"/>
    <mergeCell ref="LNU171:LOC171"/>
    <mergeCell ref="LHX171:LIF171"/>
    <mergeCell ref="LIG171:LIO171"/>
    <mergeCell ref="LIP171:LIX171"/>
    <mergeCell ref="LIY171:LJG171"/>
    <mergeCell ref="LJH171:LJP171"/>
    <mergeCell ref="LJQ171:LJY171"/>
    <mergeCell ref="LJZ171:LKH171"/>
    <mergeCell ref="LKI171:LKQ171"/>
    <mergeCell ref="LKR171:LKZ171"/>
    <mergeCell ref="LEU171:LFC171"/>
    <mergeCell ref="LFD171:LFL171"/>
    <mergeCell ref="LFM171:LFU171"/>
    <mergeCell ref="LFV171:LGD171"/>
    <mergeCell ref="LGE171:LGM171"/>
    <mergeCell ref="LGN171:LGV171"/>
    <mergeCell ref="LGW171:LHE171"/>
    <mergeCell ref="LHF171:LHN171"/>
    <mergeCell ref="LHO171:LHW171"/>
    <mergeCell ref="LBR171:LBZ171"/>
    <mergeCell ref="LCA171:LCI171"/>
    <mergeCell ref="LCJ171:LCR171"/>
    <mergeCell ref="LCS171:LDA171"/>
    <mergeCell ref="LDB171:LDJ171"/>
    <mergeCell ref="LDK171:LDS171"/>
    <mergeCell ref="LDT171:LEB171"/>
    <mergeCell ref="LEC171:LEK171"/>
    <mergeCell ref="LEL171:LET171"/>
    <mergeCell ref="KYO171:KYW171"/>
    <mergeCell ref="KYX171:KZF171"/>
    <mergeCell ref="KZG171:KZO171"/>
    <mergeCell ref="KZP171:KZX171"/>
    <mergeCell ref="KZY171:LAG171"/>
    <mergeCell ref="LAH171:LAP171"/>
    <mergeCell ref="LAQ171:LAY171"/>
    <mergeCell ref="LAZ171:LBH171"/>
    <mergeCell ref="LBI171:LBQ171"/>
    <mergeCell ref="KVL171:KVT171"/>
    <mergeCell ref="KVU171:KWC171"/>
    <mergeCell ref="KWD171:KWL171"/>
    <mergeCell ref="KWM171:KWU171"/>
    <mergeCell ref="KWV171:KXD171"/>
    <mergeCell ref="KXE171:KXM171"/>
    <mergeCell ref="KXN171:KXV171"/>
    <mergeCell ref="KXW171:KYE171"/>
    <mergeCell ref="KYF171:KYN171"/>
    <mergeCell ref="KSI171:KSQ171"/>
    <mergeCell ref="KSR171:KSZ171"/>
    <mergeCell ref="KTA171:KTI171"/>
    <mergeCell ref="KTJ171:KTR171"/>
    <mergeCell ref="KTS171:KUA171"/>
    <mergeCell ref="KUB171:KUJ171"/>
    <mergeCell ref="KUK171:KUS171"/>
    <mergeCell ref="KUT171:KVB171"/>
    <mergeCell ref="KVC171:KVK171"/>
    <mergeCell ref="KPF171:KPN171"/>
    <mergeCell ref="KPO171:KPW171"/>
    <mergeCell ref="KPX171:KQF171"/>
    <mergeCell ref="KQG171:KQO171"/>
    <mergeCell ref="KQP171:KQX171"/>
    <mergeCell ref="KQY171:KRG171"/>
    <mergeCell ref="KRH171:KRP171"/>
    <mergeCell ref="KRQ171:KRY171"/>
    <mergeCell ref="KRZ171:KSH171"/>
    <mergeCell ref="KMC171:KMK171"/>
    <mergeCell ref="KML171:KMT171"/>
    <mergeCell ref="KMU171:KNC171"/>
    <mergeCell ref="KND171:KNL171"/>
    <mergeCell ref="KNM171:KNU171"/>
    <mergeCell ref="KNV171:KOD171"/>
    <mergeCell ref="KOE171:KOM171"/>
    <mergeCell ref="KON171:KOV171"/>
    <mergeCell ref="KOW171:KPE171"/>
    <mergeCell ref="KIZ171:KJH171"/>
    <mergeCell ref="KJI171:KJQ171"/>
    <mergeCell ref="KJR171:KJZ171"/>
    <mergeCell ref="KKA171:KKI171"/>
    <mergeCell ref="KKJ171:KKR171"/>
    <mergeCell ref="KKS171:KLA171"/>
    <mergeCell ref="KLB171:KLJ171"/>
    <mergeCell ref="KLK171:KLS171"/>
    <mergeCell ref="KLT171:KMB171"/>
    <mergeCell ref="KFW171:KGE171"/>
    <mergeCell ref="KGF171:KGN171"/>
    <mergeCell ref="KGO171:KGW171"/>
    <mergeCell ref="KGX171:KHF171"/>
    <mergeCell ref="KHG171:KHO171"/>
    <mergeCell ref="KHP171:KHX171"/>
    <mergeCell ref="KHY171:KIG171"/>
    <mergeCell ref="KIH171:KIP171"/>
    <mergeCell ref="KIQ171:KIY171"/>
    <mergeCell ref="KCT171:KDB171"/>
    <mergeCell ref="KDC171:KDK171"/>
    <mergeCell ref="KDL171:KDT171"/>
    <mergeCell ref="KDU171:KEC171"/>
    <mergeCell ref="KED171:KEL171"/>
    <mergeCell ref="KEM171:KEU171"/>
    <mergeCell ref="KEV171:KFD171"/>
    <mergeCell ref="KFE171:KFM171"/>
    <mergeCell ref="KFN171:KFV171"/>
    <mergeCell ref="JZQ171:JZY171"/>
    <mergeCell ref="JZZ171:KAH171"/>
    <mergeCell ref="KAI171:KAQ171"/>
    <mergeCell ref="KAR171:KAZ171"/>
    <mergeCell ref="KBA171:KBI171"/>
    <mergeCell ref="KBJ171:KBR171"/>
    <mergeCell ref="KBS171:KCA171"/>
    <mergeCell ref="KCB171:KCJ171"/>
    <mergeCell ref="KCK171:KCS171"/>
    <mergeCell ref="JWN171:JWV171"/>
    <mergeCell ref="JWW171:JXE171"/>
    <mergeCell ref="JXF171:JXN171"/>
    <mergeCell ref="JXO171:JXW171"/>
    <mergeCell ref="JXX171:JYF171"/>
    <mergeCell ref="JYG171:JYO171"/>
    <mergeCell ref="JYP171:JYX171"/>
    <mergeCell ref="JYY171:JZG171"/>
    <mergeCell ref="JZH171:JZP171"/>
    <mergeCell ref="JTK171:JTS171"/>
    <mergeCell ref="JTT171:JUB171"/>
    <mergeCell ref="JUC171:JUK171"/>
    <mergeCell ref="JUL171:JUT171"/>
    <mergeCell ref="JUU171:JVC171"/>
    <mergeCell ref="JVD171:JVL171"/>
    <mergeCell ref="JVM171:JVU171"/>
    <mergeCell ref="JVV171:JWD171"/>
    <mergeCell ref="JWE171:JWM171"/>
    <mergeCell ref="JQH171:JQP171"/>
    <mergeCell ref="JQQ171:JQY171"/>
    <mergeCell ref="JQZ171:JRH171"/>
    <mergeCell ref="JRI171:JRQ171"/>
    <mergeCell ref="JRR171:JRZ171"/>
    <mergeCell ref="JSA171:JSI171"/>
    <mergeCell ref="JSJ171:JSR171"/>
    <mergeCell ref="JSS171:JTA171"/>
    <mergeCell ref="JTB171:JTJ171"/>
    <mergeCell ref="JNE171:JNM171"/>
    <mergeCell ref="JNN171:JNV171"/>
    <mergeCell ref="JNW171:JOE171"/>
    <mergeCell ref="JOF171:JON171"/>
    <mergeCell ref="JOO171:JOW171"/>
    <mergeCell ref="JOX171:JPF171"/>
    <mergeCell ref="JPG171:JPO171"/>
    <mergeCell ref="JPP171:JPX171"/>
    <mergeCell ref="JPY171:JQG171"/>
    <mergeCell ref="JKB171:JKJ171"/>
    <mergeCell ref="JKK171:JKS171"/>
    <mergeCell ref="JKT171:JLB171"/>
    <mergeCell ref="JLC171:JLK171"/>
    <mergeCell ref="JLL171:JLT171"/>
    <mergeCell ref="JLU171:JMC171"/>
    <mergeCell ref="JMD171:JML171"/>
    <mergeCell ref="JMM171:JMU171"/>
    <mergeCell ref="JMV171:JND171"/>
    <mergeCell ref="JGY171:JHG171"/>
    <mergeCell ref="JHH171:JHP171"/>
    <mergeCell ref="JHQ171:JHY171"/>
    <mergeCell ref="JHZ171:JIH171"/>
    <mergeCell ref="JII171:JIQ171"/>
    <mergeCell ref="JIR171:JIZ171"/>
    <mergeCell ref="JJA171:JJI171"/>
    <mergeCell ref="JJJ171:JJR171"/>
    <mergeCell ref="JJS171:JKA171"/>
    <mergeCell ref="JDV171:JED171"/>
    <mergeCell ref="JEE171:JEM171"/>
    <mergeCell ref="JEN171:JEV171"/>
    <mergeCell ref="JEW171:JFE171"/>
    <mergeCell ref="JFF171:JFN171"/>
    <mergeCell ref="JFO171:JFW171"/>
    <mergeCell ref="JFX171:JGF171"/>
    <mergeCell ref="JGG171:JGO171"/>
    <mergeCell ref="JGP171:JGX171"/>
    <mergeCell ref="JAS171:JBA171"/>
    <mergeCell ref="JBB171:JBJ171"/>
    <mergeCell ref="JBK171:JBS171"/>
    <mergeCell ref="JBT171:JCB171"/>
    <mergeCell ref="JCC171:JCK171"/>
    <mergeCell ref="JCL171:JCT171"/>
    <mergeCell ref="JCU171:JDC171"/>
    <mergeCell ref="JDD171:JDL171"/>
    <mergeCell ref="JDM171:JDU171"/>
    <mergeCell ref="IXP171:IXX171"/>
    <mergeCell ref="IXY171:IYG171"/>
    <mergeCell ref="IYH171:IYP171"/>
    <mergeCell ref="IYQ171:IYY171"/>
    <mergeCell ref="IYZ171:IZH171"/>
    <mergeCell ref="IZI171:IZQ171"/>
    <mergeCell ref="IZR171:IZZ171"/>
    <mergeCell ref="JAA171:JAI171"/>
    <mergeCell ref="JAJ171:JAR171"/>
    <mergeCell ref="IUM171:IUU171"/>
    <mergeCell ref="IUV171:IVD171"/>
    <mergeCell ref="IVE171:IVM171"/>
    <mergeCell ref="IVN171:IVV171"/>
    <mergeCell ref="IVW171:IWE171"/>
    <mergeCell ref="IWF171:IWN171"/>
    <mergeCell ref="IWO171:IWW171"/>
    <mergeCell ref="IWX171:IXF171"/>
    <mergeCell ref="IXG171:IXO171"/>
    <mergeCell ref="IRJ171:IRR171"/>
    <mergeCell ref="IRS171:ISA171"/>
    <mergeCell ref="ISB171:ISJ171"/>
    <mergeCell ref="ISK171:ISS171"/>
    <mergeCell ref="IST171:ITB171"/>
    <mergeCell ref="ITC171:ITK171"/>
    <mergeCell ref="ITL171:ITT171"/>
    <mergeCell ref="ITU171:IUC171"/>
    <mergeCell ref="IUD171:IUL171"/>
    <mergeCell ref="IOG171:IOO171"/>
    <mergeCell ref="IOP171:IOX171"/>
    <mergeCell ref="IOY171:IPG171"/>
    <mergeCell ref="IPH171:IPP171"/>
    <mergeCell ref="IPQ171:IPY171"/>
    <mergeCell ref="IPZ171:IQH171"/>
    <mergeCell ref="IQI171:IQQ171"/>
    <mergeCell ref="IQR171:IQZ171"/>
    <mergeCell ref="IRA171:IRI171"/>
    <mergeCell ref="ILD171:ILL171"/>
    <mergeCell ref="ILM171:ILU171"/>
    <mergeCell ref="ILV171:IMD171"/>
    <mergeCell ref="IME171:IMM171"/>
    <mergeCell ref="IMN171:IMV171"/>
    <mergeCell ref="IMW171:INE171"/>
    <mergeCell ref="INF171:INN171"/>
    <mergeCell ref="INO171:INW171"/>
    <mergeCell ref="INX171:IOF171"/>
    <mergeCell ref="IIA171:III171"/>
    <mergeCell ref="IIJ171:IIR171"/>
    <mergeCell ref="IIS171:IJA171"/>
    <mergeCell ref="IJB171:IJJ171"/>
    <mergeCell ref="IJK171:IJS171"/>
    <mergeCell ref="IJT171:IKB171"/>
    <mergeCell ref="IKC171:IKK171"/>
    <mergeCell ref="IKL171:IKT171"/>
    <mergeCell ref="IKU171:ILC171"/>
    <mergeCell ref="IEX171:IFF171"/>
    <mergeCell ref="IFG171:IFO171"/>
    <mergeCell ref="IFP171:IFX171"/>
    <mergeCell ref="IFY171:IGG171"/>
    <mergeCell ref="IGH171:IGP171"/>
    <mergeCell ref="IGQ171:IGY171"/>
    <mergeCell ref="IGZ171:IHH171"/>
    <mergeCell ref="IHI171:IHQ171"/>
    <mergeCell ref="IHR171:IHZ171"/>
    <mergeCell ref="IBU171:ICC171"/>
    <mergeCell ref="ICD171:ICL171"/>
    <mergeCell ref="ICM171:ICU171"/>
    <mergeCell ref="ICV171:IDD171"/>
    <mergeCell ref="IDE171:IDM171"/>
    <mergeCell ref="IDN171:IDV171"/>
    <mergeCell ref="IDW171:IEE171"/>
    <mergeCell ref="IEF171:IEN171"/>
    <mergeCell ref="IEO171:IEW171"/>
    <mergeCell ref="HYR171:HYZ171"/>
    <mergeCell ref="HZA171:HZI171"/>
    <mergeCell ref="HZJ171:HZR171"/>
    <mergeCell ref="HZS171:IAA171"/>
    <mergeCell ref="IAB171:IAJ171"/>
    <mergeCell ref="IAK171:IAS171"/>
    <mergeCell ref="IAT171:IBB171"/>
    <mergeCell ref="IBC171:IBK171"/>
    <mergeCell ref="IBL171:IBT171"/>
    <mergeCell ref="HVO171:HVW171"/>
    <mergeCell ref="HVX171:HWF171"/>
    <mergeCell ref="HWG171:HWO171"/>
    <mergeCell ref="HWP171:HWX171"/>
    <mergeCell ref="HWY171:HXG171"/>
    <mergeCell ref="HXH171:HXP171"/>
    <mergeCell ref="HXQ171:HXY171"/>
    <mergeCell ref="HXZ171:HYH171"/>
    <mergeCell ref="HYI171:HYQ171"/>
    <mergeCell ref="HSL171:HST171"/>
    <mergeCell ref="HSU171:HTC171"/>
    <mergeCell ref="HTD171:HTL171"/>
    <mergeCell ref="HTM171:HTU171"/>
    <mergeCell ref="HTV171:HUD171"/>
    <mergeCell ref="HUE171:HUM171"/>
    <mergeCell ref="HUN171:HUV171"/>
    <mergeCell ref="HUW171:HVE171"/>
    <mergeCell ref="HVF171:HVN171"/>
    <mergeCell ref="HPI171:HPQ171"/>
    <mergeCell ref="HPR171:HPZ171"/>
    <mergeCell ref="HQA171:HQI171"/>
    <mergeCell ref="HQJ171:HQR171"/>
    <mergeCell ref="HQS171:HRA171"/>
    <mergeCell ref="HRB171:HRJ171"/>
    <mergeCell ref="HRK171:HRS171"/>
    <mergeCell ref="HRT171:HSB171"/>
    <mergeCell ref="HSC171:HSK171"/>
    <mergeCell ref="HMF171:HMN171"/>
    <mergeCell ref="HMO171:HMW171"/>
    <mergeCell ref="HMX171:HNF171"/>
    <mergeCell ref="HNG171:HNO171"/>
    <mergeCell ref="HNP171:HNX171"/>
    <mergeCell ref="HNY171:HOG171"/>
    <mergeCell ref="HOH171:HOP171"/>
    <mergeCell ref="HOQ171:HOY171"/>
    <mergeCell ref="HOZ171:HPH171"/>
    <mergeCell ref="HJC171:HJK171"/>
    <mergeCell ref="HJL171:HJT171"/>
    <mergeCell ref="HJU171:HKC171"/>
    <mergeCell ref="HKD171:HKL171"/>
    <mergeCell ref="HKM171:HKU171"/>
    <mergeCell ref="HKV171:HLD171"/>
    <mergeCell ref="HLE171:HLM171"/>
    <mergeCell ref="HLN171:HLV171"/>
    <mergeCell ref="HLW171:HME171"/>
    <mergeCell ref="HFZ171:HGH171"/>
    <mergeCell ref="HGI171:HGQ171"/>
    <mergeCell ref="HGR171:HGZ171"/>
    <mergeCell ref="HHA171:HHI171"/>
    <mergeCell ref="HHJ171:HHR171"/>
    <mergeCell ref="HHS171:HIA171"/>
    <mergeCell ref="HIB171:HIJ171"/>
    <mergeCell ref="HIK171:HIS171"/>
    <mergeCell ref="HIT171:HJB171"/>
    <mergeCell ref="HCW171:HDE171"/>
    <mergeCell ref="HDF171:HDN171"/>
    <mergeCell ref="HDO171:HDW171"/>
    <mergeCell ref="HDX171:HEF171"/>
    <mergeCell ref="HEG171:HEO171"/>
    <mergeCell ref="HEP171:HEX171"/>
    <mergeCell ref="HEY171:HFG171"/>
    <mergeCell ref="HFH171:HFP171"/>
    <mergeCell ref="HFQ171:HFY171"/>
    <mergeCell ref="GZT171:HAB171"/>
    <mergeCell ref="HAC171:HAK171"/>
    <mergeCell ref="HAL171:HAT171"/>
    <mergeCell ref="HAU171:HBC171"/>
    <mergeCell ref="HBD171:HBL171"/>
    <mergeCell ref="HBM171:HBU171"/>
    <mergeCell ref="HBV171:HCD171"/>
    <mergeCell ref="HCE171:HCM171"/>
    <mergeCell ref="HCN171:HCV171"/>
    <mergeCell ref="GWQ171:GWY171"/>
    <mergeCell ref="GWZ171:GXH171"/>
    <mergeCell ref="GXI171:GXQ171"/>
    <mergeCell ref="GXR171:GXZ171"/>
    <mergeCell ref="GYA171:GYI171"/>
    <mergeCell ref="GYJ171:GYR171"/>
    <mergeCell ref="GYS171:GZA171"/>
    <mergeCell ref="GZB171:GZJ171"/>
    <mergeCell ref="GZK171:GZS171"/>
    <mergeCell ref="GTN171:GTV171"/>
    <mergeCell ref="GTW171:GUE171"/>
    <mergeCell ref="GUF171:GUN171"/>
    <mergeCell ref="GUO171:GUW171"/>
    <mergeCell ref="GUX171:GVF171"/>
    <mergeCell ref="GVG171:GVO171"/>
    <mergeCell ref="GVP171:GVX171"/>
    <mergeCell ref="GVY171:GWG171"/>
    <mergeCell ref="GWH171:GWP171"/>
    <mergeCell ref="GQK171:GQS171"/>
    <mergeCell ref="GQT171:GRB171"/>
    <mergeCell ref="GRC171:GRK171"/>
    <mergeCell ref="GRL171:GRT171"/>
    <mergeCell ref="GRU171:GSC171"/>
    <mergeCell ref="GSD171:GSL171"/>
    <mergeCell ref="GSM171:GSU171"/>
    <mergeCell ref="GSV171:GTD171"/>
    <mergeCell ref="GTE171:GTM171"/>
    <mergeCell ref="GNH171:GNP171"/>
    <mergeCell ref="GNQ171:GNY171"/>
    <mergeCell ref="GNZ171:GOH171"/>
    <mergeCell ref="GOI171:GOQ171"/>
    <mergeCell ref="GOR171:GOZ171"/>
    <mergeCell ref="GPA171:GPI171"/>
    <mergeCell ref="GPJ171:GPR171"/>
    <mergeCell ref="GPS171:GQA171"/>
    <mergeCell ref="GQB171:GQJ171"/>
    <mergeCell ref="GKE171:GKM171"/>
    <mergeCell ref="GKN171:GKV171"/>
    <mergeCell ref="GKW171:GLE171"/>
    <mergeCell ref="GLF171:GLN171"/>
    <mergeCell ref="GLO171:GLW171"/>
    <mergeCell ref="GLX171:GMF171"/>
    <mergeCell ref="GMG171:GMO171"/>
    <mergeCell ref="GMP171:GMX171"/>
    <mergeCell ref="GMY171:GNG171"/>
    <mergeCell ref="GHB171:GHJ171"/>
    <mergeCell ref="GHK171:GHS171"/>
    <mergeCell ref="GHT171:GIB171"/>
    <mergeCell ref="GIC171:GIK171"/>
    <mergeCell ref="GIL171:GIT171"/>
    <mergeCell ref="GIU171:GJC171"/>
    <mergeCell ref="GJD171:GJL171"/>
    <mergeCell ref="GJM171:GJU171"/>
    <mergeCell ref="GJV171:GKD171"/>
    <mergeCell ref="GDY171:GEG171"/>
    <mergeCell ref="GEH171:GEP171"/>
    <mergeCell ref="GEQ171:GEY171"/>
    <mergeCell ref="GEZ171:GFH171"/>
    <mergeCell ref="GFI171:GFQ171"/>
    <mergeCell ref="GFR171:GFZ171"/>
    <mergeCell ref="GGA171:GGI171"/>
    <mergeCell ref="GGJ171:GGR171"/>
    <mergeCell ref="GGS171:GHA171"/>
    <mergeCell ref="GAV171:GBD171"/>
    <mergeCell ref="GBE171:GBM171"/>
    <mergeCell ref="GBN171:GBV171"/>
    <mergeCell ref="GBW171:GCE171"/>
    <mergeCell ref="GCF171:GCN171"/>
    <mergeCell ref="GCO171:GCW171"/>
    <mergeCell ref="GCX171:GDF171"/>
    <mergeCell ref="GDG171:GDO171"/>
    <mergeCell ref="GDP171:GDX171"/>
    <mergeCell ref="FXS171:FYA171"/>
    <mergeCell ref="FYB171:FYJ171"/>
    <mergeCell ref="FYK171:FYS171"/>
    <mergeCell ref="FYT171:FZB171"/>
    <mergeCell ref="FZC171:FZK171"/>
    <mergeCell ref="FZL171:FZT171"/>
    <mergeCell ref="FZU171:GAC171"/>
    <mergeCell ref="GAD171:GAL171"/>
    <mergeCell ref="GAM171:GAU171"/>
    <mergeCell ref="FUP171:FUX171"/>
    <mergeCell ref="FUY171:FVG171"/>
    <mergeCell ref="FVH171:FVP171"/>
    <mergeCell ref="FVQ171:FVY171"/>
    <mergeCell ref="FVZ171:FWH171"/>
    <mergeCell ref="FWI171:FWQ171"/>
    <mergeCell ref="FWR171:FWZ171"/>
    <mergeCell ref="FXA171:FXI171"/>
    <mergeCell ref="FXJ171:FXR171"/>
    <mergeCell ref="FRM171:FRU171"/>
    <mergeCell ref="FRV171:FSD171"/>
    <mergeCell ref="FSE171:FSM171"/>
    <mergeCell ref="FSN171:FSV171"/>
    <mergeCell ref="FSW171:FTE171"/>
    <mergeCell ref="FTF171:FTN171"/>
    <mergeCell ref="FTO171:FTW171"/>
    <mergeCell ref="FTX171:FUF171"/>
    <mergeCell ref="FUG171:FUO171"/>
    <mergeCell ref="FOJ171:FOR171"/>
    <mergeCell ref="FOS171:FPA171"/>
    <mergeCell ref="FPB171:FPJ171"/>
    <mergeCell ref="FPK171:FPS171"/>
    <mergeCell ref="FPT171:FQB171"/>
    <mergeCell ref="FQC171:FQK171"/>
    <mergeCell ref="FQL171:FQT171"/>
    <mergeCell ref="FQU171:FRC171"/>
    <mergeCell ref="FRD171:FRL171"/>
    <mergeCell ref="FLG171:FLO171"/>
    <mergeCell ref="FLP171:FLX171"/>
    <mergeCell ref="FLY171:FMG171"/>
    <mergeCell ref="FMH171:FMP171"/>
    <mergeCell ref="FMQ171:FMY171"/>
    <mergeCell ref="FMZ171:FNH171"/>
    <mergeCell ref="FNI171:FNQ171"/>
    <mergeCell ref="FNR171:FNZ171"/>
    <mergeCell ref="FOA171:FOI171"/>
    <mergeCell ref="FID171:FIL171"/>
    <mergeCell ref="FIM171:FIU171"/>
    <mergeCell ref="FIV171:FJD171"/>
    <mergeCell ref="FJE171:FJM171"/>
    <mergeCell ref="FJN171:FJV171"/>
    <mergeCell ref="FJW171:FKE171"/>
    <mergeCell ref="FKF171:FKN171"/>
    <mergeCell ref="FKO171:FKW171"/>
    <mergeCell ref="FKX171:FLF171"/>
    <mergeCell ref="FFA171:FFI171"/>
    <mergeCell ref="FFJ171:FFR171"/>
    <mergeCell ref="FFS171:FGA171"/>
    <mergeCell ref="FGB171:FGJ171"/>
    <mergeCell ref="FGK171:FGS171"/>
    <mergeCell ref="FGT171:FHB171"/>
    <mergeCell ref="FHC171:FHK171"/>
    <mergeCell ref="FHL171:FHT171"/>
    <mergeCell ref="FHU171:FIC171"/>
    <mergeCell ref="FBX171:FCF171"/>
    <mergeCell ref="FCG171:FCO171"/>
    <mergeCell ref="FCP171:FCX171"/>
    <mergeCell ref="FCY171:FDG171"/>
    <mergeCell ref="FDH171:FDP171"/>
    <mergeCell ref="FDQ171:FDY171"/>
    <mergeCell ref="FDZ171:FEH171"/>
    <mergeCell ref="FEI171:FEQ171"/>
    <mergeCell ref="FER171:FEZ171"/>
    <mergeCell ref="EYU171:EZC171"/>
    <mergeCell ref="EZD171:EZL171"/>
    <mergeCell ref="EZM171:EZU171"/>
    <mergeCell ref="EZV171:FAD171"/>
    <mergeCell ref="FAE171:FAM171"/>
    <mergeCell ref="FAN171:FAV171"/>
    <mergeCell ref="FAW171:FBE171"/>
    <mergeCell ref="FBF171:FBN171"/>
    <mergeCell ref="FBO171:FBW171"/>
    <mergeCell ref="EVR171:EVZ171"/>
    <mergeCell ref="EWA171:EWI171"/>
    <mergeCell ref="EWJ171:EWR171"/>
    <mergeCell ref="EWS171:EXA171"/>
    <mergeCell ref="EXB171:EXJ171"/>
    <mergeCell ref="EXK171:EXS171"/>
    <mergeCell ref="EXT171:EYB171"/>
    <mergeCell ref="EYC171:EYK171"/>
    <mergeCell ref="EYL171:EYT171"/>
    <mergeCell ref="ESO171:ESW171"/>
    <mergeCell ref="ESX171:ETF171"/>
    <mergeCell ref="ETG171:ETO171"/>
    <mergeCell ref="ETP171:ETX171"/>
    <mergeCell ref="ETY171:EUG171"/>
    <mergeCell ref="EUH171:EUP171"/>
    <mergeCell ref="EUQ171:EUY171"/>
    <mergeCell ref="EUZ171:EVH171"/>
    <mergeCell ref="EVI171:EVQ171"/>
    <mergeCell ref="EPL171:EPT171"/>
    <mergeCell ref="EPU171:EQC171"/>
    <mergeCell ref="EQD171:EQL171"/>
    <mergeCell ref="EQM171:EQU171"/>
    <mergeCell ref="EQV171:ERD171"/>
    <mergeCell ref="ERE171:ERM171"/>
    <mergeCell ref="ERN171:ERV171"/>
    <mergeCell ref="ERW171:ESE171"/>
    <mergeCell ref="ESF171:ESN171"/>
    <mergeCell ref="EMI171:EMQ171"/>
    <mergeCell ref="EMR171:EMZ171"/>
    <mergeCell ref="ENA171:ENI171"/>
    <mergeCell ref="ENJ171:ENR171"/>
    <mergeCell ref="ENS171:EOA171"/>
    <mergeCell ref="EOB171:EOJ171"/>
    <mergeCell ref="EOK171:EOS171"/>
    <mergeCell ref="EOT171:EPB171"/>
    <mergeCell ref="EPC171:EPK171"/>
    <mergeCell ref="EJF171:EJN171"/>
    <mergeCell ref="EJO171:EJW171"/>
    <mergeCell ref="EJX171:EKF171"/>
    <mergeCell ref="EKG171:EKO171"/>
    <mergeCell ref="EKP171:EKX171"/>
    <mergeCell ref="EKY171:ELG171"/>
    <mergeCell ref="ELH171:ELP171"/>
    <mergeCell ref="ELQ171:ELY171"/>
    <mergeCell ref="ELZ171:EMH171"/>
    <mergeCell ref="EGC171:EGK171"/>
    <mergeCell ref="EGL171:EGT171"/>
    <mergeCell ref="EGU171:EHC171"/>
    <mergeCell ref="EHD171:EHL171"/>
    <mergeCell ref="EHM171:EHU171"/>
    <mergeCell ref="EHV171:EID171"/>
    <mergeCell ref="EIE171:EIM171"/>
    <mergeCell ref="EIN171:EIV171"/>
    <mergeCell ref="EIW171:EJE171"/>
    <mergeCell ref="ECZ171:EDH171"/>
    <mergeCell ref="EDI171:EDQ171"/>
    <mergeCell ref="EDR171:EDZ171"/>
    <mergeCell ref="EEA171:EEI171"/>
    <mergeCell ref="EEJ171:EER171"/>
    <mergeCell ref="EES171:EFA171"/>
    <mergeCell ref="EFB171:EFJ171"/>
    <mergeCell ref="EFK171:EFS171"/>
    <mergeCell ref="EFT171:EGB171"/>
    <mergeCell ref="DZW171:EAE171"/>
    <mergeCell ref="EAF171:EAN171"/>
    <mergeCell ref="EAO171:EAW171"/>
    <mergeCell ref="EAX171:EBF171"/>
    <mergeCell ref="EBG171:EBO171"/>
    <mergeCell ref="EBP171:EBX171"/>
    <mergeCell ref="EBY171:ECG171"/>
    <mergeCell ref="ECH171:ECP171"/>
    <mergeCell ref="ECQ171:ECY171"/>
    <mergeCell ref="DWT171:DXB171"/>
    <mergeCell ref="DXC171:DXK171"/>
    <mergeCell ref="DXL171:DXT171"/>
    <mergeCell ref="DXU171:DYC171"/>
    <mergeCell ref="DYD171:DYL171"/>
    <mergeCell ref="DYM171:DYU171"/>
    <mergeCell ref="DYV171:DZD171"/>
    <mergeCell ref="DZE171:DZM171"/>
    <mergeCell ref="DZN171:DZV171"/>
    <mergeCell ref="DTQ171:DTY171"/>
    <mergeCell ref="DTZ171:DUH171"/>
    <mergeCell ref="DUI171:DUQ171"/>
    <mergeCell ref="DUR171:DUZ171"/>
    <mergeCell ref="DVA171:DVI171"/>
    <mergeCell ref="DVJ171:DVR171"/>
    <mergeCell ref="DVS171:DWA171"/>
    <mergeCell ref="DWB171:DWJ171"/>
    <mergeCell ref="DWK171:DWS171"/>
    <mergeCell ref="DQN171:DQV171"/>
    <mergeCell ref="DQW171:DRE171"/>
    <mergeCell ref="DRF171:DRN171"/>
    <mergeCell ref="DRO171:DRW171"/>
    <mergeCell ref="DRX171:DSF171"/>
    <mergeCell ref="DSG171:DSO171"/>
    <mergeCell ref="DSP171:DSX171"/>
    <mergeCell ref="DSY171:DTG171"/>
    <mergeCell ref="DTH171:DTP171"/>
    <mergeCell ref="DNK171:DNS171"/>
    <mergeCell ref="DNT171:DOB171"/>
    <mergeCell ref="DOC171:DOK171"/>
    <mergeCell ref="DOL171:DOT171"/>
    <mergeCell ref="DOU171:DPC171"/>
    <mergeCell ref="DPD171:DPL171"/>
    <mergeCell ref="DPM171:DPU171"/>
    <mergeCell ref="DPV171:DQD171"/>
    <mergeCell ref="DQE171:DQM171"/>
    <mergeCell ref="DKH171:DKP171"/>
    <mergeCell ref="DKQ171:DKY171"/>
    <mergeCell ref="DKZ171:DLH171"/>
    <mergeCell ref="DLI171:DLQ171"/>
    <mergeCell ref="DLR171:DLZ171"/>
    <mergeCell ref="DMA171:DMI171"/>
    <mergeCell ref="DMJ171:DMR171"/>
    <mergeCell ref="DMS171:DNA171"/>
    <mergeCell ref="DNB171:DNJ171"/>
    <mergeCell ref="DHE171:DHM171"/>
    <mergeCell ref="DHN171:DHV171"/>
    <mergeCell ref="DHW171:DIE171"/>
    <mergeCell ref="DIF171:DIN171"/>
    <mergeCell ref="DIO171:DIW171"/>
    <mergeCell ref="DIX171:DJF171"/>
    <mergeCell ref="DJG171:DJO171"/>
    <mergeCell ref="DJP171:DJX171"/>
    <mergeCell ref="DJY171:DKG171"/>
    <mergeCell ref="DEB171:DEJ171"/>
    <mergeCell ref="DEK171:DES171"/>
    <mergeCell ref="DET171:DFB171"/>
    <mergeCell ref="DFC171:DFK171"/>
    <mergeCell ref="DFL171:DFT171"/>
    <mergeCell ref="DFU171:DGC171"/>
    <mergeCell ref="DGD171:DGL171"/>
    <mergeCell ref="DGM171:DGU171"/>
    <mergeCell ref="DGV171:DHD171"/>
    <mergeCell ref="DAY171:DBG171"/>
    <mergeCell ref="DBH171:DBP171"/>
    <mergeCell ref="DBQ171:DBY171"/>
    <mergeCell ref="DBZ171:DCH171"/>
    <mergeCell ref="DCI171:DCQ171"/>
    <mergeCell ref="DCR171:DCZ171"/>
    <mergeCell ref="DDA171:DDI171"/>
    <mergeCell ref="DDJ171:DDR171"/>
    <mergeCell ref="DDS171:DEA171"/>
    <mergeCell ref="CXV171:CYD171"/>
    <mergeCell ref="CYE171:CYM171"/>
    <mergeCell ref="CYN171:CYV171"/>
    <mergeCell ref="CYW171:CZE171"/>
    <mergeCell ref="CZF171:CZN171"/>
    <mergeCell ref="CZO171:CZW171"/>
    <mergeCell ref="CZX171:DAF171"/>
    <mergeCell ref="DAG171:DAO171"/>
    <mergeCell ref="DAP171:DAX171"/>
    <mergeCell ref="CUS171:CVA171"/>
    <mergeCell ref="CVB171:CVJ171"/>
    <mergeCell ref="CVK171:CVS171"/>
    <mergeCell ref="CVT171:CWB171"/>
    <mergeCell ref="CWC171:CWK171"/>
    <mergeCell ref="CWL171:CWT171"/>
    <mergeCell ref="CWU171:CXC171"/>
    <mergeCell ref="CXD171:CXL171"/>
    <mergeCell ref="CXM171:CXU171"/>
    <mergeCell ref="CRP171:CRX171"/>
    <mergeCell ref="CRY171:CSG171"/>
    <mergeCell ref="CSH171:CSP171"/>
    <mergeCell ref="CSQ171:CSY171"/>
    <mergeCell ref="CSZ171:CTH171"/>
    <mergeCell ref="CTI171:CTQ171"/>
    <mergeCell ref="CTR171:CTZ171"/>
    <mergeCell ref="CUA171:CUI171"/>
    <mergeCell ref="CUJ171:CUR171"/>
    <mergeCell ref="COM171:COU171"/>
    <mergeCell ref="COV171:CPD171"/>
    <mergeCell ref="CPE171:CPM171"/>
    <mergeCell ref="CPN171:CPV171"/>
    <mergeCell ref="CPW171:CQE171"/>
    <mergeCell ref="CQF171:CQN171"/>
    <mergeCell ref="CQO171:CQW171"/>
    <mergeCell ref="CQX171:CRF171"/>
    <mergeCell ref="CRG171:CRO171"/>
    <mergeCell ref="CLJ171:CLR171"/>
    <mergeCell ref="CLS171:CMA171"/>
    <mergeCell ref="CMB171:CMJ171"/>
    <mergeCell ref="CMK171:CMS171"/>
    <mergeCell ref="CMT171:CNB171"/>
    <mergeCell ref="CNC171:CNK171"/>
    <mergeCell ref="CNL171:CNT171"/>
    <mergeCell ref="CNU171:COC171"/>
    <mergeCell ref="COD171:COL171"/>
    <mergeCell ref="CIG171:CIO171"/>
    <mergeCell ref="CIP171:CIX171"/>
    <mergeCell ref="CIY171:CJG171"/>
    <mergeCell ref="CJH171:CJP171"/>
    <mergeCell ref="CJQ171:CJY171"/>
    <mergeCell ref="CJZ171:CKH171"/>
    <mergeCell ref="CKI171:CKQ171"/>
    <mergeCell ref="CKR171:CKZ171"/>
    <mergeCell ref="CLA171:CLI171"/>
    <mergeCell ref="CFD171:CFL171"/>
    <mergeCell ref="CFM171:CFU171"/>
    <mergeCell ref="CFV171:CGD171"/>
    <mergeCell ref="CGE171:CGM171"/>
    <mergeCell ref="CGN171:CGV171"/>
    <mergeCell ref="CGW171:CHE171"/>
    <mergeCell ref="CHF171:CHN171"/>
    <mergeCell ref="CHO171:CHW171"/>
    <mergeCell ref="CHX171:CIF171"/>
    <mergeCell ref="CCA171:CCI171"/>
    <mergeCell ref="CCJ171:CCR171"/>
    <mergeCell ref="CCS171:CDA171"/>
    <mergeCell ref="CDB171:CDJ171"/>
    <mergeCell ref="CDK171:CDS171"/>
    <mergeCell ref="CDT171:CEB171"/>
    <mergeCell ref="CEC171:CEK171"/>
    <mergeCell ref="CEL171:CET171"/>
    <mergeCell ref="CEU171:CFC171"/>
    <mergeCell ref="BYX171:BZF171"/>
    <mergeCell ref="BZG171:BZO171"/>
    <mergeCell ref="BZP171:BZX171"/>
    <mergeCell ref="BZY171:CAG171"/>
    <mergeCell ref="CAH171:CAP171"/>
    <mergeCell ref="CAQ171:CAY171"/>
    <mergeCell ref="CAZ171:CBH171"/>
    <mergeCell ref="CBI171:CBQ171"/>
    <mergeCell ref="CBR171:CBZ171"/>
    <mergeCell ref="BVU171:BWC171"/>
    <mergeCell ref="BWD171:BWL171"/>
    <mergeCell ref="BWM171:BWU171"/>
    <mergeCell ref="BWV171:BXD171"/>
    <mergeCell ref="BXE171:BXM171"/>
    <mergeCell ref="BXN171:BXV171"/>
    <mergeCell ref="BXW171:BYE171"/>
    <mergeCell ref="BYF171:BYN171"/>
    <mergeCell ref="BYO171:BYW171"/>
    <mergeCell ref="BSR171:BSZ171"/>
    <mergeCell ref="BTA171:BTI171"/>
    <mergeCell ref="BTJ171:BTR171"/>
    <mergeCell ref="BTS171:BUA171"/>
    <mergeCell ref="BUB171:BUJ171"/>
    <mergeCell ref="BUK171:BUS171"/>
    <mergeCell ref="BUT171:BVB171"/>
    <mergeCell ref="BVC171:BVK171"/>
    <mergeCell ref="BVL171:BVT171"/>
    <mergeCell ref="BPO171:BPW171"/>
    <mergeCell ref="BPX171:BQF171"/>
    <mergeCell ref="BQG171:BQO171"/>
    <mergeCell ref="BQP171:BQX171"/>
    <mergeCell ref="BQY171:BRG171"/>
    <mergeCell ref="BRH171:BRP171"/>
    <mergeCell ref="BRQ171:BRY171"/>
    <mergeCell ref="BRZ171:BSH171"/>
    <mergeCell ref="BSI171:BSQ171"/>
    <mergeCell ref="BML171:BMT171"/>
    <mergeCell ref="BMU171:BNC171"/>
    <mergeCell ref="BND171:BNL171"/>
    <mergeCell ref="BNM171:BNU171"/>
    <mergeCell ref="BNV171:BOD171"/>
    <mergeCell ref="BOE171:BOM171"/>
    <mergeCell ref="BON171:BOV171"/>
    <mergeCell ref="BOW171:BPE171"/>
    <mergeCell ref="BPF171:BPN171"/>
    <mergeCell ref="BJI171:BJQ171"/>
    <mergeCell ref="BJR171:BJZ171"/>
    <mergeCell ref="BKA171:BKI171"/>
    <mergeCell ref="BKJ171:BKR171"/>
    <mergeCell ref="BKS171:BLA171"/>
    <mergeCell ref="BLB171:BLJ171"/>
    <mergeCell ref="BLK171:BLS171"/>
    <mergeCell ref="BLT171:BMB171"/>
    <mergeCell ref="BMC171:BMK171"/>
    <mergeCell ref="BGF171:BGN171"/>
    <mergeCell ref="BGO171:BGW171"/>
    <mergeCell ref="BGX171:BHF171"/>
    <mergeCell ref="BHG171:BHO171"/>
    <mergeCell ref="BHP171:BHX171"/>
    <mergeCell ref="BHY171:BIG171"/>
    <mergeCell ref="BIH171:BIP171"/>
    <mergeCell ref="BIQ171:BIY171"/>
    <mergeCell ref="BIZ171:BJH171"/>
    <mergeCell ref="BDC171:BDK171"/>
    <mergeCell ref="BDL171:BDT171"/>
    <mergeCell ref="BDU171:BEC171"/>
    <mergeCell ref="BED171:BEL171"/>
    <mergeCell ref="BEM171:BEU171"/>
    <mergeCell ref="BEV171:BFD171"/>
    <mergeCell ref="BFE171:BFM171"/>
    <mergeCell ref="BFN171:BFV171"/>
    <mergeCell ref="BFW171:BGE171"/>
    <mergeCell ref="AZZ171:BAH171"/>
    <mergeCell ref="BAI171:BAQ171"/>
    <mergeCell ref="BAR171:BAZ171"/>
    <mergeCell ref="BBA171:BBI171"/>
    <mergeCell ref="BBJ171:BBR171"/>
    <mergeCell ref="BBS171:BCA171"/>
    <mergeCell ref="BCB171:BCJ171"/>
    <mergeCell ref="BCK171:BCS171"/>
    <mergeCell ref="BCT171:BDB171"/>
    <mergeCell ref="AWW171:AXE171"/>
    <mergeCell ref="AXF171:AXN171"/>
    <mergeCell ref="AXO171:AXW171"/>
    <mergeCell ref="AXX171:AYF171"/>
    <mergeCell ref="AYG171:AYO171"/>
    <mergeCell ref="AYP171:AYX171"/>
    <mergeCell ref="AYY171:AZG171"/>
    <mergeCell ref="AZH171:AZP171"/>
    <mergeCell ref="AZQ171:AZY171"/>
    <mergeCell ref="ATT171:AUB171"/>
    <mergeCell ref="AUC171:AUK171"/>
    <mergeCell ref="AUL171:AUT171"/>
    <mergeCell ref="AUU171:AVC171"/>
    <mergeCell ref="AVD171:AVL171"/>
    <mergeCell ref="AVM171:AVU171"/>
    <mergeCell ref="AVV171:AWD171"/>
    <mergeCell ref="AWE171:AWM171"/>
    <mergeCell ref="AWN171:AWV171"/>
    <mergeCell ref="AQQ171:AQY171"/>
    <mergeCell ref="AQZ171:ARH171"/>
    <mergeCell ref="ARI171:ARQ171"/>
    <mergeCell ref="ARR171:ARZ171"/>
    <mergeCell ref="ASA171:ASI171"/>
    <mergeCell ref="ASJ171:ASR171"/>
    <mergeCell ref="ASS171:ATA171"/>
    <mergeCell ref="ATB171:ATJ171"/>
    <mergeCell ref="ATK171:ATS171"/>
    <mergeCell ref="ANN171:ANV171"/>
    <mergeCell ref="ANW171:AOE171"/>
    <mergeCell ref="AOF171:AON171"/>
    <mergeCell ref="AOO171:AOW171"/>
    <mergeCell ref="AOX171:APF171"/>
    <mergeCell ref="APG171:APO171"/>
    <mergeCell ref="APP171:APX171"/>
    <mergeCell ref="APY171:AQG171"/>
    <mergeCell ref="AQH171:AQP171"/>
    <mergeCell ref="AKK171:AKS171"/>
    <mergeCell ref="AKT171:ALB171"/>
    <mergeCell ref="ALC171:ALK171"/>
    <mergeCell ref="ALL171:ALT171"/>
    <mergeCell ref="ALU171:AMC171"/>
    <mergeCell ref="AMD171:AML171"/>
    <mergeCell ref="AMM171:AMU171"/>
    <mergeCell ref="AMV171:AND171"/>
    <mergeCell ref="ANE171:ANM171"/>
    <mergeCell ref="AHH171:AHP171"/>
    <mergeCell ref="AHQ171:AHY171"/>
    <mergeCell ref="AHZ171:AIH171"/>
    <mergeCell ref="AII171:AIQ171"/>
    <mergeCell ref="AIR171:AIZ171"/>
    <mergeCell ref="AJA171:AJI171"/>
    <mergeCell ref="AJJ171:AJR171"/>
    <mergeCell ref="AJS171:AKA171"/>
    <mergeCell ref="AKB171:AKJ171"/>
    <mergeCell ref="AEE171:AEM171"/>
    <mergeCell ref="AEN171:AEV171"/>
    <mergeCell ref="AEW171:AFE171"/>
    <mergeCell ref="AFF171:AFN171"/>
    <mergeCell ref="AFO171:AFW171"/>
    <mergeCell ref="AFX171:AGF171"/>
    <mergeCell ref="AGG171:AGO171"/>
    <mergeCell ref="AGP171:AGX171"/>
    <mergeCell ref="AGY171:AHG171"/>
    <mergeCell ref="ABB171:ABJ171"/>
    <mergeCell ref="ABK171:ABS171"/>
    <mergeCell ref="ABT171:ACB171"/>
    <mergeCell ref="ACC171:ACK171"/>
    <mergeCell ref="ACL171:ACT171"/>
    <mergeCell ref="ACU171:ADC171"/>
    <mergeCell ref="ADD171:ADL171"/>
    <mergeCell ref="ADM171:ADU171"/>
    <mergeCell ref="ADV171:AED171"/>
    <mergeCell ref="XY171:YG171"/>
    <mergeCell ref="YH171:YP171"/>
    <mergeCell ref="YQ171:YY171"/>
    <mergeCell ref="YZ171:ZH171"/>
    <mergeCell ref="ZI171:ZQ171"/>
    <mergeCell ref="ZR171:ZZ171"/>
    <mergeCell ref="AAA171:AAI171"/>
    <mergeCell ref="AAJ171:AAR171"/>
    <mergeCell ref="AAS171:ABA171"/>
    <mergeCell ref="UV171:VD171"/>
    <mergeCell ref="VE171:VM171"/>
    <mergeCell ref="VN171:VV171"/>
    <mergeCell ref="VW171:WE171"/>
    <mergeCell ref="WF171:WN171"/>
    <mergeCell ref="WO171:WW171"/>
    <mergeCell ref="WX171:XF171"/>
    <mergeCell ref="XG171:XO171"/>
    <mergeCell ref="XP171:XX171"/>
    <mergeCell ref="RS171:SA171"/>
    <mergeCell ref="SB171:SJ171"/>
    <mergeCell ref="SK171:SS171"/>
    <mergeCell ref="ST171:TB171"/>
    <mergeCell ref="TC171:TK171"/>
    <mergeCell ref="TL171:TT171"/>
    <mergeCell ref="TU171:UC171"/>
    <mergeCell ref="UD171:UL171"/>
    <mergeCell ref="UM171:UU171"/>
    <mergeCell ref="OP171:OX171"/>
    <mergeCell ref="OY171:PG171"/>
    <mergeCell ref="PH171:PP171"/>
    <mergeCell ref="PQ171:PY171"/>
    <mergeCell ref="PZ171:QH171"/>
    <mergeCell ref="QI171:QQ171"/>
    <mergeCell ref="QR171:QZ171"/>
    <mergeCell ref="RA171:RI171"/>
    <mergeCell ref="RJ171:RR171"/>
    <mergeCell ref="LM171:LU171"/>
    <mergeCell ref="LV171:MD171"/>
    <mergeCell ref="ME171:MM171"/>
    <mergeCell ref="MN171:MV171"/>
    <mergeCell ref="MW171:NE171"/>
    <mergeCell ref="NF171:NN171"/>
    <mergeCell ref="NO171:NW171"/>
    <mergeCell ref="NX171:OF171"/>
    <mergeCell ref="OG171:OO171"/>
    <mergeCell ref="IJ171:IR171"/>
    <mergeCell ref="IS171:JA171"/>
    <mergeCell ref="JB171:JJ171"/>
    <mergeCell ref="JK171:JS171"/>
    <mergeCell ref="JT171:KB171"/>
    <mergeCell ref="KC171:KK171"/>
    <mergeCell ref="KL171:KT171"/>
    <mergeCell ref="KU171:LC171"/>
    <mergeCell ref="LD171:LL171"/>
    <mergeCell ref="FG171:FO171"/>
    <mergeCell ref="FP171:FX171"/>
    <mergeCell ref="FY171:GG171"/>
    <mergeCell ref="GH171:GP171"/>
    <mergeCell ref="GQ171:GY171"/>
    <mergeCell ref="GZ171:HH171"/>
    <mergeCell ref="HI171:HQ171"/>
    <mergeCell ref="HR171:HZ171"/>
    <mergeCell ref="IA171:II171"/>
    <mergeCell ref="XCY94:XDG94"/>
    <mergeCell ref="XDH94:XDP94"/>
    <mergeCell ref="XDQ94:XDY94"/>
    <mergeCell ref="XDZ94:XEH94"/>
    <mergeCell ref="XEI94:XEQ94"/>
    <mergeCell ref="XER94:XEZ94"/>
    <mergeCell ref="XFA94:XFD94"/>
    <mergeCell ref="J171:R171"/>
    <mergeCell ref="S171:AA171"/>
    <mergeCell ref="AB171:AJ171"/>
    <mergeCell ref="AK171:AS171"/>
    <mergeCell ref="AT171:BB171"/>
    <mergeCell ref="BC171:BK171"/>
    <mergeCell ref="BL171:BT171"/>
    <mergeCell ref="BU171:CC171"/>
    <mergeCell ref="CD171:CL171"/>
    <mergeCell ref="CM171:CU171"/>
    <mergeCell ref="CV171:DD171"/>
    <mergeCell ref="DE171:DM171"/>
    <mergeCell ref="DN171:DV171"/>
    <mergeCell ref="DW171:EE171"/>
    <mergeCell ref="EF171:EN171"/>
    <mergeCell ref="EO171:EW171"/>
    <mergeCell ref="EX171:FF171"/>
    <mergeCell ref="WZV94:XAD94"/>
    <mergeCell ref="XAE94:XAM94"/>
    <mergeCell ref="XAN94:XAV94"/>
    <mergeCell ref="XAW94:XBE94"/>
    <mergeCell ref="XBF94:XBN94"/>
    <mergeCell ref="XBO94:XBW94"/>
    <mergeCell ref="XBX94:XCF94"/>
    <mergeCell ref="XCG94:XCO94"/>
    <mergeCell ref="XCP94:XCX94"/>
    <mergeCell ref="WWS94:WXA94"/>
    <mergeCell ref="WXB94:WXJ94"/>
    <mergeCell ref="WXK94:WXS94"/>
    <mergeCell ref="WXT94:WYB94"/>
    <mergeCell ref="WYC94:WYK94"/>
    <mergeCell ref="WYL94:WYT94"/>
    <mergeCell ref="WYU94:WZC94"/>
    <mergeCell ref="WZD94:WZL94"/>
    <mergeCell ref="WZM94:WZU94"/>
    <mergeCell ref="WTP94:WTX94"/>
    <mergeCell ref="WTY94:WUG94"/>
    <mergeCell ref="WUH94:WUP94"/>
    <mergeCell ref="WUQ94:WUY94"/>
    <mergeCell ref="WUZ94:WVH94"/>
    <mergeCell ref="WVI94:WVQ94"/>
    <mergeCell ref="WVR94:WVZ94"/>
    <mergeCell ref="WWA94:WWI94"/>
    <mergeCell ref="WWJ94:WWR94"/>
    <mergeCell ref="WQM94:WQU94"/>
    <mergeCell ref="WQV94:WRD94"/>
    <mergeCell ref="WRE94:WRM94"/>
    <mergeCell ref="WRN94:WRV94"/>
    <mergeCell ref="WRW94:WSE94"/>
    <mergeCell ref="WSF94:WSN94"/>
    <mergeCell ref="WSO94:WSW94"/>
    <mergeCell ref="WSX94:WTF94"/>
    <mergeCell ref="WTG94:WTO94"/>
    <mergeCell ref="WNJ94:WNR94"/>
    <mergeCell ref="WNS94:WOA94"/>
    <mergeCell ref="WOB94:WOJ94"/>
    <mergeCell ref="WOK94:WOS94"/>
    <mergeCell ref="WOT94:WPB94"/>
    <mergeCell ref="WPC94:WPK94"/>
    <mergeCell ref="WPL94:WPT94"/>
    <mergeCell ref="WPU94:WQC94"/>
    <mergeCell ref="WQD94:WQL94"/>
    <mergeCell ref="WKG94:WKO94"/>
    <mergeCell ref="WKP94:WKX94"/>
    <mergeCell ref="WKY94:WLG94"/>
    <mergeCell ref="WLH94:WLP94"/>
    <mergeCell ref="WLQ94:WLY94"/>
    <mergeCell ref="WLZ94:WMH94"/>
    <mergeCell ref="WMI94:WMQ94"/>
    <mergeCell ref="WMR94:WMZ94"/>
    <mergeCell ref="WNA94:WNI94"/>
    <mergeCell ref="WHD94:WHL94"/>
    <mergeCell ref="WHM94:WHU94"/>
    <mergeCell ref="WHV94:WID94"/>
    <mergeCell ref="WIE94:WIM94"/>
    <mergeCell ref="WIN94:WIV94"/>
    <mergeCell ref="WIW94:WJE94"/>
    <mergeCell ref="WJF94:WJN94"/>
    <mergeCell ref="WJO94:WJW94"/>
    <mergeCell ref="WJX94:WKF94"/>
    <mergeCell ref="WEA94:WEI94"/>
    <mergeCell ref="WEJ94:WER94"/>
    <mergeCell ref="WES94:WFA94"/>
    <mergeCell ref="WFB94:WFJ94"/>
    <mergeCell ref="WFK94:WFS94"/>
    <mergeCell ref="WFT94:WGB94"/>
    <mergeCell ref="WGC94:WGK94"/>
    <mergeCell ref="WGL94:WGT94"/>
    <mergeCell ref="WGU94:WHC94"/>
    <mergeCell ref="WAX94:WBF94"/>
    <mergeCell ref="WBG94:WBO94"/>
    <mergeCell ref="WBP94:WBX94"/>
    <mergeCell ref="WBY94:WCG94"/>
    <mergeCell ref="WCH94:WCP94"/>
    <mergeCell ref="WCQ94:WCY94"/>
    <mergeCell ref="WCZ94:WDH94"/>
    <mergeCell ref="WDI94:WDQ94"/>
    <mergeCell ref="WDR94:WDZ94"/>
    <mergeCell ref="VXU94:VYC94"/>
    <mergeCell ref="VYD94:VYL94"/>
    <mergeCell ref="VYM94:VYU94"/>
    <mergeCell ref="VYV94:VZD94"/>
    <mergeCell ref="VZE94:VZM94"/>
    <mergeCell ref="VZN94:VZV94"/>
    <mergeCell ref="VZW94:WAE94"/>
    <mergeCell ref="WAF94:WAN94"/>
    <mergeCell ref="WAO94:WAW94"/>
    <mergeCell ref="VUR94:VUZ94"/>
    <mergeCell ref="VVA94:VVI94"/>
    <mergeCell ref="VVJ94:VVR94"/>
    <mergeCell ref="VVS94:VWA94"/>
    <mergeCell ref="VWB94:VWJ94"/>
    <mergeCell ref="VWK94:VWS94"/>
    <mergeCell ref="VWT94:VXB94"/>
    <mergeCell ref="VXC94:VXK94"/>
    <mergeCell ref="VXL94:VXT94"/>
    <mergeCell ref="VRO94:VRW94"/>
    <mergeCell ref="VRX94:VSF94"/>
    <mergeCell ref="VSG94:VSO94"/>
    <mergeCell ref="VSP94:VSX94"/>
    <mergeCell ref="VSY94:VTG94"/>
    <mergeCell ref="VTH94:VTP94"/>
    <mergeCell ref="VTQ94:VTY94"/>
    <mergeCell ref="VTZ94:VUH94"/>
    <mergeCell ref="VUI94:VUQ94"/>
    <mergeCell ref="VOL94:VOT94"/>
    <mergeCell ref="VOU94:VPC94"/>
    <mergeCell ref="VPD94:VPL94"/>
    <mergeCell ref="VPM94:VPU94"/>
    <mergeCell ref="VPV94:VQD94"/>
    <mergeCell ref="VQE94:VQM94"/>
    <mergeCell ref="VQN94:VQV94"/>
    <mergeCell ref="VQW94:VRE94"/>
    <mergeCell ref="VRF94:VRN94"/>
    <mergeCell ref="VLI94:VLQ94"/>
    <mergeCell ref="VLR94:VLZ94"/>
    <mergeCell ref="VMA94:VMI94"/>
    <mergeCell ref="VMJ94:VMR94"/>
    <mergeCell ref="VMS94:VNA94"/>
    <mergeCell ref="VNB94:VNJ94"/>
    <mergeCell ref="VNK94:VNS94"/>
    <mergeCell ref="VNT94:VOB94"/>
    <mergeCell ref="VOC94:VOK94"/>
    <mergeCell ref="VIF94:VIN94"/>
    <mergeCell ref="VIO94:VIW94"/>
    <mergeCell ref="VIX94:VJF94"/>
    <mergeCell ref="VJG94:VJO94"/>
    <mergeCell ref="VJP94:VJX94"/>
    <mergeCell ref="VJY94:VKG94"/>
    <mergeCell ref="VKH94:VKP94"/>
    <mergeCell ref="VKQ94:VKY94"/>
    <mergeCell ref="VKZ94:VLH94"/>
    <mergeCell ref="VFC94:VFK94"/>
    <mergeCell ref="VFL94:VFT94"/>
    <mergeCell ref="VFU94:VGC94"/>
    <mergeCell ref="VGD94:VGL94"/>
    <mergeCell ref="VGM94:VGU94"/>
    <mergeCell ref="VGV94:VHD94"/>
    <mergeCell ref="VHE94:VHM94"/>
    <mergeCell ref="VHN94:VHV94"/>
    <mergeCell ref="VHW94:VIE94"/>
    <mergeCell ref="VBZ94:VCH94"/>
    <mergeCell ref="VCI94:VCQ94"/>
    <mergeCell ref="VCR94:VCZ94"/>
    <mergeCell ref="VDA94:VDI94"/>
    <mergeCell ref="VDJ94:VDR94"/>
    <mergeCell ref="VDS94:VEA94"/>
    <mergeCell ref="VEB94:VEJ94"/>
    <mergeCell ref="VEK94:VES94"/>
    <mergeCell ref="VET94:VFB94"/>
    <mergeCell ref="UYW94:UZE94"/>
    <mergeCell ref="UZF94:UZN94"/>
    <mergeCell ref="UZO94:UZW94"/>
    <mergeCell ref="UZX94:VAF94"/>
    <mergeCell ref="VAG94:VAO94"/>
    <mergeCell ref="VAP94:VAX94"/>
    <mergeCell ref="VAY94:VBG94"/>
    <mergeCell ref="VBH94:VBP94"/>
    <mergeCell ref="VBQ94:VBY94"/>
    <mergeCell ref="UVT94:UWB94"/>
    <mergeCell ref="UWC94:UWK94"/>
    <mergeCell ref="UWL94:UWT94"/>
    <mergeCell ref="UWU94:UXC94"/>
    <mergeCell ref="UXD94:UXL94"/>
    <mergeCell ref="UXM94:UXU94"/>
    <mergeCell ref="UXV94:UYD94"/>
    <mergeCell ref="UYE94:UYM94"/>
    <mergeCell ref="UYN94:UYV94"/>
    <mergeCell ref="USQ94:USY94"/>
    <mergeCell ref="USZ94:UTH94"/>
    <mergeCell ref="UTI94:UTQ94"/>
    <mergeCell ref="UTR94:UTZ94"/>
    <mergeCell ref="UUA94:UUI94"/>
    <mergeCell ref="UUJ94:UUR94"/>
    <mergeCell ref="UUS94:UVA94"/>
    <mergeCell ref="UVB94:UVJ94"/>
    <mergeCell ref="UVK94:UVS94"/>
    <mergeCell ref="UPN94:UPV94"/>
    <mergeCell ref="UPW94:UQE94"/>
    <mergeCell ref="UQF94:UQN94"/>
    <mergeCell ref="UQO94:UQW94"/>
    <mergeCell ref="UQX94:URF94"/>
    <mergeCell ref="URG94:URO94"/>
    <mergeCell ref="URP94:URX94"/>
    <mergeCell ref="URY94:USG94"/>
    <mergeCell ref="USH94:USP94"/>
    <mergeCell ref="UMK94:UMS94"/>
    <mergeCell ref="UMT94:UNB94"/>
    <mergeCell ref="UNC94:UNK94"/>
    <mergeCell ref="UNL94:UNT94"/>
    <mergeCell ref="UNU94:UOC94"/>
    <mergeCell ref="UOD94:UOL94"/>
    <mergeCell ref="UOM94:UOU94"/>
    <mergeCell ref="UOV94:UPD94"/>
    <mergeCell ref="UPE94:UPM94"/>
    <mergeCell ref="UJH94:UJP94"/>
    <mergeCell ref="UJQ94:UJY94"/>
    <mergeCell ref="UJZ94:UKH94"/>
    <mergeCell ref="UKI94:UKQ94"/>
    <mergeCell ref="UKR94:UKZ94"/>
    <mergeCell ref="ULA94:ULI94"/>
    <mergeCell ref="ULJ94:ULR94"/>
    <mergeCell ref="ULS94:UMA94"/>
    <mergeCell ref="UMB94:UMJ94"/>
    <mergeCell ref="UGE94:UGM94"/>
    <mergeCell ref="UGN94:UGV94"/>
    <mergeCell ref="UGW94:UHE94"/>
    <mergeCell ref="UHF94:UHN94"/>
    <mergeCell ref="UHO94:UHW94"/>
    <mergeCell ref="UHX94:UIF94"/>
    <mergeCell ref="UIG94:UIO94"/>
    <mergeCell ref="UIP94:UIX94"/>
    <mergeCell ref="UIY94:UJG94"/>
    <mergeCell ref="UDB94:UDJ94"/>
    <mergeCell ref="UDK94:UDS94"/>
    <mergeCell ref="UDT94:UEB94"/>
    <mergeCell ref="UEC94:UEK94"/>
    <mergeCell ref="UEL94:UET94"/>
    <mergeCell ref="UEU94:UFC94"/>
    <mergeCell ref="UFD94:UFL94"/>
    <mergeCell ref="UFM94:UFU94"/>
    <mergeCell ref="UFV94:UGD94"/>
    <mergeCell ref="TZY94:UAG94"/>
    <mergeCell ref="UAH94:UAP94"/>
    <mergeCell ref="UAQ94:UAY94"/>
    <mergeCell ref="UAZ94:UBH94"/>
    <mergeCell ref="UBI94:UBQ94"/>
    <mergeCell ref="UBR94:UBZ94"/>
    <mergeCell ref="UCA94:UCI94"/>
    <mergeCell ref="UCJ94:UCR94"/>
    <mergeCell ref="UCS94:UDA94"/>
    <mergeCell ref="TWV94:TXD94"/>
    <mergeCell ref="TXE94:TXM94"/>
    <mergeCell ref="TXN94:TXV94"/>
    <mergeCell ref="TXW94:TYE94"/>
    <mergeCell ref="TYF94:TYN94"/>
    <mergeCell ref="TYO94:TYW94"/>
    <mergeCell ref="TYX94:TZF94"/>
    <mergeCell ref="TZG94:TZO94"/>
    <mergeCell ref="TZP94:TZX94"/>
    <mergeCell ref="TTS94:TUA94"/>
    <mergeCell ref="TUB94:TUJ94"/>
    <mergeCell ref="TUK94:TUS94"/>
    <mergeCell ref="TUT94:TVB94"/>
    <mergeCell ref="TVC94:TVK94"/>
    <mergeCell ref="TVL94:TVT94"/>
    <mergeCell ref="TVU94:TWC94"/>
    <mergeCell ref="TWD94:TWL94"/>
    <mergeCell ref="TWM94:TWU94"/>
    <mergeCell ref="TQP94:TQX94"/>
    <mergeCell ref="TQY94:TRG94"/>
    <mergeCell ref="TRH94:TRP94"/>
    <mergeCell ref="TRQ94:TRY94"/>
    <mergeCell ref="TRZ94:TSH94"/>
    <mergeCell ref="TSI94:TSQ94"/>
    <mergeCell ref="TSR94:TSZ94"/>
    <mergeCell ref="TTA94:TTI94"/>
    <mergeCell ref="TTJ94:TTR94"/>
    <mergeCell ref="TNM94:TNU94"/>
    <mergeCell ref="TNV94:TOD94"/>
    <mergeCell ref="TOE94:TOM94"/>
    <mergeCell ref="TON94:TOV94"/>
    <mergeCell ref="TOW94:TPE94"/>
    <mergeCell ref="TPF94:TPN94"/>
    <mergeCell ref="TPO94:TPW94"/>
    <mergeCell ref="TPX94:TQF94"/>
    <mergeCell ref="TQG94:TQO94"/>
    <mergeCell ref="TKJ94:TKR94"/>
    <mergeCell ref="TKS94:TLA94"/>
    <mergeCell ref="TLB94:TLJ94"/>
    <mergeCell ref="TLK94:TLS94"/>
    <mergeCell ref="TLT94:TMB94"/>
    <mergeCell ref="TMC94:TMK94"/>
    <mergeCell ref="TML94:TMT94"/>
    <mergeCell ref="TMU94:TNC94"/>
    <mergeCell ref="TND94:TNL94"/>
    <mergeCell ref="THG94:THO94"/>
    <mergeCell ref="THP94:THX94"/>
    <mergeCell ref="THY94:TIG94"/>
    <mergeCell ref="TIH94:TIP94"/>
    <mergeCell ref="TIQ94:TIY94"/>
    <mergeCell ref="TIZ94:TJH94"/>
    <mergeCell ref="TJI94:TJQ94"/>
    <mergeCell ref="TJR94:TJZ94"/>
    <mergeCell ref="TKA94:TKI94"/>
    <mergeCell ref="TED94:TEL94"/>
    <mergeCell ref="TEM94:TEU94"/>
    <mergeCell ref="TEV94:TFD94"/>
    <mergeCell ref="TFE94:TFM94"/>
    <mergeCell ref="TFN94:TFV94"/>
    <mergeCell ref="TFW94:TGE94"/>
    <mergeCell ref="TGF94:TGN94"/>
    <mergeCell ref="TGO94:TGW94"/>
    <mergeCell ref="TGX94:THF94"/>
    <mergeCell ref="TBA94:TBI94"/>
    <mergeCell ref="TBJ94:TBR94"/>
    <mergeCell ref="TBS94:TCA94"/>
    <mergeCell ref="TCB94:TCJ94"/>
    <mergeCell ref="TCK94:TCS94"/>
    <mergeCell ref="TCT94:TDB94"/>
    <mergeCell ref="TDC94:TDK94"/>
    <mergeCell ref="TDL94:TDT94"/>
    <mergeCell ref="TDU94:TEC94"/>
    <mergeCell ref="SXX94:SYF94"/>
    <mergeCell ref="SYG94:SYO94"/>
    <mergeCell ref="SYP94:SYX94"/>
    <mergeCell ref="SYY94:SZG94"/>
    <mergeCell ref="SZH94:SZP94"/>
    <mergeCell ref="SZQ94:SZY94"/>
    <mergeCell ref="SZZ94:TAH94"/>
    <mergeCell ref="TAI94:TAQ94"/>
    <mergeCell ref="TAR94:TAZ94"/>
    <mergeCell ref="SUU94:SVC94"/>
    <mergeCell ref="SVD94:SVL94"/>
    <mergeCell ref="SVM94:SVU94"/>
    <mergeCell ref="SVV94:SWD94"/>
    <mergeCell ref="SWE94:SWM94"/>
    <mergeCell ref="SWN94:SWV94"/>
    <mergeCell ref="SWW94:SXE94"/>
    <mergeCell ref="SXF94:SXN94"/>
    <mergeCell ref="SXO94:SXW94"/>
    <mergeCell ref="SRR94:SRZ94"/>
    <mergeCell ref="SSA94:SSI94"/>
    <mergeCell ref="SSJ94:SSR94"/>
    <mergeCell ref="SSS94:STA94"/>
    <mergeCell ref="STB94:STJ94"/>
    <mergeCell ref="STK94:STS94"/>
    <mergeCell ref="STT94:SUB94"/>
    <mergeCell ref="SUC94:SUK94"/>
    <mergeCell ref="SUL94:SUT94"/>
    <mergeCell ref="SOO94:SOW94"/>
    <mergeCell ref="SOX94:SPF94"/>
    <mergeCell ref="SPG94:SPO94"/>
    <mergeCell ref="SPP94:SPX94"/>
    <mergeCell ref="SPY94:SQG94"/>
    <mergeCell ref="SQH94:SQP94"/>
    <mergeCell ref="SQQ94:SQY94"/>
    <mergeCell ref="SQZ94:SRH94"/>
    <mergeCell ref="SRI94:SRQ94"/>
    <mergeCell ref="SLL94:SLT94"/>
    <mergeCell ref="SLU94:SMC94"/>
    <mergeCell ref="SMD94:SML94"/>
    <mergeCell ref="SMM94:SMU94"/>
    <mergeCell ref="SMV94:SND94"/>
    <mergeCell ref="SNE94:SNM94"/>
    <mergeCell ref="SNN94:SNV94"/>
    <mergeCell ref="SNW94:SOE94"/>
    <mergeCell ref="SOF94:SON94"/>
    <mergeCell ref="SII94:SIQ94"/>
    <mergeCell ref="SIR94:SIZ94"/>
    <mergeCell ref="SJA94:SJI94"/>
    <mergeCell ref="SJJ94:SJR94"/>
    <mergeCell ref="SJS94:SKA94"/>
    <mergeCell ref="SKB94:SKJ94"/>
    <mergeCell ref="SKK94:SKS94"/>
    <mergeCell ref="SKT94:SLB94"/>
    <mergeCell ref="SLC94:SLK94"/>
    <mergeCell ref="SFF94:SFN94"/>
    <mergeCell ref="SFO94:SFW94"/>
    <mergeCell ref="SFX94:SGF94"/>
    <mergeCell ref="SGG94:SGO94"/>
    <mergeCell ref="SGP94:SGX94"/>
    <mergeCell ref="SGY94:SHG94"/>
    <mergeCell ref="SHH94:SHP94"/>
    <mergeCell ref="SHQ94:SHY94"/>
    <mergeCell ref="SHZ94:SIH94"/>
    <mergeCell ref="SCC94:SCK94"/>
    <mergeCell ref="SCL94:SCT94"/>
    <mergeCell ref="SCU94:SDC94"/>
    <mergeCell ref="SDD94:SDL94"/>
    <mergeCell ref="SDM94:SDU94"/>
    <mergeCell ref="SDV94:SED94"/>
    <mergeCell ref="SEE94:SEM94"/>
    <mergeCell ref="SEN94:SEV94"/>
    <mergeCell ref="SEW94:SFE94"/>
    <mergeCell ref="RYZ94:RZH94"/>
    <mergeCell ref="RZI94:RZQ94"/>
    <mergeCell ref="RZR94:RZZ94"/>
    <mergeCell ref="SAA94:SAI94"/>
    <mergeCell ref="SAJ94:SAR94"/>
    <mergeCell ref="SAS94:SBA94"/>
    <mergeCell ref="SBB94:SBJ94"/>
    <mergeCell ref="SBK94:SBS94"/>
    <mergeCell ref="SBT94:SCB94"/>
    <mergeCell ref="RVW94:RWE94"/>
    <mergeCell ref="RWF94:RWN94"/>
    <mergeCell ref="RWO94:RWW94"/>
    <mergeCell ref="RWX94:RXF94"/>
    <mergeCell ref="RXG94:RXO94"/>
    <mergeCell ref="RXP94:RXX94"/>
    <mergeCell ref="RXY94:RYG94"/>
    <mergeCell ref="RYH94:RYP94"/>
    <mergeCell ref="RYQ94:RYY94"/>
    <mergeCell ref="RST94:RTB94"/>
    <mergeCell ref="RTC94:RTK94"/>
    <mergeCell ref="RTL94:RTT94"/>
    <mergeCell ref="RTU94:RUC94"/>
    <mergeCell ref="RUD94:RUL94"/>
    <mergeCell ref="RUM94:RUU94"/>
    <mergeCell ref="RUV94:RVD94"/>
    <mergeCell ref="RVE94:RVM94"/>
    <mergeCell ref="RVN94:RVV94"/>
    <mergeCell ref="RPQ94:RPY94"/>
    <mergeCell ref="RPZ94:RQH94"/>
    <mergeCell ref="RQI94:RQQ94"/>
    <mergeCell ref="RQR94:RQZ94"/>
    <mergeCell ref="RRA94:RRI94"/>
    <mergeCell ref="RRJ94:RRR94"/>
    <mergeCell ref="RRS94:RSA94"/>
    <mergeCell ref="RSB94:RSJ94"/>
    <mergeCell ref="RSK94:RSS94"/>
    <mergeCell ref="RMN94:RMV94"/>
    <mergeCell ref="RMW94:RNE94"/>
    <mergeCell ref="RNF94:RNN94"/>
    <mergeCell ref="RNO94:RNW94"/>
    <mergeCell ref="RNX94:ROF94"/>
    <mergeCell ref="ROG94:ROO94"/>
    <mergeCell ref="ROP94:ROX94"/>
    <mergeCell ref="ROY94:RPG94"/>
    <mergeCell ref="RPH94:RPP94"/>
    <mergeCell ref="RJK94:RJS94"/>
    <mergeCell ref="RJT94:RKB94"/>
    <mergeCell ref="RKC94:RKK94"/>
    <mergeCell ref="RKL94:RKT94"/>
    <mergeCell ref="RKU94:RLC94"/>
    <mergeCell ref="RLD94:RLL94"/>
    <mergeCell ref="RLM94:RLU94"/>
    <mergeCell ref="RLV94:RMD94"/>
    <mergeCell ref="RME94:RMM94"/>
    <mergeCell ref="RGH94:RGP94"/>
    <mergeCell ref="RGQ94:RGY94"/>
    <mergeCell ref="RGZ94:RHH94"/>
    <mergeCell ref="RHI94:RHQ94"/>
    <mergeCell ref="RHR94:RHZ94"/>
    <mergeCell ref="RIA94:RII94"/>
    <mergeCell ref="RIJ94:RIR94"/>
    <mergeCell ref="RIS94:RJA94"/>
    <mergeCell ref="RJB94:RJJ94"/>
    <mergeCell ref="RDE94:RDM94"/>
    <mergeCell ref="RDN94:RDV94"/>
    <mergeCell ref="RDW94:REE94"/>
    <mergeCell ref="REF94:REN94"/>
    <mergeCell ref="REO94:REW94"/>
    <mergeCell ref="REX94:RFF94"/>
    <mergeCell ref="RFG94:RFO94"/>
    <mergeCell ref="RFP94:RFX94"/>
    <mergeCell ref="RFY94:RGG94"/>
    <mergeCell ref="RAB94:RAJ94"/>
    <mergeCell ref="RAK94:RAS94"/>
    <mergeCell ref="RAT94:RBB94"/>
    <mergeCell ref="RBC94:RBK94"/>
    <mergeCell ref="RBL94:RBT94"/>
    <mergeCell ref="RBU94:RCC94"/>
    <mergeCell ref="RCD94:RCL94"/>
    <mergeCell ref="RCM94:RCU94"/>
    <mergeCell ref="RCV94:RDD94"/>
    <mergeCell ref="QWY94:QXG94"/>
    <mergeCell ref="QXH94:QXP94"/>
    <mergeCell ref="QXQ94:QXY94"/>
    <mergeCell ref="QXZ94:QYH94"/>
    <mergeCell ref="QYI94:QYQ94"/>
    <mergeCell ref="QYR94:QYZ94"/>
    <mergeCell ref="QZA94:QZI94"/>
    <mergeCell ref="QZJ94:QZR94"/>
    <mergeCell ref="QZS94:RAA94"/>
    <mergeCell ref="QTV94:QUD94"/>
    <mergeCell ref="QUE94:QUM94"/>
    <mergeCell ref="QUN94:QUV94"/>
    <mergeCell ref="QUW94:QVE94"/>
    <mergeCell ref="QVF94:QVN94"/>
    <mergeCell ref="QVO94:QVW94"/>
    <mergeCell ref="QVX94:QWF94"/>
    <mergeCell ref="QWG94:QWO94"/>
    <mergeCell ref="QWP94:QWX94"/>
    <mergeCell ref="QQS94:QRA94"/>
    <mergeCell ref="QRB94:QRJ94"/>
    <mergeCell ref="QRK94:QRS94"/>
    <mergeCell ref="QRT94:QSB94"/>
    <mergeCell ref="QSC94:QSK94"/>
    <mergeCell ref="QSL94:QST94"/>
    <mergeCell ref="QSU94:QTC94"/>
    <mergeCell ref="QTD94:QTL94"/>
    <mergeCell ref="QTM94:QTU94"/>
    <mergeCell ref="QNP94:QNX94"/>
    <mergeCell ref="QNY94:QOG94"/>
    <mergeCell ref="QOH94:QOP94"/>
    <mergeCell ref="QOQ94:QOY94"/>
    <mergeCell ref="QOZ94:QPH94"/>
    <mergeCell ref="QPI94:QPQ94"/>
    <mergeCell ref="QPR94:QPZ94"/>
    <mergeCell ref="QQA94:QQI94"/>
    <mergeCell ref="QQJ94:QQR94"/>
    <mergeCell ref="QKM94:QKU94"/>
    <mergeCell ref="QKV94:QLD94"/>
    <mergeCell ref="QLE94:QLM94"/>
    <mergeCell ref="QLN94:QLV94"/>
    <mergeCell ref="QLW94:QME94"/>
    <mergeCell ref="QMF94:QMN94"/>
    <mergeCell ref="QMO94:QMW94"/>
    <mergeCell ref="QMX94:QNF94"/>
    <mergeCell ref="QNG94:QNO94"/>
    <mergeCell ref="QHJ94:QHR94"/>
    <mergeCell ref="QHS94:QIA94"/>
    <mergeCell ref="QIB94:QIJ94"/>
    <mergeCell ref="QIK94:QIS94"/>
    <mergeCell ref="QIT94:QJB94"/>
    <mergeCell ref="QJC94:QJK94"/>
    <mergeCell ref="QJL94:QJT94"/>
    <mergeCell ref="QJU94:QKC94"/>
    <mergeCell ref="QKD94:QKL94"/>
    <mergeCell ref="QEG94:QEO94"/>
    <mergeCell ref="QEP94:QEX94"/>
    <mergeCell ref="QEY94:QFG94"/>
    <mergeCell ref="QFH94:QFP94"/>
    <mergeCell ref="QFQ94:QFY94"/>
    <mergeCell ref="QFZ94:QGH94"/>
    <mergeCell ref="QGI94:QGQ94"/>
    <mergeCell ref="QGR94:QGZ94"/>
    <mergeCell ref="QHA94:QHI94"/>
    <mergeCell ref="QBD94:QBL94"/>
    <mergeCell ref="QBM94:QBU94"/>
    <mergeCell ref="QBV94:QCD94"/>
    <mergeCell ref="QCE94:QCM94"/>
    <mergeCell ref="QCN94:QCV94"/>
    <mergeCell ref="QCW94:QDE94"/>
    <mergeCell ref="QDF94:QDN94"/>
    <mergeCell ref="QDO94:QDW94"/>
    <mergeCell ref="QDX94:QEF94"/>
    <mergeCell ref="PYA94:PYI94"/>
    <mergeCell ref="PYJ94:PYR94"/>
    <mergeCell ref="PYS94:PZA94"/>
    <mergeCell ref="PZB94:PZJ94"/>
    <mergeCell ref="PZK94:PZS94"/>
    <mergeCell ref="PZT94:QAB94"/>
    <mergeCell ref="QAC94:QAK94"/>
    <mergeCell ref="QAL94:QAT94"/>
    <mergeCell ref="QAU94:QBC94"/>
    <mergeCell ref="PUX94:PVF94"/>
    <mergeCell ref="PVG94:PVO94"/>
    <mergeCell ref="PVP94:PVX94"/>
    <mergeCell ref="PVY94:PWG94"/>
    <mergeCell ref="PWH94:PWP94"/>
    <mergeCell ref="PWQ94:PWY94"/>
    <mergeCell ref="PWZ94:PXH94"/>
    <mergeCell ref="PXI94:PXQ94"/>
    <mergeCell ref="PXR94:PXZ94"/>
    <mergeCell ref="PRU94:PSC94"/>
    <mergeCell ref="PSD94:PSL94"/>
    <mergeCell ref="PSM94:PSU94"/>
    <mergeCell ref="PSV94:PTD94"/>
    <mergeCell ref="PTE94:PTM94"/>
    <mergeCell ref="PTN94:PTV94"/>
    <mergeCell ref="PTW94:PUE94"/>
    <mergeCell ref="PUF94:PUN94"/>
    <mergeCell ref="PUO94:PUW94"/>
    <mergeCell ref="POR94:POZ94"/>
    <mergeCell ref="PPA94:PPI94"/>
    <mergeCell ref="PPJ94:PPR94"/>
    <mergeCell ref="PPS94:PQA94"/>
    <mergeCell ref="PQB94:PQJ94"/>
    <mergeCell ref="PQK94:PQS94"/>
    <mergeCell ref="PQT94:PRB94"/>
    <mergeCell ref="PRC94:PRK94"/>
    <mergeCell ref="PRL94:PRT94"/>
    <mergeCell ref="PLO94:PLW94"/>
    <mergeCell ref="PLX94:PMF94"/>
    <mergeCell ref="PMG94:PMO94"/>
    <mergeCell ref="PMP94:PMX94"/>
    <mergeCell ref="PMY94:PNG94"/>
    <mergeCell ref="PNH94:PNP94"/>
    <mergeCell ref="PNQ94:PNY94"/>
    <mergeCell ref="PNZ94:POH94"/>
    <mergeCell ref="POI94:POQ94"/>
    <mergeCell ref="PIL94:PIT94"/>
    <mergeCell ref="PIU94:PJC94"/>
    <mergeCell ref="PJD94:PJL94"/>
    <mergeCell ref="PJM94:PJU94"/>
    <mergeCell ref="PJV94:PKD94"/>
    <mergeCell ref="PKE94:PKM94"/>
    <mergeCell ref="PKN94:PKV94"/>
    <mergeCell ref="PKW94:PLE94"/>
    <mergeCell ref="PLF94:PLN94"/>
    <mergeCell ref="PFI94:PFQ94"/>
    <mergeCell ref="PFR94:PFZ94"/>
    <mergeCell ref="PGA94:PGI94"/>
    <mergeCell ref="PGJ94:PGR94"/>
    <mergeCell ref="PGS94:PHA94"/>
    <mergeCell ref="PHB94:PHJ94"/>
    <mergeCell ref="PHK94:PHS94"/>
    <mergeCell ref="PHT94:PIB94"/>
    <mergeCell ref="PIC94:PIK94"/>
    <mergeCell ref="PCF94:PCN94"/>
    <mergeCell ref="PCO94:PCW94"/>
    <mergeCell ref="PCX94:PDF94"/>
    <mergeCell ref="PDG94:PDO94"/>
    <mergeCell ref="PDP94:PDX94"/>
    <mergeCell ref="PDY94:PEG94"/>
    <mergeCell ref="PEH94:PEP94"/>
    <mergeCell ref="PEQ94:PEY94"/>
    <mergeCell ref="PEZ94:PFH94"/>
    <mergeCell ref="OZC94:OZK94"/>
    <mergeCell ref="OZL94:OZT94"/>
    <mergeCell ref="OZU94:PAC94"/>
    <mergeCell ref="PAD94:PAL94"/>
    <mergeCell ref="PAM94:PAU94"/>
    <mergeCell ref="PAV94:PBD94"/>
    <mergeCell ref="PBE94:PBM94"/>
    <mergeCell ref="PBN94:PBV94"/>
    <mergeCell ref="PBW94:PCE94"/>
    <mergeCell ref="OVZ94:OWH94"/>
    <mergeCell ref="OWI94:OWQ94"/>
    <mergeCell ref="OWR94:OWZ94"/>
    <mergeCell ref="OXA94:OXI94"/>
    <mergeCell ref="OXJ94:OXR94"/>
    <mergeCell ref="OXS94:OYA94"/>
    <mergeCell ref="OYB94:OYJ94"/>
    <mergeCell ref="OYK94:OYS94"/>
    <mergeCell ref="OYT94:OZB94"/>
    <mergeCell ref="OSW94:OTE94"/>
    <mergeCell ref="OTF94:OTN94"/>
    <mergeCell ref="OTO94:OTW94"/>
    <mergeCell ref="OTX94:OUF94"/>
    <mergeCell ref="OUG94:OUO94"/>
    <mergeCell ref="OUP94:OUX94"/>
    <mergeCell ref="OUY94:OVG94"/>
    <mergeCell ref="OVH94:OVP94"/>
    <mergeCell ref="OVQ94:OVY94"/>
    <mergeCell ref="OPT94:OQB94"/>
    <mergeCell ref="OQC94:OQK94"/>
    <mergeCell ref="OQL94:OQT94"/>
    <mergeCell ref="OQU94:ORC94"/>
    <mergeCell ref="ORD94:ORL94"/>
    <mergeCell ref="ORM94:ORU94"/>
    <mergeCell ref="ORV94:OSD94"/>
    <mergeCell ref="OSE94:OSM94"/>
    <mergeCell ref="OSN94:OSV94"/>
    <mergeCell ref="OMQ94:OMY94"/>
    <mergeCell ref="OMZ94:ONH94"/>
    <mergeCell ref="ONI94:ONQ94"/>
    <mergeCell ref="ONR94:ONZ94"/>
    <mergeCell ref="OOA94:OOI94"/>
    <mergeCell ref="OOJ94:OOR94"/>
    <mergeCell ref="OOS94:OPA94"/>
    <mergeCell ref="OPB94:OPJ94"/>
    <mergeCell ref="OPK94:OPS94"/>
    <mergeCell ref="OJN94:OJV94"/>
    <mergeCell ref="OJW94:OKE94"/>
    <mergeCell ref="OKF94:OKN94"/>
    <mergeCell ref="OKO94:OKW94"/>
    <mergeCell ref="OKX94:OLF94"/>
    <mergeCell ref="OLG94:OLO94"/>
    <mergeCell ref="OLP94:OLX94"/>
    <mergeCell ref="OLY94:OMG94"/>
    <mergeCell ref="OMH94:OMP94"/>
    <mergeCell ref="OGK94:OGS94"/>
    <mergeCell ref="OGT94:OHB94"/>
    <mergeCell ref="OHC94:OHK94"/>
    <mergeCell ref="OHL94:OHT94"/>
    <mergeCell ref="OHU94:OIC94"/>
    <mergeCell ref="OID94:OIL94"/>
    <mergeCell ref="OIM94:OIU94"/>
    <mergeCell ref="OIV94:OJD94"/>
    <mergeCell ref="OJE94:OJM94"/>
    <mergeCell ref="ODH94:ODP94"/>
    <mergeCell ref="ODQ94:ODY94"/>
    <mergeCell ref="ODZ94:OEH94"/>
    <mergeCell ref="OEI94:OEQ94"/>
    <mergeCell ref="OER94:OEZ94"/>
    <mergeCell ref="OFA94:OFI94"/>
    <mergeCell ref="OFJ94:OFR94"/>
    <mergeCell ref="OFS94:OGA94"/>
    <mergeCell ref="OGB94:OGJ94"/>
    <mergeCell ref="OAE94:OAM94"/>
    <mergeCell ref="OAN94:OAV94"/>
    <mergeCell ref="OAW94:OBE94"/>
    <mergeCell ref="OBF94:OBN94"/>
    <mergeCell ref="OBO94:OBW94"/>
    <mergeCell ref="OBX94:OCF94"/>
    <mergeCell ref="OCG94:OCO94"/>
    <mergeCell ref="OCP94:OCX94"/>
    <mergeCell ref="OCY94:ODG94"/>
    <mergeCell ref="NXB94:NXJ94"/>
    <mergeCell ref="NXK94:NXS94"/>
    <mergeCell ref="NXT94:NYB94"/>
    <mergeCell ref="NYC94:NYK94"/>
    <mergeCell ref="NYL94:NYT94"/>
    <mergeCell ref="NYU94:NZC94"/>
    <mergeCell ref="NZD94:NZL94"/>
    <mergeCell ref="NZM94:NZU94"/>
    <mergeCell ref="NZV94:OAD94"/>
    <mergeCell ref="NTY94:NUG94"/>
    <mergeCell ref="NUH94:NUP94"/>
    <mergeCell ref="NUQ94:NUY94"/>
    <mergeCell ref="NUZ94:NVH94"/>
    <mergeCell ref="NVI94:NVQ94"/>
    <mergeCell ref="NVR94:NVZ94"/>
    <mergeCell ref="NWA94:NWI94"/>
    <mergeCell ref="NWJ94:NWR94"/>
    <mergeCell ref="NWS94:NXA94"/>
    <mergeCell ref="NQV94:NRD94"/>
    <mergeCell ref="NRE94:NRM94"/>
    <mergeCell ref="NRN94:NRV94"/>
    <mergeCell ref="NRW94:NSE94"/>
    <mergeCell ref="NSF94:NSN94"/>
    <mergeCell ref="NSO94:NSW94"/>
    <mergeCell ref="NSX94:NTF94"/>
    <mergeCell ref="NTG94:NTO94"/>
    <mergeCell ref="NTP94:NTX94"/>
    <mergeCell ref="NNS94:NOA94"/>
    <mergeCell ref="NOB94:NOJ94"/>
    <mergeCell ref="NOK94:NOS94"/>
    <mergeCell ref="NOT94:NPB94"/>
    <mergeCell ref="NPC94:NPK94"/>
    <mergeCell ref="NPL94:NPT94"/>
    <mergeCell ref="NPU94:NQC94"/>
    <mergeCell ref="NQD94:NQL94"/>
    <mergeCell ref="NQM94:NQU94"/>
    <mergeCell ref="NKP94:NKX94"/>
    <mergeCell ref="NKY94:NLG94"/>
    <mergeCell ref="NLH94:NLP94"/>
    <mergeCell ref="NLQ94:NLY94"/>
    <mergeCell ref="NLZ94:NMH94"/>
    <mergeCell ref="NMI94:NMQ94"/>
    <mergeCell ref="NMR94:NMZ94"/>
    <mergeCell ref="NNA94:NNI94"/>
    <mergeCell ref="NNJ94:NNR94"/>
    <mergeCell ref="NHM94:NHU94"/>
    <mergeCell ref="NHV94:NID94"/>
    <mergeCell ref="NIE94:NIM94"/>
    <mergeCell ref="NIN94:NIV94"/>
    <mergeCell ref="NIW94:NJE94"/>
    <mergeCell ref="NJF94:NJN94"/>
    <mergeCell ref="NJO94:NJW94"/>
    <mergeCell ref="NJX94:NKF94"/>
    <mergeCell ref="NKG94:NKO94"/>
    <mergeCell ref="NEJ94:NER94"/>
    <mergeCell ref="NES94:NFA94"/>
    <mergeCell ref="NFB94:NFJ94"/>
    <mergeCell ref="NFK94:NFS94"/>
    <mergeCell ref="NFT94:NGB94"/>
    <mergeCell ref="NGC94:NGK94"/>
    <mergeCell ref="NGL94:NGT94"/>
    <mergeCell ref="NGU94:NHC94"/>
    <mergeCell ref="NHD94:NHL94"/>
    <mergeCell ref="NBG94:NBO94"/>
    <mergeCell ref="NBP94:NBX94"/>
    <mergeCell ref="NBY94:NCG94"/>
    <mergeCell ref="NCH94:NCP94"/>
    <mergeCell ref="NCQ94:NCY94"/>
    <mergeCell ref="NCZ94:NDH94"/>
    <mergeCell ref="NDI94:NDQ94"/>
    <mergeCell ref="NDR94:NDZ94"/>
    <mergeCell ref="NEA94:NEI94"/>
    <mergeCell ref="MYD94:MYL94"/>
    <mergeCell ref="MYM94:MYU94"/>
    <mergeCell ref="MYV94:MZD94"/>
    <mergeCell ref="MZE94:MZM94"/>
    <mergeCell ref="MZN94:MZV94"/>
    <mergeCell ref="MZW94:NAE94"/>
    <mergeCell ref="NAF94:NAN94"/>
    <mergeCell ref="NAO94:NAW94"/>
    <mergeCell ref="NAX94:NBF94"/>
    <mergeCell ref="MVA94:MVI94"/>
    <mergeCell ref="MVJ94:MVR94"/>
    <mergeCell ref="MVS94:MWA94"/>
    <mergeCell ref="MWB94:MWJ94"/>
    <mergeCell ref="MWK94:MWS94"/>
    <mergeCell ref="MWT94:MXB94"/>
    <mergeCell ref="MXC94:MXK94"/>
    <mergeCell ref="MXL94:MXT94"/>
    <mergeCell ref="MXU94:MYC94"/>
    <mergeCell ref="MRX94:MSF94"/>
    <mergeCell ref="MSG94:MSO94"/>
    <mergeCell ref="MSP94:MSX94"/>
    <mergeCell ref="MSY94:MTG94"/>
    <mergeCell ref="MTH94:MTP94"/>
    <mergeCell ref="MTQ94:MTY94"/>
    <mergeCell ref="MTZ94:MUH94"/>
    <mergeCell ref="MUI94:MUQ94"/>
    <mergeCell ref="MUR94:MUZ94"/>
    <mergeCell ref="MOU94:MPC94"/>
    <mergeCell ref="MPD94:MPL94"/>
    <mergeCell ref="MPM94:MPU94"/>
    <mergeCell ref="MPV94:MQD94"/>
    <mergeCell ref="MQE94:MQM94"/>
    <mergeCell ref="MQN94:MQV94"/>
    <mergeCell ref="MQW94:MRE94"/>
    <mergeCell ref="MRF94:MRN94"/>
    <mergeCell ref="MRO94:MRW94"/>
    <mergeCell ref="MLR94:MLZ94"/>
    <mergeCell ref="MMA94:MMI94"/>
    <mergeCell ref="MMJ94:MMR94"/>
    <mergeCell ref="MMS94:MNA94"/>
    <mergeCell ref="MNB94:MNJ94"/>
    <mergeCell ref="MNK94:MNS94"/>
    <mergeCell ref="MNT94:MOB94"/>
    <mergeCell ref="MOC94:MOK94"/>
    <mergeCell ref="MOL94:MOT94"/>
    <mergeCell ref="MIO94:MIW94"/>
    <mergeCell ref="MIX94:MJF94"/>
    <mergeCell ref="MJG94:MJO94"/>
    <mergeCell ref="MJP94:MJX94"/>
    <mergeCell ref="MJY94:MKG94"/>
    <mergeCell ref="MKH94:MKP94"/>
    <mergeCell ref="MKQ94:MKY94"/>
    <mergeCell ref="MKZ94:MLH94"/>
    <mergeCell ref="MLI94:MLQ94"/>
    <mergeCell ref="MFL94:MFT94"/>
    <mergeCell ref="MFU94:MGC94"/>
    <mergeCell ref="MGD94:MGL94"/>
    <mergeCell ref="MGM94:MGU94"/>
    <mergeCell ref="MGV94:MHD94"/>
    <mergeCell ref="MHE94:MHM94"/>
    <mergeCell ref="MHN94:MHV94"/>
    <mergeCell ref="MHW94:MIE94"/>
    <mergeCell ref="MIF94:MIN94"/>
    <mergeCell ref="MCI94:MCQ94"/>
    <mergeCell ref="MCR94:MCZ94"/>
    <mergeCell ref="MDA94:MDI94"/>
    <mergeCell ref="MDJ94:MDR94"/>
    <mergeCell ref="MDS94:MEA94"/>
    <mergeCell ref="MEB94:MEJ94"/>
    <mergeCell ref="MEK94:MES94"/>
    <mergeCell ref="MET94:MFB94"/>
    <mergeCell ref="MFC94:MFK94"/>
    <mergeCell ref="LZF94:LZN94"/>
    <mergeCell ref="LZO94:LZW94"/>
    <mergeCell ref="LZX94:MAF94"/>
    <mergeCell ref="MAG94:MAO94"/>
    <mergeCell ref="MAP94:MAX94"/>
    <mergeCell ref="MAY94:MBG94"/>
    <mergeCell ref="MBH94:MBP94"/>
    <mergeCell ref="MBQ94:MBY94"/>
    <mergeCell ref="MBZ94:MCH94"/>
    <mergeCell ref="LWC94:LWK94"/>
    <mergeCell ref="LWL94:LWT94"/>
    <mergeCell ref="LWU94:LXC94"/>
    <mergeCell ref="LXD94:LXL94"/>
    <mergeCell ref="LXM94:LXU94"/>
    <mergeCell ref="LXV94:LYD94"/>
    <mergeCell ref="LYE94:LYM94"/>
    <mergeCell ref="LYN94:LYV94"/>
    <mergeCell ref="LYW94:LZE94"/>
    <mergeCell ref="LSZ94:LTH94"/>
    <mergeCell ref="LTI94:LTQ94"/>
    <mergeCell ref="LTR94:LTZ94"/>
    <mergeCell ref="LUA94:LUI94"/>
    <mergeCell ref="LUJ94:LUR94"/>
    <mergeCell ref="LUS94:LVA94"/>
    <mergeCell ref="LVB94:LVJ94"/>
    <mergeCell ref="LVK94:LVS94"/>
    <mergeCell ref="LVT94:LWB94"/>
    <mergeCell ref="LPW94:LQE94"/>
    <mergeCell ref="LQF94:LQN94"/>
    <mergeCell ref="LQO94:LQW94"/>
    <mergeCell ref="LQX94:LRF94"/>
    <mergeCell ref="LRG94:LRO94"/>
    <mergeCell ref="LRP94:LRX94"/>
    <mergeCell ref="LRY94:LSG94"/>
    <mergeCell ref="LSH94:LSP94"/>
    <mergeCell ref="LSQ94:LSY94"/>
    <mergeCell ref="LMT94:LNB94"/>
    <mergeCell ref="LNC94:LNK94"/>
    <mergeCell ref="LNL94:LNT94"/>
    <mergeCell ref="LNU94:LOC94"/>
    <mergeCell ref="LOD94:LOL94"/>
    <mergeCell ref="LOM94:LOU94"/>
    <mergeCell ref="LOV94:LPD94"/>
    <mergeCell ref="LPE94:LPM94"/>
    <mergeCell ref="LPN94:LPV94"/>
    <mergeCell ref="LJQ94:LJY94"/>
    <mergeCell ref="LJZ94:LKH94"/>
    <mergeCell ref="LKI94:LKQ94"/>
    <mergeCell ref="LKR94:LKZ94"/>
    <mergeCell ref="LLA94:LLI94"/>
    <mergeCell ref="LLJ94:LLR94"/>
    <mergeCell ref="LLS94:LMA94"/>
    <mergeCell ref="LMB94:LMJ94"/>
    <mergeCell ref="LMK94:LMS94"/>
    <mergeCell ref="LGN94:LGV94"/>
    <mergeCell ref="LGW94:LHE94"/>
    <mergeCell ref="LHF94:LHN94"/>
    <mergeCell ref="LHO94:LHW94"/>
    <mergeCell ref="LHX94:LIF94"/>
    <mergeCell ref="LIG94:LIO94"/>
    <mergeCell ref="LIP94:LIX94"/>
    <mergeCell ref="LIY94:LJG94"/>
    <mergeCell ref="LJH94:LJP94"/>
    <mergeCell ref="LDK94:LDS94"/>
    <mergeCell ref="LDT94:LEB94"/>
    <mergeCell ref="LEC94:LEK94"/>
    <mergeCell ref="LEL94:LET94"/>
    <mergeCell ref="LEU94:LFC94"/>
    <mergeCell ref="LFD94:LFL94"/>
    <mergeCell ref="LFM94:LFU94"/>
    <mergeCell ref="LFV94:LGD94"/>
    <mergeCell ref="LGE94:LGM94"/>
    <mergeCell ref="LAH94:LAP94"/>
    <mergeCell ref="LAQ94:LAY94"/>
    <mergeCell ref="LAZ94:LBH94"/>
    <mergeCell ref="LBI94:LBQ94"/>
    <mergeCell ref="LBR94:LBZ94"/>
    <mergeCell ref="LCA94:LCI94"/>
    <mergeCell ref="LCJ94:LCR94"/>
    <mergeCell ref="LCS94:LDA94"/>
    <mergeCell ref="LDB94:LDJ94"/>
    <mergeCell ref="KXE94:KXM94"/>
    <mergeCell ref="KXN94:KXV94"/>
    <mergeCell ref="KXW94:KYE94"/>
    <mergeCell ref="KYF94:KYN94"/>
    <mergeCell ref="KYO94:KYW94"/>
    <mergeCell ref="KYX94:KZF94"/>
    <mergeCell ref="KZG94:KZO94"/>
    <mergeCell ref="KZP94:KZX94"/>
    <mergeCell ref="KZY94:LAG94"/>
    <mergeCell ref="KUB94:KUJ94"/>
    <mergeCell ref="KUK94:KUS94"/>
    <mergeCell ref="KUT94:KVB94"/>
    <mergeCell ref="KVC94:KVK94"/>
    <mergeCell ref="KVL94:KVT94"/>
    <mergeCell ref="KVU94:KWC94"/>
    <mergeCell ref="KWD94:KWL94"/>
    <mergeCell ref="KWM94:KWU94"/>
    <mergeCell ref="KWV94:KXD94"/>
    <mergeCell ref="KQY94:KRG94"/>
    <mergeCell ref="KRH94:KRP94"/>
    <mergeCell ref="KRQ94:KRY94"/>
    <mergeCell ref="KRZ94:KSH94"/>
    <mergeCell ref="KSI94:KSQ94"/>
    <mergeCell ref="KSR94:KSZ94"/>
    <mergeCell ref="KTA94:KTI94"/>
    <mergeCell ref="KTJ94:KTR94"/>
    <mergeCell ref="KTS94:KUA94"/>
    <mergeCell ref="KNV94:KOD94"/>
    <mergeCell ref="KOE94:KOM94"/>
    <mergeCell ref="KON94:KOV94"/>
    <mergeCell ref="KOW94:KPE94"/>
    <mergeCell ref="KPF94:KPN94"/>
    <mergeCell ref="KPO94:KPW94"/>
    <mergeCell ref="KPX94:KQF94"/>
    <mergeCell ref="KQG94:KQO94"/>
    <mergeCell ref="KQP94:KQX94"/>
    <mergeCell ref="KKS94:KLA94"/>
    <mergeCell ref="KLB94:KLJ94"/>
    <mergeCell ref="KLK94:KLS94"/>
    <mergeCell ref="KLT94:KMB94"/>
    <mergeCell ref="KMC94:KMK94"/>
    <mergeCell ref="KML94:KMT94"/>
    <mergeCell ref="KMU94:KNC94"/>
    <mergeCell ref="KND94:KNL94"/>
    <mergeCell ref="KNM94:KNU94"/>
    <mergeCell ref="KHP94:KHX94"/>
    <mergeCell ref="KHY94:KIG94"/>
    <mergeCell ref="KIH94:KIP94"/>
    <mergeCell ref="KIQ94:KIY94"/>
    <mergeCell ref="KIZ94:KJH94"/>
    <mergeCell ref="KJI94:KJQ94"/>
    <mergeCell ref="KJR94:KJZ94"/>
    <mergeCell ref="KKA94:KKI94"/>
    <mergeCell ref="KKJ94:KKR94"/>
    <mergeCell ref="KEM94:KEU94"/>
    <mergeCell ref="KEV94:KFD94"/>
    <mergeCell ref="KFE94:KFM94"/>
    <mergeCell ref="KFN94:KFV94"/>
    <mergeCell ref="KFW94:KGE94"/>
    <mergeCell ref="KGF94:KGN94"/>
    <mergeCell ref="KGO94:KGW94"/>
    <mergeCell ref="KGX94:KHF94"/>
    <mergeCell ref="KHG94:KHO94"/>
    <mergeCell ref="KBJ94:KBR94"/>
    <mergeCell ref="KBS94:KCA94"/>
    <mergeCell ref="KCB94:KCJ94"/>
    <mergeCell ref="KCK94:KCS94"/>
    <mergeCell ref="KCT94:KDB94"/>
    <mergeCell ref="KDC94:KDK94"/>
    <mergeCell ref="KDL94:KDT94"/>
    <mergeCell ref="KDU94:KEC94"/>
    <mergeCell ref="KED94:KEL94"/>
    <mergeCell ref="JYG94:JYO94"/>
    <mergeCell ref="JYP94:JYX94"/>
    <mergeCell ref="JYY94:JZG94"/>
    <mergeCell ref="JZH94:JZP94"/>
    <mergeCell ref="JZQ94:JZY94"/>
    <mergeCell ref="JZZ94:KAH94"/>
    <mergeCell ref="KAI94:KAQ94"/>
    <mergeCell ref="KAR94:KAZ94"/>
    <mergeCell ref="KBA94:KBI94"/>
    <mergeCell ref="JVD94:JVL94"/>
    <mergeCell ref="JVM94:JVU94"/>
    <mergeCell ref="JVV94:JWD94"/>
    <mergeCell ref="JWE94:JWM94"/>
    <mergeCell ref="JWN94:JWV94"/>
    <mergeCell ref="JWW94:JXE94"/>
    <mergeCell ref="JXF94:JXN94"/>
    <mergeCell ref="JXO94:JXW94"/>
    <mergeCell ref="JXX94:JYF94"/>
    <mergeCell ref="JSA94:JSI94"/>
    <mergeCell ref="JSJ94:JSR94"/>
    <mergeCell ref="JSS94:JTA94"/>
    <mergeCell ref="JTB94:JTJ94"/>
    <mergeCell ref="JTK94:JTS94"/>
    <mergeCell ref="JTT94:JUB94"/>
    <mergeCell ref="JUC94:JUK94"/>
    <mergeCell ref="JUL94:JUT94"/>
    <mergeCell ref="JUU94:JVC94"/>
    <mergeCell ref="JOX94:JPF94"/>
    <mergeCell ref="JPG94:JPO94"/>
    <mergeCell ref="JPP94:JPX94"/>
    <mergeCell ref="JPY94:JQG94"/>
    <mergeCell ref="JQH94:JQP94"/>
    <mergeCell ref="JQQ94:JQY94"/>
    <mergeCell ref="JQZ94:JRH94"/>
    <mergeCell ref="JRI94:JRQ94"/>
    <mergeCell ref="JRR94:JRZ94"/>
    <mergeCell ref="JLU94:JMC94"/>
    <mergeCell ref="JMD94:JML94"/>
    <mergeCell ref="JMM94:JMU94"/>
    <mergeCell ref="JMV94:JND94"/>
    <mergeCell ref="JNE94:JNM94"/>
    <mergeCell ref="JNN94:JNV94"/>
    <mergeCell ref="JNW94:JOE94"/>
    <mergeCell ref="JOF94:JON94"/>
    <mergeCell ref="JOO94:JOW94"/>
    <mergeCell ref="JIR94:JIZ94"/>
    <mergeCell ref="JJA94:JJI94"/>
    <mergeCell ref="JJJ94:JJR94"/>
    <mergeCell ref="JJS94:JKA94"/>
    <mergeCell ref="JKB94:JKJ94"/>
    <mergeCell ref="JKK94:JKS94"/>
    <mergeCell ref="JKT94:JLB94"/>
    <mergeCell ref="JLC94:JLK94"/>
    <mergeCell ref="JLL94:JLT94"/>
    <mergeCell ref="JFO94:JFW94"/>
    <mergeCell ref="JFX94:JGF94"/>
    <mergeCell ref="JGG94:JGO94"/>
    <mergeCell ref="JGP94:JGX94"/>
    <mergeCell ref="JGY94:JHG94"/>
    <mergeCell ref="JHH94:JHP94"/>
    <mergeCell ref="JHQ94:JHY94"/>
    <mergeCell ref="JHZ94:JIH94"/>
    <mergeCell ref="JII94:JIQ94"/>
    <mergeCell ref="JCL94:JCT94"/>
    <mergeCell ref="JCU94:JDC94"/>
    <mergeCell ref="JDD94:JDL94"/>
    <mergeCell ref="JDM94:JDU94"/>
    <mergeCell ref="JDV94:JED94"/>
    <mergeCell ref="JEE94:JEM94"/>
    <mergeCell ref="JEN94:JEV94"/>
    <mergeCell ref="JEW94:JFE94"/>
    <mergeCell ref="JFF94:JFN94"/>
    <mergeCell ref="IZI94:IZQ94"/>
    <mergeCell ref="IZR94:IZZ94"/>
    <mergeCell ref="JAA94:JAI94"/>
    <mergeCell ref="JAJ94:JAR94"/>
    <mergeCell ref="JAS94:JBA94"/>
    <mergeCell ref="JBB94:JBJ94"/>
    <mergeCell ref="JBK94:JBS94"/>
    <mergeCell ref="JBT94:JCB94"/>
    <mergeCell ref="JCC94:JCK94"/>
    <mergeCell ref="IWF94:IWN94"/>
    <mergeCell ref="IWO94:IWW94"/>
    <mergeCell ref="IWX94:IXF94"/>
    <mergeCell ref="IXG94:IXO94"/>
    <mergeCell ref="IXP94:IXX94"/>
    <mergeCell ref="IXY94:IYG94"/>
    <mergeCell ref="IYH94:IYP94"/>
    <mergeCell ref="IYQ94:IYY94"/>
    <mergeCell ref="IYZ94:IZH94"/>
    <mergeCell ref="ITC94:ITK94"/>
    <mergeCell ref="ITL94:ITT94"/>
    <mergeCell ref="ITU94:IUC94"/>
    <mergeCell ref="IUD94:IUL94"/>
    <mergeCell ref="IUM94:IUU94"/>
    <mergeCell ref="IUV94:IVD94"/>
    <mergeCell ref="IVE94:IVM94"/>
    <mergeCell ref="IVN94:IVV94"/>
    <mergeCell ref="IVW94:IWE94"/>
    <mergeCell ref="IPZ94:IQH94"/>
    <mergeCell ref="IQI94:IQQ94"/>
    <mergeCell ref="IQR94:IQZ94"/>
    <mergeCell ref="IRA94:IRI94"/>
    <mergeCell ref="IRJ94:IRR94"/>
    <mergeCell ref="IRS94:ISA94"/>
    <mergeCell ref="ISB94:ISJ94"/>
    <mergeCell ref="ISK94:ISS94"/>
    <mergeCell ref="IST94:ITB94"/>
    <mergeCell ref="IMW94:INE94"/>
    <mergeCell ref="INF94:INN94"/>
    <mergeCell ref="INO94:INW94"/>
    <mergeCell ref="INX94:IOF94"/>
    <mergeCell ref="IOG94:IOO94"/>
    <mergeCell ref="IOP94:IOX94"/>
    <mergeCell ref="IOY94:IPG94"/>
    <mergeCell ref="IPH94:IPP94"/>
    <mergeCell ref="IPQ94:IPY94"/>
    <mergeCell ref="IJT94:IKB94"/>
    <mergeCell ref="IKC94:IKK94"/>
    <mergeCell ref="IKL94:IKT94"/>
    <mergeCell ref="IKU94:ILC94"/>
    <mergeCell ref="ILD94:ILL94"/>
    <mergeCell ref="ILM94:ILU94"/>
    <mergeCell ref="ILV94:IMD94"/>
    <mergeCell ref="IME94:IMM94"/>
    <mergeCell ref="IMN94:IMV94"/>
    <mergeCell ref="IGQ94:IGY94"/>
    <mergeCell ref="IGZ94:IHH94"/>
    <mergeCell ref="IHI94:IHQ94"/>
    <mergeCell ref="IHR94:IHZ94"/>
    <mergeCell ref="IIA94:III94"/>
    <mergeCell ref="IIJ94:IIR94"/>
    <mergeCell ref="IIS94:IJA94"/>
    <mergeCell ref="IJB94:IJJ94"/>
    <mergeCell ref="IJK94:IJS94"/>
    <mergeCell ref="IDN94:IDV94"/>
    <mergeCell ref="IDW94:IEE94"/>
    <mergeCell ref="IEF94:IEN94"/>
    <mergeCell ref="IEO94:IEW94"/>
    <mergeCell ref="IEX94:IFF94"/>
    <mergeCell ref="IFG94:IFO94"/>
    <mergeCell ref="IFP94:IFX94"/>
    <mergeCell ref="IFY94:IGG94"/>
    <mergeCell ref="IGH94:IGP94"/>
    <mergeCell ref="IAK94:IAS94"/>
    <mergeCell ref="IAT94:IBB94"/>
    <mergeCell ref="IBC94:IBK94"/>
    <mergeCell ref="IBL94:IBT94"/>
    <mergeCell ref="IBU94:ICC94"/>
    <mergeCell ref="ICD94:ICL94"/>
    <mergeCell ref="ICM94:ICU94"/>
    <mergeCell ref="ICV94:IDD94"/>
    <mergeCell ref="IDE94:IDM94"/>
    <mergeCell ref="HXH94:HXP94"/>
    <mergeCell ref="HXQ94:HXY94"/>
    <mergeCell ref="HXZ94:HYH94"/>
    <mergeCell ref="HYI94:HYQ94"/>
    <mergeCell ref="HYR94:HYZ94"/>
    <mergeCell ref="HZA94:HZI94"/>
    <mergeCell ref="HZJ94:HZR94"/>
    <mergeCell ref="HZS94:IAA94"/>
    <mergeCell ref="IAB94:IAJ94"/>
    <mergeCell ref="HUE94:HUM94"/>
    <mergeCell ref="HUN94:HUV94"/>
    <mergeCell ref="HUW94:HVE94"/>
    <mergeCell ref="HVF94:HVN94"/>
    <mergeCell ref="HVO94:HVW94"/>
    <mergeCell ref="HVX94:HWF94"/>
    <mergeCell ref="HWG94:HWO94"/>
    <mergeCell ref="HWP94:HWX94"/>
    <mergeCell ref="HWY94:HXG94"/>
    <mergeCell ref="HRB94:HRJ94"/>
    <mergeCell ref="HRK94:HRS94"/>
    <mergeCell ref="HRT94:HSB94"/>
    <mergeCell ref="HSC94:HSK94"/>
    <mergeCell ref="HSL94:HST94"/>
    <mergeCell ref="HSU94:HTC94"/>
    <mergeCell ref="HTD94:HTL94"/>
    <mergeCell ref="HTM94:HTU94"/>
    <mergeCell ref="HTV94:HUD94"/>
    <mergeCell ref="HNY94:HOG94"/>
    <mergeCell ref="HOH94:HOP94"/>
    <mergeCell ref="HOQ94:HOY94"/>
    <mergeCell ref="HOZ94:HPH94"/>
    <mergeCell ref="HPI94:HPQ94"/>
    <mergeCell ref="HPR94:HPZ94"/>
    <mergeCell ref="HQA94:HQI94"/>
    <mergeCell ref="HQJ94:HQR94"/>
    <mergeCell ref="HQS94:HRA94"/>
    <mergeCell ref="HKV94:HLD94"/>
    <mergeCell ref="HLE94:HLM94"/>
    <mergeCell ref="HLN94:HLV94"/>
    <mergeCell ref="HLW94:HME94"/>
    <mergeCell ref="HMF94:HMN94"/>
    <mergeCell ref="HMO94:HMW94"/>
    <mergeCell ref="HMX94:HNF94"/>
    <mergeCell ref="HNG94:HNO94"/>
    <mergeCell ref="HNP94:HNX94"/>
    <mergeCell ref="HHS94:HIA94"/>
    <mergeCell ref="HIB94:HIJ94"/>
    <mergeCell ref="HIK94:HIS94"/>
    <mergeCell ref="HIT94:HJB94"/>
    <mergeCell ref="HJC94:HJK94"/>
    <mergeCell ref="HJL94:HJT94"/>
    <mergeCell ref="HJU94:HKC94"/>
    <mergeCell ref="HKD94:HKL94"/>
    <mergeCell ref="HKM94:HKU94"/>
    <mergeCell ref="HEP94:HEX94"/>
    <mergeCell ref="HEY94:HFG94"/>
    <mergeCell ref="HFH94:HFP94"/>
    <mergeCell ref="HFQ94:HFY94"/>
    <mergeCell ref="HFZ94:HGH94"/>
    <mergeCell ref="HGI94:HGQ94"/>
    <mergeCell ref="HGR94:HGZ94"/>
    <mergeCell ref="HHA94:HHI94"/>
    <mergeCell ref="HHJ94:HHR94"/>
    <mergeCell ref="HBM94:HBU94"/>
    <mergeCell ref="HBV94:HCD94"/>
    <mergeCell ref="HCE94:HCM94"/>
    <mergeCell ref="HCN94:HCV94"/>
    <mergeCell ref="HCW94:HDE94"/>
    <mergeCell ref="HDF94:HDN94"/>
    <mergeCell ref="HDO94:HDW94"/>
    <mergeCell ref="HDX94:HEF94"/>
    <mergeCell ref="HEG94:HEO94"/>
    <mergeCell ref="GYJ94:GYR94"/>
    <mergeCell ref="GYS94:GZA94"/>
    <mergeCell ref="GZB94:GZJ94"/>
    <mergeCell ref="GZK94:GZS94"/>
    <mergeCell ref="GZT94:HAB94"/>
    <mergeCell ref="HAC94:HAK94"/>
    <mergeCell ref="HAL94:HAT94"/>
    <mergeCell ref="HAU94:HBC94"/>
    <mergeCell ref="HBD94:HBL94"/>
    <mergeCell ref="GVG94:GVO94"/>
    <mergeCell ref="GVP94:GVX94"/>
    <mergeCell ref="GVY94:GWG94"/>
    <mergeCell ref="GWH94:GWP94"/>
    <mergeCell ref="GWQ94:GWY94"/>
    <mergeCell ref="GWZ94:GXH94"/>
    <mergeCell ref="GXI94:GXQ94"/>
    <mergeCell ref="GXR94:GXZ94"/>
    <mergeCell ref="GYA94:GYI94"/>
    <mergeCell ref="GSD94:GSL94"/>
    <mergeCell ref="GSM94:GSU94"/>
    <mergeCell ref="GSV94:GTD94"/>
    <mergeCell ref="GTE94:GTM94"/>
    <mergeCell ref="GTN94:GTV94"/>
    <mergeCell ref="GTW94:GUE94"/>
    <mergeCell ref="GUF94:GUN94"/>
    <mergeCell ref="GUO94:GUW94"/>
    <mergeCell ref="GUX94:GVF94"/>
    <mergeCell ref="GPA94:GPI94"/>
    <mergeCell ref="GPJ94:GPR94"/>
    <mergeCell ref="GPS94:GQA94"/>
    <mergeCell ref="GQB94:GQJ94"/>
    <mergeCell ref="GQK94:GQS94"/>
    <mergeCell ref="GQT94:GRB94"/>
    <mergeCell ref="GRC94:GRK94"/>
    <mergeCell ref="GRL94:GRT94"/>
    <mergeCell ref="GRU94:GSC94"/>
    <mergeCell ref="GLX94:GMF94"/>
    <mergeCell ref="GMG94:GMO94"/>
    <mergeCell ref="GMP94:GMX94"/>
    <mergeCell ref="GMY94:GNG94"/>
    <mergeCell ref="GNH94:GNP94"/>
    <mergeCell ref="GNQ94:GNY94"/>
    <mergeCell ref="GNZ94:GOH94"/>
    <mergeCell ref="GOI94:GOQ94"/>
    <mergeCell ref="GOR94:GOZ94"/>
    <mergeCell ref="GIU94:GJC94"/>
    <mergeCell ref="GJD94:GJL94"/>
    <mergeCell ref="GJM94:GJU94"/>
    <mergeCell ref="GJV94:GKD94"/>
    <mergeCell ref="GKE94:GKM94"/>
    <mergeCell ref="GKN94:GKV94"/>
    <mergeCell ref="GKW94:GLE94"/>
    <mergeCell ref="GLF94:GLN94"/>
    <mergeCell ref="GLO94:GLW94"/>
    <mergeCell ref="GFR94:GFZ94"/>
    <mergeCell ref="GGA94:GGI94"/>
    <mergeCell ref="GGJ94:GGR94"/>
    <mergeCell ref="GGS94:GHA94"/>
    <mergeCell ref="GHB94:GHJ94"/>
    <mergeCell ref="GHK94:GHS94"/>
    <mergeCell ref="GHT94:GIB94"/>
    <mergeCell ref="GIC94:GIK94"/>
    <mergeCell ref="GIL94:GIT94"/>
    <mergeCell ref="GCO94:GCW94"/>
    <mergeCell ref="GCX94:GDF94"/>
    <mergeCell ref="GDG94:GDO94"/>
    <mergeCell ref="GDP94:GDX94"/>
    <mergeCell ref="GDY94:GEG94"/>
    <mergeCell ref="GEH94:GEP94"/>
    <mergeCell ref="GEQ94:GEY94"/>
    <mergeCell ref="GEZ94:GFH94"/>
    <mergeCell ref="GFI94:GFQ94"/>
    <mergeCell ref="FZL94:FZT94"/>
    <mergeCell ref="FZU94:GAC94"/>
    <mergeCell ref="GAD94:GAL94"/>
    <mergeCell ref="GAM94:GAU94"/>
    <mergeCell ref="GAV94:GBD94"/>
    <mergeCell ref="GBE94:GBM94"/>
    <mergeCell ref="GBN94:GBV94"/>
    <mergeCell ref="GBW94:GCE94"/>
    <mergeCell ref="GCF94:GCN94"/>
    <mergeCell ref="FWI94:FWQ94"/>
    <mergeCell ref="FWR94:FWZ94"/>
    <mergeCell ref="FXA94:FXI94"/>
    <mergeCell ref="FXJ94:FXR94"/>
    <mergeCell ref="FXS94:FYA94"/>
    <mergeCell ref="FYB94:FYJ94"/>
    <mergeCell ref="FYK94:FYS94"/>
    <mergeCell ref="FYT94:FZB94"/>
    <mergeCell ref="FZC94:FZK94"/>
    <mergeCell ref="FTF94:FTN94"/>
    <mergeCell ref="FTO94:FTW94"/>
    <mergeCell ref="FTX94:FUF94"/>
    <mergeCell ref="FUG94:FUO94"/>
    <mergeCell ref="FUP94:FUX94"/>
    <mergeCell ref="FUY94:FVG94"/>
    <mergeCell ref="FVH94:FVP94"/>
    <mergeCell ref="FVQ94:FVY94"/>
    <mergeCell ref="FVZ94:FWH94"/>
    <mergeCell ref="FQC94:FQK94"/>
    <mergeCell ref="FQL94:FQT94"/>
    <mergeCell ref="FQU94:FRC94"/>
    <mergeCell ref="FRD94:FRL94"/>
    <mergeCell ref="FRM94:FRU94"/>
    <mergeCell ref="FRV94:FSD94"/>
    <mergeCell ref="FSE94:FSM94"/>
    <mergeCell ref="FSN94:FSV94"/>
    <mergeCell ref="FSW94:FTE94"/>
    <mergeCell ref="FMZ94:FNH94"/>
    <mergeCell ref="FNI94:FNQ94"/>
    <mergeCell ref="FNR94:FNZ94"/>
    <mergeCell ref="FOA94:FOI94"/>
    <mergeCell ref="FOJ94:FOR94"/>
    <mergeCell ref="FOS94:FPA94"/>
    <mergeCell ref="FPB94:FPJ94"/>
    <mergeCell ref="FPK94:FPS94"/>
    <mergeCell ref="FPT94:FQB94"/>
    <mergeCell ref="FJW94:FKE94"/>
    <mergeCell ref="FKF94:FKN94"/>
    <mergeCell ref="FKO94:FKW94"/>
    <mergeCell ref="FKX94:FLF94"/>
    <mergeCell ref="FLG94:FLO94"/>
    <mergeCell ref="FLP94:FLX94"/>
    <mergeCell ref="FLY94:FMG94"/>
    <mergeCell ref="FMH94:FMP94"/>
    <mergeCell ref="FMQ94:FMY94"/>
    <mergeCell ref="FGT94:FHB94"/>
    <mergeCell ref="FHC94:FHK94"/>
    <mergeCell ref="FHL94:FHT94"/>
    <mergeCell ref="FHU94:FIC94"/>
    <mergeCell ref="FID94:FIL94"/>
    <mergeCell ref="FIM94:FIU94"/>
    <mergeCell ref="FIV94:FJD94"/>
    <mergeCell ref="FJE94:FJM94"/>
    <mergeCell ref="FJN94:FJV94"/>
    <mergeCell ref="FDQ94:FDY94"/>
    <mergeCell ref="FDZ94:FEH94"/>
    <mergeCell ref="FEI94:FEQ94"/>
    <mergeCell ref="FER94:FEZ94"/>
    <mergeCell ref="FFA94:FFI94"/>
    <mergeCell ref="FFJ94:FFR94"/>
    <mergeCell ref="FFS94:FGA94"/>
    <mergeCell ref="FGB94:FGJ94"/>
    <mergeCell ref="FGK94:FGS94"/>
    <mergeCell ref="FAN94:FAV94"/>
    <mergeCell ref="FAW94:FBE94"/>
    <mergeCell ref="FBF94:FBN94"/>
    <mergeCell ref="FBO94:FBW94"/>
    <mergeCell ref="FBX94:FCF94"/>
    <mergeCell ref="FCG94:FCO94"/>
    <mergeCell ref="FCP94:FCX94"/>
    <mergeCell ref="FCY94:FDG94"/>
    <mergeCell ref="FDH94:FDP94"/>
    <mergeCell ref="EXK94:EXS94"/>
    <mergeCell ref="EXT94:EYB94"/>
    <mergeCell ref="EYC94:EYK94"/>
    <mergeCell ref="EYL94:EYT94"/>
    <mergeCell ref="EYU94:EZC94"/>
    <mergeCell ref="EZD94:EZL94"/>
    <mergeCell ref="EZM94:EZU94"/>
    <mergeCell ref="EZV94:FAD94"/>
    <mergeCell ref="FAE94:FAM94"/>
    <mergeCell ref="EUH94:EUP94"/>
    <mergeCell ref="EUQ94:EUY94"/>
    <mergeCell ref="EUZ94:EVH94"/>
    <mergeCell ref="EVI94:EVQ94"/>
    <mergeCell ref="EVR94:EVZ94"/>
    <mergeCell ref="EWA94:EWI94"/>
    <mergeCell ref="EWJ94:EWR94"/>
    <mergeCell ref="EWS94:EXA94"/>
    <mergeCell ref="EXB94:EXJ94"/>
    <mergeCell ref="ERE94:ERM94"/>
    <mergeCell ref="ERN94:ERV94"/>
    <mergeCell ref="ERW94:ESE94"/>
    <mergeCell ref="ESF94:ESN94"/>
    <mergeCell ref="ESO94:ESW94"/>
    <mergeCell ref="ESX94:ETF94"/>
    <mergeCell ref="ETG94:ETO94"/>
    <mergeCell ref="ETP94:ETX94"/>
    <mergeCell ref="ETY94:EUG94"/>
    <mergeCell ref="EOB94:EOJ94"/>
    <mergeCell ref="EOK94:EOS94"/>
    <mergeCell ref="EOT94:EPB94"/>
    <mergeCell ref="EPC94:EPK94"/>
    <mergeCell ref="EPL94:EPT94"/>
    <mergeCell ref="EPU94:EQC94"/>
    <mergeCell ref="EQD94:EQL94"/>
    <mergeCell ref="EQM94:EQU94"/>
    <mergeCell ref="EQV94:ERD94"/>
    <mergeCell ref="EKY94:ELG94"/>
    <mergeCell ref="ELH94:ELP94"/>
    <mergeCell ref="ELQ94:ELY94"/>
    <mergeCell ref="ELZ94:EMH94"/>
    <mergeCell ref="EMI94:EMQ94"/>
    <mergeCell ref="EMR94:EMZ94"/>
    <mergeCell ref="ENA94:ENI94"/>
    <mergeCell ref="ENJ94:ENR94"/>
    <mergeCell ref="ENS94:EOA94"/>
    <mergeCell ref="EHV94:EID94"/>
    <mergeCell ref="EIE94:EIM94"/>
    <mergeCell ref="EIN94:EIV94"/>
    <mergeCell ref="EIW94:EJE94"/>
    <mergeCell ref="EJF94:EJN94"/>
    <mergeCell ref="EJO94:EJW94"/>
    <mergeCell ref="EJX94:EKF94"/>
    <mergeCell ref="EKG94:EKO94"/>
    <mergeCell ref="EKP94:EKX94"/>
    <mergeCell ref="EES94:EFA94"/>
    <mergeCell ref="EFB94:EFJ94"/>
    <mergeCell ref="EFK94:EFS94"/>
    <mergeCell ref="EFT94:EGB94"/>
    <mergeCell ref="EGC94:EGK94"/>
    <mergeCell ref="EGL94:EGT94"/>
    <mergeCell ref="EGU94:EHC94"/>
    <mergeCell ref="EHD94:EHL94"/>
    <mergeCell ref="EHM94:EHU94"/>
    <mergeCell ref="EBP94:EBX94"/>
    <mergeCell ref="EBY94:ECG94"/>
    <mergeCell ref="ECH94:ECP94"/>
    <mergeCell ref="ECQ94:ECY94"/>
    <mergeCell ref="ECZ94:EDH94"/>
    <mergeCell ref="EDI94:EDQ94"/>
    <mergeCell ref="EDR94:EDZ94"/>
    <mergeCell ref="EEA94:EEI94"/>
    <mergeCell ref="EEJ94:EER94"/>
    <mergeCell ref="DYM94:DYU94"/>
    <mergeCell ref="DYV94:DZD94"/>
    <mergeCell ref="DZE94:DZM94"/>
    <mergeCell ref="DZN94:DZV94"/>
    <mergeCell ref="DZW94:EAE94"/>
    <mergeCell ref="EAF94:EAN94"/>
    <mergeCell ref="EAO94:EAW94"/>
    <mergeCell ref="EAX94:EBF94"/>
    <mergeCell ref="EBG94:EBO94"/>
    <mergeCell ref="DVJ94:DVR94"/>
    <mergeCell ref="DVS94:DWA94"/>
    <mergeCell ref="DWB94:DWJ94"/>
    <mergeCell ref="DWK94:DWS94"/>
    <mergeCell ref="DWT94:DXB94"/>
    <mergeCell ref="DXC94:DXK94"/>
    <mergeCell ref="DXL94:DXT94"/>
    <mergeCell ref="DXU94:DYC94"/>
    <mergeCell ref="DYD94:DYL94"/>
    <mergeCell ref="DSG94:DSO94"/>
    <mergeCell ref="DSP94:DSX94"/>
    <mergeCell ref="DSY94:DTG94"/>
    <mergeCell ref="DTH94:DTP94"/>
    <mergeCell ref="DTQ94:DTY94"/>
    <mergeCell ref="DTZ94:DUH94"/>
    <mergeCell ref="DUI94:DUQ94"/>
    <mergeCell ref="DUR94:DUZ94"/>
    <mergeCell ref="DVA94:DVI94"/>
    <mergeCell ref="DPD94:DPL94"/>
    <mergeCell ref="DPM94:DPU94"/>
    <mergeCell ref="DPV94:DQD94"/>
    <mergeCell ref="DQE94:DQM94"/>
    <mergeCell ref="DQN94:DQV94"/>
    <mergeCell ref="DQW94:DRE94"/>
    <mergeCell ref="DRF94:DRN94"/>
    <mergeCell ref="DRO94:DRW94"/>
    <mergeCell ref="DRX94:DSF94"/>
    <mergeCell ref="DMA94:DMI94"/>
    <mergeCell ref="DMJ94:DMR94"/>
    <mergeCell ref="DMS94:DNA94"/>
    <mergeCell ref="DNB94:DNJ94"/>
    <mergeCell ref="DNK94:DNS94"/>
    <mergeCell ref="DNT94:DOB94"/>
    <mergeCell ref="DOC94:DOK94"/>
    <mergeCell ref="DOL94:DOT94"/>
    <mergeCell ref="DOU94:DPC94"/>
    <mergeCell ref="DIX94:DJF94"/>
    <mergeCell ref="DJG94:DJO94"/>
    <mergeCell ref="DJP94:DJX94"/>
    <mergeCell ref="DJY94:DKG94"/>
    <mergeCell ref="DKH94:DKP94"/>
    <mergeCell ref="DKQ94:DKY94"/>
    <mergeCell ref="DKZ94:DLH94"/>
    <mergeCell ref="DLI94:DLQ94"/>
    <mergeCell ref="DLR94:DLZ94"/>
    <mergeCell ref="DFU94:DGC94"/>
    <mergeCell ref="DGD94:DGL94"/>
    <mergeCell ref="DGM94:DGU94"/>
    <mergeCell ref="DGV94:DHD94"/>
    <mergeCell ref="DHE94:DHM94"/>
    <mergeCell ref="DHN94:DHV94"/>
    <mergeCell ref="DHW94:DIE94"/>
    <mergeCell ref="DIF94:DIN94"/>
    <mergeCell ref="DIO94:DIW94"/>
    <mergeCell ref="DCR94:DCZ94"/>
    <mergeCell ref="DDA94:DDI94"/>
    <mergeCell ref="DDJ94:DDR94"/>
    <mergeCell ref="DDS94:DEA94"/>
    <mergeCell ref="DEB94:DEJ94"/>
    <mergeCell ref="DEK94:DES94"/>
    <mergeCell ref="DET94:DFB94"/>
    <mergeCell ref="DFC94:DFK94"/>
    <mergeCell ref="DFL94:DFT94"/>
    <mergeCell ref="CZO94:CZW94"/>
    <mergeCell ref="CZX94:DAF94"/>
    <mergeCell ref="DAG94:DAO94"/>
    <mergeCell ref="DAP94:DAX94"/>
    <mergeCell ref="DAY94:DBG94"/>
    <mergeCell ref="DBH94:DBP94"/>
    <mergeCell ref="DBQ94:DBY94"/>
    <mergeCell ref="DBZ94:DCH94"/>
    <mergeCell ref="DCI94:DCQ94"/>
    <mergeCell ref="CWL94:CWT94"/>
    <mergeCell ref="CWU94:CXC94"/>
    <mergeCell ref="CXD94:CXL94"/>
    <mergeCell ref="CXM94:CXU94"/>
    <mergeCell ref="CXV94:CYD94"/>
    <mergeCell ref="CYE94:CYM94"/>
    <mergeCell ref="CYN94:CYV94"/>
    <mergeCell ref="CYW94:CZE94"/>
    <mergeCell ref="CZF94:CZN94"/>
    <mergeCell ref="CTI94:CTQ94"/>
    <mergeCell ref="CTR94:CTZ94"/>
    <mergeCell ref="CUA94:CUI94"/>
    <mergeCell ref="CUJ94:CUR94"/>
    <mergeCell ref="CUS94:CVA94"/>
    <mergeCell ref="CVB94:CVJ94"/>
    <mergeCell ref="CVK94:CVS94"/>
    <mergeCell ref="CVT94:CWB94"/>
    <mergeCell ref="CWC94:CWK94"/>
    <mergeCell ref="CQF94:CQN94"/>
    <mergeCell ref="CQO94:CQW94"/>
    <mergeCell ref="CQX94:CRF94"/>
    <mergeCell ref="CRG94:CRO94"/>
    <mergeCell ref="CRP94:CRX94"/>
    <mergeCell ref="CRY94:CSG94"/>
    <mergeCell ref="CSH94:CSP94"/>
    <mergeCell ref="CSQ94:CSY94"/>
    <mergeCell ref="CSZ94:CTH94"/>
    <mergeCell ref="CNC94:CNK94"/>
    <mergeCell ref="CNL94:CNT94"/>
    <mergeCell ref="CNU94:COC94"/>
    <mergeCell ref="COD94:COL94"/>
    <mergeCell ref="COM94:COU94"/>
    <mergeCell ref="COV94:CPD94"/>
    <mergeCell ref="CPE94:CPM94"/>
    <mergeCell ref="CPN94:CPV94"/>
    <mergeCell ref="CPW94:CQE94"/>
    <mergeCell ref="CJZ94:CKH94"/>
    <mergeCell ref="CKI94:CKQ94"/>
    <mergeCell ref="CKR94:CKZ94"/>
    <mergeCell ref="CLA94:CLI94"/>
    <mergeCell ref="CLJ94:CLR94"/>
    <mergeCell ref="CLS94:CMA94"/>
    <mergeCell ref="CMB94:CMJ94"/>
    <mergeCell ref="CMK94:CMS94"/>
    <mergeCell ref="CMT94:CNB94"/>
    <mergeCell ref="CGW94:CHE94"/>
    <mergeCell ref="CHF94:CHN94"/>
    <mergeCell ref="CHO94:CHW94"/>
    <mergeCell ref="CHX94:CIF94"/>
    <mergeCell ref="CIG94:CIO94"/>
    <mergeCell ref="CIP94:CIX94"/>
    <mergeCell ref="CIY94:CJG94"/>
    <mergeCell ref="CJH94:CJP94"/>
    <mergeCell ref="CJQ94:CJY94"/>
    <mergeCell ref="CDT94:CEB94"/>
    <mergeCell ref="CEC94:CEK94"/>
    <mergeCell ref="CEL94:CET94"/>
    <mergeCell ref="CEU94:CFC94"/>
    <mergeCell ref="CFD94:CFL94"/>
    <mergeCell ref="CFM94:CFU94"/>
    <mergeCell ref="CFV94:CGD94"/>
    <mergeCell ref="CGE94:CGM94"/>
    <mergeCell ref="CGN94:CGV94"/>
    <mergeCell ref="CAQ94:CAY94"/>
    <mergeCell ref="CAZ94:CBH94"/>
    <mergeCell ref="CBI94:CBQ94"/>
    <mergeCell ref="CBR94:CBZ94"/>
    <mergeCell ref="CCA94:CCI94"/>
    <mergeCell ref="CCJ94:CCR94"/>
    <mergeCell ref="CCS94:CDA94"/>
    <mergeCell ref="CDB94:CDJ94"/>
    <mergeCell ref="CDK94:CDS94"/>
    <mergeCell ref="BXN94:BXV94"/>
    <mergeCell ref="BXW94:BYE94"/>
    <mergeCell ref="BYF94:BYN94"/>
    <mergeCell ref="BYO94:BYW94"/>
    <mergeCell ref="BYX94:BZF94"/>
    <mergeCell ref="BZG94:BZO94"/>
    <mergeCell ref="BZP94:BZX94"/>
    <mergeCell ref="BZY94:CAG94"/>
    <mergeCell ref="CAH94:CAP94"/>
    <mergeCell ref="BUK94:BUS94"/>
    <mergeCell ref="BUT94:BVB94"/>
    <mergeCell ref="BVC94:BVK94"/>
    <mergeCell ref="BVL94:BVT94"/>
    <mergeCell ref="BVU94:BWC94"/>
    <mergeCell ref="BWD94:BWL94"/>
    <mergeCell ref="BWM94:BWU94"/>
    <mergeCell ref="BWV94:BXD94"/>
    <mergeCell ref="BXE94:BXM94"/>
    <mergeCell ref="BRH94:BRP94"/>
    <mergeCell ref="BRQ94:BRY94"/>
    <mergeCell ref="BRZ94:BSH94"/>
    <mergeCell ref="BSI94:BSQ94"/>
    <mergeCell ref="BSR94:BSZ94"/>
    <mergeCell ref="BTA94:BTI94"/>
    <mergeCell ref="BTJ94:BTR94"/>
    <mergeCell ref="BTS94:BUA94"/>
    <mergeCell ref="BUB94:BUJ94"/>
    <mergeCell ref="BOE94:BOM94"/>
    <mergeCell ref="BON94:BOV94"/>
    <mergeCell ref="BOW94:BPE94"/>
    <mergeCell ref="BPF94:BPN94"/>
    <mergeCell ref="BPO94:BPW94"/>
    <mergeCell ref="BPX94:BQF94"/>
    <mergeCell ref="BQG94:BQO94"/>
    <mergeCell ref="BQP94:BQX94"/>
    <mergeCell ref="BQY94:BRG94"/>
    <mergeCell ref="BLB94:BLJ94"/>
    <mergeCell ref="BLK94:BLS94"/>
    <mergeCell ref="BLT94:BMB94"/>
    <mergeCell ref="BMC94:BMK94"/>
    <mergeCell ref="BML94:BMT94"/>
    <mergeCell ref="BMU94:BNC94"/>
    <mergeCell ref="BND94:BNL94"/>
    <mergeCell ref="BNM94:BNU94"/>
    <mergeCell ref="BNV94:BOD94"/>
    <mergeCell ref="BHY94:BIG94"/>
    <mergeCell ref="BIH94:BIP94"/>
    <mergeCell ref="BIQ94:BIY94"/>
    <mergeCell ref="BIZ94:BJH94"/>
    <mergeCell ref="BJI94:BJQ94"/>
    <mergeCell ref="BJR94:BJZ94"/>
    <mergeCell ref="BKA94:BKI94"/>
    <mergeCell ref="BKJ94:BKR94"/>
    <mergeCell ref="BKS94:BLA94"/>
    <mergeCell ref="BEV94:BFD94"/>
    <mergeCell ref="BFE94:BFM94"/>
    <mergeCell ref="BFN94:BFV94"/>
    <mergeCell ref="BFW94:BGE94"/>
    <mergeCell ref="BGF94:BGN94"/>
    <mergeCell ref="BGO94:BGW94"/>
    <mergeCell ref="BGX94:BHF94"/>
    <mergeCell ref="BHG94:BHO94"/>
    <mergeCell ref="BHP94:BHX94"/>
    <mergeCell ref="BBS94:BCA94"/>
    <mergeCell ref="BCB94:BCJ94"/>
    <mergeCell ref="BCK94:BCS94"/>
    <mergeCell ref="BCT94:BDB94"/>
    <mergeCell ref="BDC94:BDK94"/>
    <mergeCell ref="BDL94:BDT94"/>
    <mergeCell ref="BDU94:BEC94"/>
    <mergeCell ref="BED94:BEL94"/>
    <mergeCell ref="BEM94:BEU94"/>
    <mergeCell ref="AYP94:AYX94"/>
    <mergeCell ref="AYY94:AZG94"/>
    <mergeCell ref="AZH94:AZP94"/>
    <mergeCell ref="AZQ94:AZY94"/>
    <mergeCell ref="AZZ94:BAH94"/>
    <mergeCell ref="BAI94:BAQ94"/>
    <mergeCell ref="BAR94:BAZ94"/>
    <mergeCell ref="BBA94:BBI94"/>
    <mergeCell ref="BBJ94:BBR94"/>
    <mergeCell ref="AVM94:AVU94"/>
    <mergeCell ref="AVV94:AWD94"/>
    <mergeCell ref="AWE94:AWM94"/>
    <mergeCell ref="AWN94:AWV94"/>
    <mergeCell ref="AWW94:AXE94"/>
    <mergeCell ref="AXF94:AXN94"/>
    <mergeCell ref="AXO94:AXW94"/>
    <mergeCell ref="AXX94:AYF94"/>
    <mergeCell ref="AYG94:AYO94"/>
    <mergeCell ref="ASJ94:ASR94"/>
    <mergeCell ref="ASS94:ATA94"/>
    <mergeCell ref="ATB94:ATJ94"/>
    <mergeCell ref="ATK94:ATS94"/>
    <mergeCell ref="ATT94:AUB94"/>
    <mergeCell ref="AUC94:AUK94"/>
    <mergeCell ref="AUL94:AUT94"/>
    <mergeCell ref="AUU94:AVC94"/>
    <mergeCell ref="AVD94:AVL94"/>
    <mergeCell ref="APG94:APO94"/>
    <mergeCell ref="APP94:APX94"/>
    <mergeCell ref="APY94:AQG94"/>
    <mergeCell ref="AQH94:AQP94"/>
    <mergeCell ref="AQQ94:AQY94"/>
    <mergeCell ref="AQZ94:ARH94"/>
    <mergeCell ref="ARI94:ARQ94"/>
    <mergeCell ref="ARR94:ARZ94"/>
    <mergeCell ref="ASA94:ASI94"/>
    <mergeCell ref="AMD94:AML94"/>
    <mergeCell ref="AMM94:AMU94"/>
    <mergeCell ref="AMV94:AND94"/>
    <mergeCell ref="ANE94:ANM94"/>
    <mergeCell ref="ANN94:ANV94"/>
    <mergeCell ref="ANW94:AOE94"/>
    <mergeCell ref="AOF94:AON94"/>
    <mergeCell ref="AOO94:AOW94"/>
    <mergeCell ref="AOX94:APF94"/>
    <mergeCell ref="AJA94:AJI94"/>
    <mergeCell ref="AJJ94:AJR94"/>
    <mergeCell ref="AJS94:AKA94"/>
    <mergeCell ref="AKB94:AKJ94"/>
    <mergeCell ref="AKK94:AKS94"/>
    <mergeCell ref="AKT94:ALB94"/>
    <mergeCell ref="ALC94:ALK94"/>
    <mergeCell ref="ALL94:ALT94"/>
    <mergeCell ref="ALU94:AMC94"/>
    <mergeCell ref="AFX94:AGF94"/>
    <mergeCell ref="AGG94:AGO94"/>
    <mergeCell ref="AGP94:AGX94"/>
    <mergeCell ref="AGY94:AHG94"/>
    <mergeCell ref="AHH94:AHP94"/>
    <mergeCell ref="AHQ94:AHY94"/>
    <mergeCell ref="AHZ94:AIH94"/>
    <mergeCell ref="AII94:AIQ94"/>
    <mergeCell ref="AIR94:AIZ94"/>
    <mergeCell ref="ACU94:ADC94"/>
    <mergeCell ref="ADD94:ADL94"/>
    <mergeCell ref="ADM94:ADU94"/>
    <mergeCell ref="ADV94:AED94"/>
    <mergeCell ref="AEE94:AEM94"/>
    <mergeCell ref="AEN94:AEV94"/>
    <mergeCell ref="AEW94:AFE94"/>
    <mergeCell ref="AFF94:AFN94"/>
    <mergeCell ref="AFO94:AFW94"/>
    <mergeCell ref="ZR94:ZZ94"/>
    <mergeCell ref="AAA94:AAI94"/>
    <mergeCell ref="AAJ94:AAR94"/>
    <mergeCell ref="AAS94:ABA94"/>
    <mergeCell ref="ABB94:ABJ94"/>
    <mergeCell ref="ABK94:ABS94"/>
    <mergeCell ref="ABT94:ACB94"/>
    <mergeCell ref="ACC94:ACK94"/>
    <mergeCell ref="ACL94:ACT94"/>
    <mergeCell ref="WO94:WW94"/>
    <mergeCell ref="WX94:XF94"/>
    <mergeCell ref="XG94:XO94"/>
    <mergeCell ref="XP94:XX94"/>
    <mergeCell ref="XY94:YG94"/>
    <mergeCell ref="YH94:YP94"/>
    <mergeCell ref="YQ94:YY94"/>
    <mergeCell ref="YZ94:ZH94"/>
    <mergeCell ref="ZI94:ZQ94"/>
    <mergeCell ref="TL94:TT94"/>
    <mergeCell ref="TU94:UC94"/>
    <mergeCell ref="UD94:UL94"/>
    <mergeCell ref="UM94:UU94"/>
    <mergeCell ref="UV94:VD94"/>
    <mergeCell ref="VE94:VM94"/>
    <mergeCell ref="VN94:VV94"/>
    <mergeCell ref="VW94:WE94"/>
    <mergeCell ref="WF94:WN94"/>
    <mergeCell ref="QI94:QQ94"/>
    <mergeCell ref="QR94:QZ94"/>
    <mergeCell ref="RA94:RI94"/>
    <mergeCell ref="RJ94:RR94"/>
    <mergeCell ref="RS94:SA94"/>
    <mergeCell ref="SB94:SJ94"/>
    <mergeCell ref="SK94:SS94"/>
    <mergeCell ref="ST94:TB94"/>
    <mergeCell ref="TC94:TK94"/>
    <mergeCell ref="NF94:NN94"/>
    <mergeCell ref="NO94:NW94"/>
    <mergeCell ref="NX94:OF94"/>
    <mergeCell ref="OG94:OO94"/>
    <mergeCell ref="OP94:OX94"/>
    <mergeCell ref="OY94:PG94"/>
    <mergeCell ref="PH94:PP94"/>
    <mergeCell ref="PQ94:PY94"/>
    <mergeCell ref="PZ94:QH94"/>
    <mergeCell ref="KC94:KK94"/>
    <mergeCell ref="KL94:KT94"/>
    <mergeCell ref="KU94:LC94"/>
    <mergeCell ref="LD94:LL94"/>
    <mergeCell ref="LM94:LU94"/>
    <mergeCell ref="LV94:MD94"/>
    <mergeCell ref="ME94:MM94"/>
    <mergeCell ref="MN94:MV94"/>
    <mergeCell ref="MW94:NE94"/>
    <mergeCell ref="GZ94:HH94"/>
    <mergeCell ref="HI94:HQ94"/>
    <mergeCell ref="HR94:HZ94"/>
    <mergeCell ref="IA94:II94"/>
    <mergeCell ref="IJ94:IR94"/>
    <mergeCell ref="IS94:JA94"/>
    <mergeCell ref="JB94:JJ94"/>
    <mergeCell ref="JK94:JS94"/>
    <mergeCell ref="JT94:KB94"/>
    <mergeCell ref="XER93:XEZ93"/>
    <mergeCell ref="XFA93:XFD93"/>
    <mergeCell ref="J94:R94"/>
    <mergeCell ref="S94:AA94"/>
    <mergeCell ref="AB94:AJ94"/>
    <mergeCell ref="AK94:AS94"/>
    <mergeCell ref="AT94:BB94"/>
    <mergeCell ref="BC94:BK94"/>
    <mergeCell ref="BL94:BT94"/>
    <mergeCell ref="BU94:CC94"/>
    <mergeCell ref="CD94:CL94"/>
    <mergeCell ref="CM94:CU94"/>
    <mergeCell ref="CV94:DD94"/>
    <mergeCell ref="DE94:DM94"/>
    <mergeCell ref="DN94:DV94"/>
    <mergeCell ref="DW94:EE94"/>
    <mergeCell ref="EF94:EN94"/>
    <mergeCell ref="EO94:EW94"/>
    <mergeCell ref="EX94:FF94"/>
    <mergeCell ref="FG94:FO94"/>
    <mergeCell ref="FP94:FX94"/>
    <mergeCell ref="FY94:GG94"/>
    <mergeCell ref="GH94:GP94"/>
    <mergeCell ref="GQ94:GY94"/>
    <mergeCell ref="XBO93:XBW93"/>
    <mergeCell ref="XBX93:XCF93"/>
    <mergeCell ref="XCG93:XCO93"/>
    <mergeCell ref="XCP93:XCX93"/>
    <mergeCell ref="XCY93:XDG93"/>
    <mergeCell ref="XDH93:XDP93"/>
    <mergeCell ref="XDQ93:XDY93"/>
    <mergeCell ref="XDZ93:XEH93"/>
    <mergeCell ref="XEI93:XEQ93"/>
    <mergeCell ref="WYL93:WYT93"/>
    <mergeCell ref="WYU93:WZC93"/>
    <mergeCell ref="WZD93:WZL93"/>
    <mergeCell ref="WZM93:WZU93"/>
    <mergeCell ref="WZV93:XAD93"/>
    <mergeCell ref="XAE93:XAM93"/>
    <mergeCell ref="XAN93:XAV93"/>
    <mergeCell ref="XAW93:XBE93"/>
    <mergeCell ref="XBF93:XBN93"/>
    <mergeCell ref="WVI93:WVQ93"/>
    <mergeCell ref="WVR93:WVZ93"/>
    <mergeCell ref="WWA93:WWI93"/>
    <mergeCell ref="WWJ93:WWR93"/>
    <mergeCell ref="WWS93:WXA93"/>
    <mergeCell ref="WXB93:WXJ93"/>
    <mergeCell ref="WXK93:WXS93"/>
    <mergeCell ref="WXT93:WYB93"/>
    <mergeCell ref="WYC93:WYK93"/>
    <mergeCell ref="WSF93:WSN93"/>
    <mergeCell ref="WSO93:WSW93"/>
    <mergeCell ref="WSX93:WTF93"/>
    <mergeCell ref="WTG93:WTO93"/>
    <mergeCell ref="WTP93:WTX93"/>
    <mergeCell ref="WTY93:WUG93"/>
    <mergeCell ref="WUH93:WUP93"/>
    <mergeCell ref="WUQ93:WUY93"/>
    <mergeCell ref="WUZ93:WVH93"/>
    <mergeCell ref="WPC93:WPK93"/>
    <mergeCell ref="WPL93:WPT93"/>
    <mergeCell ref="WPU93:WQC93"/>
    <mergeCell ref="WQD93:WQL93"/>
    <mergeCell ref="WQM93:WQU93"/>
    <mergeCell ref="WQV93:WRD93"/>
    <mergeCell ref="WRE93:WRM93"/>
    <mergeCell ref="WRN93:WRV93"/>
    <mergeCell ref="WRW93:WSE93"/>
    <mergeCell ref="WLZ93:WMH93"/>
    <mergeCell ref="WMI93:WMQ93"/>
    <mergeCell ref="WMR93:WMZ93"/>
    <mergeCell ref="WNA93:WNI93"/>
    <mergeCell ref="WNJ93:WNR93"/>
    <mergeCell ref="WNS93:WOA93"/>
    <mergeCell ref="WOB93:WOJ93"/>
    <mergeCell ref="WOK93:WOS93"/>
    <mergeCell ref="WOT93:WPB93"/>
    <mergeCell ref="WIW93:WJE93"/>
    <mergeCell ref="WJF93:WJN93"/>
    <mergeCell ref="WJO93:WJW93"/>
    <mergeCell ref="WJX93:WKF93"/>
    <mergeCell ref="WKG93:WKO93"/>
    <mergeCell ref="WKP93:WKX93"/>
    <mergeCell ref="WKY93:WLG93"/>
    <mergeCell ref="WLH93:WLP93"/>
    <mergeCell ref="WLQ93:WLY93"/>
    <mergeCell ref="WFT93:WGB93"/>
    <mergeCell ref="WGC93:WGK93"/>
    <mergeCell ref="WGL93:WGT93"/>
    <mergeCell ref="WGU93:WHC93"/>
    <mergeCell ref="WHD93:WHL93"/>
    <mergeCell ref="WHM93:WHU93"/>
    <mergeCell ref="WHV93:WID93"/>
    <mergeCell ref="WIE93:WIM93"/>
    <mergeCell ref="WIN93:WIV93"/>
    <mergeCell ref="WCQ93:WCY93"/>
    <mergeCell ref="WCZ93:WDH93"/>
    <mergeCell ref="WDI93:WDQ93"/>
    <mergeCell ref="WDR93:WDZ93"/>
    <mergeCell ref="WEA93:WEI93"/>
    <mergeCell ref="WEJ93:WER93"/>
    <mergeCell ref="WES93:WFA93"/>
    <mergeCell ref="WFB93:WFJ93"/>
    <mergeCell ref="WFK93:WFS93"/>
    <mergeCell ref="VZN93:VZV93"/>
    <mergeCell ref="VZW93:WAE93"/>
    <mergeCell ref="WAF93:WAN93"/>
    <mergeCell ref="WAO93:WAW93"/>
    <mergeCell ref="WAX93:WBF93"/>
    <mergeCell ref="WBG93:WBO93"/>
    <mergeCell ref="WBP93:WBX93"/>
    <mergeCell ref="WBY93:WCG93"/>
    <mergeCell ref="WCH93:WCP93"/>
    <mergeCell ref="VWK93:VWS93"/>
    <mergeCell ref="VWT93:VXB93"/>
    <mergeCell ref="VXC93:VXK93"/>
    <mergeCell ref="VXL93:VXT93"/>
    <mergeCell ref="VXU93:VYC93"/>
    <mergeCell ref="VYD93:VYL93"/>
    <mergeCell ref="VYM93:VYU93"/>
    <mergeCell ref="VYV93:VZD93"/>
    <mergeCell ref="VZE93:VZM93"/>
    <mergeCell ref="VTH93:VTP93"/>
    <mergeCell ref="VTQ93:VTY93"/>
    <mergeCell ref="VTZ93:VUH93"/>
    <mergeCell ref="VUI93:VUQ93"/>
    <mergeCell ref="VUR93:VUZ93"/>
    <mergeCell ref="VVA93:VVI93"/>
    <mergeCell ref="VVJ93:VVR93"/>
    <mergeCell ref="VVS93:VWA93"/>
    <mergeCell ref="VWB93:VWJ93"/>
    <mergeCell ref="VQE93:VQM93"/>
    <mergeCell ref="VQN93:VQV93"/>
    <mergeCell ref="VQW93:VRE93"/>
    <mergeCell ref="VRF93:VRN93"/>
    <mergeCell ref="VRO93:VRW93"/>
    <mergeCell ref="VRX93:VSF93"/>
    <mergeCell ref="VSG93:VSO93"/>
    <mergeCell ref="VSP93:VSX93"/>
    <mergeCell ref="VSY93:VTG93"/>
    <mergeCell ref="VNB93:VNJ93"/>
    <mergeCell ref="VNK93:VNS93"/>
    <mergeCell ref="VNT93:VOB93"/>
    <mergeCell ref="VOC93:VOK93"/>
    <mergeCell ref="VOL93:VOT93"/>
    <mergeCell ref="VOU93:VPC93"/>
    <mergeCell ref="VPD93:VPL93"/>
    <mergeCell ref="VPM93:VPU93"/>
    <mergeCell ref="VPV93:VQD93"/>
    <mergeCell ref="VJY93:VKG93"/>
    <mergeCell ref="VKH93:VKP93"/>
    <mergeCell ref="VKQ93:VKY93"/>
    <mergeCell ref="VKZ93:VLH93"/>
    <mergeCell ref="VLI93:VLQ93"/>
    <mergeCell ref="VLR93:VLZ93"/>
    <mergeCell ref="VMA93:VMI93"/>
    <mergeCell ref="VMJ93:VMR93"/>
    <mergeCell ref="VMS93:VNA93"/>
    <mergeCell ref="VGV93:VHD93"/>
    <mergeCell ref="VHE93:VHM93"/>
    <mergeCell ref="VHN93:VHV93"/>
    <mergeCell ref="VHW93:VIE93"/>
    <mergeCell ref="VIF93:VIN93"/>
    <mergeCell ref="VIO93:VIW93"/>
    <mergeCell ref="VIX93:VJF93"/>
    <mergeCell ref="VJG93:VJO93"/>
    <mergeCell ref="VJP93:VJX93"/>
    <mergeCell ref="VDS93:VEA93"/>
    <mergeCell ref="VEB93:VEJ93"/>
    <mergeCell ref="VEK93:VES93"/>
    <mergeCell ref="VET93:VFB93"/>
    <mergeCell ref="VFC93:VFK93"/>
    <mergeCell ref="VFL93:VFT93"/>
    <mergeCell ref="VFU93:VGC93"/>
    <mergeCell ref="VGD93:VGL93"/>
    <mergeCell ref="VGM93:VGU93"/>
    <mergeCell ref="VAP93:VAX93"/>
    <mergeCell ref="VAY93:VBG93"/>
    <mergeCell ref="VBH93:VBP93"/>
    <mergeCell ref="VBQ93:VBY93"/>
    <mergeCell ref="VBZ93:VCH93"/>
    <mergeCell ref="VCI93:VCQ93"/>
    <mergeCell ref="VCR93:VCZ93"/>
    <mergeCell ref="VDA93:VDI93"/>
    <mergeCell ref="VDJ93:VDR93"/>
    <mergeCell ref="UXM93:UXU93"/>
    <mergeCell ref="UXV93:UYD93"/>
    <mergeCell ref="UYE93:UYM93"/>
    <mergeCell ref="UYN93:UYV93"/>
    <mergeCell ref="UYW93:UZE93"/>
    <mergeCell ref="UZF93:UZN93"/>
    <mergeCell ref="UZO93:UZW93"/>
    <mergeCell ref="UZX93:VAF93"/>
    <mergeCell ref="VAG93:VAO93"/>
    <mergeCell ref="UUJ93:UUR93"/>
    <mergeCell ref="UUS93:UVA93"/>
    <mergeCell ref="UVB93:UVJ93"/>
    <mergeCell ref="UVK93:UVS93"/>
    <mergeCell ref="UVT93:UWB93"/>
    <mergeCell ref="UWC93:UWK93"/>
    <mergeCell ref="UWL93:UWT93"/>
    <mergeCell ref="UWU93:UXC93"/>
    <mergeCell ref="UXD93:UXL93"/>
    <mergeCell ref="URG93:URO93"/>
    <mergeCell ref="URP93:URX93"/>
    <mergeCell ref="URY93:USG93"/>
    <mergeCell ref="USH93:USP93"/>
    <mergeCell ref="USQ93:USY93"/>
    <mergeCell ref="USZ93:UTH93"/>
    <mergeCell ref="UTI93:UTQ93"/>
    <mergeCell ref="UTR93:UTZ93"/>
    <mergeCell ref="UUA93:UUI93"/>
    <mergeCell ref="UOD93:UOL93"/>
    <mergeCell ref="UOM93:UOU93"/>
    <mergeCell ref="UOV93:UPD93"/>
    <mergeCell ref="UPE93:UPM93"/>
    <mergeCell ref="UPN93:UPV93"/>
    <mergeCell ref="UPW93:UQE93"/>
    <mergeCell ref="UQF93:UQN93"/>
    <mergeCell ref="UQO93:UQW93"/>
    <mergeCell ref="UQX93:URF93"/>
    <mergeCell ref="ULA93:ULI93"/>
    <mergeCell ref="ULJ93:ULR93"/>
    <mergeCell ref="ULS93:UMA93"/>
    <mergeCell ref="UMB93:UMJ93"/>
    <mergeCell ref="UMK93:UMS93"/>
    <mergeCell ref="UMT93:UNB93"/>
    <mergeCell ref="UNC93:UNK93"/>
    <mergeCell ref="UNL93:UNT93"/>
    <mergeCell ref="UNU93:UOC93"/>
    <mergeCell ref="UHX93:UIF93"/>
    <mergeCell ref="UIG93:UIO93"/>
    <mergeCell ref="UIP93:UIX93"/>
    <mergeCell ref="UIY93:UJG93"/>
    <mergeCell ref="UJH93:UJP93"/>
    <mergeCell ref="UJQ93:UJY93"/>
    <mergeCell ref="UJZ93:UKH93"/>
    <mergeCell ref="UKI93:UKQ93"/>
    <mergeCell ref="UKR93:UKZ93"/>
    <mergeCell ref="UEU93:UFC93"/>
    <mergeCell ref="UFD93:UFL93"/>
    <mergeCell ref="UFM93:UFU93"/>
    <mergeCell ref="UFV93:UGD93"/>
    <mergeCell ref="UGE93:UGM93"/>
    <mergeCell ref="UGN93:UGV93"/>
    <mergeCell ref="UGW93:UHE93"/>
    <mergeCell ref="UHF93:UHN93"/>
    <mergeCell ref="UHO93:UHW93"/>
    <mergeCell ref="UBR93:UBZ93"/>
    <mergeCell ref="UCA93:UCI93"/>
    <mergeCell ref="UCJ93:UCR93"/>
    <mergeCell ref="UCS93:UDA93"/>
    <mergeCell ref="UDB93:UDJ93"/>
    <mergeCell ref="UDK93:UDS93"/>
    <mergeCell ref="UDT93:UEB93"/>
    <mergeCell ref="UEC93:UEK93"/>
    <mergeCell ref="UEL93:UET93"/>
    <mergeCell ref="TYO93:TYW93"/>
    <mergeCell ref="TYX93:TZF93"/>
    <mergeCell ref="TZG93:TZO93"/>
    <mergeCell ref="TZP93:TZX93"/>
    <mergeCell ref="TZY93:UAG93"/>
    <mergeCell ref="UAH93:UAP93"/>
    <mergeCell ref="UAQ93:UAY93"/>
    <mergeCell ref="UAZ93:UBH93"/>
    <mergeCell ref="UBI93:UBQ93"/>
    <mergeCell ref="TVL93:TVT93"/>
    <mergeCell ref="TVU93:TWC93"/>
    <mergeCell ref="TWD93:TWL93"/>
    <mergeCell ref="TWM93:TWU93"/>
    <mergeCell ref="TWV93:TXD93"/>
    <mergeCell ref="TXE93:TXM93"/>
    <mergeCell ref="TXN93:TXV93"/>
    <mergeCell ref="TXW93:TYE93"/>
    <mergeCell ref="TYF93:TYN93"/>
    <mergeCell ref="TSI93:TSQ93"/>
    <mergeCell ref="TSR93:TSZ93"/>
    <mergeCell ref="TTA93:TTI93"/>
    <mergeCell ref="TTJ93:TTR93"/>
    <mergeCell ref="TTS93:TUA93"/>
    <mergeCell ref="TUB93:TUJ93"/>
    <mergeCell ref="TUK93:TUS93"/>
    <mergeCell ref="TUT93:TVB93"/>
    <mergeCell ref="TVC93:TVK93"/>
    <mergeCell ref="TPF93:TPN93"/>
    <mergeCell ref="TPO93:TPW93"/>
    <mergeCell ref="TPX93:TQF93"/>
    <mergeCell ref="TQG93:TQO93"/>
    <mergeCell ref="TQP93:TQX93"/>
    <mergeCell ref="TQY93:TRG93"/>
    <mergeCell ref="TRH93:TRP93"/>
    <mergeCell ref="TRQ93:TRY93"/>
    <mergeCell ref="TRZ93:TSH93"/>
    <mergeCell ref="TMC93:TMK93"/>
    <mergeCell ref="TML93:TMT93"/>
    <mergeCell ref="TMU93:TNC93"/>
    <mergeCell ref="TND93:TNL93"/>
    <mergeCell ref="TNM93:TNU93"/>
    <mergeCell ref="TNV93:TOD93"/>
    <mergeCell ref="TOE93:TOM93"/>
    <mergeCell ref="TON93:TOV93"/>
    <mergeCell ref="TOW93:TPE93"/>
    <mergeCell ref="TIZ93:TJH93"/>
    <mergeCell ref="TJI93:TJQ93"/>
    <mergeCell ref="TJR93:TJZ93"/>
    <mergeCell ref="TKA93:TKI93"/>
    <mergeCell ref="TKJ93:TKR93"/>
    <mergeCell ref="TKS93:TLA93"/>
    <mergeCell ref="TLB93:TLJ93"/>
    <mergeCell ref="TLK93:TLS93"/>
    <mergeCell ref="TLT93:TMB93"/>
    <mergeCell ref="TFW93:TGE93"/>
    <mergeCell ref="TGF93:TGN93"/>
    <mergeCell ref="TGO93:TGW93"/>
    <mergeCell ref="TGX93:THF93"/>
    <mergeCell ref="THG93:THO93"/>
    <mergeCell ref="THP93:THX93"/>
    <mergeCell ref="THY93:TIG93"/>
    <mergeCell ref="TIH93:TIP93"/>
    <mergeCell ref="TIQ93:TIY93"/>
    <mergeCell ref="TCT93:TDB93"/>
    <mergeCell ref="TDC93:TDK93"/>
    <mergeCell ref="TDL93:TDT93"/>
    <mergeCell ref="TDU93:TEC93"/>
    <mergeCell ref="TED93:TEL93"/>
    <mergeCell ref="TEM93:TEU93"/>
    <mergeCell ref="TEV93:TFD93"/>
    <mergeCell ref="TFE93:TFM93"/>
    <mergeCell ref="TFN93:TFV93"/>
    <mergeCell ref="SZQ93:SZY93"/>
    <mergeCell ref="SZZ93:TAH93"/>
    <mergeCell ref="TAI93:TAQ93"/>
    <mergeCell ref="TAR93:TAZ93"/>
    <mergeCell ref="TBA93:TBI93"/>
    <mergeCell ref="TBJ93:TBR93"/>
    <mergeCell ref="TBS93:TCA93"/>
    <mergeCell ref="TCB93:TCJ93"/>
    <mergeCell ref="TCK93:TCS93"/>
    <mergeCell ref="SWN93:SWV93"/>
    <mergeCell ref="SWW93:SXE93"/>
    <mergeCell ref="SXF93:SXN93"/>
    <mergeCell ref="SXO93:SXW93"/>
    <mergeCell ref="SXX93:SYF93"/>
    <mergeCell ref="SYG93:SYO93"/>
    <mergeCell ref="SYP93:SYX93"/>
    <mergeCell ref="SYY93:SZG93"/>
    <mergeCell ref="SZH93:SZP93"/>
    <mergeCell ref="STK93:STS93"/>
    <mergeCell ref="STT93:SUB93"/>
    <mergeCell ref="SUC93:SUK93"/>
    <mergeCell ref="SUL93:SUT93"/>
    <mergeCell ref="SUU93:SVC93"/>
    <mergeCell ref="SVD93:SVL93"/>
    <mergeCell ref="SVM93:SVU93"/>
    <mergeCell ref="SVV93:SWD93"/>
    <mergeCell ref="SWE93:SWM93"/>
    <mergeCell ref="SQH93:SQP93"/>
    <mergeCell ref="SQQ93:SQY93"/>
    <mergeCell ref="SQZ93:SRH93"/>
    <mergeCell ref="SRI93:SRQ93"/>
    <mergeCell ref="SRR93:SRZ93"/>
    <mergeCell ref="SSA93:SSI93"/>
    <mergeCell ref="SSJ93:SSR93"/>
    <mergeCell ref="SSS93:STA93"/>
    <mergeCell ref="STB93:STJ93"/>
    <mergeCell ref="SNE93:SNM93"/>
    <mergeCell ref="SNN93:SNV93"/>
    <mergeCell ref="SNW93:SOE93"/>
    <mergeCell ref="SOF93:SON93"/>
    <mergeCell ref="SOO93:SOW93"/>
    <mergeCell ref="SOX93:SPF93"/>
    <mergeCell ref="SPG93:SPO93"/>
    <mergeCell ref="SPP93:SPX93"/>
    <mergeCell ref="SPY93:SQG93"/>
    <mergeCell ref="SKB93:SKJ93"/>
    <mergeCell ref="SKK93:SKS93"/>
    <mergeCell ref="SKT93:SLB93"/>
    <mergeCell ref="SLC93:SLK93"/>
    <mergeCell ref="SLL93:SLT93"/>
    <mergeCell ref="SLU93:SMC93"/>
    <mergeCell ref="SMD93:SML93"/>
    <mergeCell ref="SMM93:SMU93"/>
    <mergeCell ref="SMV93:SND93"/>
    <mergeCell ref="SGY93:SHG93"/>
    <mergeCell ref="SHH93:SHP93"/>
    <mergeCell ref="SHQ93:SHY93"/>
    <mergeCell ref="SHZ93:SIH93"/>
    <mergeCell ref="SII93:SIQ93"/>
    <mergeCell ref="SIR93:SIZ93"/>
    <mergeCell ref="SJA93:SJI93"/>
    <mergeCell ref="SJJ93:SJR93"/>
    <mergeCell ref="SJS93:SKA93"/>
    <mergeCell ref="SDV93:SED93"/>
    <mergeCell ref="SEE93:SEM93"/>
    <mergeCell ref="SEN93:SEV93"/>
    <mergeCell ref="SEW93:SFE93"/>
    <mergeCell ref="SFF93:SFN93"/>
    <mergeCell ref="SFO93:SFW93"/>
    <mergeCell ref="SFX93:SGF93"/>
    <mergeCell ref="SGG93:SGO93"/>
    <mergeCell ref="SGP93:SGX93"/>
    <mergeCell ref="SAS93:SBA93"/>
    <mergeCell ref="SBB93:SBJ93"/>
    <mergeCell ref="SBK93:SBS93"/>
    <mergeCell ref="SBT93:SCB93"/>
    <mergeCell ref="SCC93:SCK93"/>
    <mergeCell ref="SCL93:SCT93"/>
    <mergeCell ref="SCU93:SDC93"/>
    <mergeCell ref="SDD93:SDL93"/>
    <mergeCell ref="SDM93:SDU93"/>
    <mergeCell ref="RXP93:RXX93"/>
    <mergeCell ref="RXY93:RYG93"/>
    <mergeCell ref="RYH93:RYP93"/>
    <mergeCell ref="RYQ93:RYY93"/>
    <mergeCell ref="RYZ93:RZH93"/>
    <mergeCell ref="RZI93:RZQ93"/>
    <mergeCell ref="RZR93:RZZ93"/>
    <mergeCell ref="SAA93:SAI93"/>
    <mergeCell ref="SAJ93:SAR93"/>
    <mergeCell ref="RUM93:RUU93"/>
    <mergeCell ref="RUV93:RVD93"/>
    <mergeCell ref="RVE93:RVM93"/>
    <mergeCell ref="RVN93:RVV93"/>
    <mergeCell ref="RVW93:RWE93"/>
    <mergeCell ref="RWF93:RWN93"/>
    <mergeCell ref="RWO93:RWW93"/>
    <mergeCell ref="RWX93:RXF93"/>
    <mergeCell ref="RXG93:RXO93"/>
    <mergeCell ref="RRJ93:RRR93"/>
    <mergeCell ref="RRS93:RSA93"/>
    <mergeCell ref="RSB93:RSJ93"/>
    <mergeCell ref="RSK93:RSS93"/>
    <mergeCell ref="RST93:RTB93"/>
    <mergeCell ref="RTC93:RTK93"/>
    <mergeCell ref="RTL93:RTT93"/>
    <mergeCell ref="RTU93:RUC93"/>
    <mergeCell ref="RUD93:RUL93"/>
    <mergeCell ref="ROG93:ROO93"/>
    <mergeCell ref="ROP93:ROX93"/>
    <mergeCell ref="ROY93:RPG93"/>
    <mergeCell ref="RPH93:RPP93"/>
    <mergeCell ref="RPQ93:RPY93"/>
    <mergeCell ref="RPZ93:RQH93"/>
    <mergeCell ref="RQI93:RQQ93"/>
    <mergeCell ref="RQR93:RQZ93"/>
    <mergeCell ref="RRA93:RRI93"/>
    <mergeCell ref="RLD93:RLL93"/>
    <mergeCell ref="RLM93:RLU93"/>
    <mergeCell ref="RLV93:RMD93"/>
    <mergeCell ref="RME93:RMM93"/>
    <mergeCell ref="RMN93:RMV93"/>
    <mergeCell ref="RMW93:RNE93"/>
    <mergeCell ref="RNF93:RNN93"/>
    <mergeCell ref="RNO93:RNW93"/>
    <mergeCell ref="RNX93:ROF93"/>
    <mergeCell ref="RIA93:RII93"/>
    <mergeCell ref="RIJ93:RIR93"/>
    <mergeCell ref="RIS93:RJA93"/>
    <mergeCell ref="RJB93:RJJ93"/>
    <mergeCell ref="RJK93:RJS93"/>
    <mergeCell ref="RJT93:RKB93"/>
    <mergeCell ref="RKC93:RKK93"/>
    <mergeCell ref="RKL93:RKT93"/>
    <mergeCell ref="RKU93:RLC93"/>
    <mergeCell ref="REX93:RFF93"/>
    <mergeCell ref="RFG93:RFO93"/>
    <mergeCell ref="RFP93:RFX93"/>
    <mergeCell ref="RFY93:RGG93"/>
    <mergeCell ref="RGH93:RGP93"/>
    <mergeCell ref="RGQ93:RGY93"/>
    <mergeCell ref="RGZ93:RHH93"/>
    <mergeCell ref="RHI93:RHQ93"/>
    <mergeCell ref="RHR93:RHZ93"/>
    <mergeCell ref="RBU93:RCC93"/>
    <mergeCell ref="RCD93:RCL93"/>
    <mergeCell ref="RCM93:RCU93"/>
    <mergeCell ref="RCV93:RDD93"/>
    <mergeCell ref="RDE93:RDM93"/>
    <mergeCell ref="RDN93:RDV93"/>
    <mergeCell ref="RDW93:REE93"/>
    <mergeCell ref="REF93:REN93"/>
    <mergeCell ref="REO93:REW93"/>
    <mergeCell ref="QYR93:QYZ93"/>
    <mergeCell ref="QZA93:QZI93"/>
    <mergeCell ref="QZJ93:QZR93"/>
    <mergeCell ref="QZS93:RAA93"/>
    <mergeCell ref="RAB93:RAJ93"/>
    <mergeCell ref="RAK93:RAS93"/>
    <mergeCell ref="RAT93:RBB93"/>
    <mergeCell ref="RBC93:RBK93"/>
    <mergeCell ref="RBL93:RBT93"/>
    <mergeCell ref="QVO93:QVW93"/>
    <mergeCell ref="QVX93:QWF93"/>
    <mergeCell ref="QWG93:QWO93"/>
    <mergeCell ref="QWP93:QWX93"/>
    <mergeCell ref="QWY93:QXG93"/>
    <mergeCell ref="QXH93:QXP93"/>
    <mergeCell ref="QXQ93:QXY93"/>
    <mergeCell ref="QXZ93:QYH93"/>
    <mergeCell ref="QYI93:QYQ93"/>
    <mergeCell ref="QSL93:QST93"/>
    <mergeCell ref="QSU93:QTC93"/>
    <mergeCell ref="QTD93:QTL93"/>
    <mergeCell ref="QTM93:QTU93"/>
    <mergeCell ref="QTV93:QUD93"/>
    <mergeCell ref="QUE93:QUM93"/>
    <mergeCell ref="QUN93:QUV93"/>
    <mergeCell ref="QUW93:QVE93"/>
    <mergeCell ref="QVF93:QVN93"/>
    <mergeCell ref="QPI93:QPQ93"/>
    <mergeCell ref="QPR93:QPZ93"/>
    <mergeCell ref="QQA93:QQI93"/>
    <mergeCell ref="QQJ93:QQR93"/>
    <mergeCell ref="QQS93:QRA93"/>
    <mergeCell ref="QRB93:QRJ93"/>
    <mergeCell ref="QRK93:QRS93"/>
    <mergeCell ref="QRT93:QSB93"/>
    <mergeCell ref="QSC93:QSK93"/>
    <mergeCell ref="QMF93:QMN93"/>
    <mergeCell ref="QMO93:QMW93"/>
    <mergeCell ref="QMX93:QNF93"/>
    <mergeCell ref="QNG93:QNO93"/>
    <mergeCell ref="QNP93:QNX93"/>
    <mergeCell ref="QNY93:QOG93"/>
    <mergeCell ref="QOH93:QOP93"/>
    <mergeCell ref="QOQ93:QOY93"/>
    <mergeCell ref="QOZ93:QPH93"/>
    <mergeCell ref="QJC93:QJK93"/>
    <mergeCell ref="QJL93:QJT93"/>
    <mergeCell ref="QJU93:QKC93"/>
    <mergeCell ref="QKD93:QKL93"/>
    <mergeCell ref="QKM93:QKU93"/>
    <mergeCell ref="QKV93:QLD93"/>
    <mergeCell ref="QLE93:QLM93"/>
    <mergeCell ref="QLN93:QLV93"/>
    <mergeCell ref="QLW93:QME93"/>
    <mergeCell ref="QFZ93:QGH93"/>
    <mergeCell ref="QGI93:QGQ93"/>
    <mergeCell ref="QGR93:QGZ93"/>
    <mergeCell ref="QHA93:QHI93"/>
    <mergeCell ref="QHJ93:QHR93"/>
    <mergeCell ref="QHS93:QIA93"/>
    <mergeCell ref="QIB93:QIJ93"/>
    <mergeCell ref="QIK93:QIS93"/>
    <mergeCell ref="QIT93:QJB93"/>
    <mergeCell ref="QCW93:QDE93"/>
    <mergeCell ref="QDF93:QDN93"/>
    <mergeCell ref="QDO93:QDW93"/>
    <mergeCell ref="QDX93:QEF93"/>
    <mergeCell ref="QEG93:QEO93"/>
    <mergeCell ref="QEP93:QEX93"/>
    <mergeCell ref="QEY93:QFG93"/>
    <mergeCell ref="QFH93:QFP93"/>
    <mergeCell ref="QFQ93:QFY93"/>
    <mergeCell ref="PZT93:QAB93"/>
    <mergeCell ref="QAC93:QAK93"/>
    <mergeCell ref="QAL93:QAT93"/>
    <mergeCell ref="QAU93:QBC93"/>
    <mergeCell ref="QBD93:QBL93"/>
    <mergeCell ref="QBM93:QBU93"/>
    <mergeCell ref="QBV93:QCD93"/>
    <mergeCell ref="QCE93:QCM93"/>
    <mergeCell ref="QCN93:QCV93"/>
    <mergeCell ref="PWQ93:PWY93"/>
    <mergeCell ref="PWZ93:PXH93"/>
    <mergeCell ref="PXI93:PXQ93"/>
    <mergeCell ref="PXR93:PXZ93"/>
    <mergeCell ref="PYA93:PYI93"/>
    <mergeCell ref="PYJ93:PYR93"/>
    <mergeCell ref="PYS93:PZA93"/>
    <mergeCell ref="PZB93:PZJ93"/>
    <mergeCell ref="PZK93:PZS93"/>
    <mergeCell ref="PTN93:PTV93"/>
    <mergeCell ref="PTW93:PUE93"/>
    <mergeCell ref="PUF93:PUN93"/>
    <mergeCell ref="PUO93:PUW93"/>
    <mergeCell ref="PUX93:PVF93"/>
    <mergeCell ref="PVG93:PVO93"/>
    <mergeCell ref="PVP93:PVX93"/>
    <mergeCell ref="PVY93:PWG93"/>
    <mergeCell ref="PWH93:PWP93"/>
    <mergeCell ref="PQK93:PQS93"/>
    <mergeCell ref="PQT93:PRB93"/>
    <mergeCell ref="PRC93:PRK93"/>
    <mergeCell ref="PRL93:PRT93"/>
    <mergeCell ref="PRU93:PSC93"/>
    <mergeCell ref="PSD93:PSL93"/>
    <mergeCell ref="PSM93:PSU93"/>
    <mergeCell ref="PSV93:PTD93"/>
    <mergeCell ref="PTE93:PTM93"/>
    <mergeCell ref="PNH93:PNP93"/>
    <mergeCell ref="PNQ93:PNY93"/>
    <mergeCell ref="PNZ93:POH93"/>
    <mergeCell ref="POI93:POQ93"/>
    <mergeCell ref="POR93:POZ93"/>
    <mergeCell ref="PPA93:PPI93"/>
    <mergeCell ref="PPJ93:PPR93"/>
    <mergeCell ref="PPS93:PQA93"/>
    <mergeCell ref="PQB93:PQJ93"/>
    <mergeCell ref="PKE93:PKM93"/>
    <mergeCell ref="PKN93:PKV93"/>
    <mergeCell ref="PKW93:PLE93"/>
    <mergeCell ref="PLF93:PLN93"/>
    <mergeCell ref="PLO93:PLW93"/>
    <mergeCell ref="PLX93:PMF93"/>
    <mergeCell ref="PMG93:PMO93"/>
    <mergeCell ref="PMP93:PMX93"/>
    <mergeCell ref="PMY93:PNG93"/>
    <mergeCell ref="PHB93:PHJ93"/>
    <mergeCell ref="PHK93:PHS93"/>
    <mergeCell ref="PHT93:PIB93"/>
    <mergeCell ref="PIC93:PIK93"/>
    <mergeCell ref="PIL93:PIT93"/>
    <mergeCell ref="PIU93:PJC93"/>
    <mergeCell ref="PJD93:PJL93"/>
    <mergeCell ref="PJM93:PJU93"/>
    <mergeCell ref="PJV93:PKD93"/>
    <mergeCell ref="PDY93:PEG93"/>
    <mergeCell ref="PEH93:PEP93"/>
    <mergeCell ref="PEQ93:PEY93"/>
    <mergeCell ref="PEZ93:PFH93"/>
    <mergeCell ref="PFI93:PFQ93"/>
    <mergeCell ref="PFR93:PFZ93"/>
    <mergeCell ref="PGA93:PGI93"/>
    <mergeCell ref="PGJ93:PGR93"/>
    <mergeCell ref="PGS93:PHA93"/>
    <mergeCell ref="PAV93:PBD93"/>
    <mergeCell ref="PBE93:PBM93"/>
    <mergeCell ref="PBN93:PBV93"/>
    <mergeCell ref="PBW93:PCE93"/>
    <mergeCell ref="PCF93:PCN93"/>
    <mergeCell ref="PCO93:PCW93"/>
    <mergeCell ref="PCX93:PDF93"/>
    <mergeCell ref="PDG93:PDO93"/>
    <mergeCell ref="PDP93:PDX93"/>
    <mergeCell ref="OXS93:OYA93"/>
    <mergeCell ref="OYB93:OYJ93"/>
    <mergeCell ref="OYK93:OYS93"/>
    <mergeCell ref="OYT93:OZB93"/>
    <mergeCell ref="OZC93:OZK93"/>
    <mergeCell ref="OZL93:OZT93"/>
    <mergeCell ref="OZU93:PAC93"/>
    <mergeCell ref="PAD93:PAL93"/>
    <mergeCell ref="PAM93:PAU93"/>
    <mergeCell ref="OUP93:OUX93"/>
    <mergeCell ref="OUY93:OVG93"/>
    <mergeCell ref="OVH93:OVP93"/>
    <mergeCell ref="OVQ93:OVY93"/>
    <mergeCell ref="OVZ93:OWH93"/>
    <mergeCell ref="OWI93:OWQ93"/>
    <mergeCell ref="OWR93:OWZ93"/>
    <mergeCell ref="OXA93:OXI93"/>
    <mergeCell ref="OXJ93:OXR93"/>
    <mergeCell ref="ORM93:ORU93"/>
    <mergeCell ref="ORV93:OSD93"/>
    <mergeCell ref="OSE93:OSM93"/>
    <mergeCell ref="OSN93:OSV93"/>
    <mergeCell ref="OSW93:OTE93"/>
    <mergeCell ref="OTF93:OTN93"/>
    <mergeCell ref="OTO93:OTW93"/>
    <mergeCell ref="OTX93:OUF93"/>
    <mergeCell ref="OUG93:OUO93"/>
    <mergeCell ref="OOJ93:OOR93"/>
    <mergeCell ref="OOS93:OPA93"/>
    <mergeCell ref="OPB93:OPJ93"/>
    <mergeCell ref="OPK93:OPS93"/>
    <mergeCell ref="OPT93:OQB93"/>
    <mergeCell ref="OQC93:OQK93"/>
    <mergeCell ref="OQL93:OQT93"/>
    <mergeCell ref="OQU93:ORC93"/>
    <mergeCell ref="ORD93:ORL93"/>
    <mergeCell ref="OLG93:OLO93"/>
    <mergeCell ref="OLP93:OLX93"/>
    <mergeCell ref="OLY93:OMG93"/>
    <mergeCell ref="OMH93:OMP93"/>
    <mergeCell ref="OMQ93:OMY93"/>
    <mergeCell ref="OMZ93:ONH93"/>
    <mergeCell ref="ONI93:ONQ93"/>
    <mergeCell ref="ONR93:ONZ93"/>
    <mergeCell ref="OOA93:OOI93"/>
    <mergeCell ref="OID93:OIL93"/>
    <mergeCell ref="OIM93:OIU93"/>
    <mergeCell ref="OIV93:OJD93"/>
    <mergeCell ref="OJE93:OJM93"/>
    <mergeCell ref="OJN93:OJV93"/>
    <mergeCell ref="OJW93:OKE93"/>
    <mergeCell ref="OKF93:OKN93"/>
    <mergeCell ref="OKO93:OKW93"/>
    <mergeCell ref="OKX93:OLF93"/>
    <mergeCell ref="OFA93:OFI93"/>
    <mergeCell ref="OFJ93:OFR93"/>
    <mergeCell ref="OFS93:OGA93"/>
    <mergeCell ref="OGB93:OGJ93"/>
    <mergeCell ref="OGK93:OGS93"/>
    <mergeCell ref="OGT93:OHB93"/>
    <mergeCell ref="OHC93:OHK93"/>
    <mergeCell ref="OHL93:OHT93"/>
    <mergeCell ref="OHU93:OIC93"/>
    <mergeCell ref="OBX93:OCF93"/>
    <mergeCell ref="OCG93:OCO93"/>
    <mergeCell ref="OCP93:OCX93"/>
    <mergeCell ref="OCY93:ODG93"/>
    <mergeCell ref="ODH93:ODP93"/>
    <mergeCell ref="ODQ93:ODY93"/>
    <mergeCell ref="ODZ93:OEH93"/>
    <mergeCell ref="OEI93:OEQ93"/>
    <mergeCell ref="OER93:OEZ93"/>
    <mergeCell ref="NYU93:NZC93"/>
    <mergeCell ref="NZD93:NZL93"/>
    <mergeCell ref="NZM93:NZU93"/>
    <mergeCell ref="NZV93:OAD93"/>
    <mergeCell ref="OAE93:OAM93"/>
    <mergeCell ref="OAN93:OAV93"/>
    <mergeCell ref="OAW93:OBE93"/>
    <mergeCell ref="OBF93:OBN93"/>
    <mergeCell ref="OBO93:OBW93"/>
    <mergeCell ref="NVR93:NVZ93"/>
    <mergeCell ref="NWA93:NWI93"/>
    <mergeCell ref="NWJ93:NWR93"/>
    <mergeCell ref="NWS93:NXA93"/>
    <mergeCell ref="NXB93:NXJ93"/>
    <mergeCell ref="NXK93:NXS93"/>
    <mergeCell ref="NXT93:NYB93"/>
    <mergeCell ref="NYC93:NYK93"/>
    <mergeCell ref="NYL93:NYT93"/>
    <mergeCell ref="NSO93:NSW93"/>
    <mergeCell ref="NSX93:NTF93"/>
    <mergeCell ref="NTG93:NTO93"/>
    <mergeCell ref="NTP93:NTX93"/>
    <mergeCell ref="NTY93:NUG93"/>
    <mergeCell ref="NUH93:NUP93"/>
    <mergeCell ref="NUQ93:NUY93"/>
    <mergeCell ref="NUZ93:NVH93"/>
    <mergeCell ref="NVI93:NVQ93"/>
    <mergeCell ref="NPL93:NPT93"/>
    <mergeCell ref="NPU93:NQC93"/>
    <mergeCell ref="NQD93:NQL93"/>
    <mergeCell ref="NQM93:NQU93"/>
    <mergeCell ref="NQV93:NRD93"/>
    <mergeCell ref="NRE93:NRM93"/>
    <mergeCell ref="NRN93:NRV93"/>
    <mergeCell ref="NRW93:NSE93"/>
    <mergeCell ref="NSF93:NSN93"/>
    <mergeCell ref="NMI93:NMQ93"/>
    <mergeCell ref="NMR93:NMZ93"/>
    <mergeCell ref="NNA93:NNI93"/>
    <mergeCell ref="NNJ93:NNR93"/>
    <mergeCell ref="NNS93:NOA93"/>
    <mergeCell ref="NOB93:NOJ93"/>
    <mergeCell ref="NOK93:NOS93"/>
    <mergeCell ref="NOT93:NPB93"/>
    <mergeCell ref="NPC93:NPK93"/>
    <mergeCell ref="NJF93:NJN93"/>
    <mergeCell ref="NJO93:NJW93"/>
    <mergeCell ref="NJX93:NKF93"/>
    <mergeCell ref="NKG93:NKO93"/>
    <mergeCell ref="NKP93:NKX93"/>
    <mergeCell ref="NKY93:NLG93"/>
    <mergeCell ref="NLH93:NLP93"/>
    <mergeCell ref="NLQ93:NLY93"/>
    <mergeCell ref="NLZ93:NMH93"/>
    <mergeCell ref="NGC93:NGK93"/>
    <mergeCell ref="NGL93:NGT93"/>
    <mergeCell ref="NGU93:NHC93"/>
    <mergeCell ref="NHD93:NHL93"/>
    <mergeCell ref="NHM93:NHU93"/>
    <mergeCell ref="NHV93:NID93"/>
    <mergeCell ref="NIE93:NIM93"/>
    <mergeCell ref="NIN93:NIV93"/>
    <mergeCell ref="NIW93:NJE93"/>
    <mergeCell ref="NCZ93:NDH93"/>
    <mergeCell ref="NDI93:NDQ93"/>
    <mergeCell ref="NDR93:NDZ93"/>
    <mergeCell ref="NEA93:NEI93"/>
    <mergeCell ref="NEJ93:NER93"/>
    <mergeCell ref="NES93:NFA93"/>
    <mergeCell ref="NFB93:NFJ93"/>
    <mergeCell ref="NFK93:NFS93"/>
    <mergeCell ref="NFT93:NGB93"/>
    <mergeCell ref="MZW93:NAE93"/>
    <mergeCell ref="NAF93:NAN93"/>
    <mergeCell ref="NAO93:NAW93"/>
    <mergeCell ref="NAX93:NBF93"/>
    <mergeCell ref="NBG93:NBO93"/>
    <mergeCell ref="NBP93:NBX93"/>
    <mergeCell ref="NBY93:NCG93"/>
    <mergeCell ref="NCH93:NCP93"/>
    <mergeCell ref="NCQ93:NCY93"/>
    <mergeCell ref="MWT93:MXB93"/>
    <mergeCell ref="MXC93:MXK93"/>
    <mergeCell ref="MXL93:MXT93"/>
    <mergeCell ref="MXU93:MYC93"/>
    <mergeCell ref="MYD93:MYL93"/>
    <mergeCell ref="MYM93:MYU93"/>
    <mergeCell ref="MYV93:MZD93"/>
    <mergeCell ref="MZE93:MZM93"/>
    <mergeCell ref="MZN93:MZV93"/>
    <mergeCell ref="MTQ93:MTY93"/>
    <mergeCell ref="MTZ93:MUH93"/>
    <mergeCell ref="MUI93:MUQ93"/>
    <mergeCell ref="MUR93:MUZ93"/>
    <mergeCell ref="MVA93:MVI93"/>
    <mergeCell ref="MVJ93:MVR93"/>
    <mergeCell ref="MVS93:MWA93"/>
    <mergeCell ref="MWB93:MWJ93"/>
    <mergeCell ref="MWK93:MWS93"/>
    <mergeCell ref="MQN93:MQV93"/>
    <mergeCell ref="MQW93:MRE93"/>
    <mergeCell ref="MRF93:MRN93"/>
    <mergeCell ref="MRO93:MRW93"/>
    <mergeCell ref="MRX93:MSF93"/>
    <mergeCell ref="MSG93:MSO93"/>
    <mergeCell ref="MSP93:MSX93"/>
    <mergeCell ref="MSY93:MTG93"/>
    <mergeCell ref="MTH93:MTP93"/>
    <mergeCell ref="MNK93:MNS93"/>
    <mergeCell ref="MNT93:MOB93"/>
    <mergeCell ref="MOC93:MOK93"/>
    <mergeCell ref="MOL93:MOT93"/>
    <mergeCell ref="MOU93:MPC93"/>
    <mergeCell ref="MPD93:MPL93"/>
    <mergeCell ref="MPM93:MPU93"/>
    <mergeCell ref="MPV93:MQD93"/>
    <mergeCell ref="MQE93:MQM93"/>
    <mergeCell ref="MKH93:MKP93"/>
    <mergeCell ref="MKQ93:MKY93"/>
    <mergeCell ref="MKZ93:MLH93"/>
    <mergeCell ref="MLI93:MLQ93"/>
    <mergeCell ref="MLR93:MLZ93"/>
    <mergeCell ref="MMA93:MMI93"/>
    <mergeCell ref="MMJ93:MMR93"/>
    <mergeCell ref="MMS93:MNA93"/>
    <mergeCell ref="MNB93:MNJ93"/>
    <mergeCell ref="MHE93:MHM93"/>
    <mergeCell ref="MHN93:MHV93"/>
    <mergeCell ref="MHW93:MIE93"/>
    <mergeCell ref="MIF93:MIN93"/>
    <mergeCell ref="MIO93:MIW93"/>
    <mergeCell ref="MIX93:MJF93"/>
    <mergeCell ref="MJG93:MJO93"/>
    <mergeCell ref="MJP93:MJX93"/>
    <mergeCell ref="MJY93:MKG93"/>
    <mergeCell ref="MEB93:MEJ93"/>
    <mergeCell ref="MEK93:MES93"/>
    <mergeCell ref="MET93:MFB93"/>
    <mergeCell ref="MFC93:MFK93"/>
    <mergeCell ref="MFL93:MFT93"/>
    <mergeCell ref="MFU93:MGC93"/>
    <mergeCell ref="MGD93:MGL93"/>
    <mergeCell ref="MGM93:MGU93"/>
    <mergeCell ref="MGV93:MHD93"/>
    <mergeCell ref="MAY93:MBG93"/>
    <mergeCell ref="MBH93:MBP93"/>
    <mergeCell ref="MBQ93:MBY93"/>
    <mergeCell ref="MBZ93:MCH93"/>
    <mergeCell ref="MCI93:MCQ93"/>
    <mergeCell ref="MCR93:MCZ93"/>
    <mergeCell ref="MDA93:MDI93"/>
    <mergeCell ref="MDJ93:MDR93"/>
    <mergeCell ref="MDS93:MEA93"/>
    <mergeCell ref="LXV93:LYD93"/>
    <mergeCell ref="LYE93:LYM93"/>
    <mergeCell ref="LYN93:LYV93"/>
    <mergeCell ref="LYW93:LZE93"/>
    <mergeCell ref="LZF93:LZN93"/>
    <mergeCell ref="LZO93:LZW93"/>
    <mergeCell ref="LZX93:MAF93"/>
    <mergeCell ref="MAG93:MAO93"/>
    <mergeCell ref="MAP93:MAX93"/>
    <mergeCell ref="LUS93:LVA93"/>
    <mergeCell ref="LVB93:LVJ93"/>
    <mergeCell ref="LVK93:LVS93"/>
    <mergeCell ref="LVT93:LWB93"/>
    <mergeCell ref="LWC93:LWK93"/>
    <mergeCell ref="LWL93:LWT93"/>
    <mergeCell ref="LWU93:LXC93"/>
    <mergeCell ref="LXD93:LXL93"/>
    <mergeCell ref="LXM93:LXU93"/>
    <mergeCell ref="LRP93:LRX93"/>
    <mergeCell ref="LRY93:LSG93"/>
    <mergeCell ref="LSH93:LSP93"/>
    <mergeCell ref="LSQ93:LSY93"/>
    <mergeCell ref="LSZ93:LTH93"/>
    <mergeCell ref="LTI93:LTQ93"/>
    <mergeCell ref="LTR93:LTZ93"/>
    <mergeCell ref="LUA93:LUI93"/>
    <mergeCell ref="LUJ93:LUR93"/>
    <mergeCell ref="LOM93:LOU93"/>
    <mergeCell ref="LOV93:LPD93"/>
    <mergeCell ref="LPE93:LPM93"/>
    <mergeCell ref="LPN93:LPV93"/>
    <mergeCell ref="LPW93:LQE93"/>
    <mergeCell ref="LQF93:LQN93"/>
    <mergeCell ref="LQO93:LQW93"/>
    <mergeCell ref="LQX93:LRF93"/>
    <mergeCell ref="LRG93:LRO93"/>
    <mergeCell ref="LLJ93:LLR93"/>
    <mergeCell ref="LLS93:LMA93"/>
    <mergeCell ref="LMB93:LMJ93"/>
    <mergeCell ref="LMK93:LMS93"/>
    <mergeCell ref="LMT93:LNB93"/>
    <mergeCell ref="LNC93:LNK93"/>
    <mergeCell ref="LNL93:LNT93"/>
    <mergeCell ref="LNU93:LOC93"/>
    <mergeCell ref="LOD93:LOL93"/>
    <mergeCell ref="LIG93:LIO93"/>
    <mergeCell ref="LIP93:LIX93"/>
    <mergeCell ref="LIY93:LJG93"/>
    <mergeCell ref="LJH93:LJP93"/>
    <mergeCell ref="LJQ93:LJY93"/>
    <mergeCell ref="LJZ93:LKH93"/>
    <mergeCell ref="LKI93:LKQ93"/>
    <mergeCell ref="LKR93:LKZ93"/>
    <mergeCell ref="LLA93:LLI93"/>
    <mergeCell ref="LFD93:LFL93"/>
    <mergeCell ref="LFM93:LFU93"/>
    <mergeCell ref="LFV93:LGD93"/>
    <mergeCell ref="LGE93:LGM93"/>
    <mergeCell ref="LGN93:LGV93"/>
    <mergeCell ref="LGW93:LHE93"/>
    <mergeCell ref="LHF93:LHN93"/>
    <mergeCell ref="LHO93:LHW93"/>
    <mergeCell ref="LHX93:LIF93"/>
    <mergeCell ref="LCA93:LCI93"/>
    <mergeCell ref="LCJ93:LCR93"/>
    <mergeCell ref="LCS93:LDA93"/>
    <mergeCell ref="LDB93:LDJ93"/>
    <mergeCell ref="LDK93:LDS93"/>
    <mergeCell ref="LDT93:LEB93"/>
    <mergeCell ref="LEC93:LEK93"/>
    <mergeCell ref="LEL93:LET93"/>
    <mergeCell ref="LEU93:LFC93"/>
    <mergeCell ref="KYX93:KZF93"/>
    <mergeCell ref="KZG93:KZO93"/>
    <mergeCell ref="KZP93:KZX93"/>
    <mergeCell ref="KZY93:LAG93"/>
    <mergeCell ref="LAH93:LAP93"/>
    <mergeCell ref="LAQ93:LAY93"/>
    <mergeCell ref="LAZ93:LBH93"/>
    <mergeCell ref="LBI93:LBQ93"/>
    <mergeCell ref="LBR93:LBZ93"/>
    <mergeCell ref="KVU93:KWC93"/>
    <mergeCell ref="KWD93:KWL93"/>
    <mergeCell ref="KWM93:KWU93"/>
    <mergeCell ref="KWV93:KXD93"/>
    <mergeCell ref="KXE93:KXM93"/>
    <mergeCell ref="KXN93:KXV93"/>
    <mergeCell ref="KXW93:KYE93"/>
    <mergeCell ref="KYF93:KYN93"/>
    <mergeCell ref="KYO93:KYW93"/>
    <mergeCell ref="KSR93:KSZ93"/>
    <mergeCell ref="KTA93:KTI93"/>
    <mergeCell ref="KTJ93:KTR93"/>
    <mergeCell ref="KTS93:KUA93"/>
    <mergeCell ref="KUB93:KUJ93"/>
    <mergeCell ref="KUK93:KUS93"/>
    <mergeCell ref="KUT93:KVB93"/>
    <mergeCell ref="KVC93:KVK93"/>
    <mergeCell ref="KVL93:KVT93"/>
    <mergeCell ref="KPO93:KPW93"/>
    <mergeCell ref="KPX93:KQF93"/>
    <mergeCell ref="KQG93:KQO93"/>
    <mergeCell ref="KQP93:KQX93"/>
    <mergeCell ref="KQY93:KRG93"/>
    <mergeCell ref="KRH93:KRP93"/>
    <mergeCell ref="KRQ93:KRY93"/>
    <mergeCell ref="KRZ93:KSH93"/>
    <mergeCell ref="KSI93:KSQ93"/>
    <mergeCell ref="KML93:KMT93"/>
    <mergeCell ref="KMU93:KNC93"/>
    <mergeCell ref="KND93:KNL93"/>
    <mergeCell ref="KNM93:KNU93"/>
    <mergeCell ref="KNV93:KOD93"/>
    <mergeCell ref="KOE93:KOM93"/>
    <mergeCell ref="KON93:KOV93"/>
    <mergeCell ref="KOW93:KPE93"/>
    <mergeCell ref="KPF93:KPN93"/>
    <mergeCell ref="KJI93:KJQ93"/>
    <mergeCell ref="KJR93:KJZ93"/>
    <mergeCell ref="KKA93:KKI93"/>
    <mergeCell ref="KKJ93:KKR93"/>
    <mergeCell ref="KKS93:KLA93"/>
    <mergeCell ref="KLB93:KLJ93"/>
    <mergeCell ref="KLK93:KLS93"/>
    <mergeCell ref="KLT93:KMB93"/>
    <mergeCell ref="KMC93:KMK93"/>
    <mergeCell ref="KGF93:KGN93"/>
    <mergeCell ref="KGO93:KGW93"/>
    <mergeCell ref="KGX93:KHF93"/>
    <mergeCell ref="KHG93:KHO93"/>
    <mergeCell ref="KHP93:KHX93"/>
    <mergeCell ref="KHY93:KIG93"/>
    <mergeCell ref="KIH93:KIP93"/>
    <mergeCell ref="KIQ93:KIY93"/>
    <mergeCell ref="KIZ93:KJH93"/>
    <mergeCell ref="KDC93:KDK93"/>
    <mergeCell ref="KDL93:KDT93"/>
    <mergeCell ref="KDU93:KEC93"/>
    <mergeCell ref="KED93:KEL93"/>
    <mergeCell ref="KEM93:KEU93"/>
    <mergeCell ref="KEV93:KFD93"/>
    <mergeCell ref="KFE93:KFM93"/>
    <mergeCell ref="KFN93:KFV93"/>
    <mergeCell ref="KFW93:KGE93"/>
    <mergeCell ref="JZZ93:KAH93"/>
    <mergeCell ref="KAI93:KAQ93"/>
    <mergeCell ref="KAR93:KAZ93"/>
    <mergeCell ref="KBA93:KBI93"/>
    <mergeCell ref="KBJ93:KBR93"/>
    <mergeCell ref="KBS93:KCA93"/>
    <mergeCell ref="KCB93:KCJ93"/>
    <mergeCell ref="KCK93:KCS93"/>
    <mergeCell ref="KCT93:KDB93"/>
    <mergeCell ref="JWW93:JXE93"/>
    <mergeCell ref="JXF93:JXN93"/>
    <mergeCell ref="JXO93:JXW93"/>
    <mergeCell ref="JXX93:JYF93"/>
    <mergeCell ref="JYG93:JYO93"/>
    <mergeCell ref="JYP93:JYX93"/>
    <mergeCell ref="JYY93:JZG93"/>
    <mergeCell ref="JZH93:JZP93"/>
    <mergeCell ref="JZQ93:JZY93"/>
    <mergeCell ref="JTT93:JUB93"/>
    <mergeCell ref="JUC93:JUK93"/>
    <mergeCell ref="JUL93:JUT93"/>
    <mergeCell ref="JUU93:JVC93"/>
    <mergeCell ref="JVD93:JVL93"/>
    <mergeCell ref="JVM93:JVU93"/>
    <mergeCell ref="JVV93:JWD93"/>
    <mergeCell ref="JWE93:JWM93"/>
    <mergeCell ref="JWN93:JWV93"/>
    <mergeCell ref="JQQ93:JQY93"/>
    <mergeCell ref="JQZ93:JRH93"/>
    <mergeCell ref="JRI93:JRQ93"/>
    <mergeCell ref="JRR93:JRZ93"/>
    <mergeCell ref="JSA93:JSI93"/>
    <mergeCell ref="JSJ93:JSR93"/>
    <mergeCell ref="JSS93:JTA93"/>
    <mergeCell ref="JTB93:JTJ93"/>
    <mergeCell ref="JTK93:JTS93"/>
    <mergeCell ref="JNN93:JNV93"/>
    <mergeCell ref="JNW93:JOE93"/>
    <mergeCell ref="JOF93:JON93"/>
    <mergeCell ref="JOO93:JOW93"/>
    <mergeCell ref="JOX93:JPF93"/>
    <mergeCell ref="JPG93:JPO93"/>
    <mergeCell ref="JPP93:JPX93"/>
    <mergeCell ref="JPY93:JQG93"/>
    <mergeCell ref="JQH93:JQP93"/>
    <mergeCell ref="JKK93:JKS93"/>
    <mergeCell ref="JKT93:JLB93"/>
    <mergeCell ref="JLC93:JLK93"/>
    <mergeCell ref="JLL93:JLT93"/>
    <mergeCell ref="JLU93:JMC93"/>
    <mergeCell ref="JMD93:JML93"/>
    <mergeCell ref="JMM93:JMU93"/>
    <mergeCell ref="JMV93:JND93"/>
    <mergeCell ref="JNE93:JNM93"/>
    <mergeCell ref="JHH93:JHP93"/>
    <mergeCell ref="JHQ93:JHY93"/>
    <mergeCell ref="JHZ93:JIH93"/>
    <mergeCell ref="JII93:JIQ93"/>
    <mergeCell ref="JIR93:JIZ93"/>
    <mergeCell ref="JJA93:JJI93"/>
    <mergeCell ref="JJJ93:JJR93"/>
    <mergeCell ref="JJS93:JKA93"/>
    <mergeCell ref="JKB93:JKJ93"/>
    <mergeCell ref="JEE93:JEM93"/>
    <mergeCell ref="JEN93:JEV93"/>
    <mergeCell ref="JEW93:JFE93"/>
    <mergeCell ref="JFF93:JFN93"/>
    <mergeCell ref="JFO93:JFW93"/>
    <mergeCell ref="JFX93:JGF93"/>
    <mergeCell ref="JGG93:JGO93"/>
    <mergeCell ref="JGP93:JGX93"/>
    <mergeCell ref="JGY93:JHG93"/>
    <mergeCell ref="JBB93:JBJ93"/>
    <mergeCell ref="JBK93:JBS93"/>
    <mergeCell ref="JBT93:JCB93"/>
    <mergeCell ref="JCC93:JCK93"/>
    <mergeCell ref="JCL93:JCT93"/>
    <mergeCell ref="JCU93:JDC93"/>
    <mergeCell ref="JDD93:JDL93"/>
    <mergeCell ref="JDM93:JDU93"/>
    <mergeCell ref="JDV93:JED93"/>
    <mergeCell ref="IXY93:IYG93"/>
    <mergeCell ref="IYH93:IYP93"/>
    <mergeCell ref="IYQ93:IYY93"/>
    <mergeCell ref="IYZ93:IZH93"/>
    <mergeCell ref="IZI93:IZQ93"/>
    <mergeCell ref="IZR93:IZZ93"/>
    <mergeCell ref="JAA93:JAI93"/>
    <mergeCell ref="JAJ93:JAR93"/>
    <mergeCell ref="JAS93:JBA93"/>
    <mergeCell ref="IUV93:IVD93"/>
    <mergeCell ref="IVE93:IVM93"/>
    <mergeCell ref="IVN93:IVV93"/>
    <mergeCell ref="IVW93:IWE93"/>
    <mergeCell ref="IWF93:IWN93"/>
    <mergeCell ref="IWO93:IWW93"/>
    <mergeCell ref="IWX93:IXF93"/>
    <mergeCell ref="IXG93:IXO93"/>
    <mergeCell ref="IXP93:IXX93"/>
    <mergeCell ref="IRS93:ISA93"/>
    <mergeCell ref="ISB93:ISJ93"/>
    <mergeCell ref="ISK93:ISS93"/>
    <mergeCell ref="IST93:ITB93"/>
    <mergeCell ref="ITC93:ITK93"/>
    <mergeCell ref="ITL93:ITT93"/>
    <mergeCell ref="ITU93:IUC93"/>
    <mergeCell ref="IUD93:IUL93"/>
    <mergeCell ref="IUM93:IUU93"/>
    <mergeCell ref="IOP93:IOX93"/>
    <mergeCell ref="IOY93:IPG93"/>
    <mergeCell ref="IPH93:IPP93"/>
    <mergeCell ref="IPQ93:IPY93"/>
    <mergeCell ref="IPZ93:IQH93"/>
    <mergeCell ref="IQI93:IQQ93"/>
    <mergeCell ref="IQR93:IQZ93"/>
    <mergeCell ref="IRA93:IRI93"/>
    <mergeCell ref="IRJ93:IRR93"/>
    <mergeCell ref="ILM93:ILU93"/>
    <mergeCell ref="ILV93:IMD93"/>
    <mergeCell ref="IME93:IMM93"/>
    <mergeCell ref="IMN93:IMV93"/>
    <mergeCell ref="IMW93:INE93"/>
    <mergeCell ref="INF93:INN93"/>
    <mergeCell ref="INO93:INW93"/>
    <mergeCell ref="INX93:IOF93"/>
    <mergeCell ref="IOG93:IOO93"/>
    <mergeCell ref="IIJ93:IIR93"/>
    <mergeCell ref="IIS93:IJA93"/>
    <mergeCell ref="IJB93:IJJ93"/>
    <mergeCell ref="IJK93:IJS93"/>
    <mergeCell ref="IJT93:IKB93"/>
    <mergeCell ref="IKC93:IKK93"/>
    <mergeCell ref="IKL93:IKT93"/>
    <mergeCell ref="IKU93:ILC93"/>
    <mergeCell ref="ILD93:ILL93"/>
    <mergeCell ref="IFG93:IFO93"/>
    <mergeCell ref="IFP93:IFX93"/>
    <mergeCell ref="IFY93:IGG93"/>
    <mergeCell ref="IGH93:IGP93"/>
    <mergeCell ref="IGQ93:IGY93"/>
    <mergeCell ref="IGZ93:IHH93"/>
    <mergeCell ref="IHI93:IHQ93"/>
    <mergeCell ref="IHR93:IHZ93"/>
    <mergeCell ref="IIA93:III93"/>
    <mergeCell ref="ICD93:ICL93"/>
    <mergeCell ref="ICM93:ICU93"/>
    <mergeCell ref="ICV93:IDD93"/>
    <mergeCell ref="IDE93:IDM93"/>
    <mergeCell ref="IDN93:IDV93"/>
    <mergeCell ref="IDW93:IEE93"/>
    <mergeCell ref="IEF93:IEN93"/>
    <mergeCell ref="IEO93:IEW93"/>
    <mergeCell ref="IEX93:IFF93"/>
    <mergeCell ref="HZA93:HZI93"/>
    <mergeCell ref="HZJ93:HZR93"/>
    <mergeCell ref="HZS93:IAA93"/>
    <mergeCell ref="IAB93:IAJ93"/>
    <mergeCell ref="IAK93:IAS93"/>
    <mergeCell ref="IAT93:IBB93"/>
    <mergeCell ref="IBC93:IBK93"/>
    <mergeCell ref="IBL93:IBT93"/>
    <mergeCell ref="IBU93:ICC93"/>
    <mergeCell ref="HVX93:HWF93"/>
    <mergeCell ref="HWG93:HWO93"/>
    <mergeCell ref="HWP93:HWX93"/>
    <mergeCell ref="HWY93:HXG93"/>
    <mergeCell ref="HXH93:HXP93"/>
    <mergeCell ref="HXQ93:HXY93"/>
    <mergeCell ref="HXZ93:HYH93"/>
    <mergeCell ref="HYI93:HYQ93"/>
    <mergeCell ref="HYR93:HYZ93"/>
    <mergeCell ref="HSU93:HTC93"/>
    <mergeCell ref="HTD93:HTL93"/>
    <mergeCell ref="HTM93:HTU93"/>
    <mergeCell ref="HTV93:HUD93"/>
    <mergeCell ref="HUE93:HUM93"/>
    <mergeCell ref="HUN93:HUV93"/>
    <mergeCell ref="HUW93:HVE93"/>
    <mergeCell ref="HVF93:HVN93"/>
    <mergeCell ref="HVO93:HVW93"/>
    <mergeCell ref="HPR93:HPZ93"/>
    <mergeCell ref="HQA93:HQI93"/>
    <mergeCell ref="HQJ93:HQR93"/>
    <mergeCell ref="HQS93:HRA93"/>
    <mergeCell ref="HRB93:HRJ93"/>
    <mergeCell ref="HRK93:HRS93"/>
    <mergeCell ref="HRT93:HSB93"/>
    <mergeCell ref="HSC93:HSK93"/>
    <mergeCell ref="HSL93:HST93"/>
    <mergeCell ref="HMO93:HMW93"/>
    <mergeCell ref="HMX93:HNF93"/>
    <mergeCell ref="HNG93:HNO93"/>
    <mergeCell ref="HNP93:HNX93"/>
    <mergeCell ref="HNY93:HOG93"/>
    <mergeCell ref="HOH93:HOP93"/>
    <mergeCell ref="HOQ93:HOY93"/>
    <mergeCell ref="HOZ93:HPH93"/>
    <mergeCell ref="HPI93:HPQ93"/>
    <mergeCell ref="HJL93:HJT93"/>
    <mergeCell ref="HJU93:HKC93"/>
    <mergeCell ref="HKD93:HKL93"/>
    <mergeCell ref="HKM93:HKU93"/>
    <mergeCell ref="HKV93:HLD93"/>
    <mergeCell ref="HLE93:HLM93"/>
    <mergeCell ref="HLN93:HLV93"/>
    <mergeCell ref="HLW93:HME93"/>
    <mergeCell ref="HMF93:HMN93"/>
    <mergeCell ref="HGI93:HGQ93"/>
    <mergeCell ref="HGR93:HGZ93"/>
    <mergeCell ref="HHA93:HHI93"/>
    <mergeCell ref="HHJ93:HHR93"/>
    <mergeCell ref="HHS93:HIA93"/>
    <mergeCell ref="HIB93:HIJ93"/>
    <mergeCell ref="HIK93:HIS93"/>
    <mergeCell ref="HIT93:HJB93"/>
    <mergeCell ref="HJC93:HJK93"/>
    <mergeCell ref="HDF93:HDN93"/>
    <mergeCell ref="HDO93:HDW93"/>
    <mergeCell ref="HDX93:HEF93"/>
    <mergeCell ref="HEG93:HEO93"/>
    <mergeCell ref="HEP93:HEX93"/>
    <mergeCell ref="HEY93:HFG93"/>
    <mergeCell ref="HFH93:HFP93"/>
    <mergeCell ref="HFQ93:HFY93"/>
    <mergeCell ref="HFZ93:HGH93"/>
    <mergeCell ref="HAC93:HAK93"/>
    <mergeCell ref="HAL93:HAT93"/>
    <mergeCell ref="HAU93:HBC93"/>
    <mergeCell ref="HBD93:HBL93"/>
    <mergeCell ref="HBM93:HBU93"/>
    <mergeCell ref="HBV93:HCD93"/>
    <mergeCell ref="HCE93:HCM93"/>
    <mergeCell ref="HCN93:HCV93"/>
    <mergeCell ref="HCW93:HDE93"/>
    <mergeCell ref="GWZ93:GXH93"/>
    <mergeCell ref="GXI93:GXQ93"/>
    <mergeCell ref="GXR93:GXZ93"/>
    <mergeCell ref="GYA93:GYI93"/>
    <mergeCell ref="GYJ93:GYR93"/>
    <mergeCell ref="GYS93:GZA93"/>
    <mergeCell ref="GZB93:GZJ93"/>
    <mergeCell ref="GZK93:GZS93"/>
    <mergeCell ref="GZT93:HAB93"/>
    <mergeCell ref="GTW93:GUE93"/>
    <mergeCell ref="GUF93:GUN93"/>
    <mergeCell ref="GUO93:GUW93"/>
    <mergeCell ref="GUX93:GVF93"/>
    <mergeCell ref="GVG93:GVO93"/>
    <mergeCell ref="GVP93:GVX93"/>
    <mergeCell ref="GVY93:GWG93"/>
    <mergeCell ref="GWH93:GWP93"/>
    <mergeCell ref="GWQ93:GWY93"/>
    <mergeCell ref="GQT93:GRB93"/>
    <mergeCell ref="GRC93:GRK93"/>
    <mergeCell ref="GRL93:GRT93"/>
    <mergeCell ref="GRU93:GSC93"/>
    <mergeCell ref="GSD93:GSL93"/>
    <mergeCell ref="GSM93:GSU93"/>
    <mergeCell ref="GSV93:GTD93"/>
    <mergeCell ref="GTE93:GTM93"/>
    <mergeCell ref="GTN93:GTV93"/>
    <mergeCell ref="GNQ93:GNY93"/>
    <mergeCell ref="GNZ93:GOH93"/>
    <mergeCell ref="GOI93:GOQ93"/>
    <mergeCell ref="GOR93:GOZ93"/>
    <mergeCell ref="GPA93:GPI93"/>
    <mergeCell ref="GPJ93:GPR93"/>
    <mergeCell ref="GPS93:GQA93"/>
    <mergeCell ref="GQB93:GQJ93"/>
    <mergeCell ref="GQK93:GQS93"/>
    <mergeCell ref="GKN93:GKV93"/>
    <mergeCell ref="GKW93:GLE93"/>
    <mergeCell ref="GLF93:GLN93"/>
    <mergeCell ref="GLO93:GLW93"/>
    <mergeCell ref="GLX93:GMF93"/>
    <mergeCell ref="GMG93:GMO93"/>
    <mergeCell ref="GMP93:GMX93"/>
    <mergeCell ref="GMY93:GNG93"/>
    <mergeCell ref="GNH93:GNP93"/>
    <mergeCell ref="GHK93:GHS93"/>
    <mergeCell ref="GHT93:GIB93"/>
    <mergeCell ref="GIC93:GIK93"/>
    <mergeCell ref="GIL93:GIT93"/>
    <mergeCell ref="GIU93:GJC93"/>
    <mergeCell ref="GJD93:GJL93"/>
    <mergeCell ref="GJM93:GJU93"/>
    <mergeCell ref="GJV93:GKD93"/>
    <mergeCell ref="GKE93:GKM93"/>
    <mergeCell ref="GEH93:GEP93"/>
    <mergeCell ref="GEQ93:GEY93"/>
    <mergeCell ref="GEZ93:GFH93"/>
    <mergeCell ref="GFI93:GFQ93"/>
    <mergeCell ref="GFR93:GFZ93"/>
    <mergeCell ref="GGA93:GGI93"/>
    <mergeCell ref="GGJ93:GGR93"/>
    <mergeCell ref="GGS93:GHA93"/>
    <mergeCell ref="GHB93:GHJ93"/>
    <mergeCell ref="GBE93:GBM93"/>
    <mergeCell ref="GBN93:GBV93"/>
    <mergeCell ref="GBW93:GCE93"/>
    <mergeCell ref="GCF93:GCN93"/>
    <mergeCell ref="GCO93:GCW93"/>
    <mergeCell ref="GCX93:GDF93"/>
    <mergeCell ref="GDG93:GDO93"/>
    <mergeCell ref="GDP93:GDX93"/>
    <mergeCell ref="GDY93:GEG93"/>
    <mergeCell ref="FYB93:FYJ93"/>
    <mergeCell ref="FYK93:FYS93"/>
    <mergeCell ref="FYT93:FZB93"/>
    <mergeCell ref="FZC93:FZK93"/>
    <mergeCell ref="FZL93:FZT93"/>
    <mergeCell ref="FZU93:GAC93"/>
    <mergeCell ref="GAD93:GAL93"/>
    <mergeCell ref="GAM93:GAU93"/>
    <mergeCell ref="GAV93:GBD93"/>
    <mergeCell ref="FUY93:FVG93"/>
    <mergeCell ref="FVH93:FVP93"/>
    <mergeCell ref="FVQ93:FVY93"/>
    <mergeCell ref="FVZ93:FWH93"/>
    <mergeCell ref="FWI93:FWQ93"/>
    <mergeCell ref="FWR93:FWZ93"/>
    <mergeCell ref="FXA93:FXI93"/>
    <mergeCell ref="FXJ93:FXR93"/>
    <mergeCell ref="FXS93:FYA93"/>
    <mergeCell ref="FRV93:FSD93"/>
    <mergeCell ref="FSE93:FSM93"/>
    <mergeCell ref="FSN93:FSV93"/>
    <mergeCell ref="FSW93:FTE93"/>
    <mergeCell ref="FTF93:FTN93"/>
    <mergeCell ref="FTO93:FTW93"/>
    <mergeCell ref="FTX93:FUF93"/>
    <mergeCell ref="FUG93:FUO93"/>
    <mergeCell ref="FUP93:FUX93"/>
    <mergeCell ref="FOS93:FPA93"/>
    <mergeCell ref="FPB93:FPJ93"/>
    <mergeCell ref="FPK93:FPS93"/>
    <mergeCell ref="FPT93:FQB93"/>
    <mergeCell ref="FQC93:FQK93"/>
    <mergeCell ref="FQL93:FQT93"/>
    <mergeCell ref="FQU93:FRC93"/>
    <mergeCell ref="FRD93:FRL93"/>
    <mergeCell ref="FRM93:FRU93"/>
    <mergeCell ref="FLP93:FLX93"/>
    <mergeCell ref="FLY93:FMG93"/>
    <mergeCell ref="FMH93:FMP93"/>
    <mergeCell ref="FMQ93:FMY93"/>
    <mergeCell ref="FMZ93:FNH93"/>
    <mergeCell ref="FNI93:FNQ93"/>
    <mergeCell ref="FNR93:FNZ93"/>
    <mergeCell ref="FOA93:FOI93"/>
    <mergeCell ref="FOJ93:FOR93"/>
    <mergeCell ref="FIM93:FIU93"/>
    <mergeCell ref="FIV93:FJD93"/>
    <mergeCell ref="FJE93:FJM93"/>
    <mergeCell ref="FJN93:FJV93"/>
    <mergeCell ref="FJW93:FKE93"/>
    <mergeCell ref="FKF93:FKN93"/>
    <mergeCell ref="FKO93:FKW93"/>
    <mergeCell ref="FKX93:FLF93"/>
    <mergeCell ref="FLG93:FLO93"/>
    <mergeCell ref="FFJ93:FFR93"/>
    <mergeCell ref="FFS93:FGA93"/>
    <mergeCell ref="FGB93:FGJ93"/>
    <mergeCell ref="FGK93:FGS93"/>
    <mergeCell ref="FGT93:FHB93"/>
    <mergeCell ref="FHC93:FHK93"/>
    <mergeCell ref="FHL93:FHT93"/>
    <mergeCell ref="FHU93:FIC93"/>
    <mergeCell ref="FID93:FIL93"/>
    <mergeCell ref="FCG93:FCO93"/>
    <mergeCell ref="FCP93:FCX93"/>
    <mergeCell ref="FCY93:FDG93"/>
    <mergeCell ref="FDH93:FDP93"/>
    <mergeCell ref="FDQ93:FDY93"/>
    <mergeCell ref="FDZ93:FEH93"/>
    <mergeCell ref="FEI93:FEQ93"/>
    <mergeCell ref="FER93:FEZ93"/>
    <mergeCell ref="FFA93:FFI93"/>
    <mergeCell ref="EZD93:EZL93"/>
    <mergeCell ref="EZM93:EZU93"/>
    <mergeCell ref="EZV93:FAD93"/>
    <mergeCell ref="FAE93:FAM93"/>
    <mergeCell ref="FAN93:FAV93"/>
    <mergeCell ref="FAW93:FBE93"/>
    <mergeCell ref="FBF93:FBN93"/>
    <mergeCell ref="FBO93:FBW93"/>
    <mergeCell ref="FBX93:FCF93"/>
    <mergeCell ref="EWA93:EWI93"/>
    <mergeCell ref="EWJ93:EWR93"/>
    <mergeCell ref="EWS93:EXA93"/>
    <mergeCell ref="EXB93:EXJ93"/>
    <mergeCell ref="EXK93:EXS93"/>
    <mergeCell ref="EXT93:EYB93"/>
    <mergeCell ref="EYC93:EYK93"/>
    <mergeCell ref="EYL93:EYT93"/>
    <mergeCell ref="EYU93:EZC93"/>
    <mergeCell ref="ESX93:ETF93"/>
    <mergeCell ref="ETG93:ETO93"/>
    <mergeCell ref="ETP93:ETX93"/>
    <mergeCell ref="ETY93:EUG93"/>
    <mergeCell ref="EUH93:EUP93"/>
    <mergeCell ref="EUQ93:EUY93"/>
    <mergeCell ref="EUZ93:EVH93"/>
    <mergeCell ref="EVI93:EVQ93"/>
    <mergeCell ref="EVR93:EVZ93"/>
    <mergeCell ref="EPU93:EQC93"/>
    <mergeCell ref="EQD93:EQL93"/>
    <mergeCell ref="EQM93:EQU93"/>
    <mergeCell ref="EQV93:ERD93"/>
    <mergeCell ref="ERE93:ERM93"/>
    <mergeCell ref="ERN93:ERV93"/>
    <mergeCell ref="ERW93:ESE93"/>
    <mergeCell ref="ESF93:ESN93"/>
    <mergeCell ref="ESO93:ESW93"/>
    <mergeCell ref="EMR93:EMZ93"/>
    <mergeCell ref="ENA93:ENI93"/>
    <mergeCell ref="ENJ93:ENR93"/>
    <mergeCell ref="ENS93:EOA93"/>
    <mergeCell ref="EOB93:EOJ93"/>
    <mergeCell ref="EOK93:EOS93"/>
    <mergeCell ref="EOT93:EPB93"/>
    <mergeCell ref="EPC93:EPK93"/>
    <mergeCell ref="EPL93:EPT93"/>
    <mergeCell ref="EJO93:EJW93"/>
    <mergeCell ref="EJX93:EKF93"/>
    <mergeCell ref="EKG93:EKO93"/>
    <mergeCell ref="EKP93:EKX93"/>
    <mergeCell ref="EKY93:ELG93"/>
    <mergeCell ref="ELH93:ELP93"/>
    <mergeCell ref="ELQ93:ELY93"/>
    <mergeCell ref="ELZ93:EMH93"/>
    <mergeCell ref="EMI93:EMQ93"/>
    <mergeCell ref="EGL93:EGT93"/>
    <mergeCell ref="EGU93:EHC93"/>
    <mergeCell ref="EHD93:EHL93"/>
    <mergeCell ref="EHM93:EHU93"/>
    <mergeCell ref="EHV93:EID93"/>
    <mergeCell ref="EIE93:EIM93"/>
    <mergeCell ref="EIN93:EIV93"/>
    <mergeCell ref="EIW93:EJE93"/>
    <mergeCell ref="EJF93:EJN93"/>
    <mergeCell ref="EDI93:EDQ93"/>
    <mergeCell ref="EDR93:EDZ93"/>
    <mergeCell ref="EEA93:EEI93"/>
    <mergeCell ref="EEJ93:EER93"/>
    <mergeCell ref="EES93:EFA93"/>
    <mergeCell ref="EFB93:EFJ93"/>
    <mergeCell ref="EFK93:EFS93"/>
    <mergeCell ref="EFT93:EGB93"/>
    <mergeCell ref="EGC93:EGK93"/>
    <mergeCell ref="EAF93:EAN93"/>
    <mergeCell ref="EAO93:EAW93"/>
    <mergeCell ref="EAX93:EBF93"/>
    <mergeCell ref="EBG93:EBO93"/>
    <mergeCell ref="EBP93:EBX93"/>
    <mergeCell ref="EBY93:ECG93"/>
    <mergeCell ref="ECH93:ECP93"/>
    <mergeCell ref="ECQ93:ECY93"/>
    <mergeCell ref="ECZ93:EDH93"/>
    <mergeCell ref="DXC93:DXK93"/>
    <mergeCell ref="DXL93:DXT93"/>
    <mergeCell ref="DXU93:DYC93"/>
    <mergeCell ref="DYD93:DYL93"/>
    <mergeCell ref="DYM93:DYU93"/>
    <mergeCell ref="DYV93:DZD93"/>
    <mergeCell ref="DZE93:DZM93"/>
    <mergeCell ref="DZN93:DZV93"/>
    <mergeCell ref="DZW93:EAE93"/>
    <mergeCell ref="DTZ93:DUH93"/>
    <mergeCell ref="DUI93:DUQ93"/>
    <mergeCell ref="DUR93:DUZ93"/>
    <mergeCell ref="DVA93:DVI93"/>
    <mergeCell ref="DVJ93:DVR93"/>
    <mergeCell ref="DVS93:DWA93"/>
    <mergeCell ref="DWB93:DWJ93"/>
    <mergeCell ref="DWK93:DWS93"/>
    <mergeCell ref="DWT93:DXB93"/>
    <mergeCell ref="DQW93:DRE93"/>
    <mergeCell ref="DRF93:DRN93"/>
    <mergeCell ref="DRO93:DRW93"/>
    <mergeCell ref="DRX93:DSF93"/>
    <mergeCell ref="DSG93:DSO93"/>
    <mergeCell ref="DSP93:DSX93"/>
    <mergeCell ref="DSY93:DTG93"/>
    <mergeCell ref="DTH93:DTP93"/>
    <mergeCell ref="DTQ93:DTY93"/>
    <mergeCell ref="DNT93:DOB93"/>
    <mergeCell ref="DOC93:DOK93"/>
    <mergeCell ref="DOL93:DOT93"/>
    <mergeCell ref="DOU93:DPC93"/>
    <mergeCell ref="DPD93:DPL93"/>
    <mergeCell ref="DPM93:DPU93"/>
    <mergeCell ref="DPV93:DQD93"/>
    <mergeCell ref="DQE93:DQM93"/>
    <mergeCell ref="DQN93:DQV93"/>
    <mergeCell ref="DKQ93:DKY93"/>
    <mergeCell ref="DKZ93:DLH93"/>
    <mergeCell ref="DLI93:DLQ93"/>
    <mergeCell ref="DLR93:DLZ93"/>
    <mergeCell ref="DMA93:DMI93"/>
    <mergeCell ref="DMJ93:DMR93"/>
    <mergeCell ref="DMS93:DNA93"/>
    <mergeCell ref="DNB93:DNJ93"/>
    <mergeCell ref="DNK93:DNS93"/>
    <mergeCell ref="DHN93:DHV93"/>
    <mergeCell ref="DHW93:DIE93"/>
    <mergeCell ref="DIF93:DIN93"/>
    <mergeCell ref="DIO93:DIW93"/>
    <mergeCell ref="DIX93:DJF93"/>
    <mergeCell ref="DJG93:DJO93"/>
    <mergeCell ref="DJP93:DJX93"/>
    <mergeCell ref="DJY93:DKG93"/>
    <mergeCell ref="DKH93:DKP93"/>
    <mergeCell ref="DEK93:DES93"/>
    <mergeCell ref="DET93:DFB93"/>
    <mergeCell ref="DFC93:DFK93"/>
    <mergeCell ref="DFL93:DFT93"/>
    <mergeCell ref="DFU93:DGC93"/>
    <mergeCell ref="DGD93:DGL93"/>
    <mergeCell ref="DGM93:DGU93"/>
    <mergeCell ref="DGV93:DHD93"/>
    <mergeCell ref="DHE93:DHM93"/>
    <mergeCell ref="DBH93:DBP93"/>
    <mergeCell ref="DBQ93:DBY93"/>
    <mergeCell ref="DBZ93:DCH93"/>
    <mergeCell ref="DCI93:DCQ93"/>
    <mergeCell ref="DCR93:DCZ93"/>
    <mergeCell ref="DDA93:DDI93"/>
    <mergeCell ref="DDJ93:DDR93"/>
    <mergeCell ref="DDS93:DEA93"/>
    <mergeCell ref="DEB93:DEJ93"/>
    <mergeCell ref="CYE93:CYM93"/>
    <mergeCell ref="CYN93:CYV93"/>
    <mergeCell ref="CYW93:CZE93"/>
    <mergeCell ref="CZF93:CZN93"/>
    <mergeCell ref="CZO93:CZW93"/>
    <mergeCell ref="CZX93:DAF93"/>
    <mergeCell ref="DAG93:DAO93"/>
    <mergeCell ref="DAP93:DAX93"/>
    <mergeCell ref="DAY93:DBG93"/>
    <mergeCell ref="CVB93:CVJ93"/>
    <mergeCell ref="CVK93:CVS93"/>
    <mergeCell ref="CVT93:CWB93"/>
    <mergeCell ref="CWC93:CWK93"/>
    <mergeCell ref="CWL93:CWT93"/>
    <mergeCell ref="CWU93:CXC93"/>
    <mergeCell ref="CXD93:CXL93"/>
    <mergeCell ref="CXM93:CXU93"/>
    <mergeCell ref="CXV93:CYD93"/>
    <mergeCell ref="CRY93:CSG93"/>
    <mergeCell ref="CSH93:CSP93"/>
    <mergeCell ref="CSQ93:CSY93"/>
    <mergeCell ref="CSZ93:CTH93"/>
    <mergeCell ref="CTI93:CTQ93"/>
    <mergeCell ref="CTR93:CTZ93"/>
    <mergeCell ref="CUA93:CUI93"/>
    <mergeCell ref="CUJ93:CUR93"/>
    <mergeCell ref="CUS93:CVA93"/>
    <mergeCell ref="COV93:CPD93"/>
    <mergeCell ref="CPE93:CPM93"/>
    <mergeCell ref="CPN93:CPV93"/>
    <mergeCell ref="CPW93:CQE93"/>
    <mergeCell ref="CQF93:CQN93"/>
    <mergeCell ref="CQO93:CQW93"/>
    <mergeCell ref="CQX93:CRF93"/>
    <mergeCell ref="CRG93:CRO93"/>
    <mergeCell ref="CRP93:CRX93"/>
    <mergeCell ref="CLS93:CMA93"/>
    <mergeCell ref="CMB93:CMJ93"/>
    <mergeCell ref="CMK93:CMS93"/>
    <mergeCell ref="CMT93:CNB93"/>
    <mergeCell ref="CNC93:CNK93"/>
    <mergeCell ref="CNL93:CNT93"/>
    <mergeCell ref="CNU93:COC93"/>
    <mergeCell ref="COD93:COL93"/>
    <mergeCell ref="COM93:COU93"/>
    <mergeCell ref="CIP93:CIX93"/>
    <mergeCell ref="CIY93:CJG93"/>
    <mergeCell ref="CJH93:CJP93"/>
    <mergeCell ref="CJQ93:CJY93"/>
    <mergeCell ref="CJZ93:CKH93"/>
    <mergeCell ref="CKI93:CKQ93"/>
    <mergeCell ref="CKR93:CKZ93"/>
    <mergeCell ref="CLA93:CLI93"/>
    <mergeCell ref="CLJ93:CLR93"/>
    <mergeCell ref="CFM93:CFU93"/>
    <mergeCell ref="CFV93:CGD93"/>
    <mergeCell ref="CGE93:CGM93"/>
    <mergeCell ref="CGN93:CGV93"/>
    <mergeCell ref="CGW93:CHE93"/>
    <mergeCell ref="CHF93:CHN93"/>
    <mergeCell ref="CHO93:CHW93"/>
    <mergeCell ref="CHX93:CIF93"/>
    <mergeCell ref="CIG93:CIO93"/>
    <mergeCell ref="CCJ93:CCR93"/>
    <mergeCell ref="CCS93:CDA93"/>
    <mergeCell ref="CDB93:CDJ93"/>
    <mergeCell ref="CDK93:CDS93"/>
    <mergeCell ref="CDT93:CEB93"/>
    <mergeCell ref="CEC93:CEK93"/>
    <mergeCell ref="CEL93:CET93"/>
    <mergeCell ref="CEU93:CFC93"/>
    <mergeCell ref="CFD93:CFL93"/>
    <mergeCell ref="BZG93:BZO93"/>
    <mergeCell ref="BZP93:BZX93"/>
    <mergeCell ref="BZY93:CAG93"/>
    <mergeCell ref="CAH93:CAP93"/>
    <mergeCell ref="CAQ93:CAY93"/>
    <mergeCell ref="CAZ93:CBH93"/>
    <mergeCell ref="CBI93:CBQ93"/>
    <mergeCell ref="CBR93:CBZ93"/>
    <mergeCell ref="CCA93:CCI93"/>
    <mergeCell ref="BWD93:BWL93"/>
    <mergeCell ref="BWM93:BWU93"/>
    <mergeCell ref="BWV93:BXD93"/>
    <mergeCell ref="BXE93:BXM93"/>
    <mergeCell ref="BXN93:BXV93"/>
    <mergeCell ref="BXW93:BYE93"/>
    <mergeCell ref="BYF93:BYN93"/>
    <mergeCell ref="BYO93:BYW93"/>
    <mergeCell ref="BYX93:BZF93"/>
    <mergeCell ref="BTA93:BTI93"/>
    <mergeCell ref="BTJ93:BTR93"/>
    <mergeCell ref="BTS93:BUA93"/>
    <mergeCell ref="BUB93:BUJ93"/>
    <mergeCell ref="BUK93:BUS93"/>
    <mergeCell ref="BUT93:BVB93"/>
    <mergeCell ref="BVC93:BVK93"/>
    <mergeCell ref="BVL93:BVT93"/>
    <mergeCell ref="BVU93:BWC93"/>
    <mergeCell ref="BPX93:BQF93"/>
    <mergeCell ref="BQG93:BQO93"/>
    <mergeCell ref="BQP93:BQX93"/>
    <mergeCell ref="BQY93:BRG93"/>
    <mergeCell ref="BRH93:BRP93"/>
    <mergeCell ref="BRQ93:BRY93"/>
    <mergeCell ref="BRZ93:BSH93"/>
    <mergeCell ref="BSI93:BSQ93"/>
    <mergeCell ref="BSR93:BSZ93"/>
    <mergeCell ref="BMU93:BNC93"/>
    <mergeCell ref="BND93:BNL93"/>
    <mergeCell ref="BNM93:BNU93"/>
    <mergeCell ref="BNV93:BOD93"/>
    <mergeCell ref="BOE93:BOM93"/>
    <mergeCell ref="BON93:BOV93"/>
    <mergeCell ref="BOW93:BPE93"/>
    <mergeCell ref="BPF93:BPN93"/>
    <mergeCell ref="BPO93:BPW93"/>
    <mergeCell ref="BJR93:BJZ93"/>
    <mergeCell ref="BKA93:BKI93"/>
    <mergeCell ref="BKJ93:BKR93"/>
    <mergeCell ref="BKS93:BLA93"/>
    <mergeCell ref="BLB93:BLJ93"/>
    <mergeCell ref="BLK93:BLS93"/>
    <mergeCell ref="BLT93:BMB93"/>
    <mergeCell ref="BMC93:BMK93"/>
    <mergeCell ref="BML93:BMT93"/>
    <mergeCell ref="BGO93:BGW93"/>
    <mergeCell ref="BGX93:BHF93"/>
    <mergeCell ref="BHG93:BHO93"/>
    <mergeCell ref="BHP93:BHX93"/>
    <mergeCell ref="BHY93:BIG93"/>
    <mergeCell ref="BIH93:BIP93"/>
    <mergeCell ref="BIQ93:BIY93"/>
    <mergeCell ref="BIZ93:BJH93"/>
    <mergeCell ref="BJI93:BJQ93"/>
    <mergeCell ref="BDL93:BDT93"/>
    <mergeCell ref="BDU93:BEC93"/>
    <mergeCell ref="BED93:BEL93"/>
    <mergeCell ref="BEM93:BEU93"/>
    <mergeCell ref="BEV93:BFD93"/>
    <mergeCell ref="BFE93:BFM93"/>
    <mergeCell ref="BFN93:BFV93"/>
    <mergeCell ref="BFW93:BGE93"/>
    <mergeCell ref="BGF93:BGN93"/>
    <mergeCell ref="BAI93:BAQ93"/>
    <mergeCell ref="BAR93:BAZ93"/>
    <mergeCell ref="BBA93:BBI93"/>
    <mergeCell ref="BBJ93:BBR93"/>
    <mergeCell ref="BBS93:BCA93"/>
    <mergeCell ref="BCB93:BCJ93"/>
    <mergeCell ref="BCK93:BCS93"/>
    <mergeCell ref="BCT93:BDB93"/>
    <mergeCell ref="BDC93:BDK93"/>
    <mergeCell ref="AXF93:AXN93"/>
    <mergeCell ref="AXO93:AXW93"/>
    <mergeCell ref="AXX93:AYF93"/>
    <mergeCell ref="AYG93:AYO93"/>
    <mergeCell ref="AYP93:AYX93"/>
    <mergeCell ref="AYY93:AZG93"/>
    <mergeCell ref="AZH93:AZP93"/>
    <mergeCell ref="AZQ93:AZY93"/>
    <mergeCell ref="AZZ93:BAH93"/>
    <mergeCell ref="AUC93:AUK93"/>
    <mergeCell ref="AUL93:AUT93"/>
    <mergeCell ref="AUU93:AVC93"/>
    <mergeCell ref="AVD93:AVL93"/>
    <mergeCell ref="AVM93:AVU93"/>
    <mergeCell ref="AVV93:AWD93"/>
    <mergeCell ref="AWE93:AWM93"/>
    <mergeCell ref="AWN93:AWV93"/>
    <mergeCell ref="AWW93:AXE93"/>
    <mergeCell ref="AQZ93:ARH93"/>
    <mergeCell ref="ARI93:ARQ93"/>
    <mergeCell ref="ARR93:ARZ93"/>
    <mergeCell ref="ASA93:ASI93"/>
    <mergeCell ref="ASJ93:ASR93"/>
    <mergeCell ref="ASS93:ATA93"/>
    <mergeCell ref="ATB93:ATJ93"/>
    <mergeCell ref="ATK93:ATS93"/>
    <mergeCell ref="ATT93:AUB93"/>
    <mergeCell ref="ANW93:AOE93"/>
    <mergeCell ref="AOF93:AON93"/>
    <mergeCell ref="AOO93:AOW93"/>
    <mergeCell ref="AOX93:APF93"/>
    <mergeCell ref="APG93:APO93"/>
    <mergeCell ref="APP93:APX93"/>
    <mergeCell ref="APY93:AQG93"/>
    <mergeCell ref="AQH93:AQP93"/>
    <mergeCell ref="AQQ93:AQY93"/>
    <mergeCell ref="AKT93:ALB93"/>
    <mergeCell ref="ALC93:ALK93"/>
    <mergeCell ref="ALL93:ALT93"/>
    <mergeCell ref="ALU93:AMC93"/>
    <mergeCell ref="AMD93:AML93"/>
    <mergeCell ref="AMM93:AMU93"/>
    <mergeCell ref="AMV93:AND93"/>
    <mergeCell ref="ANE93:ANM93"/>
    <mergeCell ref="ANN93:ANV93"/>
    <mergeCell ref="AHQ93:AHY93"/>
    <mergeCell ref="AHZ93:AIH93"/>
    <mergeCell ref="AII93:AIQ93"/>
    <mergeCell ref="AIR93:AIZ93"/>
    <mergeCell ref="AJA93:AJI93"/>
    <mergeCell ref="AJJ93:AJR93"/>
    <mergeCell ref="AJS93:AKA93"/>
    <mergeCell ref="AKB93:AKJ93"/>
    <mergeCell ref="AKK93:AKS93"/>
    <mergeCell ref="AEN93:AEV93"/>
    <mergeCell ref="AEW93:AFE93"/>
    <mergeCell ref="AFF93:AFN93"/>
    <mergeCell ref="AFO93:AFW93"/>
    <mergeCell ref="AFX93:AGF93"/>
    <mergeCell ref="AGG93:AGO93"/>
    <mergeCell ref="AGP93:AGX93"/>
    <mergeCell ref="AGY93:AHG93"/>
    <mergeCell ref="AHH93:AHP93"/>
    <mergeCell ref="ABK93:ABS93"/>
    <mergeCell ref="ABT93:ACB93"/>
    <mergeCell ref="ACC93:ACK93"/>
    <mergeCell ref="ACL93:ACT93"/>
    <mergeCell ref="ACU93:ADC93"/>
    <mergeCell ref="ADD93:ADL93"/>
    <mergeCell ref="ADM93:ADU93"/>
    <mergeCell ref="ADV93:AED93"/>
    <mergeCell ref="AEE93:AEM93"/>
    <mergeCell ref="YH93:YP93"/>
    <mergeCell ref="YQ93:YY93"/>
    <mergeCell ref="YZ93:ZH93"/>
    <mergeCell ref="ZI93:ZQ93"/>
    <mergeCell ref="ZR93:ZZ93"/>
    <mergeCell ref="AAA93:AAI93"/>
    <mergeCell ref="AAJ93:AAR93"/>
    <mergeCell ref="AAS93:ABA93"/>
    <mergeCell ref="ABB93:ABJ93"/>
    <mergeCell ref="VE93:VM93"/>
    <mergeCell ref="VN93:VV93"/>
    <mergeCell ref="VW93:WE93"/>
    <mergeCell ref="WF93:WN93"/>
    <mergeCell ref="WO93:WW93"/>
    <mergeCell ref="WX93:XF93"/>
    <mergeCell ref="XG93:XO93"/>
    <mergeCell ref="XP93:XX93"/>
    <mergeCell ref="XY93:YG93"/>
    <mergeCell ref="SB93:SJ93"/>
    <mergeCell ref="SK93:SS93"/>
    <mergeCell ref="ST93:TB93"/>
    <mergeCell ref="TC93:TK93"/>
    <mergeCell ref="TL93:TT93"/>
    <mergeCell ref="TU93:UC93"/>
    <mergeCell ref="UD93:UL93"/>
    <mergeCell ref="UM93:UU93"/>
    <mergeCell ref="UV93:VD93"/>
    <mergeCell ref="OY93:PG93"/>
    <mergeCell ref="PH93:PP93"/>
    <mergeCell ref="PQ93:PY93"/>
    <mergeCell ref="PZ93:QH93"/>
    <mergeCell ref="QI93:QQ93"/>
    <mergeCell ref="QR93:QZ93"/>
    <mergeCell ref="RA93:RI93"/>
    <mergeCell ref="RJ93:RR93"/>
    <mergeCell ref="RS93:SA93"/>
    <mergeCell ref="LV93:MD93"/>
    <mergeCell ref="ME93:MM93"/>
    <mergeCell ref="MN93:MV93"/>
    <mergeCell ref="MW93:NE93"/>
    <mergeCell ref="NF93:NN93"/>
    <mergeCell ref="NO93:NW93"/>
    <mergeCell ref="NX93:OF93"/>
    <mergeCell ref="OG93:OO93"/>
    <mergeCell ref="OP93:OX93"/>
    <mergeCell ref="IS93:JA93"/>
    <mergeCell ref="JB93:JJ93"/>
    <mergeCell ref="JK93:JS93"/>
    <mergeCell ref="JT93:KB93"/>
    <mergeCell ref="KC93:KK93"/>
    <mergeCell ref="KL93:KT93"/>
    <mergeCell ref="KU93:LC93"/>
    <mergeCell ref="LD93:LL93"/>
    <mergeCell ref="LM93:LU93"/>
    <mergeCell ref="FP93:FX93"/>
    <mergeCell ref="FY93:GG93"/>
    <mergeCell ref="GH93:GP93"/>
    <mergeCell ref="GQ93:GY93"/>
    <mergeCell ref="GZ93:HH93"/>
    <mergeCell ref="HI93:HQ93"/>
    <mergeCell ref="HR93:HZ93"/>
    <mergeCell ref="IA93:II93"/>
    <mergeCell ref="IJ93:IR93"/>
    <mergeCell ref="CM93:CU93"/>
    <mergeCell ref="CV93:DD93"/>
    <mergeCell ref="DE93:DM93"/>
    <mergeCell ref="DN93:DV93"/>
    <mergeCell ref="DW93:EE93"/>
    <mergeCell ref="EF93:EN93"/>
    <mergeCell ref="EO93:EW93"/>
    <mergeCell ref="EX93:FF93"/>
    <mergeCell ref="FG93:FO93"/>
    <mergeCell ref="J93:R93"/>
    <mergeCell ref="S93:AA93"/>
    <mergeCell ref="AB93:AJ93"/>
    <mergeCell ref="AK93:AS93"/>
    <mergeCell ref="AT93:BB93"/>
    <mergeCell ref="BC93:BK93"/>
    <mergeCell ref="BL93:BT93"/>
    <mergeCell ref="BU93:CC93"/>
    <mergeCell ref="CD93:CL93"/>
    <mergeCell ref="A582:I582"/>
    <mergeCell ref="A583:I583"/>
    <mergeCell ref="A584:I584"/>
    <mergeCell ref="A585:A586"/>
    <mergeCell ref="B585:B586"/>
    <mergeCell ref="C585:C586"/>
    <mergeCell ref="D585:D586"/>
    <mergeCell ref="E585:E586"/>
    <mergeCell ref="F585:F586"/>
    <mergeCell ref="G585:I585"/>
    <mergeCell ref="A571:I571"/>
    <mergeCell ref="A572:I572"/>
    <mergeCell ref="A573:I573"/>
    <mergeCell ref="A574:A575"/>
    <mergeCell ref="B574:B575"/>
    <mergeCell ref="C574:C575"/>
    <mergeCell ref="D574:D575"/>
    <mergeCell ref="E574:E575"/>
    <mergeCell ref="F574:F575"/>
    <mergeCell ref="G574:I574"/>
    <mergeCell ref="A560:I560"/>
    <mergeCell ref="A561:I561"/>
    <mergeCell ref="A562:I562"/>
    <mergeCell ref="A563:A564"/>
    <mergeCell ref="B563:B564"/>
    <mergeCell ref="C563:C564"/>
    <mergeCell ref="D563:D564"/>
    <mergeCell ref="E563:E564"/>
    <mergeCell ref="F563:F564"/>
    <mergeCell ref="G563:I563"/>
    <mergeCell ref="A549:I549"/>
    <mergeCell ref="A550:I550"/>
    <mergeCell ref="A551:I551"/>
    <mergeCell ref="A552:A553"/>
    <mergeCell ref="B552:B553"/>
    <mergeCell ref="C552:C553"/>
    <mergeCell ref="D552:D553"/>
    <mergeCell ref="E552:E553"/>
    <mergeCell ref="F552:F553"/>
    <mergeCell ref="G552:I552"/>
    <mergeCell ref="A538:I538"/>
    <mergeCell ref="A539:I539"/>
    <mergeCell ref="A540:I540"/>
    <mergeCell ref="A541:A542"/>
    <mergeCell ref="B541:B542"/>
    <mergeCell ref="C541:C542"/>
    <mergeCell ref="D541:D542"/>
    <mergeCell ref="E541:E542"/>
    <mergeCell ref="F541:F542"/>
    <mergeCell ref="G541:I541"/>
    <mergeCell ref="A529:I529"/>
    <mergeCell ref="B530:B531"/>
    <mergeCell ref="C530:C531"/>
    <mergeCell ref="D530:D531"/>
    <mergeCell ref="E530:E531"/>
    <mergeCell ref="F530:F531"/>
    <mergeCell ref="A527:J527"/>
    <mergeCell ref="A528:J528"/>
    <mergeCell ref="A530:A531"/>
    <mergeCell ref="G530:G531"/>
    <mergeCell ref="H530:J530"/>
    <mergeCell ref="A516:I516"/>
    <mergeCell ref="A517:I517"/>
    <mergeCell ref="A518:I518"/>
    <mergeCell ref="A519:A520"/>
    <mergeCell ref="B519:B520"/>
    <mergeCell ref="C519:C520"/>
    <mergeCell ref="D519:D520"/>
    <mergeCell ref="E519:E520"/>
    <mergeCell ref="F519:F520"/>
    <mergeCell ref="G519:I519"/>
    <mergeCell ref="A505:I505"/>
    <mergeCell ref="A506:I506"/>
    <mergeCell ref="A507:I507"/>
    <mergeCell ref="A508:A509"/>
    <mergeCell ref="B508:B509"/>
    <mergeCell ref="C508:C509"/>
    <mergeCell ref="D508:D509"/>
    <mergeCell ref="E508:E509"/>
    <mergeCell ref="F508:F509"/>
    <mergeCell ref="G508:I508"/>
    <mergeCell ref="A494:I494"/>
    <mergeCell ref="A495:I495"/>
    <mergeCell ref="A496:I496"/>
    <mergeCell ref="A497:A498"/>
    <mergeCell ref="B497:B498"/>
    <mergeCell ref="C497:C498"/>
    <mergeCell ref="D497:D498"/>
    <mergeCell ref="E497:E498"/>
    <mergeCell ref="F497:F498"/>
    <mergeCell ref="G497:I497"/>
    <mergeCell ref="A483:I483"/>
    <mergeCell ref="A484:I484"/>
    <mergeCell ref="A485:I485"/>
    <mergeCell ref="A486:A487"/>
    <mergeCell ref="B486:B487"/>
    <mergeCell ref="C486:C487"/>
    <mergeCell ref="D486:D487"/>
    <mergeCell ref="E486:E487"/>
    <mergeCell ref="F486:F487"/>
    <mergeCell ref="G486:I486"/>
    <mergeCell ref="A474:I474"/>
    <mergeCell ref="B475:B476"/>
    <mergeCell ref="C475:C476"/>
    <mergeCell ref="D475:D476"/>
    <mergeCell ref="E475:E476"/>
    <mergeCell ref="F475:F476"/>
    <mergeCell ref="A463:I463"/>
    <mergeCell ref="B464:B465"/>
    <mergeCell ref="C464:C465"/>
    <mergeCell ref="D464:D465"/>
    <mergeCell ref="E464:E465"/>
    <mergeCell ref="F464:F465"/>
    <mergeCell ref="A464:A465"/>
    <mergeCell ref="G464:G465"/>
    <mergeCell ref="H464:J464"/>
    <mergeCell ref="A461:J461"/>
    <mergeCell ref="A462:J462"/>
    <mergeCell ref="A472:J472"/>
    <mergeCell ref="A473:J473"/>
    <mergeCell ref="A475:A476"/>
    <mergeCell ref="G475:G476"/>
    <mergeCell ref="H475:J475"/>
    <mergeCell ref="D409:D410"/>
    <mergeCell ref="E409:E410"/>
    <mergeCell ref="F409:F410"/>
    <mergeCell ref="G409:I409"/>
    <mergeCell ref="A395:I395"/>
    <mergeCell ref="A396:I396"/>
    <mergeCell ref="A397:I397"/>
    <mergeCell ref="A398:A399"/>
    <mergeCell ref="B398:B399"/>
    <mergeCell ref="C398:C399"/>
    <mergeCell ref="D398:D399"/>
    <mergeCell ref="E398:E399"/>
    <mergeCell ref="F398:F399"/>
    <mergeCell ref="G398:I398"/>
    <mergeCell ref="A384:I384"/>
    <mergeCell ref="A385:I385"/>
    <mergeCell ref="A386:I386"/>
    <mergeCell ref="A387:A388"/>
    <mergeCell ref="B387:B388"/>
    <mergeCell ref="C387:C388"/>
    <mergeCell ref="D387:D388"/>
    <mergeCell ref="E387:E388"/>
    <mergeCell ref="F387:F388"/>
    <mergeCell ref="G387:I387"/>
    <mergeCell ref="E321:E322"/>
    <mergeCell ref="F321:F322"/>
    <mergeCell ref="G321:I321"/>
    <mergeCell ref="A329:I329"/>
    <mergeCell ref="A330:I330"/>
    <mergeCell ref="B343:B344"/>
    <mergeCell ref="A373:I373"/>
    <mergeCell ref="A374:I374"/>
    <mergeCell ref="A375:I375"/>
    <mergeCell ref="A376:A377"/>
    <mergeCell ref="B376:B377"/>
    <mergeCell ref="C376:C377"/>
    <mergeCell ref="D376:D377"/>
    <mergeCell ref="E376:E377"/>
    <mergeCell ref="F376:F377"/>
    <mergeCell ref="G376:I376"/>
    <mergeCell ref="A362:I362"/>
    <mergeCell ref="A363:I363"/>
    <mergeCell ref="A364:I364"/>
    <mergeCell ref="A365:A366"/>
    <mergeCell ref="B365:B366"/>
    <mergeCell ref="C365:C366"/>
    <mergeCell ref="D365:D366"/>
    <mergeCell ref="E365:E366"/>
    <mergeCell ref="F365:F366"/>
    <mergeCell ref="G365:I365"/>
    <mergeCell ref="F299:F300"/>
    <mergeCell ref="A309:I309"/>
    <mergeCell ref="A310:A311"/>
    <mergeCell ref="D288:D289"/>
    <mergeCell ref="E288:E289"/>
    <mergeCell ref="A296:J296"/>
    <mergeCell ref="A297:J297"/>
    <mergeCell ref="A298:J298"/>
    <mergeCell ref="A299:A300"/>
    <mergeCell ref="G299:G300"/>
    <mergeCell ref="H299:J299"/>
    <mergeCell ref="A351:I351"/>
    <mergeCell ref="A352:I352"/>
    <mergeCell ref="A353:I353"/>
    <mergeCell ref="B354:B355"/>
    <mergeCell ref="C354:C355"/>
    <mergeCell ref="D354:D355"/>
    <mergeCell ref="E354:E355"/>
    <mergeCell ref="F354:F355"/>
    <mergeCell ref="A331:I331"/>
    <mergeCell ref="A332:A333"/>
    <mergeCell ref="B332:B333"/>
    <mergeCell ref="C332:C333"/>
    <mergeCell ref="D332:D333"/>
    <mergeCell ref="E332:E333"/>
    <mergeCell ref="F332:F333"/>
    <mergeCell ref="G332:I332"/>
    <mergeCell ref="A320:I320"/>
    <mergeCell ref="A321:A322"/>
    <mergeCell ref="B321:B322"/>
    <mergeCell ref="C321:C322"/>
    <mergeCell ref="D321:D322"/>
    <mergeCell ref="A318:I318"/>
    <mergeCell ref="A319:I319"/>
    <mergeCell ref="A307:I307"/>
    <mergeCell ref="A308:I308"/>
    <mergeCell ref="A274:I274"/>
    <mergeCell ref="A275:I275"/>
    <mergeCell ref="A276:I276"/>
    <mergeCell ref="A277:A278"/>
    <mergeCell ref="B277:B278"/>
    <mergeCell ref="C277:C278"/>
    <mergeCell ref="D277:D278"/>
    <mergeCell ref="E277:E278"/>
    <mergeCell ref="F277:F278"/>
    <mergeCell ref="G277:I277"/>
    <mergeCell ref="A285:I285"/>
    <mergeCell ref="A286:I286"/>
    <mergeCell ref="A287:I287"/>
    <mergeCell ref="A288:A289"/>
    <mergeCell ref="B288:B289"/>
    <mergeCell ref="C288:C289"/>
    <mergeCell ref="F288:F289"/>
    <mergeCell ref="G288:I288"/>
    <mergeCell ref="B310:B311"/>
    <mergeCell ref="C310:C311"/>
    <mergeCell ref="D310:D311"/>
    <mergeCell ref="E310:E311"/>
    <mergeCell ref="F310:F311"/>
    <mergeCell ref="G310:I310"/>
    <mergeCell ref="B299:B300"/>
    <mergeCell ref="C299:C300"/>
    <mergeCell ref="D299:D300"/>
    <mergeCell ref="E299:E300"/>
    <mergeCell ref="A263:I263"/>
    <mergeCell ref="A264:I264"/>
    <mergeCell ref="A265:I265"/>
    <mergeCell ref="A266:A267"/>
    <mergeCell ref="B266:B267"/>
    <mergeCell ref="C266:C267"/>
    <mergeCell ref="D266:D267"/>
    <mergeCell ref="E266:E267"/>
    <mergeCell ref="F266:F267"/>
    <mergeCell ref="G266:I266"/>
    <mergeCell ref="A252:I252"/>
    <mergeCell ref="A253:I253"/>
    <mergeCell ref="A254:I254"/>
    <mergeCell ref="A255:A256"/>
    <mergeCell ref="B255:B256"/>
    <mergeCell ref="C255:C256"/>
    <mergeCell ref="D255:D256"/>
    <mergeCell ref="E255:E256"/>
    <mergeCell ref="F255:F256"/>
    <mergeCell ref="G255:I255"/>
    <mergeCell ref="B244:B245"/>
    <mergeCell ref="C244:C245"/>
    <mergeCell ref="D244:D245"/>
    <mergeCell ref="E244:E245"/>
    <mergeCell ref="F244:F245"/>
    <mergeCell ref="A230:I230"/>
    <mergeCell ref="A231:I231"/>
    <mergeCell ref="A232:I232"/>
    <mergeCell ref="A233:A234"/>
    <mergeCell ref="B233:B234"/>
    <mergeCell ref="C233:C234"/>
    <mergeCell ref="D233:D234"/>
    <mergeCell ref="E233:E234"/>
    <mergeCell ref="F233:F234"/>
    <mergeCell ref="G233:I233"/>
    <mergeCell ref="A241:J241"/>
    <mergeCell ref="A242:J242"/>
    <mergeCell ref="A243:J243"/>
    <mergeCell ref="A244:A245"/>
    <mergeCell ref="G244:G245"/>
    <mergeCell ref="H244:J244"/>
    <mergeCell ref="A219:I219"/>
    <mergeCell ref="A220:I220"/>
    <mergeCell ref="A221:I221"/>
    <mergeCell ref="B222:B223"/>
    <mergeCell ref="C222:C223"/>
    <mergeCell ref="D222:D223"/>
    <mergeCell ref="E222:E223"/>
    <mergeCell ref="F222:F223"/>
    <mergeCell ref="B211:B212"/>
    <mergeCell ref="C211:C212"/>
    <mergeCell ref="D211:D212"/>
    <mergeCell ref="E211:E212"/>
    <mergeCell ref="F211:F212"/>
    <mergeCell ref="A208:J208"/>
    <mergeCell ref="A209:J209"/>
    <mergeCell ref="A210:J210"/>
    <mergeCell ref="A211:A212"/>
    <mergeCell ref="H211:J211"/>
    <mergeCell ref="G211:G212"/>
    <mergeCell ref="A222:A223"/>
    <mergeCell ref="G222:G223"/>
    <mergeCell ref="H222:J222"/>
    <mergeCell ref="A199:I199"/>
    <mergeCell ref="A200:A201"/>
    <mergeCell ref="B200:B201"/>
    <mergeCell ref="C200:C201"/>
    <mergeCell ref="D200:D201"/>
    <mergeCell ref="E200:E201"/>
    <mergeCell ref="F200:F201"/>
    <mergeCell ref="A170:I170"/>
    <mergeCell ref="A171:I171"/>
    <mergeCell ref="A172:I172"/>
    <mergeCell ref="A173:A174"/>
    <mergeCell ref="B173:B174"/>
    <mergeCell ref="C173:C174"/>
    <mergeCell ref="D173:D174"/>
    <mergeCell ref="E173:E174"/>
    <mergeCell ref="F173:F174"/>
    <mergeCell ref="G173:I173"/>
    <mergeCell ref="A197:J197"/>
    <mergeCell ref="A198:J198"/>
    <mergeCell ref="G200:G201"/>
    <mergeCell ref="H200:J200"/>
    <mergeCell ref="A182:I182"/>
    <mergeCell ref="A183:I183"/>
    <mergeCell ref="A184:I184"/>
    <mergeCell ref="A185:A186"/>
    <mergeCell ref="B185:B186"/>
    <mergeCell ref="C185:C186"/>
    <mergeCell ref="D185:D186"/>
    <mergeCell ref="E185:E186"/>
    <mergeCell ref="F185:F186"/>
    <mergeCell ref="G185:I185"/>
    <mergeCell ref="A159:I159"/>
    <mergeCell ref="A160:I160"/>
    <mergeCell ref="A161:I161"/>
    <mergeCell ref="A162:A163"/>
    <mergeCell ref="B162:B163"/>
    <mergeCell ref="C162:C163"/>
    <mergeCell ref="D162:D163"/>
    <mergeCell ref="E162:E163"/>
    <mergeCell ref="F162:F163"/>
    <mergeCell ref="G162:I162"/>
    <mergeCell ref="A148:I148"/>
    <mergeCell ref="A149:I149"/>
    <mergeCell ref="A150:I150"/>
    <mergeCell ref="A151:A152"/>
    <mergeCell ref="B151:B152"/>
    <mergeCell ref="C151:C152"/>
    <mergeCell ref="D151:D152"/>
    <mergeCell ref="E151:E152"/>
    <mergeCell ref="F151:F152"/>
    <mergeCell ref="G151:I151"/>
    <mergeCell ref="A137:I137"/>
    <mergeCell ref="A138:I138"/>
    <mergeCell ref="A139:I139"/>
    <mergeCell ref="A140:A141"/>
    <mergeCell ref="B140:B141"/>
    <mergeCell ref="C140:C141"/>
    <mergeCell ref="D140:D141"/>
    <mergeCell ref="E140:E141"/>
    <mergeCell ref="F140:F141"/>
    <mergeCell ref="G140:I140"/>
    <mergeCell ref="A126:I126"/>
    <mergeCell ref="A127:I127"/>
    <mergeCell ref="A128:I128"/>
    <mergeCell ref="A129:A130"/>
    <mergeCell ref="B129:B130"/>
    <mergeCell ref="C129:C130"/>
    <mergeCell ref="D129:D130"/>
    <mergeCell ref="E129:E130"/>
    <mergeCell ref="F129:F130"/>
    <mergeCell ref="G129:I129"/>
    <mergeCell ref="A115:I115"/>
    <mergeCell ref="A116:I116"/>
    <mergeCell ref="A117:I117"/>
    <mergeCell ref="A118:A119"/>
    <mergeCell ref="B118:B119"/>
    <mergeCell ref="C118:C119"/>
    <mergeCell ref="D118:D119"/>
    <mergeCell ref="E118:E119"/>
    <mergeCell ref="F118:F119"/>
    <mergeCell ref="G118:I118"/>
    <mergeCell ref="A104:I104"/>
    <mergeCell ref="A105:I105"/>
    <mergeCell ref="A106:I106"/>
    <mergeCell ref="A107:A108"/>
    <mergeCell ref="B107:B108"/>
    <mergeCell ref="C107:C108"/>
    <mergeCell ref="D107:D108"/>
    <mergeCell ref="E107:E108"/>
    <mergeCell ref="F107:F108"/>
    <mergeCell ref="G107:I107"/>
    <mergeCell ref="A93:I93"/>
    <mergeCell ref="A94:I94"/>
    <mergeCell ref="A95:I95"/>
    <mergeCell ref="A96:A97"/>
    <mergeCell ref="B96:B97"/>
    <mergeCell ref="C96:C97"/>
    <mergeCell ref="D96:D97"/>
    <mergeCell ref="E96:E97"/>
    <mergeCell ref="F96:F97"/>
    <mergeCell ref="G96:I96"/>
    <mergeCell ref="A84:I84"/>
    <mergeCell ref="B85:B86"/>
    <mergeCell ref="C85:C86"/>
    <mergeCell ref="D85:D86"/>
    <mergeCell ref="E85:E86"/>
    <mergeCell ref="F85:F86"/>
    <mergeCell ref="A85:A86"/>
    <mergeCell ref="A83:J83"/>
    <mergeCell ref="A82:J82"/>
    <mergeCell ref="G85:G86"/>
    <mergeCell ref="H85:J85"/>
    <mergeCell ref="A71:I71"/>
    <mergeCell ref="A72:I72"/>
    <mergeCell ref="A73:I73"/>
    <mergeCell ref="A74:A75"/>
    <mergeCell ref="B74:B75"/>
    <mergeCell ref="C74:C75"/>
    <mergeCell ref="D74:D75"/>
    <mergeCell ref="E74:E75"/>
    <mergeCell ref="F74:F75"/>
    <mergeCell ref="G74:I74"/>
    <mergeCell ref="A60:I60"/>
    <mergeCell ref="A61:I61"/>
    <mergeCell ref="A62:I62"/>
    <mergeCell ref="A63:A64"/>
    <mergeCell ref="B63:B64"/>
    <mergeCell ref="C63:C64"/>
    <mergeCell ref="D63:D64"/>
    <mergeCell ref="E63:E64"/>
    <mergeCell ref="F63:F64"/>
    <mergeCell ref="G63:I63"/>
    <mergeCell ref="B50:B51"/>
    <mergeCell ref="C50:C51"/>
    <mergeCell ref="D50:D51"/>
    <mergeCell ref="E50:E51"/>
    <mergeCell ref="F50:F51"/>
    <mergeCell ref="B38:B39"/>
    <mergeCell ref="C38:C39"/>
    <mergeCell ref="D38:D39"/>
    <mergeCell ref="E38:E39"/>
    <mergeCell ref="F38:F39"/>
    <mergeCell ref="A50:A51"/>
    <mergeCell ref="G50:G51"/>
    <mergeCell ref="H50:J50"/>
    <mergeCell ref="A26:I26"/>
    <mergeCell ref="A27:A28"/>
    <mergeCell ref="B27:B28"/>
    <mergeCell ref="C27:C28"/>
    <mergeCell ref="D27:D28"/>
    <mergeCell ref="E27:E28"/>
    <mergeCell ref="F27:F28"/>
    <mergeCell ref="G27:I27"/>
    <mergeCell ref="A48:J48"/>
    <mergeCell ref="A49:J49"/>
  </mergeCells>
  <pageMargins left="0.7" right="0.7" top="0.75" bottom="0.75" header="0.3" footer="0.3"/>
  <pageSetup paperSize="9" scale="65" orientation="landscape" r:id="rId4"/>
  <rowBreaks count="49" manualBreakCount="49">
    <brk id="22" max="9" man="1"/>
    <brk id="33" max="9" man="1"/>
    <brk id="45" max="9" man="1"/>
    <brk id="56" max="9" man="1"/>
    <brk id="69" max="9" man="1"/>
    <brk id="80" max="9" man="1"/>
    <brk id="91" max="9" man="1"/>
    <brk id="102" max="9" man="1"/>
    <brk id="113" max="9" man="1"/>
    <brk id="124" max="9" man="1"/>
    <brk id="135" max="9" man="1"/>
    <brk id="146" max="9" man="1"/>
    <brk id="157" max="9" man="1"/>
    <brk id="168" max="9" man="1"/>
    <brk id="194" max="9" man="1"/>
    <brk id="206" max="9" man="1"/>
    <brk id="217" max="9" man="1"/>
    <brk id="228" max="9" man="1"/>
    <brk id="239" max="9" man="1"/>
    <brk id="250" max="9" man="1"/>
    <brk id="261" max="9" man="1"/>
    <brk id="272" max="9" man="1"/>
    <brk id="283" max="9" man="1"/>
    <brk id="294" max="9" man="1"/>
    <brk id="305" max="9" man="1"/>
    <brk id="316" max="9" man="1"/>
    <brk id="327" max="9" man="1"/>
    <brk id="338" max="9" man="1"/>
    <brk id="349" max="9" man="1"/>
    <brk id="360" max="9" man="1"/>
    <brk id="371" max="9" man="1"/>
    <brk id="382" max="9" man="1"/>
    <brk id="393" max="9" man="1"/>
    <brk id="404" max="9" man="1"/>
    <brk id="415" max="9" man="1"/>
    <brk id="426" max="9" man="1"/>
    <brk id="437" max="9" man="1"/>
    <brk id="448" max="9" man="1"/>
    <brk id="459" max="9" man="1"/>
    <brk id="470" max="9" man="1"/>
    <brk id="481" max="9" man="1"/>
    <brk id="492" max="9" man="1"/>
    <brk id="503" max="9" man="1"/>
    <brk id="514" max="9" man="1"/>
    <brk id="525" max="9" man="1"/>
    <brk id="536" max="9" man="1"/>
    <brk id="547" max="9" man="1"/>
    <brk id="558" max="9" man="1"/>
    <brk id="569" max="9" man="1"/>
  </rowBreaks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7"/>
  <sheetViews>
    <sheetView showWhiteSpace="0" zoomScaleNormal="100" zoomScalePageLayoutView="80" workbookViewId="0">
      <selection activeCell="N4" sqref="N4"/>
    </sheetView>
  </sheetViews>
  <sheetFormatPr defaultColWidth="8.85546875" defaultRowHeight="15.75" x14ac:dyDescent="0.25"/>
  <cols>
    <col min="1" max="1" width="5.7109375" style="51" customWidth="1"/>
    <col min="2" max="2" width="71.28515625" style="51" customWidth="1"/>
    <col min="3" max="3" width="16.42578125" style="51" customWidth="1"/>
    <col min="4" max="4" width="14.7109375" style="51" customWidth="1"/>
    <col min="5" max="5" width="14.28515625" style="51" customWidth="1"/>
    <col min="6" max="6" width="17.7109375" style="51" customWidth="1"/>
    <col min="7" max="256" width="8.85546875" style="51"/>
    <col min="257" max="257" width="5.7109375" style="51" customWidth="1"/>
    <col min="258" max="258" width="71.28515625" style="51" customWidth="1"/>
    <col min="259" max="259" width="16.42578125" style="51" customWidth="1"/>
    <col min="260" max="260" width="14.7109375" style="51" customWidth="1"/>
    <col min="261" max="261" width="14.28515625" style="51" customWidth="1"/>
    <col min="262" max="262" width="17.7109375" style="51" customWidth="1"/>
    <col min="263" max="512" width="8.85546875" style="51"/>
    <col min="513" max="513" width="5.7109375" style="51" customWidth="1"/>
    <col min="514" max="514" width="71.28515625" style="51" customWidth="1"/>
    <col min="515" max="515" width="16.42578125" style="51" customWidth="1"/>
    <col min="516" max="516" width="14.7109375" style="51" customWidth="1"/>
    <col min="517" max="517" width="14.28515625" style="51" customWidth="1"/>
    <col min="518" max="518" width="17.7109375" style="51" customWidth="1"/>
    <col min="519" max="768" width="8.85546875" style="51"/>
    <col min="769" max="769" width="5.7109375" style="51" customWidth="1"/>
    <col min="770" max="770" width="71.28515625" style="51" customWidth="1"/>
    <col min="771" max="771" width="16.42578125" style="51" customWidth="1"/>
    <col min="772" max="772" width="14.7109375" style="51" customWidth="1"/>
    <col min="773" max="773" width="14.28515625" style="51" customWidth="1"/>
    <col min="774" max="774" width="17.7109375" style="51" customWidth="1"/>
    <col min="775" max="1024" width="8.85546875" style="51"/>
    <col min="1025" max="1025" width="5.7109375" style="51" customWidth="1"/>
    <col min="1026" max="1026" width="71.28515625" style="51" customWidth="1"/>
    <col min="1027" max="1027" width="16.42578125" style="51" customWidth="1"/>
    <col min="1028" max="1028" width="14.7109375" style="51" customWidth="1"/>
    <col min="1029" max="1029" width="14.28515625" style="51" customWidth="1"/>
    <col min="1030" max="1030" width="17.7109375" style="51" customWidth="1"/>
    <col min="1031" max="1280" width="8.85546875" style="51"/>
    <col min="1281" max="1281" width="5.7109375" style="51" customWidth="1"/>
    <col min="1282" max="1282" width="71.28515625" style="51" customWidth="1"/>
    <col min="1283" max="1283" width="16.42578125" style="51" customWidth="1"/>
    <col min="1284" max="1284" width="14.7109375" style="51" customWidth="1"/>
    <col min="1285" max="1285" width="14.28515625" style="51" customWidth="1"/>
    <col min="1286" max="1286" width="17.7109375" style="51" customWidth="1"/>
    <col min="1287" max="1536" width="8.85546875" style="51"/>
    <col min="1537" max="1537" width="5.7109375" style="51" customWidth="1"/>
    <col min="1538" max="1538" width="71.28515625" style="51" customWidth="1"/>
    <col min="1539" max="1539" width="16.42578125" style="51" customWidth="1"/>
    <col min="1540" max="1540" width="14.7109375" style="51" customWidth="1"/>
    <col min="1541" max="1541" width="14.28515625" style="51" customWidth="1"/>
    <col min="1542" max="1542" width="17.7109375" style="51" customWidth="1"/>
    <col min="1543" max="1792" width="8.85546875" style="51"/>
    <col min="1793" max="1793" width="5.7109375" style="51" customWidth="1"/>
    <col min="1794" max="1794" width="71.28515625" style="51" customWidth="1"/>
    <col min="1795" max="1795" width="16.42578125" style="51" customWidth="1"/>
    <col min="1796" max="1796" width="14.7109375" style="51" customWidth="1"/>
    <col min="1797" max="1797" width="14.28515625" style="51" customWidth="1"/>
    <col min="1798" max="1798" width="17.7109375" style="51" customWidth="1"/>
    <col min="1799" max="2048" width="8.85546875" style="51"/>
    <col min="2049" max="2049" width="5.7109375" style="51" customWidth="1"/>
    <col min="2050" max="2050" width="71.28515625" style="51" customWidth="1"/>
    <col min="2051" max="2051" width="16.42578125" style="51" customWidth="1"/>
    <col min="2052" max="2052" width="14.7109375" style="51" customWidth="1"/>
    <col min="2053" max="2053" width="14.28515625" style="51" customWidth="1"/>
    <col min="2054" max="2054" width="17.7109375" style="51" customWidth="1"/>
    <col min="2055" max="2304" width="8.85546875" style="51"/>
    <col min="2305" max="2305" width="5.7109375" style="51" customWidth="1"/>
    <col min="2306" max="2306" width="71.28515625" style="51" customWidth="1"/>
    <col min="2307" max="2307" width="16.42578125" style="51" customWidth="1"/>
    <col min="2308" max="2308" width="14.7109375" style="51" customWidth="1"/>
    <col min="2309" max="2309" width="14.28515625" style="51" customWidth="1"/>
    <col min="2310" max="2310" width="17.7109375" style="51" customWidth="1"/>
    <col min="2311" max="2560" width="8.85546875" style="51"/>
    <col min="2561" max="2561" width="5.7109375" style="51" customWidth="1"/>
    <col min="2562" max="2562" width="71.28515625" style="51" customWidth="1"/>
    <col min="2563" max="2563" width="16.42578125" style="51" customWidth="1"/>
    <col min="2564" max="2564" width="14.7109375" style="51" customWidth="1"/>
    <col min="2565" max="2565" width="14.28515625" style="51" customWidth="1"/>
    <col min="2566" max="2566" width="17.7109375" style="51" customWidth="1"/>
    <col min="2567" max="2816" width="8.85546875" style="51"/>
    <col min="2817" max="2817" width="5.7109375" style="51" customWidth="1"/>
    <col min="2818" max="2818" width="71.28515625" style="51" customWidth="1"/>
    <col min="2819" max="2819" width="16.42578125" style="51" customWidth="1"/>
    <col min="2820" max="2820" width="14.7109375" style="51" customWidth="1"/>
    <col min="2821" max="2821" width="14.28515625" style="51" customWidth="1"/>
    <col min="2822" max="2822" width="17.7109375" style="51" customWidth="1"/>
    <col min="2823" max="3072" width="8.85546875" style="51"/>
    <col min="3073" max="3073" width="5.7109375" style="51" customWidth="1"/>
    <col min="3074" max="3074" width="71.28515625" style="51" customWidth="1"/>
    <col min="3075" max="3075" width="16.42578125" style="51" customWidth="1"/>
    <col min="3076" max="3076" width="14.7109375" style="51" customWidth="1"/>
    <col min="3077" max="3077" width="14.28515625" style="51" customWidth="1"/>
    <col min="3078" max="3078" width="17.7109375" style="51" customWidth="1"/>
    <col min="3079" max="3328" width="8.85546875" style="51"/>
    <col min="3329" max="3329" width="5.7109375" style="51" customWidth="1"/>
    <col min="3330" max="3330" width="71.28515625" style="51" customWidth="1"/>
    <col min="3331" max="3331" width="16.42578125" style="51" customWidth="1"/>
    <col min="3332" max="3332" width="14.7109375" style="51" customWidth="1"/>
    <col min="3333" max="3333" width="14.28515625" style="51" customWidth="1"/>
    <col min="3334" max="3334" width="17.7109375" style="51" customWidth="1"/>
    <col min="3335" max="3584" width="8.85546875" style="51"/>
    <col min="3585" max="3585" width="5.7109375" style="51" customWidth="1"/>
    <col min="3586" max="3586" width="71.28515625" style="51" customWidth="1"/>
    <col min="3587" max="3587" width="16.42578125" style="51" customWidth="1"/>
    <col min="3588" max="3588" width="14.7109375" style="51" customWidth="1"/>
    <col min="3589" max="3589" width="14.28515625" style="51" customWidth="1"/>
    <col min="3590" max="3590" width="17.7109375" style="51" customWidth="1"/>
    <col min="3591" max="3840" width="8.85546875" style="51"/>
    <col min="3841" max="3841" width="5.7109375" style="51" customWidth="1"/>
    <col min="3842" max="3842" width="71.28515625" style="51" customWidth="1"/>
    <col min="3843" max="3843" width="16.42578125" style="51" customWidth="1"/>
    <col min="3844" max="3844" width="14.7109375" style="51" customWidth="1"/>
    <col min="3845" max="3845" width="14.28515625" style="51" customWidth="1"/>
    <col min="3846" max="3846" width="17.7109375" style="51" customWidth="1"/>
    <col min="3847" max="4096" width="8.85546875" style="51"/>
    <col min="4097" max="4097" width="5.7109375" style="51" customWidth="1"/>
    <col min="4098" max="4098" width="71.28515625" style="51" customWidth="1"/>
    <col min="4099" max="4099" width="16.42578125" style="51" customWidth="1"/>
    <col min="4100" max="4100" width="14.7109375" style="51" customWidth="1"/>
    <col min="4101" max="4101" width="14.28515625" style="51" customWidth="1"/>
    <col min="4102" max="4102" width="17.7109375" style="51" customWidth="1"/>
    <col min="4103" max="4352" width="8.85546875" style="51"/>
    <col min="4353" max="4353" width="5.7109375" style="51" customWidth="1"/>
    <col min="4354" max="4354" width="71.28515625" style="51" customWidth="1"/>
    <col min="4355" max="4355" width="16.42578125" style="51" customWidth="1"/>
    <col min="4356" max="4356" width="14.7109375" style="51" customWidth="1"/>
    <col min="4357" max="4357" width="14.28515625" style="51" customWidth="1"/>
    <col min="4358" max="4358" width="17.7109375" style="51" customWidth="1"/>
    <col min="4359" max="4608" width="8.85546875" style="51"/>
    <col min="4609" max="4609" width="5.7109375" style="51" customWidth="1"/>
    <col min="4610" max="4610" width="71.28515625" style="51" customWidth="1"/>
    <col min="4611" max="4611" width="16.42578125" style="51" customWidth="1"/>
    <col min="4612" max="4612" width="14.7109375" style="51" customWidth="1"/>
    <col min="4613" max="4613" width="14.28515625" style="51" customWidth="1"/>
    <col min="4614" max="4614" width="17.7109375" style="51" customWidth="1"/>
    <col min="4615" max="4864" width="8.85546875" style="51"/>
    <col min="4865" max="4865" width="5.7109375" style="51" customWidth="1"/>
    <col min="4866" max="4866" width="71.28515625" style="51" customWidth="1"/>
    <col min="4867" max="4867" width="16.42578125" style="51" customWidth="1"/>
    <col min="4868" max="4868" width="14.7109375" style="51" customWidth="1"/>
    <col min="4869" max="4869" width="14.28515625" style="51" customWidth="1"/>
    <col min="4870" max="4870" width="17.7109375" style="51" customWidth="1"/>
    <col min="4871" max="5120" width="8.85546875" style="51"/>
    <col min="5121" max="5121" width="5.7109375" style="51" customWidth="1"/>
    <col min="5122" max="5122" width="71.28515625" style="51" customWidth="1"/>
    <col min="5123" max="5123" width="16.42578125" style="51" customWidth="1"/>
    <col min="5124" max="5124" width="14.7109375" style="51" customWidth="1"/>
    <col min="5125" max="5125" width="14.28515625" style="51" customWidth="1"/>
    <col min="5126" max="5126" width="17.7109375" style="51" customWidth="1"/>
    <col min="5127" max="5376" width="8.85546875" style="51"/>
    <col min="5377" max="5377" width="5.7109375" style="51" customWidth="1"/>
    <col min="5378" max="5378" width="71.28515625" style="51" customWidth="1"/>
    <col min="5379" max="5379" width="16.42578125" style="51" customWidth="1"/>
    <col min="5380" max="5380" width="14.7109375" style="51" customWidth="1"/>
    <col min="5381" max="5381" width="14.28515625" style="51" customWidth="1"/>
    <col min="5382" max="5382" width="17.7109375" style="51" customWidth="1"/>
    <col min="5383" max="5632" width="8.85546875" style="51"/>
    <col min="5633" max="5633" width="5.7109375" style="51" customWidth="1"/>
    <col min="5634" max="5634" width="71.28515625" style="51" customWidth="1"/>
    <col min="5635" max="5635" width="16.42578125" style="51" customWidth="1"/>
    <col min="5636" max="5636" width="14.7109375" style="51" customWidth="1"/>
    <col min="5637" max="5637" width="14.28515625" style="51" customWidth="1"/>
    <col min="5638" max="5638" width="17.7109375" style="51" customWidth="1"/>
    <col min="5639" max="5888" width="8.85546875" style="51"/>
    <col min="5889" max="5889" width="5.7109375" style="51" customWidth="1"/>
    <col min="5890" max="5890" width="71.28515625" style="51" customWidth="1"/>
    <col min="5891" max="5891" width="16.42578125" style="51" customWidth="1"/>
    <col min="5892" max="5892" width="14.7109375" style="51" customWidth="1"/>
    <col min="5893" max="5893" width="14.28515625" style="51" customWidth="1"/>
    <col min="5894" max="5894" width="17.7109375" style="51" customWidth="1"/>
    <col min="5895" max="6144" width="8.85546875" style="51"/>
    <col min="6145" max="6145" width="5.7109375" style="51" customWidth="1"/>
    <col min="6146" max="6146" width="71.28515625" style="51" customWidth="1"/>
    <col min="6147" max="6147" width="16.42578125" style="51" customWidth="1"/>
    <col min="6148" max="6148" width="14.7109375" style="51" customWidth="1"/>
    <col min="6149" max="6149" width="14.28515625" style="51" customWidth="1"/>
    <col min="6150" max="6150" width="17.7109375" style="51" customWidth="1"/>
    <col min="6151" max="6400" width="8.85546875" style="51"/>
    <col min="6401" max="6401" width="5.7109375" style="51" customWidth="1"/>
    <col min="6402" max="6402" width="71.28515625" style="51" customWidth="1"/>
    <col min="6403" max="6403" width="16.42578125" style="51" customWidth="1"/>
    <col min="6404" max="6404" width="14.7109375" style="51" customWidth="1"/>
    <col min="6405" max="6405" width="14.28515625" style="51" customWidth="1"/>
    <col min="6406" max="6406" width="17.7109375" style="51" customWidth="1"/>
    <col min="6407" max="6656" width="8.85546875" style="51"/>
    <col min="6657" max="6657" width="5.7109375" style="51" customWidth="1"/>
    <col min="6658" max="6658" width="71.28515625" style="51" customWidth="1"/>
    <col min="6659" max="6659" width="16.42578125" style="51" customWidth="1"/>
    <col min="6660" max="6660" width="14.7109375" style="51" customWidth="1"/>
    <col min="6661" max="6661" width="14.28515625" style="51" customWidth="1"/>
    <col min="6662" max="6662" width="17.7109375" style="51" customWidth="1"/>
    <col min="6663" max="6912" width="8.85546875" style="51"/>
    <col min="6913" max="6913" width="5.7109375" style="51" customWidth="1"/>
    <col min="6914" max="6914" width="71.28515625" style="51" customWidth="1"/>
    <col min="6915" max="6915" width="16.42578125" style="51" customWidth="1"/>
    <col min="6916" max="6916" width="14.7109375" style="51" customWidth="1"/>
    <col min="6917" max="6917" width="14.28515625" style="51" customWidth="1"/>
    <col min="6918" max="6918" width="17.7109375" style="51" customWidth="1"/>
    <col min="6919" max="7168" width="8.85546875" style="51"/>
    <col min="7169" max="7169" width="5.7109375" style="51" customWidth="1"/>
    <col min="7170" max="7170" width="71.28515625" style="51" customWidth="1"/>
    <col min="7171" max="7171" width="16.42578125" style="51" customWidth="1"/>
    <col min="7172" max="7172" width="14.7109375" style="51" customWidth="1"/>
    <col min="7173" max="7173" width="14.28515625" style="51" customWidth="1"/>
    <col min="7174" max="7174" width="17.7109375" style="51" customWidth="1"/>
    <col min="7175" max="7424" width="8.85546875" style="51"/>
    <col min="7425" max="7425" width="5.7109375" style="51" customWidth="1"/>
    <col min="7426" max="7426" width="71.28515625" style="51" customWidth="1"/>
    <col min="7427" max="7427" width="16.42578125" style="51" customWidth="1"/>
    <col min="7428" max="7428" width="14.7109375" style="51" customWidth="1"/>
    <col min="7429" max="7429" width="14.28515625" style="51" customWidth="1"/>
    <col min="7430" max="7430" width="17.7109375" style="51" customWidth="1"/>
    <col min="7431" max="7680" width="8.85546875" style="51"/>
    <col min="7681" max="7681" width="5.7109375" style="51" customWidth="1"/>
    <col min="7682" max="7682" width="71.28515625" style="51" customWidth="1"/>
    <col min="7683" max="7683" width="16.42578125" style="51" customWidth="1"/>
    <col min="7684" max="7684" width="14.7109375" style="51" customWidth="1"/>
    <col min="7685" max="7685" width="14.28515625" style="51" customWidth="1"/>
    <col min="7686" max="7686" width="17.7109375" style="51" customWidth="1"/>
    <col min="7687" max="7936" width="8.85546875" style="51"/>
    <col min="7937" max="7937" width="5.7109375" style="51" customWidth="1"/>
    <col min="7938" max="7938" width="71.28515625" style="51" customWidth="1"/>
    <col min="7939" max="7939" width="16.42578125" style="51" customWidth="1"/>
    <col min="7940" max="7940" width="14.7109375" style="51" customWidth="1"/>
    <col min="7941" max="7941" width="14.28515625" style="51" customWidth="1"/>
    <col min="7942" max="7942" width="17.7109375" style="51" customWidth="1"/>
    <col min="7943" max="8192" width="8.85546875" style="51"/>
    <col min="8193" max="8193" width="5.7109375" style="51" customWidth="1"/>
    <col min="8194" max="8194" width="71.28515625" style="51" customWidth="1"/>
    <col min="8195" max="8195" width="16.42578125" style="51" customWidth="1"/>
    <col min="8196" max="8196" width="14.7109375" style="51" customWidth="1"/>
    <col min="8197" max="8197" width="14.28515625" style="51" customWidth="1"/>
    <col min="8198" max="8198" width="17.7109375" style="51" customWidth="1"/>
    <col min="8199" max="8448" width="8.85546875" style="51"/>
    <col min="8449" max="8449" width="5.7109375" style="51" customWidth="1"/>
    <col min="8450" max="8450" width="71.28515625" style="51" customWidth="1"/>
    <col min="8451" max="8451" width="16.42578125" style="51" customWidth="1"/>
    <col min="8452" max="8452" width="14.7109375" style="51" customWidth="1"/>
    <col min="8453" max="8453" width="14.28515625" style="51" customWidth="1"/>
    <col min="8454" max="8454" width="17.7109375" style="51" customWidth="1"/>
    <col min="8455" max="8704" width="8.85546875" style="51"/>
    <col min="8705" max="8705" width="5.7109375" style="51" customWidth="1"/>
    <col min="8706" max="8706" width="71.28515625" style="51" customWidth="1"/>
    <col min="8707" max="8707" width="16.42578125" style="51" customWidth="1"/>
    <col min="8708" max="8708" width="14.7109375" style="51" customWidth="1"/>
    <col min="8709" max="8709" width="14.28515625" style="51" customWidth="1"/>
    <col min="8710" max="8710" width="17.7109375" style="51" customWidth="1"/>
    <col min="8711" max="8960" width="8.85546875" style="51"/>
    <col min="8961" max="8961" width="5.7109375" style="51" customWidth="1"/>
    <col min="8962" max="8962" width="71.28515625" style="51" customWidth="1"/>
    <col min="8963" max="8963" width="16.42578125" style="51" customWidth="1"/>
    <col min="8964" max="8964" width="14.7109375" style="51" customWidth="1"/>
    <col min="8965" max="8965" width="14.28515625" style="51" customWidth="1"/>
    <col min="8966" max="8966" width="17.7109375" style="51" customWidth="1"/>
    <col min="8967" max="9216" width="8.85546875" style="51"/>
    <col min="9217" max="9217" width="5.7109375" style="51" customWidth="1"/>
    <col min="9218" max="9218" width="71.28515625" style="51" customWidth="1"/>
    <col min="9219" max="9219" width="16.42578125" style="51" customWidth="1"/>
    <col min="9220" max="9220" width="14.7109375" style="51" customWidth="1"/>
    <col min="9221" max="9221" width="14.28515625" style="51" customWidth="1"/>
    <col min="9222" max="9222" width="17.7109375" style="51" customWidth="1"/>
    <col min="9223" max="9472" width="8.85546875" style="51"/>
    <col min="9473" max="9473" width="5.7109375" style="51" customWidth="1"/>
    <col min="9474" max="9474" width="71.28515625" style="51" customWidth="1"/>
    <col min="9475" max="9475" width="16.42578125" style="51" customWidth="1"/>
    <col min="9476" max="9476" width="14.7109375" style="51" customWidth="1"/>
    <col min="9477" max="9477" width="14.28515625" style="51" customWidth="1"/>
    <col min="9478" max="9478" width="17.7109375" style="51" customWidth="1"/>
    <col min="9479" max="9728" width="8.85546875" style="51"/>
    <col min="9729" max="9729" width="5.7109375" style="51" customWidth="1"/>
    <col min="9730" max="9730" width="71.28515625" style="51" customWidth="1"/>
    <col min="9731" max="9731" width="16.42578125" style="51" customWidth="1"/>
    <col min="9732" max="9732" width="14.7109375" style="51" customWidth="1"/>
    <col min="9733" max="9733" width="14.28515625" style="51" customWidth="1"/>
    <col min="9734" max="9734" width="17.7109375" style="51" customWidth="1"/>
    <col min="9735" max="9984" width="8.85546875" style="51"/>
    <col min="9985" max="9985" width="5.7109375" style="51" customWidth="1"/>
    <col min="9986" max="9986" width="71.28515625" style="51" customWidth="1"/>
    <col min="9987" max="9987" width="16.42578125" style="51" customWidth="1"/>
    <col min="9988" max="9988" width="14.7109375" style="51" customWidth="1"/>
    <col min="9989" max="9989" width="14.28515625" style="51" customWidth="1"/>
    <col min="9990" max="9990" width="17.7109375" style="51" customWidth="1"/>
    <col min="9991" max="10240" width="8.85546875" style="51"/>
    <col min="10241" max="10241" width="5.7109375" style="51" customWidth="1"/>
    <col min="10242" max="10242" width="71.28515625" style="51" customWidth="1"/>
    <col min="10243" max="10243" width="16.42578125" style="51" customWidth="1"/>
    <col min="10244" max="10244" width="14.7109375" style="51" customWidth="1"/>
    <col min="10245" max="10245" width="14.28515625" style="51" customWidth="1"/>
    <col min="10246" max="10246" width="17.7109375" style="51" customWidth="1"/>
    <col min="10247" max="10496" width="8.85546875" style="51"/>
    <col min="10497" max="10497" width="5.7109375" style="51" customWidth="1"/>
    <col min="10498" max="10498" width="71.28515625" style="51" customWidth="1"/>
    <col min="10499" max="10499" width="16.42578125" style="51" customWidth="1"/>
    <col min="10500" max="10500" width="14.7109375" style="51" customWidth="1"/>
    <col min="10501" max="10501" width="14.28515625" style="51" customWidth="1"/>
    <col min="10502" max="10502" width="17.7109375" style="51" customWidth="1"/>
    <col min="10503" max="10752" width="8.85546875" style="51"/>
    <col min="10753" max="10753" width="5.7109375" style="51" customWidth="1"/>
    <col min="10754" max="10754" width="71.28515625" style="51" customWidth="1"/>
    <col min="10755" max="10755" width="16.42578125" style="51" customWidth="1"/>
    <col min="10756" max="10756" width="14.7109375" style="51" customWidth="1"/>
    <col min="10757" max="10757" width="14.28515625" style="51" customWidth="1"/>
    <col min="10758" max="10758" width="17.7109375" style="51" customWidth="1"/>
    <col min="10759" max="11008" width="8.85546875" style="51"/>
    <col min="11009" max="11009" width="5.7109375" style="51" customWidth="1"/>
    <col min="11010" max="11010" width="71.28515625" style="51" customWidth="1"/>
    <col min="11011" max="11011" width="16.42578125" style="51" customWidth="1"/>
    <col min="11012" max="11012" width="14.7109375" style="51" customWidth="1"/>
    <col min="11013" max="11013" width="14.28515625" style="51" customWidth="1"/>
    <col min="11014" max="11014" width="17.7109375" style="51" customWidth="1"/>
    <col min="11015" max="11264" width="8.85546875" style="51"/>
    <col min="11265" max="11265" width="5.7109375" style="51" customWidth="1"/>
    <col min="11266" max="11266" width="71.28515625" style="51" customWidth="1"/>
    <col min="11267" max="11267" width="16.42578125" style="51" customWidth="1"/>
    <col min="11268" max="11268" width="14.7109375" style="51" customWidth="1"/>
    <col min="11269" max="11269" width="14.28515625" style="51" customWidth="1"/>
    <col min="11270" max="11270" width="17.7109375" style="51" customWidth="1"/>
    <col min="11271" max="11520" width="8.85546875" style="51"/>
    <col min="11521" max="11521" width="5.7109375" style="51" customWidth="1"/>
    <col min="11522" max="11522" width="71.28515625" style="51" customWidth="1"/>
    <col min="11523" max="11523" width="16.42578125" style="51" customWidth="1"/>
    <col min="11524" max="11524" width="14.7109375" style="51" customWidth="1"/>
    <col min="11525" max="11525" width="14.28515625" style="51" customWidth="1"/>
    <col min="11526" max="11526" width="17.7109375" style="51" customWidth="1"/>
    <col min="11527" max="11776" width="8.85546875" style="51"/>
    <col min="11777" max="11777" width="5.7109375" style="51" customWidth="1"/>
    <col min="11778" max="11778" width="71.28515625" style="51" customWidth="1"/>
    <col min="11779" max="11779" width="16.42578125" style="51" customWidth="1"/>
    <col min="11780" max="11780" width="14.7109375" style="51" customWidth="1"/>
    <col min="11781" max="11781" width="14.28515625" style="51" customWidth="1"/>
    <col min="11782" max="11782" width="17.7109375" style="51" customWidth="1"/>
    <col min="11783" max="12032" width="8.85546875" style="51"/>
    <col min="12033" max="12033" width="5.7109375" style="51" customWidth="1"/>
    <col min="12034" max="12034" width="71.28515625" style="51" customWidth="1"/>
    <col min="12035" max="12035" width="16.42578125" style="51" customWidth="1"/>
    <col min="12036" max="12036" width="14.7109375" style="51" customWidth="1"/>
    <col min="12037" max="12037" width="14.28515625" style="51" customWidth="1"/>
    <col min="12038" max="12038" width="17.7109375" style="51" customWidth="1"/>
    <col min="12039" max="12288" width="8.85546875" style="51"/>
    <col min="12289" max="12289" width="5.7109375" style="51" customWidth="1"/>
    <col min="12290" max="12290" width="71.28515625" style="51" customWidth="1"/>
    <col min="12291" max="12291" width="16.42578125" style="51" customWidth="1"/>
    <col min="12292" max="12292" width="14.7109375" style="51" customWidth="1"/>
    <col min="12293" max="12293" width="14.28515625" style="51" customWidth="1"/>
    <col min="12294" max="12294" width="17.7109375" style="51" customWidth="1"/>
    <col min="12295" max="12544" width="8.85546875" style="51"/>
    <col min="12545" max="12545" width="5.7109375" style="51" customWidth="1"/>
    <col min="12546" max="12546" width="71.28515625" style="51" customWidth="1"/>
    <col min="12547" max="12547" width="16.42578125" style="51" customWidth="1"/>
    <col min="12548" max="12548" width="14.7109375" style="51" customWidth="1"/>
    <col min="12549" max="12549" width="14.28515625" style="51" customWidth="1"/>
    <col min="12550" max="12550" width="17.7109375" style="51" customWidth="1"/>
    <col min="12551" max="12800" width="8.85546875" style="51"/>
    <col min="12801" max="12801" width="5.7109375" style="51" customWidth="1"/>
    <col min="12802" max="12802" width="71.28515625" style="51" customWidth="1"/>
    <col min="12803" max="12803" width="16.42578125" style="51" customWidth="1"/>
    <col min="12804" max="12804" width="14.7109375" style="51" customWidth="1"/>
    <col min="12805" max="12805" width="14.28515625" style="51" customWidth="1"/>
    <col min="12806" max="12806" width="17.7109375" style="51" customWidth="1"/>
    <col min="12807" max="13056" width="8.85546875" style="51"/>
    <col min="13057" max="13057" width="5.7109375" style="51" customWidth="1"/>
    <col min="13058" max="13058" width="71.28515625" style="51" customWidth="1"/>
    <col min="13059" max="13059" width="16.42578125" style="51" customWidth="1"/>
    <col min="13060" max="13060" width="14.7109375" style="51" customWidth="1"/>
    <col min="13061" max="13061" width="14.28515625" style="51" customWidth="1"/>
    <col min="13062" max="13062" width="17.7109375" style="51" customWidth="1"/>
    <col min="13063" max="13312" width="8.85546875" style="51"/>
    <col min="13313" max="13313" width="5.7109375" style="51" customWidth="1"/>
    <col min="13314" max="13314" width="71.28515625" style="51" customWidth="1"/>
    <col min="13315" max="13315" width="16.42578125" style="51" customWidth="1"/>
    <col min="13316" max="13316" width="14.7109375" style="51" customWidth="1"/>
    <col min="13317" max="13317" width="14.28515625" style="51" customWidth="1"/>
    <col min="13318" max="13318" width="17.7109375" style="51" customWidth="1"/>
    <col min="13319" max="13568" width="8.85546875" style="51"/>
    <col min="13569" max="13569" width="5.7109375" style="51" customWidth="1"/>
    <col min="13570" max="13570" width="71.28515625" style="51" customWidth="1"/>
    <col min="13571" max="13571" width="16.42578125" style="51" customWidth="1"/>
    <col min="13572" max="13572" width="14.7109375" style="51" customWidth="1"/>
    <col min="13573" max="13573" width="14.28515625" style="51" customWidth="1"/>
    <col min="13574" max="13574" width="17.7109375" style="51" customWidth="1"/>
    <col min="13575" max="13824" width="8.85546875" style="51"/>
    <col min="13825" max="13825" width="5.7109375" style="51" customWidth="1"/>
    <col min="13826" max="13826" width="71.28515625" style="51" customWidth="1"/>
    <col min="13827" max="13827" width="16.42578125" style="51" customWidth="1"/>
    <col min="13828" max="13828" width="14.7109375" style="51" customWidth="1"/>
    <col min="13829" max="13829" width="14.28515625" style="51" customWidth="1"/>
    <col min="13830" max="13830" width="17.7109375" style="51" customWidth="1"/>
    <col min="13831" max="14080" width="8.85546875" style="51"/>
    <col min="14081" max="14081" width="5.7109375" style="51" customWidth="1"/>
    <col min="14082" max="14082" width="71.28515625" style="51" customWidth="1"/>
    <col min="14083" max="14083" width="16.42578125" style="51" customWidth="1"/>
    <col min="14084" max="14084" width="14.7109375" style="51" customWidth="1"/>
    <col min="14085" max="14085" width="14.28515625" style="51" customWidth="1"/>
    <col min="14086" max="14086" width="17.7109375" style="51" customWidth="1"/>
    <col min="14087" max="14336" width="8.85546875" style="51"/>
    <col min="14337" max="14337" width="5.7109375" style="51" customWidth="1"/>
    <col min="14338" max="14338" width="71.28515625" style="51" customWidth="1"/>
    <col min="14339" max="14339" width="16.42578125" style="51" customWidth="1"/>
    <col min="14340" max="14340" width="14.7109375" style="51" customWidth="1"/>
    <col min="14341" max="14341" width="14.28515625" style="51" customWidth="1"/>
    <col min="14342" max="14342" width="17.7109375" style="51" customWidth="1"/>
    <col min="14343" max="14592" width="8.85546875" style="51"/>
    <col min="14593" max="14593" width="5.7109375" style="51" customWidth="1"/>
    <col min="14594" max="14594" width="71.28515625" style="51" customWidth="1"/>
    <col min="14595" max="14595" width="16.42578125" style="51" customWidth="1"/>
    <col min="14596" max="14596" width="14.7109375" style="51" customWidth="1"/>
    <col min="14597" max="14597" width="14.28515625" style="51" customWidth="1"/>
    <col min="14598" max="14598" width="17.7109375" style="51" customWidth="1"/>
    <col min="14599" max="14848" width="8.85546875" style="51"/>
    <col min="14849" max="14849" width="5.7109375" style="51" customWidth="1"/>
    <col min="14850" max="14850" width="71.28515625" style="51" customWidth="1"/>
    <col min="14851" max="14851" width="16.42578125" style="51" customWidth="1"/>
    <col min="14852" max="14852" width="14.7109375" style="51" customWidth="1"/>
    <col min="14853" max="14853" width="14.28515625" style="51" customWidth="1"/>
    <col min="14854" max="14854" width="17.7109375" style="51" customWidth="1"/>
    <col min="14855" max="15104" width="8.85546875" style="51"/>
    <col min="15105" max="15105" width="5.7109375" style="51" customWidth="1"/>
    <col min="15106" max="15106" width="71.28515625" style="51" customWidth="1"/>
    <col min="15107" max="15107" width="16.42578125" style="51" customWidth="1"/>
    <col min="15108" max="15108" width="14.7109375" style="51" customWidth="1"/>
    <col min="15109" max="15109" width="14.28515625" style="51" customWidth="1"/>
    <col min="15110" max="15110" width="17.7109375" style="51" customWidth="1"/>
    <col min="15111" max="15360" width="8.85546875" style="51"/>
    <col min="15361" max="15361" width="5.7109375" style="51" customWidth="1"/>
    <col min="15362" max="15362" width="71.28515625" style="51" customWidth="1"/>
    <col min="15363" max="15363" width="16.42578125" style="51" customWidth="1"/>
    <col min="15364" max="15364" width="14.7109375" style="51" customWidth="1"/>
    <col min="15365" max="15365" width="14.28515625" style="51" customWidth="1"/>
    <col min="15366" max="15366" width="17.7109375" style="51" customWidth="1"/>
    <col min="15367" max="15616" width="8.85546875" style="51"/>
    <col min="15617" max="15617" width="5.7109375" style="51" customWidth="1"/>
    <col min="15618" max="15618" width="71.28515625" style="51" customWidth="1"/>
    <col min="15619" max="15619" width="16.42578125" style="51" customWidth="1"/>
    <col min="15620" max="15620" width="14.7109375" style="51" customWidth="1"/>
    <col min="15621" max="15621" width="14.28515625" style="51" customWidth="1"/>
    <col min="15622" max="15622" width="17.7109375" style="51" customWidth="1"/>
    <col min="15623" max="15872" width="8.85546875" style="51"/>
    <col min="15873" max="15873" width="5.7109375" style="51" customWidth="1"/>
    <col min="15874" max="15874" width="71.28515625" style="51" customWidth="1"/>
    <col min="15875" max="15875" width="16.42578125" style="51" customWidth="1"/>
    <col min="15876" max="15876" width="14.7109375" style="51" customWidth="1"/>
    <col min="15877" max="15877" width="14.28515625" style="51" customWidth="1"/>
    <col min="15878" max="15878" width="17.7109375" style="51" customWidth="1"/>
    <col min="15879" max="16128" width="8.85546875" style="51"/>
    <col min="16129" max="16129" width="5.7109375" style="51" customWidth="1"/>
    <col min="16130" max="16130" width="71.28515625" style="51" customWidth="1"/>
    <col min="16131" max="16131" width="16.42578125" style="51" customWidth="1"/>
    <col min="16132" max="16132" width="14.7109375" style="51" customWidth="1"/>
    <col min="16133" max="16133" width="14.28515625" style="51" customWidth="1"/>
    <col min="16134" max="16134" width="17.7109375" style="51" customWidth="1"/>
    <col min="16135" max="16384" width="8.85546875" style="51"/>
  </cols>
  <sheetData>
    <row r="1" spans="1:6" x14ac:dyDescent="0.25">
      <c r="F1" s="52" t="s">
        <v>197</v>
      </c>
    </row>
    <row r="5" spans="1:6" s="53" customFormat="1" ht="33.6" customHeight="1" x14ac:dyDescent="0.25">
      <c r="A5" s="237" t="s">
        <v>71</v>
      </c>
      <c r="B5" s="237" t="s">
        <v>157</v>
      </c>
      <c r="C5" s="76" t="s">
        <v>158</v>
      </c>
      <c r="D5" s="76" t="s">
        <v>159</v>
      </c>
      <c r="E5" s="237" t="s">
        <v>160</v>
      </c>
      <c r="F5" s="237"/>
    </row>
    <row r="6" spans="1:6" ht="24.75" x14ac:dyDescent="0.25">
      <c r="A6" s="237"/>
      <c r="B6" s="237"/>
      <c r="C6" s="77" t="s">
        <v>161</v>
      </c>
      <c r="D6" s="77" t="s">
        <v>162</v>
      </c>
      <c r="E6" s="77" t="s">
        <v>162</v>
      </c>
      <c r="F6" s="78" t="s">
        <v>163</v>
      </c>
    </row>
    <row r="7" spans="1:6" s="54" customFormat="1" ht="21" customHeight="1" x14ac:dyDescent="0.25">
      <c r="A7" s="241" t="s">
        <v>164</v>
      </c>
      <c r="B7" s="242"/>
      <c r="C7" s="242"/>
      <c r="D7" s="242"/>
      <c r="E7" s="242"/>
      <c r="F7" s="243"/>
    </row>
    <row r="8" spans="1:6" s="54" customFormat="1" ht="39" customHeight="1" x14ac:dyDescent="0.25">
      <c r="A8" s="59" t="s">
        <v>165</v>
      </c>
      <c r="B8" s="79" t="s">
        <v>166</v>
      </c>
      <c r="C8" s="60"/>
      <c r="D8" s="80"/>
      <c r="E8" s="80"/>
      <c r="F8" s="80"/>
    </row>
    <row r="9" spans="1:6" s="54" customFormat="1" ht="19.149999999999999" customHeight="1" x14ac:dyDescent="0.25">
      <c r="A9" s="244" t="s">
        <v>167</v>
      </c>
      <c r="B9" s="244"/>
      <c r="C9" s="80"/>
      <c r="D9" s="80"/>
      <c r="E9" s="80"/>
      <c r="F9" s="80"/>
    </row>
    <row r="10" spans="1:6" s="55" customFormat="1" ht="19.149999999999999" customHeight="1" x14ac:dyDescent="0.25">
      <c r="A10" s="238" t="s">
        <v>168</v>
      </c>
      <c r="B10" s="239"/>
      <c r="C10" s="239"/>
      <c r="D10" s="239"/>
      <c r="E10" s="239"/>
      <c r="F10" s="240"/>
    </row>
    <row r="11" spans="1:6" s="54" customFormat="1" ht="36.75" customHeight="1" x14ac:dyDescent="0.25">
      <c r="A11" s="60" t="s">
        <v>169</v>
      </c>
      <c r="B11" s="81" t="s">
        <v>170</v>
      </c>
      <c r="C11" s="60"/>
      <c r="D11" s="80"/>
      <c r="E11" s="80"/>
      <c r="F11" s="80"/>
    </row>
    <row r="12" spans="1:6" s="54" customFormat="1" ht="34.5" customHeight="1" x14ac:dyDescent="0.25">
      <c r="A12" s="60" t="s">
        <v>171</v>
      </c>
      <c r="B12" s="60" t="s">
        <v>172</v>
      </c>
      <c r="C12" s="60"/>
      <c r="D12" s="80"/>
      <c r="E12" s="80"/>
      <c r="F12" s="80"/>
    </row>
    <row r="13" spans="1:6" s="54" customFormat="1" ht="22.15" customHeight="1" x14ac:dyDescent="0.25">
      <c r="A13" s="244" t="s">
        <v>173</v>
      </c>
      <c r="B13" s="244"/>
      <c r="C13" s="80"/>
      <c r="D13" s="80"/>
      <c r="E13" s="80"/>
      <c r="F13" s="80"/>
    </row>
    <row r="14" spans="1:6" s="54" customFormat="1" ht="20.45" customHeight="1" x14ac:dyDescent="0.25">
      <c r="A14" s="238" t="s">
        <v>174</v>
      </c>
      <c r="B14" s="239"/>
      <c r="C14" s="239"/>
      <c r="D14" s="239"/>
      <c r="E14" s="239"/>
      <c r="F14" s="240"/>
    </row>
    <row r="15" spans="1:6" s="54" customFormat="1" ht="21.75" customHeight="1" x14ac:dyDescent="0.25">
      <c r="A15" s="59" t="s">
        <v>175</v>
      </c>
      <c r="B15" s="60" t="s">
        <v>176</v>
      </c>
      <c r="C15" s="60"/>
      <c r="D15" s="80"/>
      <c r="E15" s="80"/>
      <c r="F15" s="80"/>
    </row>
    <row r="16" spans="1:6" s="54" customFormat="1" ht="30" customHeight="1" x14ac:dyDescent="0.25">
      <c r="A16" s="59" t="s">
        <v>177</v>
      </c>
      <c r="B16" s="60" t="s">
        <v>178</v>
      </c>
      <c r="C16" s="60"/>
      <c r="D16" s="80"/>
      <c r="E16" s="80"/>
      <c r="F16" s="80"/>
    </row>
    <row r="17" spans="1:6" s="54" customFormat="1" ht="26.25" customHeight="1" x14ac:dyDescent="0.25">
      <c r="A17" s="59" t="s">
        <v>179</v>
      </c>
      <c r="B17" s="60" t="s">
        <v>180</v>
      </c>
      <c r="C17" s="60"/>
      <c r="D17" s="80"/>
      <c r="E17" s="80"/>
      <c r="F17" s="80"/>
    </row>
    <row r="18" spans="1:6" s="54" customFormat="1" ht="27.75" customHeight="1" x14ac:dyDescent="0.25">
      <c r="A18" s="59" t="s">
        <v>181</v>
      </c>
      <c r="B18" s="60" t="s">
        <v>182</v>
      </c>
      <c r="C18" s="60"/>
      <c r="D18" s="80"/>
      <c r="E18" s="80"/>
      <c r="F18" s="80"/>
    </row>
    <row r="19" spans="1:6" s="54" customFormat="1" ht="19.899999999999999" customHeight="1" x14ac:dyDescent="0.25">
      <c r="A19" s="244" t="s">
        <v>183</v>
      </c>
      <c r="B19" s="244"/>
      <c r="C19" s="80"/>
      <c r="D19" s="80"/>
      <c r="E19" s="80"/>
      <c r="F19" s="80"/>
    </row>
    <row r="20" spans="1:6" s="54" customFormat="1" ht="19.899999999999999" customHeight="1" x14ac:dyDescent="0.25">
      <c r="A20" s="244" t="s">
        <v>184</v>
      </c>
      <c r="B20" s="244"/>
      <c r="C20" s="80"/>
      <c r="D20" s="80"/>
      <c r="E20" s="80"/>
      <c r="F20" s="80"/>
    </row>
    <row r="21" spans="1:6" ht="110.25" hidden="1" customHeight="1" x14ac:dyDescent="0.25">
      <c r="A21" s="56" t="s">
        <v>185</v>
      </c>
      <c r="B21" s="55"/>
      <c r="C21" s="56"/>
      <c r="D21" s="56"/>
      <c r="E21" s="56"/>
      <c r="F21" s="56"/>
    </row>
    <row r="22" spans="1:6" ht="35.25" hidden="1" customHeight="1" x14ac:dyDescent="0.25">
      <c r="A22" s="228" t="s">
        <v>186</v>
      </c>
      <c r="B22" s="229"/>
      <c r="C22" s="57"/>
      <c r="D22" s="57"/>
      <c r="E22" s="57"/>
      <c r="F22" s="58"/>
    </row>
    <row r="23" spans="1:6" ht="46.5" hidden="1" customHeight="1" x14ac:dyDescent="0.25">
      <c r="A23" s="59" t="s">
        <v>165</v>
      </c>
      <c r="B23" s="60" t="s">
        <v>187</v>
      </c>
      <c r="C23" s="61"/>
      <c r="D23" s="62"/>
      <c r="E23" s="62"/>
      <c r="F23" s="62"/>
    </row>
    <row r="24" spans="1:6" ht="30" hidden="1" customHeight="1" x14ac:dyDescent="0.25">
      <c r="A24" s="230" t="s">
        <v>188</v>
      </c>
      <c r="B24" s="233" t="s">
        <v>189</v>
      </c>
      <c r="C24" s="63"/>
      <c r="D24" s="64"/>
      <c r="E24" s="64"/>
      <c r="F24" s="64"/>
    </row>
    <row r="25" spans="1:6" hidden="1" x14ac:dyDescent="0.25">
      <c r="A25" s="231"/>
      <c r="B25" s="234"/>
      <c r="C25" s="63"/>
      <c r="D25" s="64"/>
      <c r="E25" s="64"/>
      <c r="F25" s="64"/>
    </row>
    <row r="26" spans="1:6" hidden="1" x14ac:dyDescent="0.25">
      <c r="A26" s="232"/>
      <c r="B26" s="235"/>
      <c r="C26" s="65"/>
      <c r="D26" s="66"/>
      <c r="E26" s="66"/>
      <c r="F26" s="66"/>
    </row>
    <row r="27" spans="1:6" hidden="1" x14ac:dyDescent="0.25">
      <c r="A27" s="67" t="s">
        <v>190</v>
      </c>
      <c r="B27" s="68"/>
      <c r="C27" s="69"/>
      <c r="D27" s="70"/>
      <c r="E27" s="70"/>
      <c r="F27" s="71"/>
    </row>
    <row r="28" spans="1:6" ht="24" hidden="1" customHeight="1" x14ac:dyDescent="0.25">
      <c r="A28" s="59" t="s">
        <v>169</v>
      </c>
      <c r="B28" s="60" t="s">
        <v>191</v>
      </c>
      <c r="C28" s="61"/>
      <c r="D28" s="62"/>
      <c r="E28" s="62"/>
      <c r="F28" s="62"/>
    </row>
    <row r="29" spans="1:6" hidden="1" x14ac:dyDescent="0.25">
      <c r="A29" s="59" t="s">
        <v>171</v>
      </c>
      <c r="B29" s="60" t="s">
        <v>192</v>
      </c>
      <c r="C29" s="61"/>
      <c r="D29" s="62"/>
      <c r="E29" s="62"/>
      <c r="F29" s="62"/>
    </row>
    <row r="30" spans="1:6" hidden="1" x14ac:dyDescent="0.25">
      <c r="A30" s="59" t="s">
        <v>193</v>
      </c>
      <c r="B30" s="60" t="s">
        <v>180</v>
      </c>
      <c r="C30" s="61"/>
      <c r="D30" s="62"/>
      <c r="E30" s="62"/>
      <c r="F30" s="62"/>
    </row>
    <row r="31" spans="1:6" hidden="1" x14ac:dyDescent="0.25">
      <c r="A31" s="59" t="s">
        <v>194</v>
      </c>
      <c r="B31" s="60" t="s">
        <v>182</v>
      </c>
      <c r="C31" s="61"/>
      <c r="D31" s="62"/>
      <c r="E31" s="62"/>
      <c r="F31" s="62"/>
    </row>
    <row r="32" spans="1:6" hidden="1" x14ac:dyDescent="0.25">
      <c r="A32" s="62"/>
      <c r="B32" s="72" t="s">
        <v>195</v>
      </c>
      <c r="C32" s="62"/>
      <c r="D32" s="62"/>
      <c r="E32" s="62"/>
      <c r="F32" s="62"/>
    </row>
    <row r="33" spans="2:6" ht="6.6" customHeight="1" x14ac:dyDescent="0.25"/>
    <row r="34" spans="2:6" x14ac:dyDescent="0.25">
      <c r="B34" s="73"/>
      <c r="E34" s="236"/>
      <c r="F34" s="236"/>
    </row>
    <row r="35" spans="2:6" x14ac:dyDescent="0.25">
      <c r="B35" s="82" t="s">
        <v>4</v>
      </c>
      <c r="D35" s="75"/>
      <c r="E35" s="51" t="s">
        <v>196</v>
      </c>
    </row>
    <row r="36" spans="2:6" x14ac:dyDescent="0.25">
      <c r="B36" s="82" t="s">
        <v>41</v>
      </c>
      <c r="D36" s="75"/>
      <c r="E36" s="51" t="s">
        <v>196</v>
      </c>
    </row>
    <row r="37" spans="2:6" x14ac:dyDescent="0.25">
      <c r="B37" s="74"/>
    </row>
  </sheetData>
  <customSheetViews>
    <customSheetView guid="{E2D89713-329E-4646-96A4-DF85EB814D99}" fitToPage="1" hiddenRows="1">
      <selection activeCell="D44" sqref="D44"/>
      <pageMargins left="0.70866141732283472" right="0" top="0.15748031496062992" bottom="0" header="0.31496062992125984" footer="0.31496062992125984"/>
      <printOptions horizontalCentered="1"/>
      <pageSetup paperSize="9" scale="97" orientation="landscape" r:id="rId1"/>
    </customSheetView>
    <customSheetView guid="{00BFEA53-DE9B-4168-86F9-051EA2F14C76}" fitToPage="1" hiddenRows="1">
      <selection activeCell="D44" sqref="D44"/>
      <pageMargins left="0.70866141732283472" right="0" top="0.15748031496062992" bottom="0" header="0.31496062992125984" footer="0.31496062992125984"/>
      <printOptions horizontalCentered="1"/>
      <pageSetup paperSize="9" scale="97" orientation="landscape" r:id="rId2"/>
    </customSheetView>
    <customSheetView guid="{A85C9AEB-D1CC-4007-B352-4A6F96D3EAB7}" fitToPage="1" hiddenRows="1">
      <selection activeCell="D44" sqref="D44"/>
      <pageMargins left="0.70866141732283472" right="0" top="0.15748031496062992" bottom="0" header="0.31496062992125984" footer="0.31496062992125984"/>
      <printOptions horizontalCentered="1"/>
      <pageSetup paperSize="9" scale="97" orientation="landscape" r:id="rId3"/>
    </customSheetView>
  </customSheetViews>
  <mergeCells count="14">
    <mergeCell ref="A22:B22"/>
    <mergeCell ref="A24:A26"/>
    <mergeCell ref="B24:B26"/>
    <mergeCell ref="E34:F34"/>
    <mergeCell ref="B5:B6"/>
    <mergeCell ref="A5:A6"/>
    <mergeCell ref="A14:F14"/>
    <mergeCell ref="A10:F10"/>
    <mergeCell ref="E5:F5"/>
    <mergeCell ref="A7:F7"/>
    <mergeCell ref="A9:B9"/>
    <mergeCell ref="A13:B13"/>
    <mergeCell ref="A19:B19"/>
    <mergeCell ref="A20:B20"/>
  </mergeCells>
  <conditionalFormatting sqref="F1">
    <cfRule type="cellIs" dxfId="0" priority="1" stopIfTrue="1" operator="equal">
      <formula>0</formula>
    </cfRule>
  </conditionalFormatting>
  <printOptions horizontalCentered="1"/>
  <pageMargins left="0.70866141732283472" right="0" top="0.15748031496062992" bottom="0" header="0.31496062992125984" footer="0.31496062992125984"/>
  <pageSetup paperSize="9" scale="98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4" sqref="N4"/>
    </sheetView>
  </sheetViews>
  <sheetFormatPr defaultRowHeight="15" x14ac:dyDescent="0.25"/>
  <cols>
    <col min="2" max="2" width="12.85546875" bestFit="1" customWidth="1"/>
    <col min="3" max="3" width="27.140625" bestFit="1" customWidth="1"/>
    <col min="4" max="4" width="27.7109375" bestFit="1" customWidth="1"/>
    <col min="5" max="5" width="16.7109375" bestFit="1" customWidth="1"/>
    <col min="6" max="6" width="15.28515625" bestFit="1" customWidth="1"/>
    <col min="7" max="7" width="15.85546875" bestFit="1" customWidth="1"/>
    <col min="8" max="8" width="25.28515625" bestFit="1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Запрос</vt:lpstr>
      <vt:lpstr>итог </vt:lpstr>
      <vt:lpstr>ПРИЛОЖЕНИЕ</vt:lpstr>
      <vt:lpstr>Приложение №2</vt:lpstr>
      <vt:lpstr>Лист1</vt:lpstr>
      <vt:lpstr>Запрос!Заголовки_для_печати</vt:lpstr>
      <vt:lpstr>'Приложение №2'!Заголовки_для_печати</vt:lpstr>
      <vt:lpstr>'итог '!Область_печати</vt:lpstr>
      <vt:lpstr>ПРИЛОЖЕНИЕ!Область_печати</vt:lpstr>
      <vt:lpstr>'Приложение №2'!Область_печати</vt:lpstr>
    </vt:vector>
  </TitlesOfParts>
  <Company>RSCE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Романова  Мария</dc:creator>
  <cp:lastModifiedBy>Лапушков Дмитрий Владимирович</cp:lastModifiedBy>
  <cp:lastPrinted>2017-11-10T07:27:19Z</cp:lastPrinted>
  <dcterms:created xsi:type="dcterms:W3CDTF">2017-09-08T07:45:26Z</dcterms:created>
  <dcterms:modified xsi:type="dcterms:W3CDTF">2019-05-20T08:18:15Z</dcterms:modified>
</cp:coreProperties>
</file>