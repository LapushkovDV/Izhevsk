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ep968-gal-share\ERPDB_STEND\GAL\exe\XLS_ЭМ\"/>
    </mc:Choice>
  </mc:AlternateContent>
  <bookViews>
    <workbookView xWindow="945" yWindow="0" windowWidth="28800" windowHeight="12390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1" l="1"/>
  <c r="E18" i="1"/>
  <c r="D29" i="1" l="1"/>
  <c r="D26" i="1"/>
  <c r="D21" i="1"/>
  <c r="D19" i="1"/>
  <c r="E19" i="1"/>
  <c r="D18" i="1"/>
  <c r="D16" i="1"/>
  <c r="D11" i="1"/>
  <c r="E11" i="1" l="1"/>
  <c r="D12" i="1" l="1"/>
  <c r="D39" i="1"/>
  <c r="D13" i="1"/>
  <c r="D27" i="1" l="1"/>
  <c r="D40" i="1" s="1"/>
  <c r="E13" i="1"/>
  <c r="E12" i="1"/>
  <c r="E16" i="1"/>
  <c r="E26" i="1"/>
  <c r="E27" i="1" s="1"/>
  <c r="E29" i="1" s="1"/>
  <c r="E40" i="1" s="1"/>
  <c r="E21" i="1" l="1"/>
  <c r="E38" i="1" s="1"/>
  <c r="E39" i="1"/>
</calcChain>
</file>

<file path=xl/sharedStrings.xml><?xml version="1.0" encoding="utf-8"?>
<sst xmlns="http://schemas.openxmlformats.org/spreadsheetml/2006/main" count="71" uniqueCount="49">
  <si>
    <t>№ п/п</t>
  </si>
  <si>
    <t>Наименование</t>
  </si>
  <si>
    <t>Расчетные данные</t>
  </si>
  <si>
    <t>С начала года</t>
  </si>
  <si>
    <t>За текущий месяц</t>
  </si>
  <si>
    <t>Сумма облагаемых видов оплат без материальной помощи</t>
  </si>
  <si>
    <t>Суммы не подлежащие обложению по статье 9, часть 1, пункт 1 ФЗ №212</t>
  </si>
  <si>
    <t>Суммы не подлежащие обложению по статье 9, часть 1, пункт 2 ФЗ №212</t>
  </si>
  <si>
    <t>Материальная помощь по в/о 158</t>
  </si>
  <si>
    <t>Сумма учитываемых видов оплат</t>
  </si>
  <si>
    <t>Материальная помощь по в/о 158 подлежащая обложению</t>
  </si>
  <si>
    <t>Материальная помощь по в/о 158 не подлежащая обложению</t>
  </si>
  <si>
    <t>Всего не подлежит обложению</t>
  </si>
  <si>
    <t>Итого облагаемых видов</t>
  </si>
  <si>
    <t>Превышение границ обложения</t>
  </si>
  <si>
    <t>Сумма подлежащая обложению</t>
  </si>
  <si>
    <t>Страховые взносы - полное обложение</t>
  </si>
  <si>
    <t>Страховые взносы с превышения</t>
  </si>
  <si>
    <t>ФФОМС</t>
  </si>
  <si>
    <t>Итого необлагаемая материальная помощь</t>
  </si>
  <si>
    <t>расч</t>
  </si>
  <si>
    <t>1+2+3+4+5</t>
  </si>
  <si>
    <t>9+10</t>
  </si>
  <si>
    <t>Сумма договорных работ</t>
  </si>
  <si>
    <t>Всего не подлежит обложению ФСС</t>
  </si>
  <si>
    <t>Сумма облагаемых видов оплат для ФСС</t>
  </si>
  <si>
    <t>Превышение границ обложения ФСС</t>
  </si>
  <si>
    <t>Сумма облагаемых в/о для ФСС с учетом границ - полное обложение</t>
  </si>
  <si>
    <t>Взносы в ФСС</t>
  </si>
  <si>
    <t>Сумма обложения травматизмом - полное обложение</t>
  </si>
  <si>
    <t>Взносы на травматизм - полное обложение</t>
  </si>
  <si>
    <t>Сумма обложения травматизмом - льготное обложение</t>
  </si>
  <si>
    <t>Взносы на травматизм - льготное обложение</t>
  </si>
  <si>
    <t>Сумма обложения вредных и опасных условий труда</t>
  </si>
  <si>
    <t>Взносы обложения вредных и опасных условий труда. Список 1</t>
  </si>
  <si>
    <t>Взносы обложения вредных и опасных условий труда. Список 2</t>
  </si>
  <si>
    <t>4-7</t>
  </si>
  <si>
    <t>5-8</t>
  </si>
  <si>
    <t>Принцип расчета</t>
  </si>
  <si>
    <t xml:space="preserve">Сводка расчетных сумм и взносов в страховые фонды за  </t>
  </si>
  <si>
    <t>Материальная помощь по в/о 154 подлежащая обложению</t>
  </si>
  <si>
    <t>Материальная помощь по в/о 154 не подлежащая обложению</t>
  </si>
  <si>
    <t>Материальная помощь по в/о 154</t>
  </si>
  <si>
    <t>Сумма, не подлежащая обложению по умершим</t>
  </si>
  <si>
    <t>2+3+11+12</t>
  </si>
  <si>
    <t>6-13, 1+7+8</t>
  </si>
  <si>
    <t>14-15</t>
  </si>
  <si>
    <t>13+20</t>
  </si>
  <si>
    <t>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</si>
</sst>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" fontId="0" fillId="0" borderId="0" xfId="0" applyNumberFormat="1"/>
    <xf numFmtId="4" fontId="1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left"/>
    </xf>
    <xf numFmtId="4" fontId="3" fillId="0" borderId="0" xfId="0" applyNumberFormat="1" applyFont="1"/>
    <xf numFmtId="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0"/>
  <sheetViews>
    <sheetView tabSelected="1" workbookViewId="0">
      <selection activeCell="K17" sqref="K17"/>
    </sheetView>
  </sheetViews>
  <sheetFormatPr defaultRowHeight="15" x14ac:dyDescent="0.25"/>
  <cols>
    <col min="2" max="2" width="51.7109375" customWidth="1"/>
    <col min="3" max="3" width="17" style="1" customWidth="1"/>
    <col min="4" max="4" width="22" style="2" customWidth="1"/>
    <col min="5" max="5" width="19.7109375" style="2" customWidth="1"/>
  </cols>
  <sheetData>
    <row r="2" spans="1:5" x14ac:dyDescent="0.25">
      <c r="A2" s="10" t="s">
        <v>39</v>
      </c>
      <c r="B2" s="10"/>
      <c r="C2" s="5"/>
      <c r="D2" s="4"/>
      <c r="E2" s="4"/>
    </row>
    <row r="4" spans="1:5" x14ac:dyDescent="0.25">
      <c r="A4" s="8" t="s">
        <v>0</v>
      </c>
      <c r="B4" s="8" t="s">
        <v>1</v>
      </c>
      <c r="C4" s="9" t="s">
        <v>38</v>
      </c>
      <c r="D4" s="7" t="s">
        <v>2</v>
      </c>
      <c r="E4" s="7"/>
    </row>
    <row r="5" spans="1:5" x14ac:dyDescent="0.25">
      <c r="A5" s="8"/>
      <c r="B5" s="8"/>
      <c r="C5" s="9"/>
      <c r="D5" s="3" t="s">
        <v>4</v>
      </c>
      <c r="E5" s="3" t="s">
        <v>3</v>
      </c>
    </row>
    <row r="6" spans="1:5" x14ac:dyDescent="0.25">
      <c r="A6">
        <v>1</v>
      </c>
      <c r="B6" t="s">
        <v>5</v>
      </c>
      <c r="C6" s="1" t="s">
        <v>20</v>
      </c>
    </row>
    <row r="7" spans="1:5" x14ac:dyDescent="0.25">
      <c r="A7">
        <v>2</v>
      </c>
      <c r="B7" t="s">
        <v>6</v>
      </c>
      <c r="C7" s="1" t="s">
        <v>20</v>
      </c>
    </row>
    <row r="8" spans="1:5" x14ac:dyDescent="0.25">
      <c r="A8">
        <v>3</v>
      </c>
      <c r="B8" t="s">
        <v>7</v>
      </c>
      <c r="C8" s="1" t="s">
        <v>20</v>
      </c>
    </row>
    <row r="9" spans="1:5" x14ac:dyDescent="0.25">
      <c r="A9">
        <v>4</v>
      </c>
      <c r="B9" t="s">
        <v>42</v>
      </c>
      <c r="C9" s="1" t="s">
        <v>20</v>
      </c>
    </row>
    <row r="10" spans="1:5" x14ac:dyDescent="0.25">
      <c r="A10">
        <v>5</v>
      </c>
      <c r="B10" t="s">
        <v>8</v>
      </c>
      <c r="C10" s="1" t="s">
        <v>20</v>
      </c>
    </row>
    <row r="11" spans="1:5" x14ac:dyDescent="0.25">
      <c r="A11">
        <v>6</v>
      </c>
      <c r="B11" t="s">
        <v>9</v>
      </c>
      <c r="C11" s="1" t="s">
        <v>21</v>
      </c>
      <c r="D11" s="2">
        <f>SUM(D6:D10)</f>
        <v>0</v>
      </c>
      <c r="E11" s="2">
        <f>SUM(E6:E10)</f>
        <v>0</v>
      </c>
    </row>
    <row r="12" spans="1:5" x14ac:dyDescent="0.25">
      <c r="A12">
        <v>7</v>
      </c>
      <c r="B12" t="s">
        <v>40</v>
      </c>
      <c r="C12" s="1" t="s">
        <v>20</v>
      </c>
      <c r="D12" s="2">
        <f>D9-D14</f>
        <v>0</v>
      </c>
      <c r="E12" s="2">
        <f t="shared" ref="E12:E13" si="0">E9-E14</f>
        <v>0</v>
      </c>
    </row>
    <row r="13" spans="1:5" x14ac:dyDescent="0.25">
      <c r="A13">
        <v>8</v>
      </c>
      <c r="B13" t="s">
        <v>10</v>
      </c>
      <c r="C13" s="1" t="s">
        <v>20</v>
      </c>
      <c r="D13" s="2">
        <f t="shared" ref="D13" si="1">D10-D15</f>
        <v>0</v>
      </c>
      <c r="E13" s="2">
        <f t="shared" si="0"/>
        <v>0</v>
      </c>
    </row>
    <row r="14" spans="1:5" x14ac:dyDescent="0.25">
      <c r="A14">
        <v>9</v>
      </c>
      <c r="B14" t="s">
        <v>41</v>
      </c>
      <c r="C14" s="1" t="s">
        <v>36</v>
      </c>
    </row>
    <row r="15" spans="1:5" x14ac:dyDescent="0.25">
      <c r="A15">
        <v>10</v>
      </c>
      <c r="B15" t="s">
        <v>11</v>
      </c>
      <c r="C15" s="1" t="s">
        <v>37</v>
      </c>
    </row>
    <row r="16" spans="1:5" x14ac:dyDescent="0.25">
      <c r="A16">
        <v>11</v>
      </c>
      <c r="B16" t="s">
        <v>19</v>
      </c>
      <c r="C16" s="1" t="s">
        <v>22</v>
      </c>
      <c r="D16" s="2">
        <f>D15+D14</f>
        <v>0</v>
      </c>
      <c r="E16" s="2">
        <f>E15+E14</f>
        <v>0</v>
      </c>
    </row>
    <row r="17" spans="1:5" x14ac:dyDescent="0.25">
      <c r="A17">
        <v>12</v>
      </c>
      <c r="B17" t="s">
        <v>43</v>
      </c>
      <c r="C17" s="1" t="s">
        <v>20</v>
      </c>
    </row>
    <row r="18" spans="1:5" x14ac:dyDescent="0.25">
      <c r="A18">
        <v>13</v>
      </c>
      <c r="B18" t="s">
        <v>12</v>
      </c>
      <c r="C18" s="1" t="s">
        <v>44</v>
      </c>
      <c r="D18" s="2">
        <f>D7+D8+D16+D17</f>
        <v>0</v>
      </c>
      <c r="E18" s="2">
        <f>E7+E8+E16+E17</f>
        <v>0</v>
      </c>
    </row>
    <row r="19" spans="1:5" x14ac:dyDescent="0.25">
      <c r="A19">
        <v>14</v>
      </c>
      <c r="B19" t="s">
        <v>13</v>
      </c>
      <c r="C19" s="1" t="s">
        <v>45</v>
      </c>
      <c r="D19" s="2">
        <f>D11-D18</f>
        <v>0</v>
      </c>
      <c r="E19" s="2">
        <f>E11-E18</f>
        <v>0</v>
      </c>
    </row>
    <row r="20" spans="1:5" x14ac:dyDescent="0.25">
      <c r="A20">
        <v>15</v>
      </c>
      <c r="B20" t="s">
        <v>14</v>
      </c>
      <c r="C20" s="1" t="s">
        <v>20</v>
      </c>
    </row>
    <row r="21" spans="1:5" x14ac:dyDescent="0.25">
      <c r="A21">
        <v>16</v>
      </c>
      <c r="B21" t="s">
        <v>15</v>
      </c>
      <c r="C21" s="1" t="s">
        <v>46</v>
      </c>
      <c r="D21" s="2">
        <f>D19-D20</f>
        <v>0</v>
      </c>
      <c r="E21" s="2">
        <f>E19-E20</f>
        <v>0</v>
      </c>
    </row>
    <row r="22" spans="1:5" x14ac:dyDescent="0.25">
      <c r="A22">
        <v>17</v>
      </c>
      <c r="B22" t="s">
        <v>16</v>
      </c>
      <c r="C22" s="1" t="s">
        <v>20</v>
      </c>
    </row>
    <row r="23" spans="1:5" x14ac:dyDescent="0.25">
      <c r="A23">
        <v>18</v>
      </c>
      <c r="B23" t="s">
        <v>17</v>
      </c>
      <c r="C23" s="1" t="s">
        <v>20</v>
      </c>
    </row>
    <row r="24" spans="1:5" x14ac:dyDescent="0.25">
      <c r="A24">
        <v>19</v>
      </c>
      <c r="B24" t="s">
        <v>18</v>
      </c>
      <c r="C24" s="1" t="s">
        <v>20</v>
      </c>
    </row>
    <row r="25" spans="1:5" x14ac:dyDescent="0.25">
      <c r="A25">
        <v>20</v>
      </c>
      <c r="B25" t="s">
        <v>23</v>
      </c>
      <c r="C25" s="1" t="s">
        <v>20</v>
      </c>
    </row>
    <row r="26" spans="1:5" x14ac:dyDescent="0.25">
      <c r="A26">
        <v>21</v>
      </c>
      <c r="B26" t="s">
        <v>24</v>
      </c>
      <c r="C26" s="1" t="s">
        <v>47</v>
      </c>
      <c r="D26" s="2">
        <f>D25+D18</f>
        <v>0</v>
      </c>
      <c r="E26" s="2">
        <f>E25+E18</f>
        <v>0</v>
      </c>
    </row>
    <row r="27" spans="1:5" x14ac:dyDescent="0.25">
      <c r="A27">
        <v>22</v>
      </c>
      <c r="B27" t="s">
        <v>25</v>
      </c>
      <c r="C27" s="1" t="s">
        <v>20</v>
      </c>
      <c r="D27" s="2">
        <f>D11-D26</f>
        <v>0</v>
      </c>
      <c r="E27" s="2">
        <f>E11-E26</f>
        <v>0</v>
      </c>
    </row>
    <row r="28" spans="1:5" x14ac:dyDescent="0.25">
      <c r="A28">
        <v>23</v>
      </c>
      <c r="B28" t="s">
        <v>26</v>
      </c>
      <c r="C28" s="1" t="s">
        <v>20</v>
      </c>
    </row>
    <row r="29" spans="1:5" x14ac:dyDescent="0.25">
      <c r="A29">
        <v>24</v>
      </c>
      <c r="B29" t="s">
        <v>27</v>
      </c>
      <c r="C29" s="1" t="s">
        <v>48</v>
      </c>
      <c r="D29" s="2">
        <f>D27-D28</f>
        <v>0</v>
      </c>
      <c r="E29" s="2">
        <f>E27-E28</f>
        <v>0</v>
      </c>
    </row>
    <row r="30" spans="1:5" x14ac:dyDescent="0.25">
      <c r="A30">
        <v>25</v>
      </c>
      <c r="B30" t="s">
        <v>28</v>
      </c>
      <c r="C30" s="1" t="s">
        <v>20</v>
      </c>
    </row>
    <row r="31" spans="1:5" x14ac:dyDescent="0.25">
      <c r="A31">
        <v>26</v>
      </c>
      <c r="B31" t="s">
        <v>29</v>
      </c>
      <c r="C31" s="1" t="s">
        <v>20</v>
      </c>
    </row>
    <row r="32" spans="1:5" x14ac:dyDescent="0.25">
      <c r="A32">
        <v>27</v>
      </c>
      <c r="B32" t="s">
        <v>30</v>
      </c>
      <c r="C32" s="1" t="s">
        <v>20</v>
      </c>
    </row>
    <row r="33" spans="1:5" x14ac:dyDescent="0.25">
      <c r="A33">
        <v>28</v>
      </c>
      <c r="B33" t="s">
        <v>31</v>
      </c>
      <c r="C33" s="1" t="s">
        <v>20</v>
      </c>
    </row>
    <row r="34" spans="1:5" x14ac:dyDescent="0.25">
      <c r="A34">
        <v>29</v>
      </c>
      <c r="B34" t="s">
        <v>32</v>
      </c>
      <c r="C34" s="1" t="s">
        <v>20</v>
      </c>
    </row>
    <row r="35" spans="1:5" x14ac:dyDescent="0.25">
      <c r="A35">
        <v>30</v>
      </c>
      <c r="B35" t="s">
        <v>33</v>
      </c>
      <c r="C35" s="1" t="s">
        <v>20</v>
      </c>
    </row>
    <row r="36" spans="1:5" x14ac:dyDescent="0.25">
      <c r="A36">
        <v>31</v>
      </c>
      <c r="B36" t="s">
        <v>34</v>
      </c>
      <c r="C36" s="1" t="s">
        <v>20</v>
      </c>
    </row>
    <row r="37" spans="1:5" x14ac:dyDescent="0.25">
      <c r="A37">
        <v>32</v>
      </c>
      <c r="B37" t="s">
        <v>35</v>
      </c>
      <c r="C37" s="1" t="s">
        <v>20</v>
      </c>
    </row>
    <row r="38" spans="1:5" x14ac:dyDescent="0.25">
      <c r="D38" s="6">
        <f>D21*0.22-D22</f>
        <v>0</v>
      </c>
      <c r="E38" s="6">
        <f>E21*0.22-E22</f>
        <v>0</v>
      </c>
    </row>
    <row r="39" spans="1:5" x14ac:dyDescent="0.25">
      <c r="D39" s="6">
        <f>D19*0.051-D24</f>
        <v>0</v>
      </c>
      <c r="E39" s="6">
        <f>E19*0.051-E24</f>
        <v>0</v>
      </c>
    </row>
    <row r="40" spans="1:5" x14ac:dyDescent="0.25">
      <c r="D40" s="6">
        <f>D29*0.029-D30</f>
        <v>0</v>
      </c>
      <c r="E40" s="6">
        <f>E29*0.029-E30</f>
        <v>0</v>
      </c>
    </row>
  </sheetData>
  <mergeCells count="5">
    <mergeCell ref="D4:E4"/>
    <mergeCell ref="A4:A5"/>
    <mergeCell ref="B4:B5"/>
    <mergeCell ref="C4:C5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Плинда Николай Александрович</dc:creator>
  <cp:lastModifiedBy>Ларичев Фёдор Михайлович</cp:lastModifiedBy>
  <dcterms:created xsi:type="dcterms:W3CDTF">2018-02-21T08:18:18Z</dcterms:created>
  <dcterms:modified xsi:type="dcterms:W3CDTF">2021-11-17T07:59:44Z</dcterms:modified>
</cp:coreProperties>
</file>