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me09\gal\erpdb_stend\exe\XLS_ЭМ\ZP\"/>
    </mc:Choice>
  </mc:AlternateContent>
  <bookViews>
    <workbookView xWindow="0" yWindow="0" windowWidth="21570" windowHeight="7815" firstSheet="1" activeTab="3"/>
  </bookViews>
  <sheets>
    <sheet name="Модуль1" sheetId="2" state="veryHidden" r:id=""/>
    <sheet name="Gal_TblSheet" sheetId="5" r:id="rId1"/>
    <sheet name="Gal_VarSheet" sheetId="4" r:id="rId2"/>
    <sheet name="Отчет" sheetId="3" r:id="rId3"/>
  </sheets>
  <functionGroups builtInGroupCount="18"/>
  <definedNames>
    <definedName name="GalDBTbl_Main" localSheetId="1">Gal_TblSheet!$A$1:$AJ$1</definedName>
    <definedName name="GalDBTblFld_Date" localSheetId="1">Gal_TblSheet!$A$1</definedName>
    <definedName name="GalDBTblFld_DateStr" localSheetId="1">Gal_TblSheet!$B$1</definedName>
    <definedName name="GalDBTblFld_DaysCoeff" localSheetId="1">Gal_TblSheet!$D$1</definedName>
    <definedName name="GalDBTblFld_DaysKlndr" localSheetId="1">Gal_TblSheet!$C$1</definedName>
    <definedName name="GalDBTblFld_dkAdvanceable" localSheetId="1">Gal_TblSheet!$N$1</definedName>
    <definedName name="GalDBTblFld_dkAppearance" localSheetId="1">Gal_TblSheet!$S$1</definedName>
    <definedName name="GalDBTblFld_dkCalendarVacation" localSheetId="1">Gal_TblSheet!$AA$1</definedName>
    <definedName name="GalDBTblFld_dkCalendarWorking" localSheetId="1">Gal_TblSheet!$W$1</definedName>
    <definedName name="GalDBTblFld_dkEnabled" localSheetId="1">Gal_TblSheet!$U$1</definedName>
    <definedName name="GalDBTblFld_dkEvening" localSheetId="1">Gal_TblSheet!$K$1</definedName>
    <definedName name="GalDBTblFld_dkHarmfulConditions" localSheetId="1">Gal_TblSheet!$V$1</definedName>
    <definedName name="GalDBTblFld_dkHoliday" localSheetId="1">Gal_TblSheet!$G$1</definedName>
    <definedName name="GalDBTblFld_dkICHarmful" localSheetId="1">Gal_TblSheet!$AH$1</definedName>
    <definedName name="GalDBTblFld_dkICOrdinary" localSheetId="1">Gal_TblSheet!$AG$1</definedName>
    <definedName name="GalDBTblFld_dkNight" localSheetId="1">Gal_TblSheet!$L$1</definedName>
    <definedName name="GalDBTblFld_dkOrderedOvertimeWork" localSheetId="1">Gal_TblSheet!$Z$1</definedName>
    <definedName name="GalDBTblFld_dkOrderedOvertimeWorkForLeave" localSheetId="1">Gal_TblSheet!$AD$1</definedName>
    <definedName name="GalDBTblFld_dkOrderedWeekendWork" localSheetId="1">Gal_TblSheet!$X$1</definedName>
    <definedName name="GalDBTblFld_dkOrderedWeekendWorkForLeave" localSheetId="1">Gal_TblSheet!$AC$1</definedName>
    <definedName name="GalDBTblFld_dkOverWork" localSheetId="1">Gal_TblSheet!$I$1</definedName>
    <definedName name="GalDBTblFld_dkOverworkRest" localSheetId="1">Gal_TblSheet!$J$1</definedName>
    <definedName name="GalDBTblFld_dkPaid" localSheetId="1">Gal_TblSheet!$O$1</definedName>
    <definedName name="GalDBTblFld_dkPaidOrderedWeekendWork" localSheetId="1">Gal_TblSheet!$Y$1</definedName>
    <definedName name="GalDBTblFld_dkSpecial" localSheetId="1">Gal_TblSheet!$E$1</definedName>
    <definedName name="GalDBTblFld_dkTimeForSickListEnteringKind" localSheetId="1">Gal_TblSheet!$AB$1</definedName>
    <definedName name="GalDBTblFld_dkWeekEnd" localSheetId="1">Gal_TblSheet!$H$1</definedName>
    <definedName name="GalDBTblFld_dkWeekendHoliday" localSheetId="1">Gal_TblSheet!$T$1</definedName>
    <definedName name="GalDBTblFld_dkWholeWorking" localSheetId="1">Gal_TblSheet!$R$1</definedName>
    <definedName name="GalDBTblFld_dkWorking" localSheetId="1">Gal_TblSheet!$F$1</definedName>
    <definedName name="GalDBTblFld_dkWorkingForAvgEarnings" localSheetId="1">Gal_TblSheet!$M$1</definedName>
    <definedName name="GalDBTblFld_dkWorkingHoliday" localSheetId="1">Gal_TblSheet!$P$1</definedName>
    <definedName name="GalDBTblFld_dkWorkingWeekend" localSheetId="1">Gal_TblSheet!$Q$1</definedName>
    <definedName name="GalDBTblFld_dkWorkingWeekendHoliday" localSheetId="1">Gal_TblSheet!$AF$1</definedName>
    <definedName name="GalDBTblFld_dkWorkingWorkingHoliday" localSheetId="1">Gal_TblSheet!$AE$1</definedName>
    <definedName name="GalDBTblFld_FOT" localSheetId="1">Gal_TblSheet!$AI$1</definedName>
    <definedName name="GalDBTblFld_Prem" localSheetId="1">Gal_TblSheet!$AJ$1</definedName>
    <definedName name="GalDBVar_ChasF" localSheetId="2">Gal_VarSheet!$C$9</definedName>
    <definedName name="GalDBVar_DataN" localSheetId="2">Gal_VarSheet!$C$7</definedName>
    <definedName name="GalDBVar_DatOk" localSheetId="2">Gal_VarSheet!$C$8</definedName>
    <definedName name="GalDBVar_FIO" localSheetId="2">Gal_VarSheet!$C$2</definedName>
    <definedName name="GalDBVar_PodrKod" localSheetId="2">Gal_VarSheet!$C$4</definedName>
    <definedName name="GalDBVar_PodrName" localSheetId="2">Gal_VarSheet!$C$5</definedName>
    <definedName name="GalDBVar_Post" localSheetId="2">Gal_VarSheet!$C$11</definedName>
    <definedName name="GalDBVar_StrTabN" localSheetId="2">Gal_VarSheet!$C$3</definedName>
    <definedName name="GalDBVar_Summa" localSheetId="2">Gal_VarSheet!$C$10</definedName>
    <definedName name="GalDBVar_Tarif" localSheetId="2">Gal_VarSheet!$C$6</definedName>
    <definedName name="GalRepTbl_Main" localSheetId="3">Отчет!$A$10:$K$10</definedName>
    <definedName name="GalRepTblFld_DateStr" localSheetId="3">Отчет!$A$10</definedName>
    <definedName name="GalRepTblFld_DaysCoeff" localSheetId="3">Отчет!$E$10</definedName>
    <definedName name="GalRepTblFld_DaysKlndr" localSheetId="3">Отчет!$B$10</definedName>
    <definedName name="GalRepTblFld_dkCalendarVacation" localSheetId="3">Отчет!$D$10</definedName>
    <definedName name="GalRepTblFld_dkWorking" localSheetId="3">Отчет!$C$10</definedName>
    <definedName name="GalRepTblFld_FOT" localSheetId="3">Отчет!$F$10</definedName>
    <definedName name="GalRepTblFld_Prem" localSheetId="3">Отчет!$K$10</definedName>
    <definedName name="GalRepVar_DataN" localSheetId="3">Отчет!$H$17</definedName>
    <definedName name="GalRepVar_DatOk" localSheetId="3">Отчет!$I$17</definedName>
    <definedName name="GalRepVar_FIO" localSheetId="3">Отчет!$D$4</definedName>
    <definedName name="GalRepVar_KolDn" localSheetId="3">Отчет!$J$17</definedName>
    <definedName name="GalRepVar_PodrKod" localSheetId="3">Отчет!$A$4</definedName>
    <definedName name="GalRepVar_PodrName" localSheetId="3">Отчет!$A$5</definedName>
    <definedName name="GalRepVar_Post" localSheetId="3">Отчет!$D$5</definedName>
    <definedName name="GalRepVar_StrTabN" localSheetId="3">Отчет!$B$4</definedName>
    <definedName name="GalRepVar_Summa" localSheetId="3">Отчет!$K$17</definedName>
    <definedName name="GalRepVar_Tarif" localSheetId="3">Отчет!$K$4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7" i="3" l="1"/>
  <c r="K20" i="3" l="1"/>
  <c r="K21" i="3" s="1"/>
  <c r="G20" i="3"/>
  <c r="A18" i="3"/>
  <c r="K11" i="3"/>
  <c r="F11" i="3"/>
  <c r="J11" i="3" s="1"/>
  <c r="E11" i="3"/>
  <c r="D11" i="3"/>
  <c r="C11" i="3"/>
  <c r="B11" i="3"/>
  <c r="J10" i="3"/>
  <c r="K12" i="3" l="1"/>
  <c r="F13" i="3" s="1"/>
  <c r="K13" i="3" s="1"/>
  <c r="J20" i="3" s="1"/>
</calcChain>
</file>

<file path=xl/sharedStrings.xml><?xml version="1.0" encoding="utf-8"?>
<sst xmlns="http://schemas.openxmlformats.org/spreadsheetml/2006/main" count="123" uniqueCount="93">
  <si>
    <t>Переменная</t>
  </si>
  <si>
    <t>Тип</t>
  </si>
  <si>
    <t>Значение</t>
  </si>
  <si>
    <t>FIO</t>
  </si>
  <si>
    <t>String</t>
  </si>
  <si>
    <t>Егоренкова Наталья Анатольевна</t>
  </si>
  <si>
    <t>StrTabN</t>
  </si>
  <si>
    <t>001128</t>
  </si>
  <si>
    <t>PodrKod</t>
  </si>
  <si>
    <t>503</t>
  </si>
  <si>
    <t>PodrName</t>
  </si>
  <si>
    <t>Заместитель генерального директора по персоналу и социальной политике</t>
  </si>
  <si>
    <t>Tarif</t>
  </si>
  <si>
    <t>Number</t>
  </si>
  <si>
    <t>DataN</t>
  </si>
  <si>
    <t>Date</t>
  </si>
  <si>
    <t>DatOk</t>
  </si>
  <si>
    <t>ChasF</t>
  </si>
  <si>
    <t>Summa</t>
  </si>
  <si>
    <t>DateStr</t>
  </si>
  <si>
    <t>DaysKlndr</t>
  </si>
  <si>
    <t>DaysCoeff</t>
  </si>
  <si>
    <t>dkSpecial</t>
  </si>
  <si>
    <t>dkWorking</t>
  </si>
  <si>
    <t>dkHoliday</t>
  </si>
  <si>
    <t>dkWeekEnd</t>
  </si>
  <si>
    <t>dkOverWork</t>
  </si>
  <si>
    <t>dkOverworkRest</t>
  </si>
  <si>
    <t>dkEvening</t>
  </si>
  <si>
    <t>dkNight</t>
  </si>
  <si>
    <t>dkWorkingForAvgEarnings</t>
  </si>
  <si>
    <t>dkAdvanceable</t>
  </si>
  <si>
    <t>dkPaid</t>
  </si>
  <si>
    <t>dkWorkingHoliday</t>
  </si>
  <si>
    <t>dkWorkingWeekend</t>
  </si>
  <si>
    <t>dkWholeWorking</t>
  </si>
  <si>
    <t>dkAppearance</t>
  </si>
  <si>
    <t>dkWeekendHoliday</t>
  </si>
  <si>
    <t>dkEnabled</t>
  </si>
  <si>
    <t>dkHarmfulConditions</t>
  </si>
  <si>
    <t>dkCalendarWorking</t>
  </si>
  <si>
    <t>dkOrderedWeekendWork</t>
  </si>
  <si>
    <t>dkPaidOrderedWeekendWork</t>
  </si>
  <si>
    <t>dkOrderedOvertimeWork</t>
  </si>
  <si>
    <t>dkCalendarVacation</t>
  </si>
  <si>
    <t>dkTimeForSickListEnteringKind</t>
  </si>
  <si>
    <t>dkOrderedWeekendWorkForLeave</t>
  </si>
  <si>
    <t>dkOrderedOvertimeWorkForLeave</t>
  </si>
  <si>
    <t>dkWorkingWorkingHoliday</t>
  </si>
  <si>
    <t>dkWorkingWeekendHoliday</t>
  </si>
  <si>
    <t>dkICOrdinary</t>
  </si>
  <si>
    <t>dkICHarmful</t>
  </si>
  <si>
    <t>FOT</t>
  </si>
  <si>
    <t>Prem</t>
  </si>
  <si>
    <t>Расчет оплаты (в рублях)</t>
  </si>
  <si>
    <t xml:space="preserve"> АО "НПО Энергомаш"</t>
  </si>
  <si>
    <t xml:space="preserve">  Подразд.</t>
  </si>
  <si>
    <t xml:space="preserve">  Таб.номер</t>
  </si>
  <si>
    <t>Фамилия И.О.</t>
  </si>
  <si>
    <t>Месячный оклад ( Часовая  тариф. ставка)</t>
  </si>
  <si>
    <t>Источник выплаты  из ФЗП</t>
  </si>
  <si>
    <t xml:space="preserve">Состоит из  </t>
  </si>
  <si>
    <t>Доплата до среднего заработка при временной нетруд. (12 мес)</t>
  </si>
  <si>
    <t>Сведения по месяцам, входящим в расчет</t>
  </si>
  <si>
    <t>Коэф.</t>
  </si>
  <si>
    <t>Год месяц</t>
  </si>
  <si>
    <t>Премия</t>
  </si>
  <si>
    <t>Всего</t>
  </si>
  <si>
    <t>С пересчетом</t>
  </si>
  <si>
    <t>Всего заработок</t>
  </si>
  <si>
    <t xml:space="preserve">Средний заработок </t>
  </si>
  <si>
    <t>Наименование отпуска</t>
  </si>
  <si>
    <t>Источ.</t>
  </si>
  <si>
    <t xml:space="preserve">Начало  </t>
  </si>
  <si>
    <t>Окончан.</t>
  </si>
  <si>
    <t xml:space="preserve">Дн/час  </t>
  </si>
  <si>
    <t xml:space="preserve">Сумма   </t>
  </si>
  <si>
    <t>ФЗП</t>
  </si>
  <si>
    <t xml:space="preserve">Наименование </t>
  </si>
  <si>
    <t>Дн/ч</t>
  </si>
  <si>
    <t xml:space="preserve">Процент </t>
  </si>
  <si>
    <t xml:space="preserve">Средний </t>
  </si>
  <si>
    <t>Итоговая сумма, в рублях</t>
  </si>
  <si>
    <t>Дни по графику</t>
  </si>
  <si>
    <t>Рабоч. Дни</t>
  </si>
  <si>
    <t>Факт календар дни</t>
  </si>
  <si>
    <t>Коэф. (дни)</t>
  </si>
  <si>
    <t>Заработок без коэффи-циента</t>
  </si>
  <si>
    <t>Заработок без коэффи-циента после перехода</t>
  </si>
  <si>
    <t>Коэф. после перехода</t>
  </si>
  <si>
    <t>Заработок с коэффи-циентом</t>
  </si>
  <si>
    <t>Post</t>
  </si>
  <si>
    <t>KolDn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</si>
</sst>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b/>
      <sz val="9"/>
      <color indexed="8"/>
      <name val="Arial Narrow"/>
      <family val="2"/>
      <charset val="204"/>
    </font>
    <font>
      <sz val="9"/>
      <color indexed="8"/>
      <name val="Arial Narrow"/>
      <family val="2"/>
      <charset val="204"/>
    </font>
    <font>
      <sz val="11"/>
      <color theme="1"/>
      <name val="Arial Narrow"/>
      <family val="2"/>
      <charset val="204"/>
    </font>
    <font>
      <sz val="11"/>
      <color indexed="8"/>
      <name val="Arial Narrow"/>
      <family val="2"/>
      <charset val="204"/>
    </font>
    <font>
      <sz val="9"/>
      <color theme="1"/>
      <name val="Arial Narrow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1" fillId="2" borderId="0" xfId="0" applyFont="1" applyFill="1"/>
    <xf numFmtId="0" fontId="0" fillId="0" borderId="0" xfId="0" quotePrefix="1"/>
    <xf numFmtId="49" fontId="3" fillId="0" borderId="3" xfId="0" applyNumberFormat="1" applyFont="1" applyBorder="1"/>
    <xf numFmtId="2" fontId="3" fillId="0" borderId="3" xfId="0" applyNumberFormat="1" applyFont="1" applyBorder="1"/>
    <xf numFmtId="2" fontId="3" fillId="0" borderId="4" xfId="0" applyNumberFormat="1" applyFont="1" applyBorder="1"/>
    <xf numFmtId="4" fontId="3" fillId="0" borderId="4" xfId="0" applyNumberFormat="1" applyFont="1" applyBorder="1" applyAlignment="1">
      <alignment horizontal="right"/>
    </xf>
    <xf numFmtId="49" fontId="3" fillId="0" borderId="4" xfId="0" applyNumberFormat="1" applyFont="1" applyBorder="1" applyAlignment="1">
      <alignment horizontal="right"/>
    </xf>
    <xf numFmtId="4" fontId="3" fillId="0" borderId="5" xfId="0" applyNumberFormat="1" applyFont="1" applyBorder="1" applyAlignment="1">
      <alignment horizontal="right"/>
    </xf>
    <xf numFmtId="4" fontId="4" fillId="0" borderId="0" xfId="0" applyNumberFormat="1" applyFont="1" applyAlignment="1">
      <alignment horizontal="right"/>
    </xf>
    <xf numFmtId="49" fontId="4" fillId="0" borderId="3" xfId="0" applyNumberFormat="1" applyFont="1" applyBorder="1"/>
    <xf numFmtId="49" fontId="4" fillId="0" borderId="8" xfId="0" applyNumberFormat="1" applyFont="1" applyBorder="1"/>
    <xf numFmtId="4" fontId="4" fillId="0" borderId="9" xfId="0" applyNumberFormat="1" applyFont="1" applyBorder="1" applyAlignment="1">
      <alignment horizontal="right"/>
    </xf>
    <xf numFmtId="49" fontId="4" fillId="0" borderId="9" xfId="0" applyNumberFormat="1" applyFont="1" applyBorder="1" applyAlignment="1">
      <alignment horizontal="right"/>
    </xf>
    <xf numFmtId="4" fontId="4" fillId="0" borderId="4" xfId="0" applyNumberFormat="1" applyFont="1" applyBorder="1" applyAlignment="1">
      <alignment horizontal="right"/>
    </xf>
    <xf numFmtId="4" fontId="4" fillId="0" borderId="5" xfId="0" applyNumberFormat="1" applyFont="1" applyBorder="1" applyAlignment="1">
      <alignment horizontal="right"/>
    </xf>
    <xf numFmtId="2" fontId="4" fillId="0" borderId="9" xfId="0" applyNumberFormat="1" applyFont="1" applyBorder="1"/>
    <xf numFmtId="49" fontId="3" fillId="0" borderId="11" xfId="0" applyNumberFormat="1" applyFont="1" applyBorder="1" applyAlignment="1">
      <alignment horizontal="center"/>
    </xf>
    <xf numFmtId="49" fontId="4" fillId="0" borderId="11" xfId="0" applyNumberFormat="1" applyFont="1" applyBorder="1"/>
    <xf numFmtId="1" fontId="4" fillId="0" borderId="11" xfId="0" applyNumberFormat="1" applyFont="1" applyBorder="1"/>
    <xf numFmtId="1" fontId="4" fillId="0" borderId="11" xfId="0" applyNumberFormat="1" applyFont="1" applyBorder="1" applyAlignment="1">
      <alignment horizontal="right"/>
    </xf>
    <xf numFmtId="4" fontId="4" fillId="0" borderId="11" xfId="0" applyNumberFormat="1" applyFont="1" applyBorder="1" applyAlignment="1">
      <alignment horizontal="right"/>
    </xf>
    <xf numFmtId="49" fontId="4" fillId="0" borderId="11" xfId="0" applyNumberFormat="1" applyFont="1" applyBorder="1" applyAlignment="1">
      <alignment horizontal="right"/>
    </xf>
    <xf numFmtId="2" fontId="4" fillId="0" borderId="11" xfId="0" applyNumberFormat="1" applyFont="1" applyBorder="1" applyAlignment="1">
      <alignment horizontal="right"/>
    </xf>
    <xf numFmtId="49" fontId="3" fillId="0" borderId="6" xfId="0" applyNumberFormat="1" applyFont="1" applyBorder="1"/>
    <xf numFmtId="1" fontId="3" fillId="0" borderId="6" xfId="0" applyNumberFormat="1" applyFont="1" applyBorder="1"/>
    <xf numFmtId="4" fontId="3" fillId="0" borderId="6" xfId="0" applyNumberFormat="1" applyFont="1" applyBorder="1" applyAlignment="1">
      <alignment horizontal="right"/>
    </xf>
    <xf numFmtId="49" fontId="3" fillId="0" borderId="6" xfId="0" applyNumberFormat="1" applyFont="1" applyBorder="1" applyAlignment="1">
      <alignment horizontal="right"/>
    </xf>
    <xf numFmtId="49" fontId="2" fillId="0" borderId="3" xfId="0" applyNumberFormat="1" applyFont="1" applyBorder="1"/>
    <xf numFmtId="49" fontId="3" fillId="0" borderId="4" xfId="0" applyNumberFormat="1" applyFont="1" applyBorder="1"/>
    <xf numFmtId="49" fontId="3" fillId="0" borderId="5" xfId="0" applyNumberFormat="1" applyFont="1" applyBorder="1" applyAlignment="1">
      <alignment horizontal="right"/>
    </xf>
    <xf numFmtId="49" fontId="4" fillId="0" borderId="5" xfId="0" applyNumberFormat="1" applyFont="1" applyBorder="1" applyAlignment="1">
      <alignment horizontal="right"/>
    </xf>
    <xf numFmtId="4" fontId="4" fillId="0" borderId="4" xfId="0" applyNumberFormat="1" applyFont="1" applyBorder="1" applyAlignment="1">
      <alignment horizontal="left"/>
    </xf>
    <xf numFmtId="49" fontId="4" fillId="0" borderId="4" xfId="0" applyNumberFormat="1" applyFont="1" applyBorder="1" applyAlignment="1">
      <alignment horizontal="right"/>
    </xf>
    <xf numFmtId="0" fontId="4" fillId="0" borderId="11" xfId="0" applyNumberFormat="1" applyFont="1" applyBorder="1" applyAlignment="1">
      <alignment horizontal="right"/>
    </xf>
    <xf numFmtId="2" fontId="3" fillId="0" borderId="8" xfId="0" applyNumberFormat="1" applyFont="1" applyBorder="1"/>
    <xf numFmtId="2" fontId="3" fillId="0" borderId="9" xfId="0" applyNumberFormat="1" applyFont="1" applyBorder="1"/>
    <xf numFmtId="49" fontId="3" fillId="0" borderId="9" xfId="0" applyNumberFormat="1" applyFont="1" applyBorder="1"/>
    <xf numFmtId="4" fontId="3" fillId="0" borderId="9" xfId="0" applyNumberFormat="1" applyFont="1" applyBorder="1" applyAlignment="1">
      <alignment horizontal="right"/>
    </xf>
    <xf numFmtId="49" fontId="3" fillId="0" borderId="9" xfId="0" applyNumberFormat="1" applyFont="1" applyBorder="1" applyAlignment="1">
      <alignment horizontal="right"/>
    </xf>
    <xf numFmtId="4" fontId="3" fillId="0" borderId="11" xfId="0" applyNumberFormat="1" applyFont="1" applyBorder="1" applyAlignment="1">
      <alignment horizontal="right"/>
    </xf>
    <xf numFmtId="49" fontId="3" fillId="0" borderId="11" xfId="0" applyNumberFormat="1" applyFont="1" applyBorder="1" applyAlignment="1">
      <alignment horizontal="right"/>
    </xf>
    <xf numFmtId="0" fontId="4" fillId="0" borderId="10" xfId="0" applyNumberFormat="1" applyFont="1" applyBorder="1" applyAlignment="1">
      <alignment horizontal="right" vertical="center"/>
    </xf>
    <xf numFmtId="4" fontId="4" fillId="0" borderId="11" xfId="0" applyNumberFormat="1" applyFont="1" applyBorder="1" applyAlignment="1">
      <alignment horizontal="right" vertical="center"/>
    </xf>
    <xf numFmtId="49" fontId="4" fillId="0" borderId="6" xfId="0" applyNumberFormat="1" applyFont="1" applyBorder="1" applyAlignment="1">
      <alignment horizontal="center" vertical="center"/>
    </xf>
    <xf numFmtId="4" fontId="4" fillId="0" borderId="2" xfId="0" applyNumberFormat="1" applyFont="1" applyBorder="1" applyAlignment="1">
      <alignment horizontal="right" vertical="center"/>
    </xf>
    <xf numFmtId="0" fontId="0" fillId="0" borderId="9" xfId="0" applyBorder="1"/>
    <xf numFmtId="4" fontId="4" fillId="0" borderId="10" xfId="0" applyNumberFormat="1" applyFont="1" applyBorder="1" applyAlignment="1">
      <alignment horizontal="right"/>
    </xf>
    <xf numFmtId="49" fontId="3" fillId="0" borderId="6" xfId="0" applyNumberFormat="1" applyFont="1" applyBorder="1" applyAlignment="1">
      <alignment horizontal="center" vertical="center" wrapText="1"/>
    </xf>
    <xf numFmtId="2" fontId="3" fillId="0" borderId="6" xfId="0" applyNumberFormat="1" applyFont="1" applyBorder="1" applyAlignment="1">
      <alignment horizontal="center" vertical="center" wrapText="1"/>
    </xf>
    <xf numFmtId="4" fontId="3" fillId="0" borderId="6" xfId="0" applyNumberFormat="1" applyFont="1" applyBorder="1" applyAlignment="1">
      <alignment horizontal="center" vertical="center" wrapText="1"/>
    </xf>
    <xf numFmtId="14" fontId="4" fillId="0" borderId="11" xfId="0" applyNumberFormat="1" applyFont="1" applyBorder="1" applyAlignment="1">
      <alignment horizontal="right" vertical="center"/>
    </xf>
    <xf numFmtId="49" fontId="4" fillId="0" borderId="11" xfId="0" applyNumberFormat="1" applyFont="1" applyBorder="1" applyAlignment="1">
      <alignment horizontal="right" vertical="center"/>
    </xf>
    <xf numFmtId="2" fontId="4" fillId="0" borderId="4" xfId="0" applyNumberFormat="1" applyFont="1" applyBorder="1"/>
    <xf numFmtId="49" fontId="4" fillId="0" borderId="4" xfId="0" applyNumberFormat="1" applyFont="1" applyBorder="1"/>
    <xf numFmtId="4" fontId="4" fillId="0" borderId="6" xfId="0" applyNumberFormat="1" applyFont="1" applyBorder="1" applyAlignment="1">
      <alignment horizontal="right"/>
    </xf>
    <xf numFmtId="49" fontId="4" fillId="0" borderId="6" xfId="0" applyNumberFormat="1" applyFont="1" applyBorder="1" applyAlignment="1">
      <alignment horizontal="right"/>
    </xf>
    <xf numFmtId="2" fontId="7" fillId="0" borderId="3" xfId="0" applyNumberFormat="1" applyFont="1" applyBorder="1" applyAlignment="1">
      <alignment horizontal="left" vertical="center" wrapText="1"/>
    </xf>
    <xf numFmtId="2" fontId="7" fillId="0" borderId="4" xfId="0" applyNumberFormat="1" applyFont="1" applyBorder="1" applyAlignment="1">
      <alignment horizontal="left" vertical="center" wrapText="1"/>
    </xf>
    <xf numFmtId="2" fontId="7" fillId="0" borderId="5" xfId="0" applyNumberFormat="1" applyFont="1" applyBorder="1" applyAlignment="1">
      <alignment horizontal="left" vertical="center" wrapText="1"/>
    </xf>
    <xf numFmtId="49" fontId="4" fillId="0" borderId="3" xfId="0" applyNumberFormat="1" applyFont="1" applyBorder="1" applyAlignment="1">
      <alignment horizontal="left"/>
    </xf>
    <xf numFmtId="49" fontId="4" fillId="0" borderId="4" xfId="0" applyNumberFormat="1" applyFont="1" applyBorder="1" applyAlignment="1">
      <alignment horizontal="left"/>
    </xf>
    <xf numFmtId="49" fontId="4" fillId="0" borderId="5" xfId="0" applyNumberFormat="1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2" fillId="0" borderId="5" xfId="0" applyFont="1" applyBorder="1" applyAlignment="1">
      <alignment horizontal="left"/>
    </xf>
    <xf numFmtId="2" fontId="5" fillId="0" borderId="3" xfId="0" applyNumberFormat="1" applyFont="1" applyBorder="1" applyAlignment="1">
      <alignment horizontal="center"/>
    </xf>
    <xf numFmtId="2" fontId="5" fillId="0" borderId="4" xfId="0" applyNumberFormat="1" applyFont="1" applyBorder="1" applyAlignment="1">
      <alignment horizontal="center"/>
    </xf>
    <xf numFmtId="2" fontId="5" fillId="0" borderId="5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49" fontId="3" fillId="0" borderId="3" xfId="0" applyNumberFormat="1" applyFont="1" applyBorder="1" applyAlignment="1">
      <alignment horizontal="left"/>
    </xf>
    <xf numFmtId="49" fontId="3" fillId="0" borderId="4" xfId="0" applyNumberFormat="1" applyFont="1" applyBorder="1" applyAlignment="1">
      <alignment horizontal="left"/>
    </xf>
    <xf numFmtId="49" fontId="3" fillId="0" borderId="5" xfId="0" applyNumberFormat="1" applyFont="1" applyBorder="1" applyAlignment="1">
      <alignment horizontal="left"/>
    </xf>
    <xf numFmtId="0" fontId="4" fillId="0" borderId="3" xfId="0" applyNumberFormat="1" applyFont="1" applyBorder="1" applyAlignment="1">
      <alignment horizontal="left" vertical="center" wrapText="1"/>
    </xf>
    <xf numFmtId="0" fontId="4" fillId="0" borderId="4" xfId="0" applyNumberFormat="1" applyFont="1" applyBorder="1" applyAlignment="1">
      <alignment horizontal="left" vertical="center" wrapText="1"/>
    </xf>
    <xf numFmtId="2" fontId="7" fillId="0" borderId="3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left"/>
    </xf>
    <xf numFmtId="2" fontId="7" fillId="0" borderId="4" xfId="0" applyNumberFormat="1" applyFont="1" applyBorder="1" applyAlignment="1">
      <alignment horizontal="left"/>
    </xf>
    <xf numFmtId="2" fontId="7" fillId="0" borderId="5" xfId="0" applyNumberFormat="1" applyFont="1" applyBorder="1" applyAlignment="1">
      <alignment horizontal="left"/>
    </xf>
    <xf numFmtId="49" fontId="4" fillId="0" borderId="7" xfId="0" applyNumberFormat="1" applyFont="1" applyBorder="1" applyAlignment="1">
      <alignment horizontal="left"/>
    </xf>
    <xf numFmtId="49" fontId="4" fillId="0" borderId="1" xfId="0" applyNumberFormat="1" applyFont="1" applyBorder="1" applyAlignment="1">
      <alignment horizontal="left"/>
    </xf>
    <xf numFmtId="49" fontId="4" fillId="0" borderId="12" xfId="0" applyNumberFormat="1" applyFont="1" applyBorder="1" applyAlignment="1">
      <alignment horizontal="left"/>
    </xf>
    <xf numFmtId="49" fontId="4" fillId="0" borderId="3" xfId="0" applyNumberFormat="1" applyFont="1" applyBorder="1" applyAlignment="1">
      <alignment horizontal="center" vertical="center"/>
    </xf>
    <xf numFmtId="49" fontId="4" fillId="0" borderId="5" xfId="0" applyNumberFormat="1" applyFont="1" applyBorder="1" applyAlignment="1">
      <alignment horizontal="center" vertical="center"/>
    </xf>
    <xf numFmtId="49" fontId="4" fillId="0" borderId="8" xfId="0" applyNumberFormat="1" applyFont="1" applyBorder="1" applyAlignment="1">
      <alignment horizontal="left" vertical="center"/>
    </xf>
    <xf numFmtId="49" fontId="4" fillId="0" borderId="9" xfId="0" applyNumberFormat="1" applyFont="1" applyBorder="1" applyAlignment="1">
      <alignment horizontal="left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J1"/>
  <sheetViews>
    <sheetView workbookViewId="0"/>
  </sheetViews>
  <sheetFormatPr defaultRowHeight="15" x14ac:dyDescent="0.25"/>
  <sheetData>
    <row r="1" spans="1:36" x14ac:dyDescent="0.25">
      <c r="A1" s="1" t="s">
        <v>15</v>
      </c>
      <c r="B1" s="1" t="s">
        <v>19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  <c r="I1" s="1" t="s">
        <v>26</v>
      </c>
      <c r="J1" s="1" t="s">
        <v>27</v>
      </c>
      <c r="K1" s="1" t="s">
        <v>28</v>
      </c>
      <c r="L1" s="1" t="s">
        <v>29</v>
      </c>
      <c r="M1" s="1" t="s">
        <v>30</v>
      </c>
      <c r="N1" s="1" t="s">
        <v>31</v>
      </c>
      <c r="O1" s="1" t="s">
        <v>32</v>
      </c>
      <c r="P1" s="1" t="s">
        <v>33</v>
      </c>
      <c r="Q1" s="1" t="s">
        <v>34</v>
      </c>
      <c r="R1" s="1" t="s">
        <v>35</v>
      </c>
      <c r="S1" s="1" t="s">
        <v>36</v>
      </c>
      <c r="T1" s="1" t="s">
        <v>37</v>
      </c>
      <c r="U1" s="1" t="s">
        <v>38</v>
      </c>
      <c r="V1" s="1" t="s">
        <v>39</v>
      </c>
      <c r="W1" s="1" t="s">
        <v>40</v>
      </c>
      <c r="X1" s="1" t="s">
        <v>41</v>
      </c>
      <c r="Y1" s="1" t="s">
        <v>42</v>
      </c>
      <c r="Z1" s="1" t="s">
        <v>43</v>
      </c>
      <c r="AA1" s="1" t="s">
        <v>44</v>
      </c>
      <c r="AB1" s="1" t="s">
        <v>45</v>
      </c>
      <c r="AC1" s="1" t="s">
        <v>46</v>
      </c>
      <c r="AD1" s="1" t="s">
        <v>47</v>
      </c>
      <c r="AE1" s="1" t="s">
        <v>48</v>
      </c>
      <c r="AF1" s="1" t="s">
        <v>49</v>
      </c>
      <c r="AG1" s="1" t="s">
        <v>50</v>
      </c>
      <c r="AH1" s="1" t="s">
        <v>51</v>
      </c>
      <c r="AI1" s="1" t="s">
        <v>52</v>
      </c>
      <c r="AJ1" s="1" t="s">
        <v>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11"/>
  <sheetViews>
    <sheetView workbookViewId="0">
      <selection activeCell="C10" sqref="C10"/>
    </sheetView>
  </sheetViews>
  <sheetFormatPr defaultRowHeight="15" x14ac:dyDescent="0.25"/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t="s">
        <v>3</v>
      </c>
      <c r="B2" t="s">
        <v>4</v>
      </c>
      <c r="C2" s="2" t="s">
        <v>5</v>
      </c>
    </row>
    <row r="3" spans="1:3" x14ac:dyDescent="0.25">
      <c r="A3" t="s">
        <v>6</v>
      </c>
      <c r="B3" t="s">
        <v>4</v>
      </c>
      <c r="C3" s="2" t="s">
        <v>7</v>
      </c>
    </row>
    <row r="4" spans="1:3" x14ac:dyDescent="0.25">
      <c r="A4" t="s">
        <v>8</v>
      </c>
      <c r="B4" t="s">
        <v>4</v>
      </c>
      <c r="C4" s="2" t="s">
        <v>9</v>
      </c>
    </row>
    <row r="5" spans="1:3" x14ac:dyDescent="0.25">
      <c r="A5" t="s">
        <v>10</v>
      </c>
      <c r="B5" t="s">
        <v>4</v>
      </c>
      <c r="C5" s="2" t="s">
        <v>11</v>
      </c>
    </row>
    <row r="6" spans="1:3" x14ac:dyDescent="0.25">
      <c r="A6" t="s">
        <v>12</v>
      </c>
      <c r="B6" t="s">
        <v>13</v>
      </c>
      <c r="C6">
        <v>270000</v>
      </c>
    </row>
    <row r="7" spans="1:3" x14ac:dyDescent="0.25">
      <c r="A7" t="s">
        <v>14</v>
      </c>
      <c r="B7" t="s">
        <v>15</v>
      </c>
    </row>
    <row r="8" spans="1:3" x14ac:dyDescent="0.25">
      <c r="A8" t="s">
        <v>16</v>
      </c>
      <c r="B8" t="s">
        <v>15</v>
      </c>
    </row>
    <row r="9" spans="1:3" x14ac:dyDescent="0.25">
      <c r="A9" t="s">
        <v>17</v>
      </c>
      <c r="B9" t="s">
        <v>15</v>
      </c>
    </row>
    <row r="10" spans="1:3" x14ac:dyDescent="0.25">
      <c r="A10" t="s">
        <v>18</v>
      </c>
      <c r="B10" t="s">
        <v>15</v>
      </c>
    </row>
    <row r="11" spans="1:3" x14ac:dyDescent="0.25">
      <c r="A11" t="s">
        <v>91</v>
      </c>
      <c r="B11" t="s">
        <v>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K21"/>
  <sheetViews>
    <sheetView tabSelected="1" zoomScaleNormal="100" workbookViewId="0">
      <selection activeCell="J17" sqref="J17"/>
    </sheetView>
  </sheetViews>
  <sheetFormatPr defaultRowHeight="15" x14ac:dyDescent="0.25"/>
  <cols>
    <col min="1" max="1" width="8.140625" customWidth="1"/>
    <col min="2" max="2" width="7.140625" customWidth="1"/>
    <col min="3" max="3" width="5.7109375" customWidth="1"/>
    <col min="4" max="4" width="7.28515625" customWidth="1"/>
    <col min="5" max="5" width="5.140625" customWidth="1"/>
    <col min="6" max="6" width="9.7109375" customWidth="1"/>
    <col min="7" max="7" width="6.7109375" customWidth="1"/>
    <col min="8" max="8" width="9.7109375" customWidth="1"/>
    <col min="9" max="9" width="7.7109375" customWidth="1"/>
    <col min="10" max="10" width="9.7109375" customWidth="1"/>
    <col min="11" max="11" width="12.7109375" customWidth="1"/>
  </cols>
  <sheetData>
    <row r="1" spans="1:11" ht="16.5" x14ac:dyDescent="0.3">
      <c r="A1" s="69" t="s">
        <v>54</v>
      </c>
      <c r="B1" s="69"/>
      <c r="C1" s="69"/>
      <c r="D1" s="69"/>
      <c r="E1" s="69"/>
      <c r="F1" s="69"/>
      <c r="G1" s="69"/>
      <c r="H1" s="69"/>
      <c r="I1" s="69"/>
      <c r="J1" s="69"/>
      <c r="K1" s="69"/>
    </row>
    <row r="2" spans="1:11" x14ac:dyDescent="0.25">
      <c r="A2" s="70" t="s">
        <v>55</v>
      </c>
      <c r="B2" s="71"/>
      <c r="C2" s="71"/>
      <c r="D2" s="71"/>
      <c r="E2" s="71"/>
      <c r="F2" s="71"/>
      <c r="G2" s="71"/>
      <c r="H2" s="71"/>
      <c r="I2" s="71"/>
      <c r="J2" s="71"/>
      <c r="K2" s="72"/>
    </row>
    <row r="3" spans="1:11" x14ac:dyDescent="0.25">
      <c r="A3" s="3" t="s">
        <v>56</v>
      </c>
      <c r="B3" s="4" t="s">
        <v>57</v>
      </c>
      <c r="C3" s="5"/>
      <c r="D3" s="70" t="s">
        <v>58</v>
      </c>
      <c r="E3" s="71"/>
      <c r="F3" s="71"/>
      <c r="G3" s="71"/>
      <c r="H3" s="7"/>
      <c r="I3" s="7"/>
      <c r="J3" s="6"/>
      <c r="K3" s="8" t="s">
        <v>59</v>
      </c>
    </row>
    <row r="4" spans="1:11" x14ac:dyDescent="0.25">
      <c r="A4" s="44" t="s">
        <v>8</v>
      </c>
      <c r="B4" s="84" t="s">
        <v>6</v>
      </c>
      <c r="C4" s="85"/>
      <c r="D4" s="86" t="s">
        <v>3</v>
      </c>
      <c r="E4" s="87"/>
      <c r="F4" s="87"/>
      <c r="G4" s="87"/>
      <c r="H4" s="87"/>
      <c r="I4" s="87"/>
      <c r="J4" s="9"/>
      <c r="K4" s="45" t="s">
        <v>12</v>
      </c>
    </row>
    <row r="5" spans="1:11" x14ac:dyDescent="0.25">
      <c r="A5" s="60" t="s">
        <v>10</v>
      </c>
      <c r="B5" s="61"/>
      <c r="C5" s="62"/>
      <c r="D5" s="81" t="s">
        <v>91</v>
      </c>
      <c r="E5" s="82"/>
      <c r="F5" s="82"/>
      <c r="G5" s="82"/>
      <c r="H5" s="82"/>
      <c r="I5" s="82"/>
      <c r="J5" s="82"/>
      <c r="K5" s="83"/>
    </row>
    <row r="6" spans="1:11" x14ac:dyDescent="0.25">
      <c r="A6" s="60" t="s">
        <v>60</v>
      </c>
      <c r="B6" s="61"/>
      <c r="C6" s="61"/>
      <c r="D6" s="61"/>
      <c r="E6" s="61"/>
      <c r="F6" s="61"/>
      <c r="G6" s="61"/>
      <c r="H6" s="61"/>
      <c r="I6" s="61"/>
      <c r="J6" s="61"/>
      <c r="K6" s="62"/>
    </row>
    <row r="7" spans="1:11" x14ac:dyDescent="0.25">
      <c r="A7" s="10" t="s">
        <v>61</v>
      </c>
      <c r="B7" s="61" t="s">
        <v>62</v>
      </c>
      <c r="C7" s="61"/>
      <c r="D7" s="61"/>
      <c r="E7" s="61"/>
      <c r="F7" s="61"/>
      <c r="G7" s="61"/>
      <c r="H7" s="61"/>
      <c r="I7" s="61"/>
      <c r="J7" s="14"/>
      <c r="K7" s="15" t="str">
        <f>IFERROR(CONCATENATE("с ",TEXT(GalRepVar_DataN,"ДД.ММ.ГГГГ")," по ",TEXT(GalRepVar_DatOk,"ДД.ММ.ГГГГ")),"")</f>
        <v>с DataN по DatOk</v>
      </c>
    </row>
    <row r="8" spans="1:11" x14ac:dyDescent="0.25">
      <c r="A8" s="11"/>
      <c r="B8" s="16"/>
      <c r="C8" s="46"/>
      <c r="D8" s="46"/>
      <c r="E8" s="16" t="s">
        <v>63</v>
      </c>
      <c r="F8" s="13"/>
      <c r="G8" s="12"/>
      <c r="H8" s="13"/>
      <c r="I8" s="13"/>
      <c r="J8" s="12"/>
      <c r="K8" s="47"/>
    </row>
    <row r="9" spans="1:11" ht="66" customHeight="1" x14ac:dyDescent="0.25">
      <c r="A9" s="48" t="s">
        <v>65</v>
      </c>
      <c r="B9" s="49" t="s">
        <v>83</v>
      </c>
      <c r="C9" s="48" t="s">
        <v>84</v>
      </c>
      <c r="D9" s="49" t="s">
        <v>85</v>
      </c>
      <c r="E9" s="48" t="s">
        <v>86</v>
      </c>
      <c r="F9" s="50" t="s">
        <v>87</v>
      </c>
      <c r="G9" s="48" t="s">
        <v>64</v>
      </c>
      <c r="H9" s="48" t="s">
        <v>88</v>
      </c>
      <c r="I9" s="48" t="s">
        <v>89</v>
      </c>
      <c r="J9" s="48" t="s">
        <v>90</v>
      </c>
      <c r="K9" s="50" t="s">
        <v>66</v>
      </c>
    </row>
    <row r="10" spans="1:11" x14ac:dyDescent="0.25">
      <c r="A10" s="18" t="s">
        <v>19</v>
      </c>
      <c r="B10" s="19" t="s">
        <v>20</v>
      </c>
      <c r="C10" s="19" t="s">
        <v>23</v>
      </c>
      <c r="D10" s="20" t="s">
        <v>44</v>
      </c>
      <c r="E10" s="21" t="s">
        <v>21</v>
      </c>
      <c r="F10" s="21" t="s">
        <v>52</v>
      </c>
      <c r="G10" s="22">
        <v>1</v>
      </c>
      <c r="H10" s="23">
        <v>0</v>
      </c>
      <c r="I10" s="22">
        <v>1</v>
      </c>
      <c r="J10" s="34">
        <f>IFERROR(F10*G10,0)</f>
        <v>0</v>
      </c>
      <c r="K10" s="21" t="s">
        <v>53</v>
      </c>
    </row>
    <row r="11" spans="1:11" x14ac:dyDescent="0.25">
      <c r="A11" s="24" t="s">
        <v>67</v>
      </c>
      <c r="B11" s="25">
        <f>SUM(GalRepTblFld_DaysKlndr)</f>
        <v>0</v>
      </c>
      <c r="C11" s="25">
        <f>SUM(GalRepTblFld_dkWorking)</f>
        <v>0</v>
      </c>
      <c r="D11" s="25">
        <f>SUM(GalRepTblFld_dkCalendarVacation)</f>
        <v>0</v>
      </c>
      <c r="E11" s="26">
        <f>SUM(GalRepTblFld_DaysCoeff)</f>
        <v>0</v>
      </c>
      <c r="F11" s="26">
        <f>SUM(GalRepTblFld_FOT)</f>
        <v>0</v>
      </c>
      <c r="G11" s="27"/>
      <c r="H11" s="26">
        <v>0</v>
      </c>
      <c r="I11" s="27"/>
      <c r="J11" s="26">
        <f>F11</f>
        <v>0</v>
      </c>
      <c r="K11" s="26">
        <f>SUM(GalRepTblFld_Prem)</f>
        <v>0</v>
      </c>
    </row>
    <row r="12" spans="1:11" x14ac:dyDescent="0.25">
      <c r="A12" s="28" t="s">
        <v>68</v>
      </c>
      <c r="B12" s="5"/>
      <c r="C12" s="5"/>
      <c r="D12" s="6"/>
      <c r="E12" s="29"/>
      <c r="F12" s="6"/>
      <c r="G12" s="7"/>
      <c r="H12" s="6"/>
      <c r="I12" s="7"/>
      <c r="J12" s="30"/>
      <c r="K12" s="26">
        <f>IFERROR(C11/B11*K11,0)</f>
        <v>0</v>
      </c>
    </row>
    <row r="13" spans="1:11" x14ac:dyDescent="0.25">
      <c r="A13" s="63" t="s">
        <v>69</v>
      </c>
      <c r="B13" s="64"/>
      <c r="C13" s="64"/>
      <c r="D13" s="65"/>
      <c r="E13" s="14"/>
      <c r="F13" s="15">
        <f>K12+J11</f>
        <v>0</v>
      </c>
      <c r="G13" s="32" t="s">
        <v>70</v>
      </c>
      <c r="H13" s="33"/>
      <c r="I13" s="31"/>
      <c r="J13" s="14"/>
      <c r="K13" s="15">
        <f>IFERROR(F13/E11,0)</f>
        <v>0</v>
      </c>
    </row>
    <row r="15" spans="1:11" ht="16.5" x14ac:dyDescent="0.3">
      <c r="A15" s="66" t="s">
        <v>62</v>
      </c>
      <c r="B15" s="67"/>
      <c r="C15" s="67"/>
      <c r="D15" s="67"/>
      <c r="E15" s="67"/>
      <c r="F15" s="67"/>
      <c r="G15" s="67"/>
      <c r="H15" s="67"/>
      <c r="I15" s="67"/>
      <c r="J15" s="67"/>
      <c r="K15" s="68"/>
    </row>
    <row r="16" spans="1:11" x14ac:dyDescent="0.25">
      <c r="A16" s="35" t="s">
        <v>71</v>
      </c>
      <c r="B16" s="36"/>
      <c r="C16" s="36"/>
      <c r="D16" s="37"/>
      <c r="E16" s="38"/>
      <c r="F16" s="39"/>
      <c r="G16" s="40" t="s">
        <v>72</v>
      </c>
      <c r="H16" s="41" t="s">
        <v>73</v>
      </c>
      <c r="I16" s="17" t="s">
        <v>74</v>
      </c>
      <c r="J16" s="40" t="s">
        <v>75</v>
      </c>
      <c r="K16" s="40" t="s">
        <v>76</v>
      </c>
    </row>
    <row r="17" spans="1:11" ht="28.5" customHeight="1" x14ac:dyDescent="0.25">
      <c r="A17" s="73" t="s">
        <v>62</v>
      </c>
      <c r="B17" s="74"/>
      <c r="C17" s="74"/>
      <c r="D17" s="74"/>
      <c r="E17" s="74"/>
      <c r="F17" s="42">
        <v>111</v>
      </c>
      <c r="G17" s="43" t="s">
        <v>77</v>
      </c>
      <c r="H17" s="51" t="s">
        <v>14</v>
      </c>
      <c r="I17" s="51" t="s">
        <v>16</v>
      </c>
      <c r="J17" s="43" t="s">
        <v>92</v>
      </c>
      <c r="K17" s="43" t="s">
        <v>18</v>
      </c>
    </row>
    <row r="18" spans="1:11" x14ac:dyDescent="0.25">
      <c r="A18" s="75" t="str">
        <f>CONCATENATE("Общие сведения по больничному ",$K$7)</f>
        <v>Общие сведения по больничному с DataN по DatOk</v>
      </c>
      <c r="B18" s="76"/>
      <c r="C18" s="76"/>
      <c r="D18" s="76"/>
      <c r="E18" s="76"/>
      <c r="F18" s="76"/>
      <c r="G18" s="76"/>
      <c r="H18" s="76"/>
      <c r="I18" s="76"/>
      <c r="J18" s="77"/>
      <c r="K18" s="21"/>
    </row>
    <row r="19" spans="1:11" x14ac:dyDescent="0.25">
      <c r="A19" s="78" t="s">
        <v>78</v>
      </c>
      <c r="B19" s="79"/>
      <c r="C19" s="79"/>
      <c r="D19" s="79"/>
      <c r="E19" s="79"/>
      <c r="F19" s="80"/>
      <c r="G19" s="21" t="s">
        <v>79</v>
      </c>
      <c r="H19" s="22" t="s">
        <v>80</v>
      </c>
      <c r="I19" s="22" t="s">
        <v>72</v>
      </c>
      <c r="J19" s="21" t="s">
        <v>81</v>
      </c>
      <c r="K19" s="21" t="s">
        <v>76</v>
      </c>
    </row>
    <row r="20" spans="1:11" ht="29.25" customHeight="1" x14ac:dyDescent="0.25">
      <c r="A20" s="57" t="s">
        <v>62</v>
      </c>
      <c r="B20" s="58"/>
      <c r="C20" s="58"/>
      <c r="D20" s="58"/>
      <c r="E20" s="58"/>
      <c r="F20" s="59"/>
      <c r="G20" s="43" t="str">
        <f>GalRepVar_KolDn</f>
        <v>KolDn</v>
      </c>
      <c r="H20" s="52">
        <v>100</v>
      </c>
      <c r="I20" s="52" t="s">
        <v>77</v>
      </c>
      <c r="J20" s="43">
        <f>K13</f>
        <v>0</v>
      </c>
      <c r="K20" s="43" t="str">
        <f>GalRepVar_Summa</f>
        <v>Summa</v>
      </c>
    </row>
    <row r="21" spans="1:11" x14ac:dyDescent="0.25">
      <c r="A21" s="10" t="s">
        <v>82</v>
      </c>
      <c r="B21" s="53"/>
      <c r="C21" s="53"/>
      <c r="D21" s="54"/>
      <c r="E21" s="14"/>
      <c r="F21" s="33"/>
      <c r="G21" s="55"/>
      <c r="H21" s="56"/>
      <c r="I21" s="56"/>
      <c r="J21" s="55"/>
      <c r="K21" s="55" t="str">
        <f>K20</f>
        <v>Summa</v>
      </c>
    </row>
  </sheetData>
  <mergeCells count="15">
    <mergeCell ref="A1:K1"/>
    <mergeCell ref="A2:K2"/>
    <mergeCell ref="A17:E17"/>
    <mergeCell ref="A18:J18"/>
    <mergeCell ref="A19:F19"/>
    <mergeCell ref="D5:K5"/>
    <mergeCell ref="A5:C5"/>
    <mergeCell ref="B4:C4"/>
    <mergeCell ref="D3:G3"/>
    <mergeCell ref="D4:I4"/>
    <mergeCell ref="A20:F20"/>
    <mergeCell ref="A6:K6"/>
    <mergeCell ref="B7:I7"/>
    <mergeCell ref="A13:D13"/>
    <mergeCell ref="A15:K15"/>
  </mergeCells>
  <pageMargins left="0.7" right="0.7" top="0.75" bottom="0.75" header="0.3" footer="0.3"/>
  <pageSetup paperSize="9" scale="97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65</vt:i4>
      </vt:variant>
    </vt:vector>
  </HeadingPairs>
  <TitlesOfParts>
    <vt:vector size="68" baseType="lpstr">
      <vt:lpstr>Gal_TblSheet</vt:lpstr>
      <vt:lpstr>Gal_VarSheet</vt:lpstr>
      <vt:lpstr>Отчет</vt:lpstr>
      <vt:lpstr>Gal_TblSheet!GalDBTbl_Main</vt:lpstr>
      <vt:lpstr>Gal_TblSheet!GalDBTblFld_Date</vt:lpstr>
      <vt:lpstr>Gal_TblSheet!GalDBTblFld_DateStr</vt:lpstr>
      <vt:lpstr>Gal_TblSheet!GalDBTblFld_DaysCoeff</vt:lpstr>
      <vt:lpstr>Gal_TblSheet!GalDBTblFld_DaysKlndr</vt:lpstr>
      <vt:lpstr>Gal_TblSheet!GalDBTblFld_dkAdvanceable</vt:lpstr>
      <vt:lpstr>Gal_TblSheet!GalDBTblFld_dkAppearance</vt:lpstr>
      <vt:lpstr>Gal_TblSheet!GalDBTblFld_dkCalendarVacation</vt:lpstr>
      <vt:lpstr>Gal_TblSheet!GalDBTblFld_dkCalendarWorking</vt:lpstr>
      <vt:lpstr>Gal_TblSheet!GalDBTblFld_dkEnabled</vt:lpstr>
      <vt:lpstr>Gal_TblSheet!GalDBTblFld_dkEvening</vt:lpstr>
      <vt:lpstr>Gal_TblSheet!GalDBTblFld_dkHarmfulConditions</vt:lpstr>
      <vt:lpstr>Gal_TblSheet!GalDBTblFld_dkHoliday</vt:lpstr>
      <vt:lpstr>Gal_TblSheet!GalDBTblFld_dkICHarmful</vt:lpstr>
      <vt:lpstr>Gal_TblSheet!GalDBTblFld_dkICOrdinary</vt:lpstr>
      <vt:lpstr>Gal_TblSheet!GalDBTblFld_dkNight</vt:lpstr>
      <vt:lpstr>Gal_TblSheet!GalDBTblFld_dkOrderedOvertimeWork</vt:lpstr>
      <vt:lpstr>Gal_TblSheet!GalDBTblFld_dkOrderedOvertimeWorkForLeave</vt:lpstr>
      <vt:lpstr>Gal_TblSheet!GalDBTblFld_dkOrderedWeekendWork</vt:lpstr>
      <vt:lpstr>Gal_TblSheet!GalDBTblFld_dkOrderedWeekendWorkForLeave</vt:lpstr>
      <vt:lpstr>Gal_TblSheet!GalDBTblFld_dkOverWork</vt:lpstr>
      <vt:lpstr>Gal_TblSheet!GalDBTblFld_dkOverworkRest</vt:lpstr>
      <vt:lpstr>Gal_TblSheet!GalDBTblFld_dkPaid</vt:lpstr>
      <vt:lpstr>Gal_TblSheet!GalDBTblFld_dkPaidOrderedWeekendWork</vt:lpstr>
      <vt:lpstr>Gal_TblSheet!GalDBTblFld_dkSpecial</vt:lpstr>
      <vt:lpstr>Gal_TblSheet!GalDBTblFld_dkTimeForSickListEnteringKind</vt:lpstr>
      <vt:lpstr>Gal_TblSheet!GalDBTblFld_dkWeekEnd</vt:lpstr>
      <vt:lpstr>Gal_TblSheet!GalDBTblFld_dkWeekendHoliday</vt:lpstr>
      <vt:lpstr>Gal_TblSheet!GalDBTblFld_dkWholeWorking</vt:lpstr>
      <vt:lpstr>Gal_TblSheet!GalDBTblFld_dkWorking</vt:lpstr>
      <vt:lpstr>Gal_TblSheet!GalDBTblFld_dkWorkingForAvgEarnings</vt:lpstr>
      <vt:lpstr>Gal_TblSheet!GalDBTblFld_dkWorkingHoliday</vt:lpstr>
      <vt:lpstr>Gal_TblSheet!GalDBTblFld_dkWorkingWeekend</vt:lpstr>
      <vt:lpstr>Gal_TblSheet!GalDBTblFld_dkWorkingWeekendHoliday</vt:lpstr>
      <vt:lpstr>Gal_TblSheet!GalDBTblFld_dkWorkingWorkingHoliday</vt:lpstr>
      <vt:lpstr>Gal_TblSheet!GalDBTblFld_FOT</vt:lpstr>
      <vt:lpstr>Gal_TblSheet!GalDBTblFld_Prem</vt:lpstr>
      <vt:lpstr>Gal_VarSheet!GalDBVar_ChasF</vt:lpstr>
      <vt:lpstr>Gal_VarSheet!GalDBVar_DataN</vt:lpstr>
      <vt:lpstr>Gal_VarSheet!GalDBVar_DatOk</vt:lpstr>
      <vt:lpstr>Gal_VarSheet!GalDBVar_FIO</vt:lpstr>
      <vt:lpstr>Gal_VarSheet!GalDBVar_PodrKod</vt:lpstr>
      <vt:lpstr>Gal_VarSheet!GalDBVar_PodrName</vt:lpstr>
      <vt:lpstr>Gal_VarSheet!GalDBVar_Post</vt:lpstr>
      <vt:lpstr>Gal_VarSheet!GalDBVar_StrTabN</vt:lpstr>
      <vt:lpstr>Gal_VarSheet!GalDBVar_Summa</vt:lpstr>
      <vt:lpstr>Gal_VarSheet!GalDBVar_Tarif</vt:lpstr>
      <vt:lpstr>Отчет!GalRepTbl_Main</vt:lpstr>
      <vt:lpstr>Отчет!GalRepTblFld_DateStr</vt:lpstr>
      <vt:lpstr>Отчет!GalRepTblFld_DaysCoeff</vt:lpstr>
      <vt:lpstr>Отчет!GalRepTblFld_DaysKlndr</vt:lpstr>
      <vt:lpstr>Отчет!GalRepTblFld_dkCalendarVacation</vt:lpstr>
      <vt:lpstr>Отчет!GalRepTblFld_dkWorking</vt:lpstr>
      <vt:lpstr>Отчет!GalRepTblFld_FOT</vt:lpstr>
      <vt:lpstr>Отчет!GalRepTblFld_Prem</vt:lpstr>
      <vt:lpstr>Отчет!GalRepVar_DataN</vt:lpstr>
      <vt:lpstr>Отчет!GalRepVar_DatOk</vt:lpstr>
      <vt:lpstr>Отчет!GalRepVar_FIO</vt:lpstr>
      <vt:lpstr>Отчет!GalRepVar_KolDn</vt:lpstr>
      <vt:lpstr>Отчет!GalRepVar_PodrKod</vt:lpstr>
      <vt:lpstr>Отчет!GalRepVar_PodrName</vt:lpstr>
      <vt:lpstr>Отчет!GalRepVar_Post</vt:lpstr>
      <vt:lpstr>Отчет!GalRepVar_StrTabN</vt:lpstr>
      <vt:lpstr>Отчет!GalRepVar_Summa</vt:lpstr>
      <vt:lpstr>Отчет!GalRepVar_Tarif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Евдокимов Максим Андреевич</dc:creator>
  <cp:lastModifiedBy>Евдокимов Максим Андреевич</cp:lastModifiedBy>
  <dcterms:created xsi:type="dcterms:W3CDTF">2018-10-18T12:58:19Z</dcterms:created>
  <dcterms:modified xsi:type="dcterms:W3CDTF">2018-10-18T14:38:50Z</dcterms:modified>
</cp:coreProperties>
</file>