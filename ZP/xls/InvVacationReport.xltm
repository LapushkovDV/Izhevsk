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gal\gal\exe\XLS_ЭМ\ZP\"/>
    </mc:Choice>
  </mc:AlternateContent>
  <bookViews>
    <workbookView xWindow="0" yWindow="0" windowWidth="28800" windowHeight="12300" firstSheet="1" activeTab="3"/>
  </bookViews>
  <sheets>
    <sheet name="Модуль1" sheetId="2" state="veryHidden" r:id=""/>
    <sheet name="Gal_TblSheet" sheetId="5" r:id="rId1"/>
    <sheet name="Gal_VarSheet" sheetId="4" r:id="rId2"/>
    <sheet name="Отчет" sheetId="3" r:id="rId3"/>
  </sheets>
  <functionGroups builtInGroupCount="18"/>
  <definedNames>
    <definedName name="GalDBTbl_Main" localSheetId="1">Gal_TblSheet!$A$1:$S$1</definedName>
    <definedName name="GalDBTblFld_DeltaFot" localSheetId="1">Gal_TblSheet!$N$1</definedName>
    <definedName name="GalDBTblFld_DeltaNal" localSheetId="1">Gal_TblSheet!$O$1</definedName>
    <definedName name="GalDBTblFld_DepCode" localSheetId="1">Gal_TblSheet!$C$1</definedName>
    <definedName name="GalDBTblFld_FIO" localSheetId="1">Gal_TblSheet!$B$1</definedName>
    <definedName name="GalDBTblFld_NeIspDnOtp" localSheetId="1">Gal_TblSheet!$S$1</definedName>
    <definedName name="GalDBTblFld_OtpFot" localSheetId="1">Gal_TblSheet!$L$1</definedName>
    <definedName name="GalDBTblFld_OtpNal" localSheetId="1">Gal_TblSheet!$M$1</definedName>
    <definedName name="GalDBTblFld_ReservFot" localSheetId="1">Gal_TblSheet!$J$1</definedName>
    <definedName name="GalDBTblFld_ReservNal" localSheetId="1">Gal_TblSheet!$K$1</definedName>
    <definedName name="GalDBTblFld_RSaldFot" localSheetId="1">Gal_TblSheet!$Q$1</definedName>
    <definedName name="GalDBTblFld_RSaldNal" localSheetId="1">Gal_TblSheet!$R$1</definedName>
    <definedName name="GalDBTblFld_SaldFot" localSheetId="1">Gal_TblSheet!$D$1</definedName>
    <definedName name="GalDBTblFld_SaldFotD" localSheetId="1">Gal_TblSheet!$E$1</definedName>
    <definedName name="GalDBTblFld_SaldFotK" localSheetId="1">Gal_TblSheet!$F$1</definedName>
    <definedName name="GalDBTblFld_SaldNal" localSheetId="1">Gal_TblSheet!$G$1</definedName>
    <definedName name="GalDBTblFld_SaldNalD" localSheetId="1">Gal_TblSheet!$H$1</definedName>
    <definedName name="GalDBTblFld_SaldNalK" localSheetId="1">Gal_TblSheet!$I$1</definedName>
    <definedName name="GalDBTblFld_SrDnZp" localSheetId="1">Gal_TblSheet!$P$1</definedName>
    <definedName name="GalDBTblFld_StrTabN" localSheetId="1">Gal_TblSheet!$A$1</definedName>
    <definedName name="GalDBVar_dBeg" localSheetId="2">Gal_VarSheet!$C$2</definedName>
    <definedName name="GalDBVar_dEnd" localSheetId="2">Gal_VarSheet!$C$3</definedName>
    <definedName name="GalDBVar_wYear" localSheetId="2">Gal_VarSheet!$C$4</definedName>
    <definedName name="GalRepTbl_Main" localSheetId="3">Отчет!$A$8:$R$8</definedName>
    <definedName name="GalRepTblFld_DeltaFot" localSheetId="3">Отчет!$P$8</definedName>
    <definedName name="GalRepTblFld_DeltaNal" localSheetId="3">Отчет!$R$8</definedName>
    <definedName name="GalRepTblFld_DepCode" localSheetId="3">Отчет!$A$8</definedName>
    <definedName name="GalRepTblFld_FIO" localSheetId="3">Отчет!$B$8</definedName>
    <definedName name="GalRepTblFld_NeIspDnOtp" localSheetId="3">Отчет!$L$8</definedName>
    <definedName name="GalRepTblFld_OtpFot" localSheetId="3">Отчет!$I$8</definedName>
    <definedName name="GalRepTblFld_OtpNal" localSheetId="3">Отчет!$J$8</definedName>
    <definedName name="GalRepTblFld_ReservFot" localSheetId="3">Отчет!$G$8</definedName>
    <definedName name="GalRepTblFld_ReservNal" localSheetId="3">Отчет!$H$8</definedName>
    <definedName name="GalRepTblFld_RSaldFot" localSheetId="3">Отчет!$M$8</definedName>
    <definedName name="GalRepTblFld_RSaldNal" localSheetId="3">Отчет!$N$8</definedName>
    <definedName name="GalRepTblFld_SaldFotD" localSheetId="3">Отчет!$C$8</definedName>
    <definedName name="GalRepTblFld_SaldFotK" localSheetId="3">Отчет!$D$8</definedName>
    <definedName name="GalRepTblFld_SaldNalD" localSheetId="3">Отчет!$E$8</definedName>
    <definedName name="GalRepTblFld_SaldNalK" localSheetId="3">Отчет!$F$8</definedName>
    <definedName name="GalRepTblFld_SrDnZp" localSheetId="3">Отчет!$K$8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9" i="3" l="1"/>
  <c r="P9" i="3"/>
  <c r="N9" i="3"/>
  <c r="M9" i="3"/>
  <c r="L9" i="3"/>
  <c r="J9" i="3"/>
  <c r="I9" i="3"/>
  <c r="H9" i="3"/>
  <c r="G9" i="3"/>
  <c r="F9" i="3"/>
  <c r="E9" i="3"/>
  <c r="D9" i="3"/>
  <c r="C9" i="3"/>
  <c r="A3" i="3" l="1"/>
</calcChain>
</file>

<file path=xl/sharedStrings.xml><?xml version="1.0" encoding="utf-8"?>
<sst xmlns="http://schemas.openxmlformats.org/spreadsheetml/2006/main" count="73" uniqueCount="42">
  <si>
    <t>Переменная</t>
  </si>
  <si>
    <t>Тип</t>
  </si>
  <si>
    <t>Значение</t>
  </si>
  <si>
    <t>dBeg</t>
  </si>
  <si>
    <t>Date</t>
  </si>
  <si>
    <t>dEnd</t>
  </si>
  <si>
    <t>wYear</t>
  </si>
  <si>
    <t>Number</t>
  </si>
  <si>
    <t>StrTabN</t>
  </si>
  <si>
    <t>FIO</t>
  </si>
  <si>
    <t>DepCode</t>
  </si>
  <si>
    <t>SaldFot</t>
  </si>
  <si>
    <t>SaldNal</t>
  </si>
  <si>
    <t>ReservFot</t>
  </si>
  <si>
    <t>ReservNal</t>
  </si>
  <si>
    <t>OtpFot</t>
  </si>
  <si>
    <t>OtpNal</t>
  </si>
  <si>
    <t>DeltaFot</t>
  </si>
  <si>
    <t>DeltaNal</t>
  </si>
  <si>
    <t>SrDnZp</t>
  </si>
  <si>
    <t>NeIspDnOtp</t>
  </si>
  <si>
    <t>АО "НПО ЭНЕРГОМАШ"</t>
  </si>
  <si>
    <t>ПОДРАЗДЕЛЕНИЕ</t>
  </si>
  <si>
    <t>ФИО</t>
  </si>
  <si>
    <t>САЛЬДО НА НАЧАЛО</t>
  </si>
  <si>
    <t>НАЧИСЛЕН РЕЗЕРВ (НОРМАТИВ)</t>
  </si>
  <si>
    <t xml:space="preserve"> ФАКТИЧЕСКИЙ ОТПУСК</t>
  </si>
  <si>
    <t>СРЕДНЕ-ДНЕВНОЙ ЗАР.</t>
  </si>
  <si>
    <t>НЕИСП. ДНИ ОТПУСКА</t>
  </si>
  <si>
    <t xml:space="preserve">РАСЧЕТ РЕЗЕРВА </t>
  </si>
  <si>
    <t>КОРРЕКТИРОВКА РЕЗЕРВА</t>
  </si>
  <si>
    <t>ФОТ</t>
  </si>
  <si>
    <t>НАЛОГИ</t>
  </si>
  <si>
    <t>ДЕБЕТ</t>
  </si>
  <si>
    <t>КРЕДИТ</t>
  </si>
  <si>
    <t>SaldFotD</t>
  </si>
  <si>
    <t>SaldFotK</t>
  </si>
  <si>
    <t>SaldNalD</t>
  </si>
  <si>
    <t>SaldNalK</t>
  </si>
  <si>
    <t>RSaldFot</t>
  </si>
  <si>
    <t>RSaldNal</t>
  </si>
  <si>
    <t>ИТОГО: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</si>
</sst>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1" xfId="0" applyBorder="1" applyAlignment="1">
      <alignment wrapText="1"/>
    </xf>
    <xf numFmtId="4" fontId="0" fillId="0" borderId="1" xfId="0" applyNumberFormat="1" applyBorder="1"/>
    <xf numFmtId="164" fontId="0" fillId="0" borderId="1" xfId="0" applyNumberFormat="1" applyBorder="1"/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left"/>
    </xf>
    <xf numFmtId="0" fontId="0" fillId="0" borderId="2" xfId="0" applyFon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1" xfId="0" applyBorder="1" applyAlignment="1">
      <alignment wrapText="1"/>
    </xf>
    <xf numFmtId="0" fontId="0" fillId="0" borderId="3" xfId="0" applyFont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Font="1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1"/>
  <sheetViews>
    <sheetView workbookViewId="0"/>
  </sheetViews>
  <sheetFormatPr defaultRowHeight="15" x14ac:dyDescent="0.25"/>
  <cols>
    <col min="10" max="10" width="9.85546875" bestFit="1" customWidth="1"/>
  </cols>
  <sheetData>
    <row r="1" spans="1:19" x14ac:dyDescent="0.25">
      <c r="A1" s="1" t="s">
        <v>8</v>
      </c>
      <c r="B1" s="1" t="s">
        <v>9</v>
      </c>
      <c r="C1" s="1" t="s">
        <v>10</v>
      </c>
      <c r="D1" s="1" t="s">
        <v>11</v>
      </c>
      <c r="E1" s="1" t="s">
        <v>35</v>
      </c>
      <c r="F1" s="1" t="s">
        <v>36</v>
      </c>
      <c r="G1" s="1" t="s">
        <v>12</v>
      </c>
      <c r="H1" s="1" t="s">
        <v>37</v>
      </c>
      <c r="I1" s="1" t="s">
        <v>38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  <c r="Q1" s="1" t="s">
        <v>39</v>
      </c>
      <c r="R1" s="1" t="s">
        <v>40</v>
      </c>
      <c r="S1" s="1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4"/>
  <sheetViews>
    <sheetView workbookViewId="0">
      <selection activeCell="F39" sqref="F39"/>
    </sheetView>
  </sheetViews>
  <sheetFormatPr defaultRowHeight="15" x14ac:dyDescent="0.25"/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3</v>
      </c>
      <c r="B2" t="s">
        <v>4</v>
      </c>
      <c r="C2" s="2">
        <v>43101</v>
      </c>
    </row>
    <row r="3" spans="1:3" x14ac:dyDescent="0.25">
      <c r="A3" t="s">
        <v>5</v>
      </c>
      <c r="B3" t="s">
        <v>4</v>
      </c>
      <c r="C3" s="2">
        <v>43465</v>
      </c>
    </row>
    <row r="4" spans="1:3" x14ac:dyDescent="0.25">
      <c r="A4" t="s">
        <v>6</v>
      </c>
      <c r="B4" t="s">
        <v>7</v>
      </c>
      <c r="C4">
        <v>2018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R9"/>
  <sheetViews>
    <sheetView tabSelected="1" workbookViewId="0">
      <selection activeCell="A3" sqref="A3:R3"/>
    </sheetView>
  </sheetViews>
  <sheetFormatPr defaultRowHeight="15" x14ac:dyDescent="0.25"/>
  <cols>
    <col min="1" max="1" width="9.5703125" customWidth="1"/>
    <col min="2" max="2" width="17.28515625" customWidth="1"/>
    <col min="3" max="3" width="10.85546875" customWidth="1"/>
    <col min="7" max="8" width="10.140625" customWidth="1"/>
    <col min="9" max="9" width="10" customWidth="1"/>
    <col min="10" max="10" width="10.140625" customWidth="1"/>
    <col min="11" max="11" width="10.5703125" customWidth="1"/>
    <col min="12" max="12" width="9.140625" customWidth="1"/>
  </cols>
  <sheetData>
    <row r="1" spans="1:18" x14ac:dyDescent="0.25">
      <c r="A1" s="14" t="s">
        <v>21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3" spans="1:18" x14ac:dyDescent="0.25">
      <c r="A3" s="13" t="str">
        <f>CONCATENATE("РАСЧЕТ И КОРРЕКТИРОВКА РЕЗЕРВА ПО ОТПУСКАМ РАБОТНИКОВ ПО СОСТОЯНИЮ НА ",TEXT(Gal_VarSheet!C3,"ДД.ММ.ГГГГ")," г.")</f>
        <v>РАСЧЕТ И КОРРЕКТИРОВКА РЕЗЕРВА ПО ОТПУСКАМ РАБОТНИКОВ ПО СОСТОЯНИЮ НА 31.12.2018 г.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</row>
    <row r="5" spans="1:18" x14ac:dyDescent="0.25">
      <c r="A5" s="10" t="s">
        <v>22</v>
      </c>
      <c r="B5" s="12" t="s">
        <v>23</v>
      </c>
      <c r="C5" s="15" t="s">
        <v>24</v>
      </c>
      <c r="D5" s="15"/>
      <c r="E5" s="15"/>
      <c r="F5" s="15"/>
      <c r="G5" s="8" t="s">
        <v>25</v>
      </c>
      <c r="H5" s="9"/>
      <c r="I5" s="8" t="s">
        <v>26</v>
      </c>
      <c r="J5" s="9"/>
      <c r="K5" s="10" t="s">
        <v>27</v>
      </c>
      <c r="L5" s="10" t="s">
        <v>28</v>
      </c>
      <c r="M5" s="8" t="s">
        <v>29</v>
      </c>
      <c r="N5" s="11"/>
      <c r="O5" s="15" t="s">
        <v>30</v>
      </c>
      <c r="P5" s="15"/>
      <c r="Q5" s="15"/>
      <c r="R5" s="15"/>
    </row>
    <row r="6" spans="1:18" x14ac:dyDescent="0.25">
      <c r="A6" s="10"/>
      <c r="B6" s="12"/>
      <c r="C6" s="12" t="s">
        <v>31</v>
      </c>
      <c r="D6" s="12"/>
      <c r="E6" s="12" t="s">
        <v>32</v>
      </c>
      <c r="F6" s="12"/>
      <c r="G6" s="12" t="s">
        <v>31</v>
      </c>
      <c r="H6" s="12" t="s">
        <v>32</v>
      </c>
      <c r="I6" s="12" t="s">
        <v>31</v>
      </c>
      <c r="J6" s="12" t="s">
        <v>32</v>
      </c>
      <c r="K6" s="10"/>
      <c r="L6" s="10"/>
      <c r="M6" s="16" t="s">
        <v>31</v>
      </c>
      <c r="N6" s="16" t="s">
        <v>32</v>
      </c>
      <c r="O6" s="12" t="s">
        <v>31</v>
      </c>
      <c r="P6" s="12"/>
      <c r="Q6" s="12" t="s">
        <v>32</v>
      </c>
      <c r="R6" s="12"/>
    </row>
    <row r="7" spans="1:18" x14ac:dyDescent="0.25">
      <c r="A7" s="10"/>
      <c r="B7" s="12"/>
      <c r="C7" s="3" t="s">
        <v>33</v>
      </c>
      <c r="D7" s="3" t="s">
        <v>34</v>
      </c>
      <c r="E7" s="3" t="s">
        <v>33</v>
      </c>
      <c r="F7" s="3" t="s">
        <v>34</v>
      </c>
      <c r="G7" s="10"/>
      <c r="H7" s="10"/>
      <c r="I7" s="10"/>
      <c r="J7" s="10"/>
      <c r="K7" s="10"/>
      <c r="L7" s="10"/>
      <c r="M7" s="17"/>
      <c r="N7" s="17"/>
      <c r="O7" s="3" t="s">
        <v>33</v>
      </c>
      <c r="P7" s="3" t="s">
        <v>34</v>
      </c>
      <c r="Q7" s="3" t="s">
        <v>33</v>
      </c>
      <c r="R7" s="3" t="s">
        <v>34</v>
      </c>
    </row>
    <row r="8" spans="1:18" x14ac:dyDescent="0.25">
      <c r="A8" s="6" t="s">
        <v>10</v>
      </c>
      <c r="B8" s="7" t="s">
        <v>9</v>
      </c>
      <c r="C8" s="4" t="s">
        <v>35</v>
      </c>
      <c r="D8" s="4" t="s">
        <v>36</v>
      </c>
      <c r="E8" s="4" t="s">
        <v>37</v>
      </c>
      <c r="F8" s="4" t="s">
        <v>38</v>
      </c>
      <c r="G8" s="4" t="s">
        <v>13</v>
      </c>
      <c r="H8" s="4" t="s">
        <v>14</v>
      </c>
      <c r="I8" s="4" t="s">
        <v>15</v>
      </c>
      <c r="J8" s="4" t="s">
        <v>16</v>
      </c>
      <c r="K8" s="4" t="s">
        <v>19</v>
      </c>
      <c r="L8" s="5" t="s">
        <v>20</v>
      </c>
      <c r="M8" s="4" t="s">
        <v>39</v>
      </c>
      <c r="N8" s="4" t="s">
        <v>40</v>
      </c>
      <c r="O8" s="4">
        <v>0</v>
      </c>
      <c r="P8" s="4" t="s">
        <v>17</v>
      </c>
      <c r="Q8" s="4">
        <v>0</v>
      </c>
      <c r="R8" s="4" t="s">
        <v>18</v>
      </c>
    </row>
    <row r="9" spans="1:18" x14ac:dyDescent="0.25">
      <c r="A9" s="18" t="s">
        <v>41</v>
      </c>
      <c r="B9" s="19"/>
      <c r="C9" s="4">
        <f>SUM(GalRepTblFld_SaldFotD)</f>
        <v>0</v>
      </c>
      <c r="D9" s="4">
        <f>SUM(GalRepTblFld_SaldFotK)</f>
        <v>0</v>
      </c>
      <c r="E9" s="4">
        <f>SUM(GalRepTblFld_SaldNalD)</f>
        <v>0</v>
      </c>
      <c r="F9" s="4">
        <f>SUM(GalRepTblFld_SaldNalK)</f>
        <v>0</v>
      </c>
      <c r="G9" s="4">
        <f>SUM(GalRepTblFld_ReservFot)</f>
        <v>0</v>
      </c>
      <c r="H9" s="4">
        <f>SUM(GalRepTblFld_ReservNal)</f>
        <v>0</v>
      </c>
      <c r="I9" s="4">
        <f>SUM(GalRepTblFld_OtpFot)</f>
        <v>0</v>
      </c>
      <c r="J9" s="4">
        <f>SUM(GalRepTblFld_OtpNal)</f>
        <v>0</v>
      </c>
      <c r="K9" s="4"/>
      <c r="L9" s="5">
        <f>SUM(GalRepTblFld_NeIspDnOtp)</f>
        <v>0</v>
      </c>
      <c r="M9" s="4">
        <f>SUM(GalRepTblFld_RSaldFot)</f>
        <v>0</v>
      </c>
      <c r="N9" s="4">
        <f>SUM(GalRepTblFld_RSaldNal)</f>
        <v>0</v>
      </c>
      <c r="O9" s="4">
        <v>0</v>
      </c>
      <c r="P9" s="4">
        <f>SUM(GalRepTblFld_DeltaFot)</f>
        <v>0</v>
      </c>
      <c r="Q9" s="4">
        <v>0</v>
      </c>
      <c r="R9" s="4">
        <f>SUM(GalRepTblFld_DeltaNal)</f>
        <v>0</v>
      </c>
    </row>
  </sheetData>
  <mergeCells count="22">
    <mergeCell ref="A9:B9"/>
    <mergeCell ref="Q6:R6"/>
    <mergeCell ref="A3:R3"/>
    <mergeCell ref="A1:R1"/>
    <mergeCell ref="O5:R5"/>
    <mergeCell ref="C6:D6"/>
    <mergeCell ref="E6:F6"/>
    <mergeCell ref="G6:G7"/>
    <mergeCell ref="H6:H7"/>
    <mergeCell ref="I6:I7"/>
    <mergeCell ref="J6:J7"/>
    <mergeCell ref="M6:M7"/>
    <mergeCell ref="N6:N7"/>
    <mergeCell ref="O6:P6"/>
    <mergeCell ref="A5:A7"/>
    <mergeCell ref="B5:B7"/>
    <mergeCell ref="C5:F5"/>
    <mergeCell ref="G5:H5"/>
    <mergeCell ref="I5:J5"/>
    <mergeCell ref="K5:K7"/>
    <mergeCell ref="L5:L7"/>
    <mergeCell ref="M5:N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40</vt:i4>
      </vt:variant>
    </vt:vector>
  </HeadingPairs>
  <TitlesOfParts>
    <vt:vector size="43" baseType="lpstr">
      <vt:lpstr>Gal_TblSheet</vt:lpstr>
      <vt:lpstr>Gal_VarSheet</vt:lpstr>
      <vt:lpstr>Отчет</vt:lpstr>
      <vt:lpstr>Gal_TblSheet!GalDBTbl_Main</vt:lpstr>
      <vt:lpstr>Gal_TblSheet!GalDBTblFld_DeltaFot</vt:lpstr>
      <vt:lpstr>Gal_TblSheet!GalDBTblFld_DeltaNal</vt:lpstr>
      <vt:lpstr>Gal_TblSheet!GalDBTblFld_DepCode</vt:lpstr>
      <vt:lpstr>Gal_TblSheet!GalDBTblFld_FIO</vt:lpstr>
      <vt:lpstr>Gal_TblSheet!GalDBTblFld_NeIspDnOtp</vt:lpstr>
      <vt:lpstr>Gal_TblSheet!GalDBTblFld_OtpFot</vt:lpstr>
      <vt:lpstr>Gal_TblSheet!GalDBTblFld_OtpNal</vt:lpstr>
      <vt:lpstr>Gal_TblSheet!GalDBTblFld_ReservFot</vt:lpstr>
      <vt:lpstr>Gal_TblSheet!GalDBTblFld_ReservNal</vt:lpstr>
      <vt:lpstr>Gal_TblSheet!GalDBTblFld_RSaldFot</vt:lpstr>
      <vt:lpstr>Gal_TblSheet!GalDBTblFld_RSaldNal</vt:lpstr>
      <vt:lpstr>Gal_TblSheet!GalDBTblFld_SaldFot</vt:lpstr>
      <vt:lpstr>Gal_TblSheet!GalDBTblFld_SaldFotD</vt:lpstr>
      <vt:lpstr>Gal_TblSheet!GalDBTblFld_SaldFotK</vt:lpstr>
      <vt:lpstr>Gal_TblSheet!GalDBTblFld_SaldNal</vt:lpstr>
      <vt:lpstr>Gal_TblSheet!GalDBTblFld_SaldNalD</vt:lpstr>
      <vt:lpstr>Gal_TblSheet!GalDBTblFld_SaldNalK</vt:lpstr>
      <vt:lpstr>Gal_TblSheet!GalDBTblFld_SrDnZp</vt:lpstr>
      <vt:lpstr>Gal_TblSheet!GalDBTblFld_StrTabN</vt:lpstr>
      <vt:lpstr>Gal_VarSheet!GalDBVar_dBeg</vt:lpstr>
      <vt:lpstr>Gal_VarSheet!GalDBVar_dEnd</vt:lpstr>
      <vt:lpstr>Gal_VarSheet!GalDBVar_wYear</vt:lpstr>
      <vt:lpstr>Отчет!GalRepTbl_Main</vt:lpstr>
      <vt:lpstr>Отчет!GalRepTblFld_DeltaFot</vt:lpstr>
      <vt:lpstr>Отчет!GalRepTblFld_DeltaNal</vt:lpstr>
      <vt:lpstr>Отчет!GalRepTblFld_DepCode</vt:lpstr>
      <vt:lpstr>Отчет!GalRepTblFld_FIO</vt:lpstr>
      <vt:lpstr>Отчет!GalRepTblFld_NeIspDnOtp</vt:lpstr>
      <vt:lpstr>Отчет!GalRepTblFld_OtpFot</vt:lpstr>
      <vt:lpstr>Отчет!GalRepTblFld_OtpNal</vt:lpstr>
      <vt:lpstr>Отчет!GalRepTblFld_ReservFot</vt:lpstr>
      <vt:lpstr>Отчет!GalRepTblFld_ReservNal</vt:lpstr>
      <vt:lpstr>Отчет!GalRepTblFld_RSaldFot</vt:lpstr>
      <vt:lpstr>Отчет!GalRepTblFld_RSaldNal</vt:lpstr>
      <vt:lpstr>Отчет!GalRepTblFld_SaldFotD</vt:lpstr>
      <vt:lpstr>Отчет!GalRepTblFld_SaldFotK</vt:lpstr>
      <vt:lpstr>Отчет!GalRepTblFld_SaldNalD</vt:lpstr>
      <vt:lpstr>Отчет!GalRepTblFld_SaldNalK</vt:lpstr>
      <vt:lpstr>Отчет!GalRepTblFld_SrDnZp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 mw</dc:creator>
  <cp:lastModifiedBy>mw mw</cp:lastModifiedBy>
  <dcterms:created xsi:type="dcterms:W3CDTF">2019-02-19T13:42:46Z</dcterms:created>
  <dcterms:modified xsi:type="dcterms:W3CDTF">2019-02-19T14:49:12Z</dcterms:modified>
</cp:coreProperties>
</file>